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manuales" sheetId="3" state="visible" r:id="rId5"/>
    <sheet name="Plan mensual" sheetId="4" state="visible" r:id="rId6"/>
    <sheet name="Demanda puesto sin sobrestock" sheetId="5" state="visible" r:id="rId7"/>
    <sheet name="Resumen cap. sin sobrestock" sheetId="6" state="visible" r:id="rId8"/>
    <sheet name="Demanda puesto con sobrestock" sheetId="7" state="visible" r:id="rId9"/>
    <sheet name="Resumen cap. con sobrestock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sharedStrings.xml><?xml version="1.0" encoding="utf-8"?>
<sst xmlns="http://schemas.openxmlformats.org/spreadsheetml/2006/main" count="1369" uniqueCount="229">
  <si>
    <t xml:space="preserve">Links de los IMPORTRANGE</t>
  </si>
  <si>
    <t xml:space="preserve">Pegar en la columna B el link del Google Sheet de cada archivo; todas las fórmulas IMPORTRANGE leen el link de esta hoja. Hasta que se pegue, esas celdas muestran el último valor conocido o un error de referencia.</t>
  </si>
  <si>
    <t xml:space="preserve">Archivo</t>
  </si>
  <si>
    <t xml:space="preserve">Link</t>
  </si>
  <si>
    <t xml:space="preserve">Qué se importa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</si>
  <si>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</si>
  <si>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</si>
  <si>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Técnico: recargas por tipo (B27:K43), % por zona (U61:U74), % por planta (V61 y V63)</t>
  </si>
  <si>
    <t xml:space="preserve">Dimensionamiento Recargas Planta Comercial</t>
  </si>
  <si>
    <t xml:space="preserve">PEGAR ACÁ EL LINK DEL GOOGLE SHEET</t>
  </si>
  <si>
    <t xml:space="preserve">sobrestock_sustitutos, paso 6: sustitutos ABC que pide como cilindro vacío</t>
  </si>
  <si>
    <t xml:space="preserve">Dimensionamiento Recargas Planta Industrial</t>
  </si>
  <si>
    <t xml:space="preserve">sobrestock_sustitutos, paso 6: sustitutos ABC que pide como matafuego terminado</t>
  </si>
  <si>
    <t xml:space="preserve">Matafuegos terminados</t>
  </si>
  <si>
    <t xml:space="preserve">ABC 1 kg</t>
  </si>
  <si>
    <t xml:space="preserve">ABC 2,5 kg</t>
  </si>
  <si>
    <t xml:space="preserve">ABC 5 kg</t>
  </si>
  <si>
    <t xml:space="preserve">ABC 10 kg</t>
  </si>
  <si>
    <t xml:space="preserve">Total terminados</t>
  </si>
  <si>
    <t xml:space="preserve">Cilindros vendidos vacíos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</si>
  <si>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</si>
  <si>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</si>
  <si>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</si>
  <si>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</si>
  <si>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Total cilindros</t>
  </si>
  <si>
    <t xml:space="preserve">Total recipientes a fabricar (con sustitutos)</t>
  </si>
  <si>
    <t xml:space="preserve">Sustitutos ABC para las plantas de recargas</t>
  </si>
  <si>
    <t xml:space="preserve">ABC 1 kg — sustituto (terminado, planta industrial)</t>
  </si>
  <si>
    <t xml:space="preserve">ABC 2,5 kg — sustituto (terminado, planta industrial)</t>
  </si>
  <si>
    <t xml:space="preserve">ABC 5 kg — sustituto (terminado, planta industrial)</t>
  </si>
  <si>
    <t xml:space="preserve">ABC 10 kg — sustituto (terminado, planta industrial)</t>
  </si>
  <si>
    <t xml:space="preserve">Total sustitutos terminados</t>
  </si>
  <si>
    <t xml:space="preserve">ABC 1 kg — sustituto (cilindro vacío, planta comercial)</t>
  </si>
  <si>
    <t xml:space="preserve">ABC 2,5 kg — sustituto (cilindro vacío, planta comercial)</t>
  </si>
  <si>
    <t xml:space="preserve">ABC 5 kg — sustituto (cilindro vacío, planta comercial)</t>
  </si>
  <si>
    <t xml:space="preserve">ABC 10 kg — sustituto (cilindro vacío, planta comercial)</t>
  </si>
  <si>
    <t xml:space="preserve">Total sustitutos cilindros vacíos</t>
  </si>
  <si>
    <t xml:space="preserve">Sustitutos: paso 6 de sobrestock_sustitutos de cada Dimensionamiento de recargas. La planta industrial los fabrica terminados (proceso completo); la comercial los recibe como cilindro vacío y los carga allá.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</si>
  <si>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</si>
  <si>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</si>
  <si>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</si>
  <si>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</si>
  <si>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Excel original, Parametros B37</t>
  </si>
  <si>
    <t xml:space="preserve">Horas por día (1 turno)</t>
  </si>
  <si>
    <t xml:space="preserve">Excel original, Parametros D37</t>
  </si>
  <si>
    <t xml:space="preserve">Refrigerio (min/turno)</t>
  </si>
  <si>
    <t xml:space="preserve">Excel original, Parametros H37</t>
  </si>
  <si>
    <t xml:space="preserve">Horas productivas por turno</t>
  </si>
  <si>
    <t xml:space="preserve">Horas/día − refrigerio</t>
  </si>
  <si>
    <t xml:space="preserve">Turnos por día</t>
  </si>
  <si>
    <t xml:space="preserve">Un solo turno (editable)</t>
  </si>
  <si>
    <t xml:space="preserve">Horas productivas por mes</t>
  </si>
  <si>
    <t xml:space="preserve">Días × horas productivas × turnos</t>
  </si>
  <si>
    <t xml:space="preserve">Umbral de aprovechamiento</t>
  </si>
  <si>
    <t xml:space="preserve">Por encima se agrega máquina, operario o turno según el año (Resumen cap.); con 2 turnos se agrega máquina solo si pasa el 100 %, si no queda en amarillo para revisar</t>
  </si>
  <si>
    <t xml:space="preserve">Año de inicio del 2° turno (antes: más máquinas)</t>
  </si>
  <si>
    <t xml:space="preserve">Criterio del aprovechamiento: antes de ese año se agrega máquina u operario; desde ese año, turno</t>
  </si>
  <si>
    <t xml:space="preserve">ESTACIONALIDAD (% de la demanda anual por mes)</t>
  </si>
  <si>
    <t xml:space="preserve">Modelo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</si>
  <si>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</si>
  <si>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</si>
  <si>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</si>
  <si>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</si>
  <si>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</si>
  <si>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</si>
  <si>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</si>
  <si>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</si>
  <si>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</si>
  <si>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</si>
  <si>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</si>
  <si>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</si>
  <si>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</si>
  <si>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1 kg</t>
  </si>
  <si>
    <t xml:space="preserve">Perfil automovilístico (Excel original, Parametros fila 3)</t>
  </si>
  <si>
    <t xml:space="preserve">2,5 kg</t>
  </si>
  <si>
    <t xml:space="preserve">Perfil manual comercial (Excel original, Parametros fila 4)</t>
  </si>
  <si>
    <t xml:space="preserve">5 kg</t>
  </si>
  <si>
    <t xml:space="preserve">10 kg</t>
  </si>
  <si>
    <t xml:space="preserve">CAPACIDAD POR PUESTO</t>
  </si>
  <si>
    <t xml:space="preserve">N°</t>
  </si>
  <si>
    <t xml:space="preserve">Puesto</t>
  </si>
  <si>
    <t xml:space="preserve">Máquina</t>
  </si>
  <si>
    <t xml:space="preserve">Alcance</t>
  </si>
  <si>
    <t xml:space="preserve">Piezas por unidad</t>
  </si>
  <si>
    <t xml:space="preserve">% que pasa</t>
  </si>
  <si>
    <t xml:space="preserve">Tiempo tipo (s/u)</t>
  </si>
  <si>
    <t xml:space="preserve">Disponibilidad</t>
  </si>
  <si>
    <t xml:space="preserve">Cap. real (u/h)</t>
  </si>
  <si>
    <t xml:space="preserve">Cap. real (u/mes)</t>
  </si>
  <si>
    <t xml:space="preserve">SUPOSICIONES</t>
  </si>
  <si>
    <t xml:space="preserve">Recepción de materia prima</t>
  </si>
  <si>
    <t xml:space="preserve">Autoelevador Heli CPCD50 + micrómetro</t>
  </si>
  <si>
    <t xml:space="preserve">Todos</t>
  </si>
  <si>
    <t xml:space="preserve">25 min x pallet de 20 hojas en carros (1,25 min x hoja)</t>
  </si>
  <si>
    <t xml:space="preserve">Corte de chapa (guillotina) — 2,5 a 10 kg</t>
  </si>
  <si>
    <t xml:space="preserve">Guillotina hidráulica Cena serie O 3.200 mm</t>
  </si>
  <si>
    <t xml:space="preserve">ref carros - 1,2/1,5 min x cuerpo (+ CORTES + TIEMPO)</t>
  </si>
  <si>
    <t xml:space="preserve">Corte de tubo — 1 kg</t>
  </si>
  <si>
    <t xml:space="preserve">Cortadora láser de tubo Leapion 1,5 kW</t>
  </si>
  <si>
    <t xml:space="preserve">10 minutos por tubo de 6m (en cada tubo entran 23 cuerpos)</t>
  </si>
  <si>
    <t xml:space="preserve">Corte de disco y embutido (cúpula y fondo)</t>
  </si>
  <si>
    <t xml:space="preserve">Prensa embutidora Sangiacomo + alimentador Cena PRE-1</t>
  </si>
  <si>
    <t xml:space="preserve">Son 10c segundos contemplando cupula y fondo</t>
  </si>
  <si>
    <t xml:space="preserve">Preparación de cuello</t>
  </si>
  <si>
    <t xml:space="preserve">Prensa de banco Pannier MarkFirst MB-21</t>
  </si>
  <si>
    <t xml:space="preserve">Numerado de cúpula</t>
  </si>
  <si>
    <t xml:space="preserve">Micropercusión Pannier ADP120160D Deep Marker</t>
  </si>
  <si>
    <t xml:space="preserve">Soldadura del cuello a la cúpula</t>
  </si>
  <si>
    <t xml:space="preserve">Firesafer FS-HFM1 (versión manual)</t>
  </si>
  <si>
    <t xml:space="preserve">Cilindrado</t>
  </si>
  <si>
    <t xml:space="preserve">Roladora Firesafer FS-RM01</t>
  </si>
  <si>
    <t xml:space="preserve">Soldadura longitudinal</t>
  </si>
  <si>
    <t xml:space="preserve">Soldadora longitudinal Firesafer</t>
  </si>
  <si>
    <t xml:space="preserve">Encastre de fondo</t>
  </si>
  <si>
    <t xml:space="preserve">Prensa hidráulica motorizada Del Fabro 30 t</t>
  </si>
  <si>
    <t xml:space="preserve">Bordoneado</t>
  </si>
  <si>
    <t xml:space="preserve">Bordoneadora motorizada Pilman SWM-400</t>
  </si>
  <si>
    <t xml:space="preserve">Soldadura circunferencial de cúpula y fondo</t>
  </si>
  <si>
    <t xml:space="preserve">Soldadora circunferencial Firesafer</t>
  </si>
  <si>
    <t xml:space="preserve">Control de calidad — Espesor</t>
  </si>
  <si>
    <t xml:space="preserve">Medidor de espesores Melisam MR017</t>
  </si>
  <si>
    <t xml:space="preserve">Prueba hidráulica</t>
  </si>
  <si>
    <t xml:space="preserve">Banco Firesafer FS-JD12A</t>
  </si>
  <si>
    <t xml:space="preserve">Secado</t>
  </si>
  <si>
    <t xml:space="preserve">Secadora de cilindros Yukon</t>
  </si>
  <si>
    <t xml:space="preserve">las 4 maquinas sirven para secado de carros</t>
  </si>
  <si>
    <t xml:space="preserve">Granallado</t>
  </si>
  <si>
    <t xml:space="preserve">Granalladora de rodillos AirBlast G-100</t>
  </si>
  <si>
    <t xml:space="preserve">Detección de defectos</t>
  </si>
  <si>
    <t xml:space="preserve">Mesa de inspección con iluminación</t>
  </si>
  <si>
    <t xml:space="preserve">Corrección de defectos</t>
  </si>
  <si>
    <t xml:space="preserve">Amoladora 115 mm + machos y calibres</t>
  </si>
  <si>
    <t xml:space="preserve">Pintura en polvo + horno</t>
  </si>
  <si>
    <t xml:space="preserve">Línea de pintura en polvo Firesafer</t>
  </si>
  <si>
    <t xml:space="preserve">Carga de polvo</t>
  </si>
  <si>
    <t xml:space="preserve">Cargadora Firesafer FS-A10 / Yukon M-000121</t>
  </si>
  <si>
    <t xml:space="preserve">Terminados</t>
  </si>
  <si>
    <t xml:space="preserve">Ensamblaje</t>
  </si>
  <si>
    <t xml:space="preserve">Puesto manual con llave dinamométrica</t>
  </si>
  <si>
    <t xml:space="preserve">Presurización</t>
  </si>
  <si>
    <t xml:space="preserve">Pinza neumática Yukon M-000150 + pack N₂</t>
  </si>
  <si>
    <t xml:space="preserve">Control de calidad — Ensayo de pérdidas</t>
  </si>
  <si>
    <t xml:space="preserve">Tanque de inmersión de acero inoxidable</t>
  </si>
  <si>
    <t xml:space="preserve">Etiquetado</t>
  </si>
  <si>
    <t xml:space="preserve">Dispensador de etiquetas + impresora Zebra ZD421</t>
  </si>
  <si>
    <t xml:space="preserve">Embalaje y paletizado</t>
  </si>
  <si>
    <t xml:space="preserve">Armadora de cajas + envolvedora EDOS PS 5</t>
  </si>
  <si>
    <t xml:space="preserve">25 seg embalaje + 20 seg paletizado (1000kg pallet/13 kg mat)=76 mat x pallet *20s = 25 min x pallet</t>
  </si>
  <si>
    <t xml:space="preserve">Alcance: "Todos" = matafuegos terminados + cilindros vacíos; "Terminados" = solo los que se cargan como matafuego.</t>
  </si>
  <si>
    <t xml:space="preserve">Tiempo tipo = tiempo PCP del Excel original ((tpr + tdl + ta) / rendimiento). Disponibilidad = descuento por cambios de matriz del Excel original.</t>
  </si>
  <si>
    <t xml:space="preserve">Cap. real (u/h) = 3600 / tiempo tipo × disponibilidad. Cap. real (u/mes) = cap. real × horas productivas del mes.</t>
  </si>
  <si>
    <t xml:space="preserve">DISPONIBILIDAD</t>
  </si>
  <si>
    <t xml:space="preserve">Cambio de matriz (min/cambio)</t>
  </si>
  <si>
    <t xml:space="preserve">N° cambios/mes (est.)</t>
  </si>
  <si>
    <t xml:space="preserve">Pérdida por cambios (h/mes)</t>
  </si>
  <si>
    <t xml:space="preserve">Disponibilidad (cambios)</t>
  </si>
  <si>
    <t xml:space="preserve">Es 32 porque contemplamos 4 cambios de cupula y 4 de fondo x semana (8*4)</t>
  </si>
  <si>
    <t xml:space="preserve">PRODUCCIÓN CON SOBRESTOCK (perfil mensual de producción, % de la demanda anual)</t>
  </si>
  <si>
    <t xml:space="preserve">Regla: el pico de diciembre y enero se cubre con stock fabricado antes. Diciembre puede salir de stock del mismo año; enero solo de stock hecho en octubre y noviembre, porque recién desde octubre se puede numerar con el año siguiente.</t>
  </si>
  <si>
    <t xml:space="preserve">Nivel máximo de producción (L): el mínimo que cumple la regla del lote. El stock de enero tiene que entrar en la capacidad libre de octubre y noviembre: (Ene − L) ≤ (L − Oct) + (L − Nov), o sea L ≥ (Ene + Oct + Nov) / 3.</t>
  </si>
  <si>
    <t xml:space="preserve">Meses de sobrestock: se fabrica lo más tarde posible, hacia atrás desde noviembre y usando toda la capacidad libre hasta L, para que sean los menos meses posibles.</t>
  </si>
  <si>
    <t xml:space="preserve">Nivel máximo de producción mensual L (% del año)</t>
  </si>
  <si>
    <t xml:space="preserve">Por defecto el mayor de los L mínimos (lo fija el 1 kg). Se puede escribir otro valor, siempre que la columna G diga OK.</t>
  </si>
  <si>
    <t xml:space="preserve">L mínimo por regla de lote</t>
  </si>
  <si>
    <t xml:space="preserve">Exceso de diciembre</t>
  </si>
  <si>
    <t xml:space="preserve">Exceso de enero (año siguiente)</t>
  </si>
  <si>
    <t xml:space="preserve">Stock a fabricar (% del año)</t>
  </si>
  <si>
    <t xml:space="preserve">Meses de sobrestock</t>
  </si>
  <si>
    <t xml:space="preserve">Stock de enero cubierto en oct–nov</t>
  </si>
  <si>
    <t xml:space="preserve">Stock máximo acumulado (% del año)</t>
  </si>
  <si>
    <t xml:space="preserve">Modelo 1 kg</t>
  </si>
  <si>
    <t xml:space="preserve">Demanda (% del año)</t>
  </si>
  <si>
    <t xml:space="preserve">Capacidad libre hasta L</t>
  </si>
  <si>
    <t xml:space="preserve">Sobrestock fabricado</t>
  </si>
  <si>
    <t xml:space="preserve">PRODUCCIÓN (% del año)</t>
  </si>
  <si>
    <t xml:space="preserve">Modelo 2,5 kg</t>
  </si>
  <si>
    <t xml:space="preserve">Modelo 5 kg</t>
  </si>
  <si>
    <t xml:space="preserve">Modelo 10 kg</t>
  </si>
  <si>
    <t xml:space="preserve">Control: la fila PRODUCCIÓN suma 100 %, porque el stock de enero que se fabrica en oct–nov reemplaza al que se recibió del año anterior. En 2026, el primer año, no hay stock previo para enero.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</si>
  <si>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</si>
  <si>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</si>
  <si>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</si>
  <si>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</si>
  <si>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</si>
  <si>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</si>
  <si>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SUSTITUTOS PARA LAS PLANTAS DE RECARGAS (perfil de estacionalidad del modelo; se suman igual en sin y con sobrestock)</t>
  </si>
  <si>
    <t xml:space="preserve">ABC 1 kg — sustituto (planta industrial)</t>
  </si>
  <si>
    <t xml:space="preserve">Terminado sustituto</t>
  </si>
  <si>
    <t xml:space="preserve">ABC 2,5 kg — sustituto (planta industrial)</t>
  </si>
  <si>
    <t xml:space="preserve">ABC 5 kg — sustituto (planta industrial)</t>
  </si>
  <si>
    <t xml:space="preserve">ABC 10 kg — sustituto (planta industrial)</t>
  </si>
  <si>
    <t xml:space="preserve">ABC 1 kg — sustituto (planta comercial)</t>
  </si>
  <si>
    <t xml:space="preserve">Cilindro sustituto</t>
  </si>
  <si>
    <t xml:space="preserve">ABC 2,5 kg — sustituto (planta comercial)</t>
  </si>
  <si>
    <t xml:space="preserve">ABC 5 kg — sustituto (planta comercial)</t>
  </si>
  <si>
    <t xml:space="preserve">ABC 10 kg — sustituto (planta comercial)</t>
  </si>
  <si>
    <t xml:space="preserve">Total sustitutos</t>
  </si>
  <si>
    <t xml:space="preserve">Año 2026</t>
  </si>
  <si>
    <t xml:space="preserve">Mes pico (u/mes)</t>
  </si>
  <si>
    <t xml:space="preserve">Demanda pico (u/h)</t>
  </si>
  <si>
    <t xml:space="preserve">Mes pico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</si>
  <si>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</si>
  <si>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</si>
  <si>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</si>
  <si>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</si>
  <si>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</si>
  <si>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</si>
  <si>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</si>
  <si>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</si>
  <si>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</si>
  <si>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por puesto</t>
  </si>
  <si>
    <t xml:space="preserve">Recurso</t>
  </si>
  <si>
    <t xml:space="preserve">Manual</t>
  </si>
  <si>
    <t xml:space="preserve">Agrega 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</si>
  <si>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</si>
  <si>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</si>
  <si>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</si>
  <si>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</si>
  <si>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Colores automáticos (formato condicional) comparando las tablas de máquinas y turnos con el año anterior; amarillo: pasa el umbral sin acción posible.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</si>
  <si>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</si>
  <si>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</si>
  <si>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</si>
  <si>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 </t>
  </si>
  <si>
    <t xml:space="preserve">Cantidad de turnos en el año </t>
  </si>
  <si>
    <t xml:space="preserve">Producción con sobrestock = demanda anual × perfil de producción (parametros_manuales, bloque PRODUCCIÓN CON SOBRESTOCK).</t>
  </si>
  <si>
    <t xml:space="preserve">Turnos: esta hoja divide por la tabla de turnos (filas 58 a 82), igual que la hoja sin sobrestock.</t>
  </si>
  <si>
    <t xml:space="preserve">COMPARACIÓN DE APROVECHAMIENTO MÁXIMO (cada hoja con sus propias máquinas y turnos)</t>
  </si>
  <si>
    <t xml:space="preserve">Sin sobrestock</t>
  </si>
  <si>
    <t xml:space="preserve">Con sobrestock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</si>
</sst>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"/>
    <numFmt numFmtId="167" formatCode="0.0"/>
    <numFmt numFmtId="168" formatCode="0.00"/>
    <numFmt numFmtId="169" formatCode="0%"/>
    <numFmt numFmtId="170" formatCode="0.0%"/>
    <numFmt numFmtId="171" formatCode="0.00%"/>
    <numFmt numFmtId="172" formatCode="#,##0.0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b val="true"/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E2EFDA"/>
      </patternFill>
    </fill>
    <fill>
      <patternFill patternType="solid">
        <fgColor rgb="FFD9EAD3"/>
        <bgColor rgb="FFE2EFDA"/>
      </patternFill>
    </fill>
    <fill>
      <patternFill patternType="solid">
        <fgColor rgb="FFD9D9D9"/>
        <bgColor rgb="FFD9EAD3"/>
      </patternFill>
    </fill>
    <fill>
      <patternFill patternType="solid">
        <fgColor rgb="FFE2EFDA"/>
        <bgColor rgb="FFD9EAD3"/>
      </patternFill>
    </fill>
    <fill>
      <patternFill patternType="solid">
        <fgColor rgb="FF1F4E78"/>
        <bgColor rgb="FF003366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2EFDA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70"/>
    <col collapsed="false" customWidth="true" hidden="false" outlineLevel="0" max="3" min="3" style="1" width="9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</row>
    <row r="4" customFormat="false" ht="23.25" hidden="false" customHeight="true" outlineLevel="0" collapsed="false">
      <c r="A4" s="5" t="s">
        <v>5</v>
      </c>
      <c r="B4" s="6" t="s">
        <v>6</v>
      </c>
      <c r="C4" s="6" t="s">
        <v>7</v>
      </c>
    </row>
    <row r="5" customFormat="false" ht="23.25" hidden="false" customHeight="true" outlineLevel="0" collapsed="false">
      <c r="A5" s="5" t="s">
        <v>8</v>
      </c>
      <c r="B5" s="6" t="s">
        <v>9</v>
      </c>
      <c r="C5" s="6" t="s">
        <v>10</v>
      </c>
    </row>
    <row r="6" customFormat="false" ht="23.25" hidden="false" customHeight="true" outlineLevel="0" collapsed="false">
      <c r="A6" s="5" t="s">
        <v>11</v>
      </c>
      <c r="B6" s="6" t="s">
        <v>9</v>
      </c>
      <c r="C6" s="6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11" min="2" style="1" width="11"/>
  </cols>
  <sheetData>
    <row r="1" customFormat="false" ht="14.25" hidden="false" customHeight="true" outlineLevel="0" collapsed="false">
      <c r="A1" s="7" t="s">
        <v>13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</row>
    <row r="2" customFormat="false" ht="14.25" hidden="false" customHeight="true" outlineLevel="0" collapsed="false">
      <c r="A2" s="8" t="s">
        <v>14</v>
      </c>
      <c r="B2" s="9" t="n">
        <f aca="false">IFERROR(__xludf.DUMMYFUNCTION("IMPORTRANGE(Links!$B$4,""Indexado Dim Técnico!B3:K6"")"),4178.736543)</f>
        <v>4178.736543</v>
      </c>
      <c r="C2" s="9" t="n">
        <f aca="false">IFERROR(__xludf.DUMMYFUNCTION("""COMPUTED_VALUE"""),5997.303977)</f>
        <v>5997.303977</v>
      </c>
      <c r="D2" s="9" t="n">
        <f aca="false">IFERROR(__xludf.DUMMYFUNCTION("""COMPUTED_VALUE"""),6851.747758)</f>
        <v>6851.747758</v>
      </c>
      <c r="E2" s="9" t="n">
        <f aca="false">IFERROR(__xludf.DUMMYFUNCTION("""COMPUTED_VALUE"""),8467.135549)</f>
        <v>8467.135549</v>
      </c>
      <c r="F2" s="9" t="n">
        <f aca="false">IFERROR(__xludf.DUMMYFUNCTION("""COMPUTED_VALUE"""),12680.63271)</f>
        <v>12680.63271</v>
      </c>
      <c r="G2" s="9" t="n">
        <f aca="false">IFERROR(__xludf.DUMMYFUNCTION("""COMPUTED_VALUE"""),15620.25307)</f>
        <v>15620.25307</v>
      </c>
      <c r="H2" s="9" t="n">
        <f aca="false">IFERROR(__xludf.DUMMYFUNCTION("""COMPUTED_VALUE"""),20332.55326)</f>
        <v>20332.55326</v>
      </c>
      <c r="I2" s="9" t="n">
        <f aca="false">IFERROR(__xludf.DUMMYFUNCTION("""COMPUTED_VALUE"""),25132.07848)</f>
        <v>25132.07848</v>
      </c>
      <c r="J2" s="9" t="n">
        <f aca="false">IFERROR(__xludf.DUMMYFUNCTION("""COMPUTED_VALUE"""),28573.33614)</f>
        <v>28573.33614</v>
      </c>
      <c r="K2" s="9" t="n">
        <f aca="false">IFERROR(__xludf.DUMMYFUNCTION("""COMPUTED_VALUE"""),32072.63913)</f>
        <v>32072.63913</v>
      </c>
    </row>
    <row r="3" customFormat="false" ht="14.25" hidden="false" customHeight="true" outlineLevel="0" collapsed="false">
      <c r="A3" s="8" t="s">
        <v>15</v>
      </c>
      <c r="B3" s="9" t="n">
        <f aca="false">IFERROR(__xludf.DUMMYFUNCTION("""COMPUTED_VALUE"""),295.0303572)</f>
        <v>295.0303572</v>
      </c>
      <c r="C3" s="9" t="n">
        <f aca="false">IFERROR(__xludf.DUMMYFUNCTION("""COMPUTED_VALUE"""),709.7274503)</f>
        <v>709.7274503</v>
      </c>
      <c r="D3" s="9" t="n">
        <f aca="false">IFERROR(__xludf.DUMMYFUNCTION("""COMPUTED_VALUE"""),986.8680576)</f>
        <v>986.8680576</v>
      </c>
      <c r="E3" s="9" t="n">
        <f aca="false">IFERROR(__xludf.DUMMYFUNCTION("""COMPUTED_VALUE"""),1500.638174)</f>
        <v>1500.638174</v>
      </c>
      <c r="F3" s="9" t="n">
        <f aca="false">IFERROR(__xludf.DUMMYFUNCTION("""COMPUTED_VALUE"""),2312.627726)</f>
        <v>2312.627726</v>
      </c>
      <c r="G3" s="9" t="n">
        <f aca="false">IFERROR(__xludf.DUMMYFUNCTION("""COMPUTED_VALUE"""),3252.869887)</f>
        <v>3252.869887</v>
      </c>
      <c r="H3" s="9" t="n">
        <f aca="false">IFERROR(__xludf.DUMMYFUNCTION("""COMPUTED_VALUE"""),4102.315524)</f>
        <v>4102.315524</v>
      </c>
      <c r="I3" s="9" t="n">
        <f aca="false">IFERROR(__xludf.DUMMYFUNCTION("""COMPUTED_VALUE"""),5104.306587)</f>
        <v>5104.306587</v>
      </c>
      <c r="J3" s="9" t="n">
        <f aca="false">IFERROR(__xludf.DUMMYFUNCTION("""COMPUTED_VALUE"""),6195.186243)</f>
        <v>6195.186243</v>
      </c>
      <c r="K3" s="9" t="n">
        <f aca="false">IFERROR(__xludf.DUMMYFUNCTION("""COMPUTED_VALUE"""),7424.858444)</f>
        <v>7424.858444</v>
      </c>
    </row>
    <row r="4" customFormat="false" ht="14.25" hidden="false" customHeight="true" outlineLevel="0" collapsed="false">
      <c r="A4" s="8" t="s">
        <v>16</v>
      </c>
      <c r="B4" s="9" t="n">
        <f aca="false">IFERROR(__xludf.DUMMYFUNCTION("""COMPUTED_VALUE"""),2255.773025)</f>
        <v>2255.773025</v>
      </c>
      <c r="C4" s="9" t="n">
        <f aca="false">IFERROR(__xludf.DUMMYFUNCTION("""COMPUTED_VALUE"""),3846.978881)</f>
        <v>3846.978881</v>
      </c>
      <c r="D4" s="9" t="n">
        <f aca="false">IFERROR(__xludf.DUMMYFUNCTION("""COMPUTED_VALUE"""),5093.537591)</f>
        <v>5093.537591</v>
      </c>
      <c r="E4" s="9" t="n">
        <f aca="false">IFERROR(__xludf.DUMMYFUNCTION("""COMPUTED_VALUE"""),6823.115313)</f>
        <v>6823.115313</v>
      </c>
      <c r="F4" s="9" t="n">
        <f aca="false">IFERROR(__xludf.DUMMYFUNCTION("""COMPUTED_VALUE"""),10819.30694)</f>
        <v>10819.30694</v>
      </c>
      <c r="G4" s="9" t="n">
        <f aca="false">IFERROR(__xludf.DUMMYFUNCTION("""COMPUTED_VALUE"""),14605.96411)</f>
        <v>14605.96411</v>
      </c>
      <c r="H4" s="9" t="n">
        <f aca="false">IFERROR(__xludf.DUMMYFUNCTION("""COMPUTED_VALUE"""),18877.75984)</f>
        <v>18877.75984</v>
      </c>
      <c r="I4" s="9" t="n">
        <f aca="false">IFERROR(__xludf.DUMMYFUNCTION("""COMPUTED_VALUE"""),23368.18637)</f>
        <v>23368.18637</v>
      </c>
      <c r="J4" s="9" t="n">
        <f aca="false">IFERROR(__xludf.DUMMYFUNCTION("""COMPUTED_VALUE"""),26967.72455)</f>
        <v>26967.72455</v>
      </c>
      <c r="K4" s="9" t="n">
        <f aca="false">IFERROR(__xludf.DUMMYFUNCTION("""COMPUTED_VALUE"""),30750.77872)</f>
        <v>30750.77872</v>
      </c>
    </row>
    <row r="5" customFormat="false" ht="14.25" hidden="false" customHeight="true" outlineLevel="0" collapsed="false">
      <c r="A5" s="8" t="s">
        <v>17</v>
      </c>
      <c r="B5" s="9" t="n">
        <f aca="false">IFERROR(__xludf.DUMMYFUNCTION("""COMPUTED_VALUE"""),91.83318153)</f>
        <v>91.83318153</v>
      </c>
      <c r="C5" s="9" t="n">
        <f aca="false">IFERROR(__xludf.DUMMYFUNCTION("""COMPUTED_VALUE"""),177.2472967)</f>
        <v>177.2472967</v>
      </c>
      <c r="D5" s="9" t="n">
        <f aca="false">IFERROR(__xludf.DUMMYFUNCTION("""COMPUTED_VALUE"""),252.9787798)</f>
        <v>252.9787798</v>
      </c>
      <c r="E5" s="9" t="n">
        <f aca="false">IFERROR(__xludf.DUMMYFUNCTION("""COMPUTED_VALUE"""),358.0204941)</f>
        <v>358.0204941</v>
      </c>
      <c r="F5" s="9" t="n">
        <f aca="false">IFERROR(__xludf.DUMMYFUNCTION("""COMPUTED_VALUE"""),602.7181519)</f>
        <v>602.7181519</v>
      </c>
      <c r="G5" s="9" t="n">
        <f aca="false">IFERROR(__xludf.DUMMYFUNCTION("""COMPUTED_VALUE"""),872.605032)</f>
        <v>872.605032</v>
      </c>
      <c r="H5" s="9" t="n">
        <f aca="false">IFERROR(__xludf.DUMMYFUNCTION("""COMPUTED_VALUE"""),1127.160545)</f>
        <v>1127.160545</v>
      </c>
      <c r="I5" s="9" t="n">
        <f aca="false">IFERROR(__xludf.DUMMYFUNCTION("""COMPUTED_VALUE"""),1395.444812)</f>
        <v>1395.444812</v>
      </c>
      <c r="J5" s="9" t="n">
        <f aca="false">IFERROR(__xludf.DUMMYFUNCTION("""COMPUTED_VALUE"""),1612.350054)</f>
        <v>1612.350054</v>
      </c>
      <c r="K5" s="9" t="n">
        <f aca="false">IFERROR(__xludf.DUMMYFUNCTION("""COMPUTED_VALUE"""),1840.848079)</f>
        <v>1840.848079</v>
      </c>
    </row>
    <row r="6" customFormat="false" ht="14.25" hidden="false" customHeight="true" outlineLevel="0" collapsed="false">
      <c r="A6" s="10" t="s">
        <v>18</v>
      </c>
      <c r="B6" s="11" t="n">
        <f aca="false">SUM(B2:B5)</f>
        <v>6821.37310673</v>
      </c>
      <c r="C6" s="11" t="n">
        <f aca="false">SUM(C2:C5)</f>
        <v>10731.257605</v>
      </c>
      <c r="D6" s="11" t="n">
        <f aca="false">SUM(D2:D5)</f>
        <v>13185.1321864</v>
      </c>
      <c r="E6" s="11" t="n">
        <f aca="false">SUM(E2:E5)</f>
        <v>17148.9095301</v>
      </c>
      <c r="F6" s="11" t="n">
        <f aca="false">SUM(F2:F5)</f>
        <v>26415.2855279</v>
      </c>
      <c r="G6" s="11" t="n">
        <f aca="false">SUM(G2:G5)</f>
        <v>34351.692099</v>
      </c>
      <c r="H6" s="11" t="n">
        <f aca="false">SUM(H2:H5)</f>
        <v>44439.789169</v>
      </c>
      <c r="I6" s="11" t="n">
        <f aca="false">SUM(I2:I5)</f>
        <v>55000.016249</v>
      </c>
      <c r="J6" s="11" t="n">
        <f aca="false">SUM(J2:J5)</f>
        <v>63348.596987</v>
      </c>
      <c r="K6" s="11" t="n">
        <f aca="false">SUM(K2:K5)</f>
        <v>72089.124373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7" t="s">
        <v>19</v>
      </c>
      <c r="B8" s="7" t="n">
        <v>2026</v>
      </c>
      <c r="C8" s="7" t="n">
        <v>2027</v>
      </c>
      <c r="D8" s="7" t="n">
        <v>2028</v>
      </c>
      <c r="E8" s="7" t="n">
        <v>2029</v>
      </c>
      <c r="F8" s="7" t="n">
        <v>2030</v>
      </c>
      <c r="G8" s="7" t="n">
        <v>2031</v>
      </c>
      <c r="H8" s="7" t="n">
        <v>2032</v>
      </c>
      <c r="I8" s="7" t="n">
        <v>2033</v>
      </c>
      <c r="J8" s="7" t="n">
        <v>2034</v>
      </c>
      <c r="K8" s="7" t="n">
        <v>2035</v>
      </c>
    </row>
    <row r="9" customFormat="false" ht="14.25" hidden="false" customHeight="true" outlineLevel="0" collapsed="false">
      <c r="A9" s="8" t="s">
        <v>20</v>
      </c>
      <c r="B9" s="9" t="n">
        <f aca="false">IFERROR(__xludf.DUMMYFUNCTION("IMPORTRANGE(Links!$B$4,""Indexado Dim Técnico!B15:K18"")"),0)</f>
        <v>0</v>
      </c>
      <c r="C9" s="9" t="n">
        <f aca="false">IFERROR(__xludf.DUMMYFUNCTION("""COMPUTED_VALUE"""),0)</f>
        <v>0</v>
      </c>
      <c r="D9" s="9" t="n">
        <f aca="false">IFERROR(__xludf.DUMMYFUNCTION("""COMPUTED_VALUE"""),7662.4)</f>
        <v>7662.4</v>
      </c>
      <c r="E9" s="9" t="n">
        <f aca="false">IFERROR(__xludf.DUMMYFUNCTION("""COMPUTED_VALUE"""),26694.8)</f>
        <v>26694.8</v>
      </c>
      <c r="F9" s="9" t="n">
        <f aca="false">IFERROR(__xludf.DUMMYFUNCTION("""COMPUTED_VALUE"""),49434.8)</f>
        <v>49434.8</v>
      </c>
      <c r="G9" s="9" t="n">
        <f aca="false">IFERROR(__xludf.DUMMYFUNCTION("""COMPUTED_VALUE"""),71680.2)</f>
        <v>71680.2</v>
      </c>
      <c r="H9" s="9" t="n">
        <f aca="false">IFERROR(__xludf.DUMMYFUNCTION("""COMPUTED_VALUE"""),101340.6)</f>
        <v>101340.6</v>
      </c>
      <c r="I9" s="9" t="n">
        <f aca="false">IFERROR(__xludf.DUMMYFUNCTION("""COMPUTED_VALUE"""),131001)</f>
        <v>131001</v>
      </c>
      <c r="J9" s="9" t="n">
        <f aca="false">IFERROR(__xludf.DUMMYFUNCTION("""COMPUTED_VALUE"""),146819.8)</f>
        <v>146819.8</v>
      </c>
      <c r="K9" s="9" t="n">
        <f aca="false">IFERROR(__xludf.DUMMYFUNCTION("""COMPUTED_VALUE"""),170548)</f>
        <v>170548</v>
      </c>
    </row>
    <row r="10" customFormat="false" ht="14.25" hidden="false" customHeight="true" outlineLevel="0" collapsed="false">
      <c r="A10" s="8" t="s">
        <v>21</v>
      </c>
      <c r="B10" s="9" t="n">
        <f aca="false">IFERROR(__xludf.DUMMYFUNCTION("""COMPUTED_VALUE"""),0)</f>
        <v>0</v>
      </c>
      <c r="C10" s="9" t="n">
        <f aca="false">IFERROR(__xludf.DUMMYFUNCTION("""COMPUTED_VALUE"""),0)</f>
        <v>0</v>
      </c>
      <c r="D10" s="9" t="n">
        <f aca="false">IFERROR(__xludf.DUMMYFUNCTION("""COMPUTED_VALUE"""),299.6)</f>
        <v>299.6</v>
      </c>
      <c r="E10" s="9" t="n">
        <f aca="false">IFERROR(__xludf.DUMMYFUNCTION("""COMPUTED_VALUE"""),1043.8)</f>
        <v>1043.8</v>
      </c>
      <c r="F10" s="9" t="n">
        <f aca="false">IFERROR(__xludf.DUMMYFUNCTION("""COMPUTED_VALUE"""),1933)</f>
        <v>1933</v>
      </c>
      <c r="G10" s="9" t="n">
        <f aca="false">IFERROR(__xludf.DUMMYFUNCTION("""COMPUTED_VALUE"""),2803)</f>
        <v>2803</v>
      </c>
      <c r="H10" s="9" t="n">
        <f aca="false">IFERROR(__xludf.DUMMYFUNCTION("""COMPUTED_VALUE"""),3963)</f>
        <v>3963</v>
      </c>
      <c r="I10" s="9" t="n">
        <f aca="false">IFERROR(__xludf.DUMMYFUNCTION("""COMPUTED_VALUE"""),5123)</f>
        <v>5123</v>
      </c>
      <c r="J10" s="9" t="n">
        <f aca="false">IFERROR(__xludf.DUMMYFUNCTION("""COMPUTED_VALUE"""),5741.4)</f>
        <v>5741.4</v>
      </c>
      <c r="K10" s="9" t="n">
        <f aca="false">IFERROR(__xludf.DUMMYFUNCTION("""COMPUTED_VALUE"""),6669)</f>
        <v>6669</v>
      </c>
    </row>
    <row r="11" customFormat="false" ht="14.25" hidden="false" customHeight="true" outlineLevel="0" collapsed="false">
      <c r="A11" s="8" t="s">
        <v>22</v>
      </c>
      <c r="B11" s="9" t="n">
        <f aca="false">IFERROR(__xludf.DUMMYFUNCTION("""COMPUTED_VALUE"""),0)</f>
        <v>0</v>
      </c>
      <c r="C11" s="9" t="n">
        <f aca="false">IFERROR(__xludf.DUMMYFUNCTION("""COMPUTED_VALUE"""),0)</f>
        <v>0</v>
      </c>
      <c r="D11" s="9" t="n">
        <f aca="false">IFERROR(__xludf.DUMMYFUNCTION("""COMPUTED_VALUE"""),1478.8)</f>
        <v>1478.8</v>
      </c>
      <c r="E11" s="9" t="n">
        <f aca="false">IFERROR(__xludf.DUMMYFUNCTION("""COMPUTED_VALUE"""),5152)</f>
        <v>5152</v>
      </c>
      <c r="F11" s="9" t="n">
        <f aca="false">IFERROR(__xludf.DUMMYFUNCTION("""COMPUTED_VALUE"""),9540.8)</f>
        <v>9540.8</v>
      </c>
      <c r="G11" s="9" t="n">
        <f aca="false">IFERROR(__xludf.DUMMYFUNCTION("""COMPUTED_VALUE"""),13834.2)</f>
        <v>13834.2</v>
      </c>
      <c r="H11" s="9" t="n">
        <f aca="false">IFERROR(__xludf.DUMMYFUNCTION("""COMPUTED_VALUE"""),19558.6)</f>
        <v>19558.6</v>
      </c>
      <c r="I11" s="9" t="n">
        <f aca="false">IFERROR(__xludf.DUMMYFUNCTION("""COMPUTED_VALUE"""),25283)</f>
        <v>25283</v>
      </c>
      <c r="J11" s="9" t="n">
        <f aca="false">IFERROR(__xludf.DUMMYFUNCTION("""COMPUTED_VALUE"""),28335.8)</f>
        <v>28335.8</v>
      </c>
      <c r="K11" s="9" t="n">
        <f aca="false">IFERROR(__xludf.DUMMYFUNCTION("""COMPUTED_VALUE"""),32915)</f>
        <v>32915</v>
      </c>
    </row>
    <row r="12" customFormat="false" ht="14.25" hidden="false" customHeight="true" outlineLevel="0" collapsed="false">
      <c r="A12" s="8" t="s">
        <v>23</v>
      </c>
      <c r="B12" s="9" t="n">
        <f aca="false">IFERROR(__xludf.DUMMYFUNCTION("""COMPUTED_VALUE"""),0)</f>
        <v>0</v>
      </c>
      <c r="C12" s="9" t="n">
        <f aca="false">IFERROR(__xludf.DUMMYFUNCTION("""COMPUTED_VALUE"""),0)</f>
        <v>0</v>
      </c>
      <c r="D12" s="9" t="n">
        <f aca="false">IFERROR(__xludf.DUMMYFUNCTION("""COMPUTED_VALUE"""),90.4)</f>
        <v>90.4</v>
      </c>
      <c r="E12" s="9" t="n">
        <f aca="false">IFERROR(__xludf.DUMMYFUNCTION("""COMPUTED_VALUE"""),315)</f>
        <v>315</v>
      </c>
      <c r="F12" s="9" t="n">
        <f aca="false">IFERROR(__xludf.DUMMYFUNCTION("""COMPUTED_VALUE"""),583.4)</f>
        <v>583.4</v>
      </c>
      <c r="G12" s="9" t="n">
        <f aca="false">IFERROR(__xludf.DUMMYFUNCTION("""COMPUTED_VALUE"""),845.8)</f>
        <v>845.8</v>
      </c>
      <c r="H12" s="9" t="n">
        <f aca="false">IFERROR(__xludf.DUMMYFUNCTION("""COMPUTED_VALUE"""),1195.4)</f>
        <v>1195.4</v>
      </c>
      <c r="I12" s="9" t="n">
        <f aca="false">IFERROR(__xludf.DUMMYFUNCTION("""COMPUTED_VALUE"""),1545)</f>
        <v>1545</v>
      </c>
      <c r="J12" s="9" t="n">
        <f aca="false">IFERROR(__xludf.DUMMYFUNCTION("""COMPUTED_VALUE"""),1731.4)</f>
        <v>1731.4</v>
      </c>
      <c r="K12" s="9" t="n">
        <f aca="false">IFERROR(__xludf.DUMMYFUNCTION("""COMPUTED_VALUE"""),2011)</f>
        <v>2011</v>
      </c>
    </row>
    <row r="13" customFormat="false" ht="14.25" hidden="false" customHeight="true" outlineLevel="0" collapsed="false">
      <c r="A13" s="10" t="s">
        <v>24</v>
      </c>
      <c r="B13" s="11" t="n">
        <f aca="false">SUM(B9:B12)</f>
        <v>0</v>
      </c>
      <c r="C13" s="11" t="n">
        <f aca="false">SUM(C9:C12)</f>
        <v>0</v>
      </c>
      <c r="D13" s="11" t="n">
        <f aca="false">SUM(D9:D12)</f>
        <v>9531.2</v>
      </c>
      <c r="E13" s="11" t="n">
        <f aca="false">SUM(E9:E12)</f>
        <v>33205.6</v>
      </c>
      <c r="F13" s="11" t="n">
        <f aca="false">SUM(F9:F12)</f>
        <v>61492</v>
      </c>
      <c r="G13" s="11" t="n">
        <f aca="false">SUM(G9:G12)</f>
        <v>89163.2</v>
      </c>
      <c r="H13" s="11" t="n">
        <f aca="false">SUM(H9:H12)</f>
        <v>126057.6</v>
      </c>
      <c r="I13" s="11" t="n">
        <f aca="false">SUM(I9:I12)</f>
        <v>162952</v>
      </c>
      <c r="J13" s="11" t="n">
        <f aca="false">SUM(J9:J12)</f>
        <v>182628.4</v>
      </c>
      <c r="K13" s="11" t="n">
        <f aca="false">SUM(K9:K12)</f>
        <v>212143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0" t="s">
        <v>25</v>
      </c>
      <c r="B15" s="11" t="n">
        <f aca="false">B6+B13+B22+B27</f>
        <v>6851.37310673</v>
      </c>
      <c r="C15" s="11" t="n">
        <f aca="false">C6+C13+C22+C27</f>
        <v>10815.657605</v>
      </c>
      <c r="D15" s="11" t="n">
        <f aca="false">D6+D13+D22+D27</f>
        <v>22861.2921864</v>
      </c>
      <c r="E15" s="11" t="n">
        <f aca="false">E6+E13+E22+E27</f>
        <v>50592.3495301</v>
      </c>
      <c r="F15" s="11" t="n">
        <f aca="false">F6+F13+F22+F27</f>
        <v>88149.5655279</v>
      </c>
      <c r="G15" s="11" t="n">
        <f aca="false">G6+G13+G22+G27</f>
        <v>123788.572099</v>
      </c>
      <c r="H15" s="11" t="n">
        <f aca="false">H6+H13+H22+H27</f>
        <v>170721.669169</v>
      </c>
      <c r="I15" s="11" t="n">
        <f aca="false">I6+I13+I22+I27</f>
        <v>218148.536249</v>
      </c>
      <c r="J15" s="11" t="n">
        <f aca="false">J6+J13+J22+J27</f>
        <v>246161.556987</v>
      </c>
      <c r="K15" s="11" t="n">
        <f aca="false">K6+K13+K22+K27</f>
        <v>284425.044373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7" t="s">
        <v>26</v>
      </c>
      <c r="B17" s="7" t="n">
        <v>2026</v>
      </c>
      <c r="C17" s="7" t="n">
        <v>2027</v>
      </c>
      <c r="D17" s="7" t="n">
        <v>2028</v>
      </c>
      <c r="E17" s="7" t="n">
        <v>2029</v>
      </c>
      <c r="F17" s="7" t="n">
        <v>2030</v>
      </c>
      <c r="G17" s="7" t="n">
        <v>2031</v>
      </c>
      <c r="H17" s="7" t="n">
        <v>2032</v>
      </c>
      <c r="I17" s="7" t="n">
        <v>2033</v>
      </c>
      <c r="J17" s="7" t="n">
        <v>2034</v>
      </c>
      <c r="K17" s="7" t="n">
        <v>2035</v>
      </c>
    </row>
    <row r="18" customFormat="false" ht="14.25" hidden="false" customHeight="true" outlineLevel="0" collapsed="false">
      <c r="A18" s="8" t="s">
        <v>27</v>
      </c>
      <c r="B18" s="9" t="n">
        <f aca="false">IFERROR(__xludf.DUMMYFUNCTION("IMPORTRANGE(Links!$B$6,""sobrestock_sustitutos!B120:K123"")"),0)</f>
        <v>0</v>
      </c>
      <c r="C18" s="9" t="n">
        <f aca="false">IFERROR(__xludf.DUMMYFUNCTION("""COMPUTED_VALUE"""),0)</f>
        <v>0</v>
      </c>
      <c r="D18" s="9" t="n">
        <f aca="false">IFERROR(__xludf.DUMMYFUNCTION("""COMPUTED_VALUE"""),0)</f>
        <v>0</v>
      </c>
      <c r="E18" s="9" t="n">
        <f aca="false">IFERROR(__xludf.DUMMYFUNCTION("""COMPUTED_VALUE"""),0)</f>
        <v>0</v>
      </c>
      <c r="F18" s="9" t="n">
        <f aca="false">IFERROR(__xludf.DUMMYFUNCTION("""COMPUTED_VALUE"""),0)</f>
        <v>0</v>
      </c>
      <c r="G18" s="9" t="n">
        <f aca="false">IFERROR(__xludf.DUMMYFUNCTION("""COMPUTED_VALUE"""),0)</f>
        <v>0</v>
      </c>
      <c r="H18" s="9" t="n">
        <f aca="false">IFERROR(__xludf.DUMMYFUNCTION("""COMPUTED_VALUE"""),0)</f>
        <v>0</v>
      </c>
      <c r="I18" s="9" t="n">
        <f aca="false">IFERROR(__xludf.DUMMYFUNCTION("""COMPUTED_VALUE"""),0)</f>
        <v>0</v>
      </c>
      <c r="J18" s="9" t="n">
        <f aca="false">IFERROR(__xludf.DUMMYFUNCTION("""COMPUTED_VALUE"""),0)</f>
        <v>0</v>
      </c>
      <c r="K18" s="9" t="n">
        <f aca="false">IFERROR(__xludf.DUMMYFUNCTION("""COMPUTED_VALUE"""),0)</f>
        <v>0</v>
      </c>
    </row>
    <row r="19" customFormat="false" ht="14.25" hidden="false" customHeight="true" outlineLevel="0" collapsed="false">
      <c r="A19" s="8" t="s">
        <v>28</v>
      </c>
      <c r="B19" s="9" t="n">
        <f aca="false">IFERROR(__xludf.DUMMYFUNCTION("""COMPUTED_VALUE"""),2)</f>
        <v>2</v>
      </c>
      <c r="C19" s="9" t="n">
        <f aca="false">IFERROR(__xludf.DUMMYFUNCTION("""COMPUTED_VALUE"""),3.16)</f>
        <v>3.16</v>
      </c>
      <c r="D19" s="9" t="n">
        <f aca="false">IFERROR(__xludf.DUMMYFUNCTION("""COMPUTED_VALUE"""),6.4)</f>
        <v>6.4</v>
      </c>
      <c r="E19" s="9" t="n">
        <f aca="false">IFERROR(__xludf.DUMMYFUNCTION("""COMPUTED_VALUE"""),9.88)</f>
        <v>9.88</v>
      </c>
      <c r="F19" s="9" t="n">
        <f aca="false">IFERROR(__xludf.DUMMYFUNCTION("""COMPUTED_VALUE"""),10.6)</f>
        <v>10.6</v>
      </c>
      <c r="G19" s="9" t="n">
        <f aca="false">IFERROR(__xludf.DUMMYFUNCTION("""COMPUTED_VALUE"""),12.32)</f>
        <v>12.32</v>
      </c>
      <c r="H19" s="9" t="n">
        <f aca="false">IFERROR(__xludf.DUMMYFUNCTION("""COMPUTED_VALUE"""),11.12)</f>
        <v>11.12</v>
      </c>
      <c r="I19" s="9" t="n">
        <f aca="false">IFERROR(__xludf.DUMMYFUNCTION("""COMPUTED_VALUE"""),8.76)</f>
        <v>8.76</v>
      </c>
      <c r="J19" s="9" t="n">
        <f aca="false">IFERROR(__xludf.DUMMYFUNCTION("""COMPUTED_VALUE"""),8.16)</f>
        <v>8.16</v>
      </c>
      <c r="K19" s="9" t="n">
        <f aca="false">IFERROR(__xludf.DUMMYFUNCTION("""COMPUTED_VALUE"""),8.48)</f>
        <v>8.48</v>
      </c>
    </row>
    <row r="20" customFormat="false" ht="14.25" hidden="false" customHeight="true" outlineLevel="0" collapsed="false">
      <c r="A20" s="8" t="s">
        <v>29</v>
      </c>
      <c r="B20" s="9" t="n">
        <f aca="false">IFERROR(__xludf.DUMMYFUNCTION("""COMPUTED_VALUE"""),8)</f>
        <v>8</v>
      </c>
      <c r="C20" s="9" t="n">
        <f aca="false">IFERROR(__xludf.DUMMYFUNCTION("""COMPUTED_VALUE"""),23.64)</f>
        <v>23.64</v>
      </c>
      <c r="D20" s="9" t="n">
        <f aca="false">IFERROR(__xludf.DUMMYFUNCTION("""COMPUTED_VALUE"""),40.48)</f>
        <v>40.48</v>
      </c>
      <c r="E20" s="9" t="n">
        <f aca="false">IFERROR(__xludf.DUMMYFUNCTION("""COMPUTED_VALUE"""),66.52)</f>
        <v>66.52</v>
      </c>
      <c r="F20" s="9" t="n">
        <f aca="false">IFERROR(__xludf.DUMMYFUNCTION("""COMPUTED_VALUE"""),68.4)</f>
        <v>68.4</v>
      </c>
      <c r="G20" s="9" t="n">
        <f aca="false">IFERROR(__xludf.DUMMYFUNCTION("""COMPUTED_VALUE"""),76.04)</f>
        <v>76.04</v>
      </c>
      <c r="H20" s="9" t="n">
        <f aca="false">IFERROR(__xludf.DUMMYFUNCTION("""COMPUTED_VALUE"""),62.92)</f>
        <v>62.92</v>
      </c>
      <c r="I20" s="9" t="n">
        <f aca="false">IFERROR(__xludf.DUMMYFUNCTION("""COMPUTED_VALUE"""),55.36)</f>
        <v>55.36</v>
      </c>
      <c r="J20" s="9" t="n">
        <f aca="false">IFERROR(__xludf.DUMMYFUNCTION("""COMPUTED_VALUE"""),50.92)</f>
        <v>50.92</v>
      </c>
      <c r="K20" s="9" t="n">
        <f aca="false">IFERROR(__xludf.DUMMYFUNCTION("""COMPUTED_VALUE"""),53.92)</f>
        <v>53.92</v>
      </c>
    </row>
    <row r="21" customFormat="false" ht="14.25" hidden="false" customHeight="true" outlineLevel="0" collapsed="false">
      <c r="A21" s="8" t="s">
        <v>30</v>
      </c>
      <c r="B21" s="9" t="n">
        <f aca="false">IFERROR(__xludf.DUMMYFUNCTION("""COMPUTED_VALUE"""),1)</f>
        <v>1</v>
      </c>
      <c r="C21" s="9" t="n">
        <f aca="false">IFERROR(__xludf.DUMMYFUNCTION("""COMPUTED_VALUE"""),1.08)</f>
        <v>1.08</v>
      </c>
      <c r="D21" s="9" t="n">
        <f aca="false">IFERROR(__xludf.DUMMYFUNCTION("""COMPUTED_VALUE"""),2.16)</f>
        <v>2.16</v>
      </c>
      <c r="E21" s="9" t="n">
        <f aca="false">IFERROR(__xludf.DUMMYFUNCTION("""COMPUTED_VALUE"""),4.32)</f>
        <v>4.32</v>
      </c>
      <c r="F21" s="9" t="n">
        <f aca="false">IFERROR(__xludf.DUMMYFUNCTION("""COMPUTED_VALUE"""),3.64)</f>
        <v>3.64</v>
      </c>
      <c r="G21" s="9" t="n">
        <f aca="false">IFERROR(__xludf.DUMMYFUNCTION("""COMPUTED_VALUE"""),4.88)</f>
        <v>4.88</v>
      </c>
      <c r="H21" s="9" t="n">
        <f aca="false">IFERROR(__xludf.DUMMYFUNCTION("""COMPUTED_VALUE"""),3.2)</f>
        <v>3.2</v>
      </c>
      <c r="I21" s="9" t="n">
        <f aca="false">IFERROR(__xludf.DUMMYFUNCTION("""COMPUTED_VALUE"""),3.36)</f>
        <v>3.36</v>
      </c>
      <c r="J21" s="9" t="n">
        <f aca="false">IFERROR(__xludf.DUMMYFUNCTION("""COMPUTED_VALUE"""),3.52)</f>
        <v>3.52</v>
      </c>
      <c r="K21" s="9" t="n">
        <f aca="false">IFERROR(__xludf.DUMMYFUNCTION("""COMPUTED_VALUE"""),2.68)</f>
        <v>2.68</v>
      </c>
    </row>
    <row r="22" customFormat="false" ht="14.25" hidden="false" customHeight="true" outlineLevel="0" collapsed="false">
      <c r="A22" s="10" t="s">
        <v>31</v>
      </c>
      <c r="B22" s="11" t="n">
        <f aca="false">SUM(B18:B21)</f>
        <v>11</v>
      </c>
      <c r="C22" s="11" t="n">
        <f aca="false">SUM(C18:C21)</f>
        <v>27.88</v>
      </c>
      <c r="D22" s="11" t="n">
        <f aca="false">SUM(D18:D21)</f>
        <v>49.04</v>
      </c>
      <c r="E22" s="11" t="n">
        <f aca="false">SUM(E18:E21)</f>
        <v>80.72</v>
      </c>
      <c r="F22" s="11" t="n">
        <f aca="false">SUM(F18:F21)</f>
        <v>82.64</v>
      </c>
      <c r="G22" s="11" t="n">
        <f aca="false">SUM(G18:G21)</f>
        <v>93.24</v>
      </c>
      <c r="H22" s="11" t="n">
        <f aca="false">SUM(H18:H21)</f>
        <v>77.24</v>
      </c>
      <c r="I22" s="11" t="n">
        <f aca="false">SUM(I18:I21)</f>
        <v>67.48</v>
      </c>
      <c r="J22" s="11" t="n">
        <f aca="false">SUM(J18:J21)</f>
        <v>62.6</v>
      </c>
      <c r="K22" s="11" t="n">
        <f aca="false">SUM(K18:K21)</f>
        <v>65.08</v>
      </c>
    </row>
    <row r="23" customFormat="false" ht="14.25" hidden="false" customHeight="true" outlineLevel="0" collapsed="false">
      <c r="A23" s="8" t="s">
        <v>32</v>
      </c>
      <c r="B23" s="9" t="n">
        <f aca="false">IFERROR(__xludf.DUMMYFUNCTION("IMPORTRANGE(Links!$B$5,""sobrestock_sustitutos!B120:K123"")"),0)</f>
        <v>0</v>
      </c>
      <c r="C23" s="9" t="n">
        <f aca="false">IFERROR(__xludf.DUMMYFUNCTION("""COMPUTED_VALUE"""),0)</f>
        <v>0</v>
      </c>
      <c r="D23" s="9" t="n">
        <f aca="false">IFERROR(__xludf.DUMMYFUNCTION("""COMPUTED_VALUE"""),0)</f>
        <v>0</v>
      </c>
      <c r="E23" s="9" t="n">
        <f aca="false">IFERROR(__xludf.DUMMYFUNCTION("""COMPUTED_VALUE"""),0)</f>
        <v>0</v>
      </c>
      <c r="F23" s="9" t="n">
        <f aca="false">IFERROR(__xludf.DUMMYFUNCTION("""COMPUTED_VALUE"""),0)</f>
        <v>0</v>
      </c>
      <c r="G23" s="9" t="n">
        <f aca="false">IFERROR(__xludf.DUMMYFUNCTION("""COMPUTED_VALUE"""),0)</f>
        <v>0</v>
      </c>
      <c r="H23" s="9" t="n">
        <f aca="false">IFERROR(__xludf.DUMMYFUNCTION("""COMPUTED_VALUE"""),0)</f>
        <v>0</v>
      </c>
      <c r="I23" s="9" t="n">
        <f aca="false">IFERROR(__xludf.DUMMYFUNCTION("""COMPUTED_VALUE"""),0)</f>
        <v>0</v>
      </c>
      <c r="J23" s="9" t="n">
        <f aca="false">IFERROR(__xludf.DUMMYFUNCTION("""COMPUTED_VALUE"""),0)</f>
        <v>0</v>
      </c>
      <c r="K23" s="9" t="n">
        <f aca="false">IFERROR(__xludf.DUMMYFUNCTION("""COMPUTED_VALUE"""),0)</f>
        <v>0</v>
      </c>
    </row>
    <row r="24" customFormat="false" ht="14.25" hidden="false" customHeight="true" outlineLevel="0" collapsed="false">
      <c r="A24" s="8" t="s">
        <v>33</v>
      </c>
      <c r="B24" s="9" t="n">
        <f aca="false">IFERROR(__xludf.DUMMYFUNCTION("""COMPUTED_VALUE"""),3)</f>
        <v>3</v>
      </c>
      <c r="C24" s="9" t="n">
        <f aca="false">IFERROR(__xludf.DUMMYFUNCTION("""COMPUTED_VALUE"""),7.24)</f>
        <v>7.24</v>
      </c>
      <c r="D24" s="9" t="n">
        <f aca="false">IFERROR(__xludf.DUMMYFUNCTION("""COMPUTED_VALUE"""),11.8)</f>
        <v>11.8</v>
      </c>
      <c r="E24" s="9" t="n">
        <f aca="false">IFERROR(__xludf.DUMMYFUNCTION("""COMPUTED_VALUE"""),19.68)</f>
        <v>19.68</v>
      </c>
      <c r="F24" s="9" t="n">
        <f aca="false">IFERROR(__xludf.DUMMYFUNCTION("""COMPUTED_VALUE"""),20.12)</f>
        <v>20.12</v>
      </c>
      <c r="G24" s="9" t="n">
        <f aca="false">IFERROR(__xludf.DUMMYFUNCTION("""COMPUTED_VALUE"""),22.48)</f>
        <v>22.48</v>
      </c>
      <c r="H24" s="9" t="n">
        <f aca="false">IFERROR(__xludf.DUMMYFUNCTION("""COMPUTED_VALUE"""),20.92)</f>
        <v>20.92</v>
      </c>
      <c r="I24" s="9" t="n">
        <f aca="false">IFERROR(__xludf.DUMMYFUNCTION("""COMPUTED_VALUE"""),17.12)</f>
        <v>17.12</v>
      </c>
      <c r="J24" s="9" t="n">
        <f aca="false">IFERROR(__xludf.DUMMYFUNCTION("""COMPUTED_VALUE"""),15.92)</f>
        <v>15.92</v>
      </c>
      <c r="K24" s="9" t="n">
        <f aca="false">IFERROR(__xludf.DUMMYFUNCTION("""COMPUTED_VALUE"""),17.56)</f>
        <v>17.56</v>
      </c>
    </row>
    <row r="25" customFormat="false" ht="14.25" hidden="false" customHeight="true" outlineLevel="0" collapsed="false">
      <c r="A25" s="8" t="s">
        <v>34</v>
      </c>
      <c r="B25" s="9" t="n">
        <f aca="false">IFERROR(__xludf.DUMMYFUNCTION("""COMPUTED_VALUE"""),15)</f>
        <v>15</v>
      </c>
      <c r="C25" s="9" t="n">
        <f aca="false">IFERROR(__xludf.DUMMYFUNCTION("""COMPUTED_VALUE"""),46.2)</f>
        <v>46.2</v>
      </c>
      <c r="D25" s="9" t="n">
        <f aca="false">IFERROR(__xludf.DUMMYFUNCTION("""COMPUTED_VALUE"""),79.8)</f>
        <v>79.8</v>
      </c>
      <c r="E25" s="9" t="n">
        <f aca="false">IFERROR(__xludf.DUMMYFUNCTION("""COMPUTED_VALUE"""),129.8)</f>
        <v>129.8</v>
      </c>
      <c r="F25" s="9" t="n">
        <f aca="false">IFERROR(__xludf.DUMMYFUNCTION("""COMPUTED_VALUE"""),132.32)</f>
        <v>132.32</v>
      </c>
      <c r="G25" s="9" t="n">
        <f aca="false">IFERROR(__xludf.DUMMYFUNCTION("""COMPUTED_VALUE"""),149.28)</f>
        <v>149.28</v>
      </c>
      <c r="H25" s="9" t="n">
        <f aca="false">IFERROR(__xludf.DUMMYFUNCTION("""COMPUTED_VALUE"""),118.88)</f>
        <v>118.88</v>
      </c>
      <c r="I25" s="9" t="n">
        <f aca="false">IFERROR(__xludf.DUMMYFUNCTION("""COMPUTED_VALUE"""),106.28)</f>
        <v>106.28</v>
      </c>
      <c r="J25" s="9" t="n">
        <f aca="false">IFERROR(__xludf.DUMMYFUNCTION("""COMPUTED_VALUE"""),100.16)</f>
        <v>100.16</v>
      </c>
      <c r="K25" s="9" t="n">
        <f aca="false">IFERROR(__xludf.DUMMYFUNCTION("""COMPUTED_VALUE"""),104.16)</f>
        <v>104.16</v>
      </c>
    </row>
    <row r="26" customFormat="false" ht="14.25" hidden="false" customHeight="true" outlineLevel="0" collapsed="false">
      <c r="A26" s="8" t="s">
        <v>35</v>
      </c>
      <c r="B26" s="9" t="n">
        <f aca="false">IFERROR(__xludf.DUMMYFUNCTION("""COMPUTED_VALUE"""),1)</f>
        <v>1</v>
      </c>
      <c r="C26" s="9" t="n">
        <f aca="false">IFERROR(__xludf.DUMMYFUNCTION("""COMPUTED_VALUE"""),3.08)</f>
        <v>3.08</v>
      </c>
      <c r="D26" s="9" t="n">
        <f aca="false">IFERROR(__xludf.DUMMYFUNCTION("""COMPUTED_VALUE"""),4.32)</f>
        <v>4.32</v>
      </c>
      <c r="E26" s="9" t="n">
        <f aca="false">IFERROR(__xludf.DUMMYFUNCTION("""COMPUTED_VALUE"""),7.64)</f>
        <v>7.64</v>
      </c>
      <c r="F26" s="9" t="n">
        <f aca="false">IFERROR(__xludf.DUMMYFUNCTION("""COMPUTED_VALUE"""),7.2)</f>
        <v>7.2</v>
      </c>
      <c r="G26" s="9" t="n">
        <f aca="false">IFERROR(__xludf.DUMMYFUNCTION("""COMPUTED_VALUE"""),8.68)</f>
        <v>8.68</v>
      </c>
      <c r="H26" s="9" t="n">
        <f aca="false">IFERROR(__xludf.DUMMYFUNCTION("""COMPUTED_VALUE"""),7.24)</f>
        <v>7.24</v>
      </c>
      <c r="I26" s="9" t="n">
        <f aca="false">IFERROR(__xludf.DUMMYFUNCTION("""COMPUTED_VALUE"""),5.64)</f>
        <v>5.64</v>
      </c>
      <c r="J26" s="9" t="n">
        <f aca="false">IFERROR(__xludf.DUMMYFUNCTION("""COMPUTED_VALUE"""),5.88)</f>
        <v>5.88</v>
      </c>
      <c r="K26" s="9" t="n">
        <f aca="false">IFERROR(__xludf.DUMMYFUNCTION("""COMPUTED_VALUE"""),6.12)</f>
        <v>6.12</v>
      </c>
    </row>
    <row r="27" customFormat="false" ht="14.25" hidden="false" customHeight="true" outlineLevel="0" collapsed="false">
      <c r="A27" s="10" t="s">
        <v>36</v>
      </c>
      <c r="B27" s="11" t="n">
        <f aca="false">SUM(B23:B26)</f>
        <v>19</v>
      </c>
      <c r="C27" s="11" t="n">
        <f aca="false">SUM(C23:C26)</f>
        <v>56.52</v>
      </c>
      <c r="D27" s="11" t="n">
        <f aca="false">SUM(D23:D26)</f>
        <v>95.92</v>
      </c>
      <c r="E27" s="11" t="n">
        <f aca="false">SUM(E23:E26)</f>
        <v>157.12</v>
      </c>
      <c r="F27" s="11" t="n">
        <f aca="false">SUM(F23:F26)</f>
        <v>159.64</v>
      </c>
      <c r="G27" s="11" t="n">
        <f aca="false">SUM(G23:G26)</f>
        <v>180.44</v>
      </c>
      <c r="H27" s="11" t="n">
        <f aca="false">SUM(H23:H26)</f>
        <v>147.04</v>
      </c>
      <c r="I27" s="11" t="n">
        <f aca="false">SUM(I23:I26)</f>
        <v>129.04</v>
      </c>
      <c r="J27" s="11" t="n">
        <f aca="false">SUM(J23:J26)</f>
        <v>121.96</v>
      </c>
      <c r="K27" s="11" t="n">
        <f aca="false">SUM(K23:K26)</f>
        <v>127.84</v>
      </c>
    </row>
    <row r="28" customFormat="false" ht="14.25" hidden="false" customHeight="true" outlineLevel="0" collapsed="false">
      <c r="A28" s="12" t="s">
        <v>37</v>
      </c>
    </row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21.14"/>
    <col collapsed="false" customWidth="true" hidden="false" outlineLevel="0" max="2" min="2" style="1" width="19.43"/>
    <col collapsed="false" customWidth="true" hidden="false" outlineLevel="0" max="3" min="3" style="1" width="40"/>
    <col collapsed="false" customWidth="true" hidden="false" outlineLevel="0" max="6" min="4" style="1" width="18"/>
    <col collapsed="false" customWidth="true" hidden="false" outlineLevel="0" max="7" min="7" style="1" width="16.71"/>
    <col collapsed="false" customWidth="true" hidden="false" outlineLevel="0" max="14" min="8" style="1" width="11"/>
    <col collapsed="false" customWidth="true" hidden="false" outlineLevel="0" max="15" min="15" style="1" width="54.86"/>
    <col collapsed="false" customWidth="true" hidden="false" outlineLevel="0" max="26" min="16" style="1" width="8.57"/>
  </cols>
  <sheetData>
    <row r="1" customFormat="false" ht="14.25" hidden="false" customHeight="true" outlineLevel="0" collapsed="false">
      <c r="A1" s="7" t="s">
        <v>38</v>
      </c>
      <c r="B1" s="7" t="s">
        <v>39</v>
      </c>
      <c r="C1" s="7" t="s">
        <v>40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customFormat="false" ht="14.25" hidden="false" customHeight="true" outlineLevel="0" collapsed="false">
      <c r="A2" s="14" t="s">
        <v>41</v>
      </c>
      <c r="B2" s="15" t="n">
        <v>20</v>
      </c>
      <c r="C2" s="14" t="s">
        <v>42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customFormat="false" ht="14.25" hidden="false" customHeight="true" outlineLevel="0" collapsed="false">
      <c r="A3" s="14" t="s">
        <v>43</v>
      </c>
      <c r="B3" s="16" t="n">
        <v>8</v>
      </c>
      <c r="C3" s="14" t="s">
        <v>44</v>
      </c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customFormat="false" ht="14.25" hidden="false" customHeight="true" outlineLevel="0" collapsed="false">
      <c r="A4" s="14" t="s">
        <v>45</v>
      </c>
      <c r="B4" s="15" t="n">
        <v>30</v>
      </c>
      <c r="C4" s="14" t="s">
        <v>46</v>
      </c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customFormat="false" ht="14.25" hidden="false" customHeight="true" outlineLevel="0" collapsed="false">
      <c r="A5" s="14" t="s">
        <v>47</v>
      </c>
      <c r="B5" s="17" t="n">
        <f aca="false">B3-B4/60</f>
        <v>7.5</v>
      </c>
      <c r="C5" s="14" t="s">
        <v>48</v>
      </c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customFormat="false" ht="14.25" hidden="false" customHeight="true" outlineLevel="0" collapsed="false">
      <c r="A6" s="14" t="s">
        <v>49</v>
      </c>
      <c r="B6" s="15" t="n">
        <v>1</v>
      </c>
      <c r="C6" s="14" t="s">
        <v>50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customFormat="false" ht="14.25" hidden="false" customHeight="true" outlineLevel="0" collapsed="false">
      <c r="A7" s="14" t="s">
        <v>51</v>
      </c>
      <c r="B7" s="16" t="n">
        <f aca="false">B2*B5*B6</f>
        <v>150</v>
      </c>
      <c r="C7" s="14" t="s">
        <v>52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customFormat="false" ht="14.25" hidden="false" customHeight="true" outlineLevel="0" collapsed="false">
      <c r="A8" s="14" t="s">
        <v>53</v>
      </c>
      <c r="B8" s="18" t="n">
        <v>0.9</v>
      </c>
      <c r="C8" s="14" t="s">
        <v>54</v>
      </c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customFormat="false" ht="14.25" hidden="false" customHeight="true" outlineLevel="0" collapsed="false">
      <c r="A9" s="14" t="s">
        <v>55</v>
      </c>
      <c r="B9" s="15" t="n">
        <v>2032</v>
      </c>
      <c r="C9" s="14" t="s">
        <v>56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customFormat="false" ht="14.25" hidden="false" customHeight="true" outlineLevel="0" collapsed="false">
      <c r="A10" s="19" t="s">
        <v>57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customFormat="false" ht="14.25" hidden="false" customHeight="true" outlineLevel="0" collapsed="false">
      <c r="A11" s="7" t="s">
        <v>58</v>
      </c>
      <c r="B11" s="7" t="s">
        <v>59</v>
      </c>
      <c r="C11" s="7" t="s">
        <v>60</v>
      </c>
      <c r="D11" s="7" t="s">
        <v>61</v>
      </c>
      <c r="E11" s="7" t="s">
        <v>62</v>
      </c>
      <c r="F11" s="7" t="s">
        <v>63</v>
      </c>
      <c r="G11" s="7" t="s">
        <v>64</v>
      </c>
      <c r="H11" s="7" t="s">
        <v>65</v>
      </c>
      <c r="I11" s="7" t="s">
        <v>66</v>
      </c>
      <c r="J11" s="7" t="s">
        <v>67</v>
      </c>
      <c r="K11" s="7" t="s">
        <v>68</v>
      </c>
      <c r="L11" s="7" t="s">
        <v>69</v>
      </c>
      <c r="M11" s="7" t="s">
        <v>70</v>
      </c>
      <c r="N11" s="7" t="s">
        <v>71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customFormat="false" ht="14.25" hidden="false" customHeight="true" outlineLevel="0" collapsed="false">
      <c r="A12" s="14" t="s">
        <v>72</v>
      </c>
      <c r="B12" s="20" t="n">
        <v>0.12</v>
      </c>
      <c r="C12" s="20" t="n">
        <v>0.09</v>
      </c>
      <c r="D12" s="20" t="n">
        <v>0.08</v>
      </c>
      <c r="E12" s="20" t="n">
        <v>0.075</v>
      </c>
      <c r="F12" s="20" t="n">
        <v>0.07</v>
      </c>
      <c r="G12" s="20" t="n">
        <v>0.07</v>
      </c>
      <c r="H12" s="20" t="n">
        <v>0.075</v>
      </c>
      <c r="I12" s="20" t="n">
        <v>0.075</v>
      </c>
      <c r="J12" s="20" t="n">
        <v>0.075</v>
      </c>
      <c r="K12" s="20" t="n">
        <v>0.075</v>
      </c>
      <c r="L12" s="20" t="n">
        <v>0.075</v>
      </c>
      <c r="M12" s="20" t="n">
        <v>0.12</v>
      </c>
      <c r="N12" s="20" t="n">
        <f aca="false">SUM(B12:M12)</f>
        <v>1</v>
      </c>
      <c r="O12" s="14" t="s">
        <v>73</v>
      </c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customFormat="false" ht="14.25" hidden="false" customHeight="true" outlineLevel="0" collapsed="false">
      <c r="A13" s="14" t="s">
        <v>74</v>
      </c>
      <c r="B13" s="20" t="n">
        <v>0.1</v>
      </c>
      <c r="C13" s="20" t="n">
        <v>0.08</v>
      </c>
      <c r="D13" s="20" t="n">
        <v>0.085</v>
      </c>
      <c r="E13" s="20" t="n">
        <v>0.085</v>
      </c>
      <c r="F13" s="20" t="n">
        <v>0.08</v>
      </c>
      <c r="G13" s="20" t="n">
        <v>0.075</v>
      </c>
      <c r="H13" s="20" t="n">
        <v>0.08</v>
      </c>
      <c r="I13" s="20" t="n">
        <v>0.08</v>
      </c>
      <c r="J13" s="20" t="n">
        <v>0.08</v>
      </c>
      <c r="K13" s="20" t="n">
        <v>0.075</v>
      </c>
      <c r="L13" s="20" t="n">
        <v>0.07</v>
      </c>
      <c r="M13" s="20" t="n">
        <v>0.11</v>
      </c>
      <c r="N13" s="20" t="n">
        <f aca="false">SUM(B13:M13)</f>
        <v>1</v>
      </c>
      <c r="O13" s="14" t="s">
        <v>75</v>
      </c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customFormat="false" ht="14.25" hidden="false" customHeight="true" outlineLevel="0" collapsed="false">
      <c r="A14" s="14" t="s">
        <v>76</v>
      </c>
      <c r="B14" s="20" t="n">
        <v>0.1</v>
      </c>
      <c r="C14" s="20" t="n">
        <v>0.08</v>
      </c>
      <c r="D14" s="20" t="n">
        <v>0.085</v>
      </c>
      <c r="E14" s="20" t="n">
        <v>0.085</v>
      </c>
      <c r="F14" s="20" t="n">
        <v>0.08</v>
      </c>
      <c r="G14" s="20" t="n">
        <v>0.075</v>
      </c>
      <c r="H14" s="20" t="n">
        <v>0.08</v>
      </c>
      <c r="I14" s="20" t="n">
        <v>0.08</v>
      </c>
      <c r="J14" s="20" t="n">
        <v>0.08</v>
      </c>
      <c r="K14" s="20" t="n">
        <v>0.075</v>
      </c>
      <c r="L14" s="20" t="n">
        <v>0.07</v>
      </c>
      <c r="M14" s="20" t="n">
        <v>0.11</v>
      </c>
      <c r="N14" s="20" t="n">
        <f aca="false">SUM(B14:M14)</f>
        <v>1</v>
      </c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customFormat="false" ht="14.25" hidden="false" customHeight="true" outlineLevel="0" collapsed="false">
      <c r="A15" s="14" t="s">
        <v>77</v>
      </c>
      <c r="B15" s="20" t="n">
        <v>0.1</v>
      </c>
      <c r="C15" s="20" t="n">
        <v>0.08</v>
      </c>
      <c r="D15" s="20" t="n">
        <v>0.085</v>
      </c>
      <c r="E15" s="20" t="n">
        <v>0.085</v>
      </c>
      <c r="F15" s="20" t="n">
        <v>0.08</v>
      </c>
      <c r="G15" s="20" t="n">
        <v>0.075</v>
      </c>
      <c r="H15" s="20" t="n">
        <v>0.08</v>
      </c>
      <c r="I15" s="20" t="n">
        <v>0.08</v>
      </c>
      <c r="J15" s="20" t="n">
        <v>0.08</v>
      </c>
      <c r="K15" s="20" t="n">
        <v>0.075</v>
      </c>
      <c r="L15" s="20" t="n">
        <v>0.07</v>
      </c>
      <c r="M15" s="20" t="n">
        <v>0.11</v>
      </c>
      <c r="N15" s="20" t="n">
        <f aca="false">SUM(B15:M15)</f>
        <v>1</v>
      </c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customFormat="false" ht="14.25" hidden="false" customHeight="true" outlineLevel="0" collapsed="false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customFormat="false" ht="14.25" hidden="false" customHeight="true" outlineLevel="0" collapsed="false">
      <c r="A17" s="19" t="s">
        <v>78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customFormat="false" ht="45" hidden="false" customHeight="true" outlineLevel="0" collapsed="false">
      <c r="A18" s="21" t="s">
        <v>79</v>
      </c>
      <c r="B18" s="21" t="s">
        <v>80</v>
      </c>
      <c r="C18" s="21" t="s">
        <v>81</v>
      </c>
      <c r="D18" s="21" t="s">
        <v>72</v>
      </c>
      <c r="E18" s="21" t="s">
        <v>74</v>
      </c>
      <c r="F18" s="21" t="s">
        <v>76</v>
      </c>
      <c r="G18" s="21" t="s">
        <v>77</v>
      </c>
      <c r="H18" s="21" t="s">
        <v>82</v>
      </c>
      <c r="I18" s="21" t="s">
        <v>83</v>
      </c>
      <c r="J18" s="21" t="s">
        <v>84</v>
      </c>
      <c r="K18" s="21" t="s">
        <v>85</v>
      </c>
      <c r="L18" s="21" t="s">
        <v>86</v>
      </c>
      <c r="M18" s="21" t="s">
        <v>87</v>
      </c>
      <c r="N18" s="21" t="s">
        <v>88</v>
      </c>
      <c r="O18" s="21" t="s">
        <v>89</v>
      </c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customFormat="false" ht="14.25" hidden="false" customHeight="true" outlineLevel="0" collapsed="false">
      <c r="A19" s="22" t="n">
        <v>1</v>
      </c>
      <c r="B19" s="23" t="s">
        <v>90</v>
      </c>
      <c r="C19" s="22" t="s">
        <v>91</v>
      </c>
      <c r="D19" s="22" t="n">
        <v>1</v>
      </c>
      <c r="E19" s="22" t="n">
        <v>1</v>
      </c>
      <c r="F19" s="22" t="n">
        <v>1</v>
      </c>
      <c r="G19" s="22" t="n">
        <v>1</v>
      </c>
      <c r="H19" s="22" t="s">
        <v>92</v>
      </c>
      <c r="I19" s="22" t="n">
        <v>1</v>
      </c>
      <c r="J19" s="24" t="n">
        <v>1</v>
      </c>
      <c r="K19" s="25" t="n">
        <v>60</v>
      </c>
      <c r="L19" s="26" t="n">
        <f aca="false">F51</f>
        <v>1</v>
      </c>
      <c r="M19" s="27" t="n">
        <f aca="false">IF(K19&gt;0,3600/K19*L19,0)</f>
        <v>60</v>
      </c>
      <c r="N19" s="28" t="n">
        <f aca="false">M19*$B$7</f>
        <v>9000</v>
      </c>
      <c r="O19" s="29" t="s">
        <v>93</v>
      </c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customFormat="false" ht="14.25" hidden="false" customHeight="true" outlineLevel="0" collapsed="false">
      <c r="A20" s="22" t="n">
        <v>2</v>
      </c>
      <c r="B20" s="23" t="s">
        <v>94</v>
      </c>
      <c r="C20" s="22" t="s">
        <v>95</v>
      </c>
      <c r="D20" s="22" t="n">
        <v>0</v>
      </c>
      <c r="E20" s="22" t="n">
        <v>1</v>
      </c>
      <c r="F20" s="22" t="n">
        <v>1</v>
      </c>
      <c r="G20" s="22" t="n">
        <v>1</v>
      </c>
      <c r="H20" s="22" t="s">
        <v>92</v>
      </c>
      <c r="I20" s="22" t="n">
        <v>1</v>
      </c>
      <c r="J20" s="24" t="n">
        <v>1</v>
      </c>
      <c r="K20" s="25" t="n">
        <v>90</v>
      </c>
      <c r="L20" s="26" t="n">
        <f aca="false">F52</f>
        <v>0.993333333333333</v>
      </c>
      <c r="M20" s="27" t="n">
        <f aca="false">IF(K20&gt;0,3600/K20*L20,0)</f>
        <v>39.7333333333333</v>
      </c>
      <c r="N20" s="28" t="n">
        <f aca="false">M20*$B$7</f>
        <v>5960</v>
      </c>
      <c r="O20" s="29" t="s">
        <v>96</v>
      </c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customFormat="false" ht="14.25" hidden="false" customHeight="true" outlineLevel="0" collapsed="false">
      <c r="A21" s="22" t="n">
        <v>3</v>
      </c>
      <c r="B21" s="23" t="s">
        <v>97</v>
      </c>
      <c r="C21" s="22" t="s">
        <v>98</v>
      </c>
      <c r="D21" s="22" t="n">
        <v>1</v>
      </c>
      <c r="E21" s="22" t="n">
        <v>0</v>
      </c>
      <c r="F21" s="22" t="n">
        <v>0</v>
      </c>
      <c r="G21" s="22" t="n">
        <v>0</v>
      </c>
      <c r="H21" s="22" t="s">
        <v>92</v>
      </c>
      <c r="I21" s="22" t="n">
        <v>1</v>
      </c>
      <c r="J21" s="24" t="n">
        <v>1</v>
      </c>
      <c r="K21" s="25" t="n">
        <v>30</v>
      </c>
      <c r="L21" s="26" t="n">
        <f aca="false">F53</f>
        <v>1</v>
      </c>
      <c r="M21" s="27" t="n">
        <f aca="false">IF(K21&gt;0,3600/K21*L21,0)</f>
        <v>120</v>
      </c>
      <c r="N21" s="28" t="n">
        <f aca="false">M21*$B$7</f>
        <v>18000</v>
      </c>
      <c r="O21" s="29" t="s">
        <v>99</v>
      </c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customFormat="false" ht="14.25" hidden="false" customHeight="true" outlineLevel="0" collapsed="false">
      <c r="A22" s="22" t="n">
        <v>4</v>
      </c>
      <c r="B22" s="23" t="s">
        <v>100</v>
      </c>
      <c r="C22" s="22" t="s">
        <v>101</v>
      </c>
      <c r="D22" s="22" t="n">
        <v>1</v>
      </c>
      <c r="E22" s="22" t="n">
        <v>1</v>
      </c>
      <c r="F22" s="22" t="n">
        <v>1</v>
      </c>
      <c r="G22" s="22" t="n">
        <v>1</v>
      </c>
      <c r="H22" s="22" t="s">
        <v>92</v>
      </c>
      <c r="I22" s="22" t="n">
        <v>2</v>
      </c>
      <c r="J22" s="24" t="n">
        <v>1</v>
      </c>
      <c r="K22" s="25" t="n">
        <v>8</v>
      </c>
      <c r="L22" s="26" t="n">
        <f aca="false">F54</f>
        <v>0.68</v>
      </c>
      <c r="M22" s="27" t="n">
        <f aca="false">IF(K22&gt;0,3600/K22*L22,0)</f>
        <v>306</v>
      </c>
      <c r="N22" s="28" t="n">
        <f aca="false">M22*$B$7</f>
        <v>45900</v>
      </c>
      <c r="O22" s="29" t="s">
        <v>102</v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customFormat="false" ht="14.25" hidden="false" customHeight="true" outlineLevel="0" collapsed="false">
      <c r="A23" s="22" t="n">
        <v>5</v>
      </c>
      <c r="B23" s="23" t="s">
        <v>103</v>
      </c>
      <c r="C23" s="22" t="s">
        <v>104</v>
      </c>
      <c r="D23" s="22" t="n">
        <v>1</v>
      </c>
      <c r="E23" s="22" t="n">
        <v>1</v>
      </c>
      <c r="F23" s="22" t="n">
        <v>1</v>
      </c>
      <c r="G23" s="22" t="n">
        <v>1</v>
      </c>
      <c r="H23" s="22" t="s">
        <v>92</v>
      </c>
      <c r="I23" s="22" t="n">
        <v>1</v>
      </c>
      <c r="J23" s="24" t="n">
        <v>1</v>
      </c>
      <c r="K23" s="25" t="n">
        <v>60</v>
      </c>
      <c r="L23" s="26" t="n">
        <f aca="false">F55</f>
        <v>1</v>
      </c>
      <c r="M23" s="27" t="n">
        <f aca="false">IF(K23&gt;0,3600/K23*L23,0)</f>
        <v>60</v>
      </c>
      <c r="N23" s="28" t="n">
        <f aca="false">M23*$B$7</f>
        <v>9000</v>
      </c>
      <c r="O23" s="29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customFormat="false" ht="14.25" hidden="false" customHeight="true" outlineLevel="0" collapsed="false">
      <c r="A24" s="22" t="n">
        <v>6</v>
      </c>
      <c r="B24" s="23" t="s">
        <v>105</v>
      </c>
      <c r="C24" s="22" t="s">
        <v>106</v>
      </c>
      <c r="D24" s="22" t="n">
        <v>1</v>
      </c>
      <c r="E24" s="22" t="n">
        <v>1</v>
      </c>
      <c r="F24" s="22" t="n">
        <v>1</v>
      </c>
      <c r="G24" s="22" t="n">
        <v>1</v>
      </c>
      <c r="H24" s="22" t="s">
        <v>92</v>
      </c>
      <c r="I24" s="22" t="n">
        <v>1</v>
      </c>
      <c r="J24" s="24" t="n">
        <v>1</v>
      </c>
      <c r="K24" s="25" t="n">
        <v>20</v>
      </c>
      <c r="L24" s="26" t="n">
        <f aca="false">F56</f>
        <v>1</v>
      </c>
      <c r="M24" s="27" t="n">
        <f aca="false">IF(K24&gt;0,3600/K24*L24,0)</f>
        <v>180</v>
      </c>
      <c r="N24" s="28" t="n">
        <f aca="false">M24*$B$7</f>
        <v>27000</v>
      </c>
      <c r="O24" s="29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customFormat="false" ht="14.25" hidden="false" customHeight="true" outlineLevel="0" collapsed="false">
      <c r="A25" s="22" t="n">
        <v>7</v>
      </c>
      <c r="B25" s="23" t="s">
        <v>107</v>
      </c>
      <c r="C25" s="22" t="s">
        <v>108</v>
      </c>
      <c r="D25" s="22" t="n">
        <v>1</v>
      </c>
      <c r="E25" s="22" t="n">
        <v>1</v>
      </c>
      <c r="F25" s="22" t="n">
        <v>1</v>
      </c>
      <c r="G25" s="22" t="n">
        <v>1</v>
      </c>
      <c r="H25" s="22" t="s">
        <v>92</v>
      </c>
      <c r="I25" s="22" t="n">
        <v>1</v>
      </c>
      <c r="J25" s="24" t="n">
        <v>1</v>
      </c>
      <c r="K25" s="25" t="n">
        <v>25</v>
      </c>
      <c r="L25" s="26" t="n">
        <f aca="false">F57</f>
        <v>0.973333333333333</v>
      </c>
      <c r="M25" s="27" t="n">
        <f aca="false">IF(K25&gt;0,3600/K25*L25,0)</f>
        <v>140.16</v>
      </c>
      <c r="N25" s="28" t="n">
        <f aca="false">M25*$B$7</f>
        <v>21024</v>
      </c>
      <c r="O25" s="29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customFormat="false" ht="14.25" hidden="false" customHeight="true" outlineLevel="0" collapsed="false">
      <c r="A26" s="22" t="n">
        <v>8</v>
      </c>
      <c r="B26" s="23" t="s">
        <v>109</v>
      </c>
      <c r="C26" s="22" t="s">
        <v>110</v>
      </c>
      <c r="D26" s="22" t="n">
        <v>0</v>
      </c>
      <c r="E26" s="22" t="n">
        <v>1</v>
      </c>
      <c r="F26" s="22" t="n">
        <v>1</v>
      </c>
      <c r="G26" s="22" t="n">
        <v>1</v>
      </c>
      <c r="H26" s="22" t="s">
        <v>92</v>
      </c>
      <c r="I26" s="22" t="n">
        <v>1</v>
      </c>
      <c r="J26" s="24" t="n">
        <v>1</v>
      </c>
      <c r="K26" s="25" t="n">
        <v>80</v>
      </c>
      <c r="L26" s="26" t="n">
        <f aca="false">F58</f>
        <v>0.986666666666667</v>
      </c>
      <c r="M26" s="27" t="n">
        <f aca="false">IF(K26&gt;0,3600/K26*L26,0)</f>
        <v>44.4</v>
      </c>
      <c r="N26" s="28" t="n">
        <f aca="false">M26*$B$7</f>
        <v>6660</v>
      </c>
      <c r="O26" s="29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customFormat="false" ht="14.25" hidden="false" customHeight="true" outlineLevel="0" collapsed="false">
      <c r="A27" s="22" t="n">
        <v>9</v>
      </c>
      <c r="B27" s="23" t="s">
        <v>111</v>
      </c>
      <c r="C27" s="22" t="s">
        <v>112</v>
      </c>
      <c r="D27" s="22" t="n">
        <v>0</v>
      </c>
      <c r="E27" s="22" t="n">
        <v>1</v>
      </c>
      <c r="F27" s="22" t="n">
        <v>1</v>
      </c>
      <c r="G27" s="22" t="n">
        <v>1</v>
      </c>
      <c r="H27" s="22" t="s">
        <v>92</v>
      </c>
      <c r="I27" s="22" t="n">
        <v>1</v>
      </c>
      <c r="J27" s="24" t="n">
        <v>1</v>
      </c>
      <c r="K27" s="25" t="n">
        <v>115</v>
      </c>
      <c r="L27" s="26" t="n">
        <f aca="false">F59</f>
        <v>0.986666666666667</v>
      </c>
      <c r="M27" s="27" t="n">
        <f aca="false">IF(K27&gt;0,3600/K27*L27,0)</f>
        <v>30.8869565217391</v>
      </c>
      <c r="N27" s="28" t="n">
        <f aca="false">M27*$B$7</f>
        <v>4633.04347826087</v>
      </c>
      <c r="O27" s="29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customFormat="false" ht="14.25" hidden="false" customHeight="true" outlineLevel="0" collapsed="false">
      <c r="A28" s="22" t="n">
        <v>10</v>
      </c>
      <c r="B28" s="23" t="s">
        <v>113</v>
      </c>
      <c r="C28" s="22" t="s">
        <v>114</v>
      </c>
      <c r="D28" s="22" t="n">
        <v>1</v>
      </c>
      <c r="E28" s="22" t="n">
        <v>1</v>
      </c>
      <c r="F28" s="22" t="n">
        <v>1</v>
      </c>
      <c r="G28" s="22" t="n">
        <v>1</v>
      </c>
      <c r="H28" s="22" t="s">
        <v>92</v>
      </c>
      <c r="I28" s="22" t="n">
        <v>1</v>
      </c>
      <c r="J28" s="24" t="n">
        <v>1</v>
      </c>
      <c r="K28" s="25" t="n">
        <v>30</v>
      </c>
      <c r="L28" s="26" t="n">
        <f aca="false">F60</f>
        <v>0.982222222222222</v>
      </c>
      <c r="M28" s="27" t="n">
        <f aca="false">IF(K28&gt;0,3600/K28*L28,0)</f>
        <v>117.866666666667</v>
      </c>
      <c r="N28" s="28" t="n">
        <f aca="false">M28*$B$7</f>
        <v>17680</v>
      </c>
      <c r="O28" s="29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customFormat="false" ht="14.25" hidden="false" customHeight="true" outlineLevel="0" collapsed="false">
      <c r="A29" s="22" t="n">
        <v>11</v>
      </c>
      <c r="B29" s="23" t="s">
        <v>115</v>
      </c>
      <c r="C29" s="22" t="s">
        <v>116</v>
      </c>
      <c r="D29" s="22" t="n">
        <v>1</v>
      </c>
      <c r="E29" s="22" t="n">
        <v>1</v>
      </c>
      <c r="F29" s="22" t="n">
        <v>1</v>
      </c>
      <c r="G29" s="22" t="n">
        <v>1</v>
      </c>
      <c r="H29" s="22" t="s">
        <v>92</v>
      </c>
      <c r="I29" s="22" t="n">
        <v>1</v>
      </c>
      <c r="J29" s="24" t="n">
        <v>1</v>
      </c>
      <c r="K29" s="25" t="n">
        <v>20</v>
      </c>
      <c r="L29" s="26" t="n">
        <f aca="false">F61</f>
        <v>0.982222222222222</v>
      </c>
      <c r="M29" s="27" t="n">
        <f aca="false">IF(K29&gt;0,3600/K29*L29,0)</f>
        <v>176.8</v>
      </c>
      <c r="N29" s="28" t="n">
        <f aca="false">M29*$B$7</f>
        <v>26520</v>
      </c>
      <c r="O29" s="29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customFormat="false" ht="14.25" hidden="false" customHeight="true" outlineLevel="0" collapsed="false">
      <c r="A30" s="22" t="n">
        <v>12</v>
      </c>
      <c r="B30" s="23" t="s">
        <v>117</v>
      </c>
      <c r="C30" s="22" t="s">
        <v>118</v>
      </c>
      <c r="D30" s="22" t="n">
        <v>1</v>
      </c>
      <c r="E30" s="22" t="n">
        <v>1</v>
      </c>
      <c r="F30" s="22" t="n">
        <v>1</v>
      </c>
      <c r="G30" s="22" t="n">
        <v>1</v>
      </c>
      <c r="H30" s="22" t="s">
        <v>92</v>
      </c>
      <c r="I30" s="22" t="n">
        <v>1</v>
      </c>
      <c r="J30" s="24" t="n">
        <v>1</v>
      </c>
      <c r="K30" s="25" t="n">
        <v>60</v>
      </c>
      <c r="L30" s="26" t="n">
        <f aca="false">F62</f>
        <v>0.982222222222222</v>
      </c>
      <c r="M30" s="27" t="n">
        <f aca="false">IF(K30&gt;0,3600/K30*L30,0)</f>
        <v>58.9333333333333</v>
      </c>
      <c r="N30" s="28" t="n">
        <f aca="false">M30*$B$7</f>
        <v>8840</v>
      </c>
      <c r="O30" s="29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customFormat="false" ht="14.25" hidden="false" customHeight="true" outlineLevel="0" collapsed="false">
      <c r="A31" s="22" t="n">
        <v>13</v>
      </c>
      <c r="B31" s="23" t="s">
        <v>119</v>
      </c>
      <c r="C31" s="22" t="s">
        <v>120</v>
      </c>
      <c r="D31" s="22" t="n">
        <v>1</v>
      </c>
      <c r="E31" s="22" t="n">
        <v>1</v>
      </c>
      <c r="F31" s="22" t="n">
        <v>1</v>
      </c>
      <c r="G31" s="22" t="n">
        <v>1</v>
      </c>
      <c r="H31" s="22" t="s">
        <v>92</v>
      </c>
      <c r="I31" s="22" t="n">
        <v>1</v>
      </c>
      <c r="J31" s="24" t="n">
        <v>0.02</v>
      </c>
      <c r="K31" s="25" t="n">
        <v>120</v>
      </c>
      <c r="L31" s="26" t="n">
        <f aca="false">F63</f>
        <v>1</v>
      </c>
      <c r="M31" s="27" t="n">
        <f aca="false">IF(K31&gt;0,3600/K31*L31,0)</f>
        <v>30</v>
      </c>
      <c r="N31" s="28" t="n">
        <f aca="false">M31*$B$7</f>
        <v>4500</v>
      </c>
      <c r="O31" s="29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customFormat="false" ht="14.25" hidden="false" customHeight="true" outlineLevel="0" collapsed="false">
      <c r="A32" s="22" t="n">
        <v>14</v>
      </c>
      <c r="B32" s="23" t="s">
        <v>121</v>
      </c>
      <c r="C32" s="22" t="s">
        <v>122</v>
      </c>
      <c r="D32" s="22" t="n">
        <v>1</v>
      </c>
      <c r="E32" s="22" t="n">
        <v>1</v>
      </c>
      <c r="F32" s="22" t="n">
        <v>1</v>
      </c>
      <c r="G32" s="22" t="n">
        <v>1</v>
      </c>
      <c r="H32" s="22" t="s">
        <v>92</v>
      </c>
      <c r="I32" s="22" t="n">
        <v>1</v>
      </c>
      <c r="J32" s="24" t="n">
        <v>1</v>
      </c>
      <c r="K32" s="25" t="n">
        <v>60</v>
      </c>
      <c r="L32" s="26" t="n">
        <f aca="false">F64</f>
        <v>0.982222222222222</v>
      </c>
      <c r="M32" s="27" t="n">
        <f aca="false">IF(K32&gt;0,3600/K32*L32,0)</f>
        <v>58.9333333333333</v>
      </c>
      <c r="N32" s="28" t="n">
        <f aca="false">M32*$B$7</f>
        <v>8840</v>
      </c>
      <c r="O32" s="29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customFormat="false" ht="14.25" hidden="false" customHeight="true" outlineLevel="0" collapsed="false">
      <c r="A33" s="22" t="n">
        <v>15</v>
      </c>
      <c r="B33" s="23" t="s">
        <v>123</v>
      </c>
      <c r="C33" s="22" t="s">
        <v>124</v>
      </c>
      <c r="D33" s="22" t="n">
        <v>1</v>
      </c>
      <c r="E33" s="22" t="n">
        <v>1</v>
      </c>
      <c r="F33" s="22" t="n">
        <v>1</v>
      </c>
      <c r="G33" s="22" t="n">
        <v>1</v>
      </c>
      <c r="H33" s="22" t="s">
        <v>92</v>
      </c>
      <c r="I33" s="22" t="n">
        <v>1</v>
      </c>
      <c r="J33" s="24" t="n">
        <v>1</v>
      </c>
      <c r="K33" s="25" t="n">
        <v>120</v>
      </c>
      <c r="L33" s="26" t="n">
        <f aca="false">F65</f>
        <v>1</v>
      </c>
      <c r="M33" s="27" t="n">
        <f aca="false">IF(K33&gt;0,3600/K33*L33,0)</f>
        <v>30</v>
      </c>
      <c r="N33" s="28" t="n">
        <f aca="false">M33*$B$7</f>
        <v>4500</v>
      </c>
      <c r="O33" s="29" t="s">
        <v>125</v>
      </c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customFormat="false" ht="14.25" hidden="false" customHeight="true" outlineLevel="0" collapsed="false">
      <c r="A34" s="22" t="n">
        <v>16</v>
      </c>
      <c r="B34" s="23" t="s">
        <v>126</v>
      </c>
      <c r="C34" s="22" t="s">
        <v>127</v>
      </c>
      <c r="D34" s="22" t="n">
        <v>1</v>
      </c>
      <c r="E34" s="22" t="n">
        <v>1</v>
      </c>
      <c r="F34" s="22" t="n">
        <v>1</v>
      </c>
      <c r="G34" s="22" t="n">
        <v>1</v>
      </c>
      <c r="H34" s="22" t="s">
        <v>92</v>
      </c>
      <c r="I34" s="22" t="n">
        <v>1</v>
      </c>
      <c r="J34" s="24" t="n">
        <v>1</v>
      </c>
      <c r="K34" s="25" t="n">
        <v>30</v>
      </c>
      <c r="L34" s="26" t="n">
        <f aca="false">F66</f>
        <v>1</v>
      </c>
      <c r="M34" s="27" t="n">
        <f aca="false">IF(K34&gt;0,3600/K34*L34,0)</f>
        <v>120</v>
      </c>
      <c r="N34" s="28" t="n">
        <f aca="false">M34*$B$7</f>
        <v>18000</v>
      </c>
      <c r="O34" s="29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customFormat="false" ht="14.25" hidden="false" customHeight="true" outlineLevel="0" collapsed="false">
      <c r="A35" s="22" t="n">
        <v>17</v>
      </c>
      <c r="B35" s="23" t="s">
        <v>128</v>
      </c>
      <c r="C35" s="22" t="s">
        <v>129</v>
      </c>
      <c r="D35" s="22" t="n">
        <v>1</v>
      </c>
      <c r="E35" s="22" t="n">
        <v>1</v>
      </c>
      <c r="F35" s="22" t="n">
        <v>1</v>
      </c>
      <c r="G35" s="22" t="n">
        <v>1</v>
      </c>
      <c r="H35" s="22" t="s">
        <v>92</v>
      </c>
      <c r="I35" s="22" t="n">
        <v>1</v>
      </c>
      <c r="J35" s="24" t="n">
        <v>1</v>
      </c>
      <c r="K35" s="25" t="n">
        <v>20</v>
      </c>
      <c r="L35" s="26" t="n">
        <f aca="false">F67</f>
        <v>1</v>
      </c>
      <c r="M35" s="27" t="n">
        <f aca="false">IF(K35&gt;0,3600/K35*L35,0)</f>
        <v>180</v>
      </c>
      <c r="N35" s="28" t="n">
        <f aca="false">M35*$B$7</f>
        <v>27000</v>
      </c>
      <c r="O35" s="29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customFormat="false" ht="14.25" hidden="false" customHeight="true" outlineLevel="0" collapsed="false">
      <c r="A36" s="22" t="n">
        <v>18</v>
      </c>
      <c r="B36" s="23" t="s">
        <v>130</v>
      </c>
      <c r="C36" s="22" t="s">
        <v>131</v>
      </c>
      <c r="D36" s="22" t="n">
        <v>1</v>
      </c>
      <c r="E36" s="22" t="n">
        <v>1</v>
      </c>
      <c r="F36" s="22" t="n">
        <v>1</v>
      </c>
      <c r="G36" s="22" t="n">
        <v>1</v>
      </c>
      <c r="H36" s="22" t="s">
        <v>92</v>
      </c>
      <c r="I36" s="22" t="n">
        <v>1</v>
      </c>
      <c r="J36" s="24" t="n">
        <v>0.05</v>
      </c>
      <c r="K36" s="25" t="n">
        <v>180</v>
      </c>
      <c r="L36" s="26" t="n">
        <f aca="false">F68</f>
        <v>1</v>
      </c>
      <c r="M36" s="27" t="n">
        <f aca="false">IF(K36&gt;0,3600/K36*L36,0)</f>
        <v>20</v>
      </c>
      <c r="N36" s="28" t="n">
        <f aca="false">M36*$B$7</f>
        <v>3000</v>
      </c>
      <c r="O36" s="29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customFormat="false" ht="14.25" hidden="false" customHeight="true" outlineLevel="0" collapsed="false">
      <c r="A37" s="22" t="n">
        <v>19</v>
      </c>
      <c r="B37" s="23" t="s">
        <v>132</v>
      </c>
      <c r="C37" s="22" t="s">
        <v>133</v>
      </c>
      <c r="D37" s="22" t="n">
        <v>1</v>
      </c>
      <c r="E37" s="22" t="n">
        <v>1</v>
      </c>
      <c r="F37" s="22" t="n">
        <v>1</v>
      </c>
      <c r="G37" s="22" t="n">
        <v>1</v>
      </c>
      <c r="H37" s="22" t="s">
        <v>92</v>
      </c>
      <c r="I37" s="22" t="n">
        <v>1</v>
      </c>
      <c r="J37" s="24" t="n">
        <v>1</v>
      </c>
      <c r="K37" s="25" t="n">
        <v>25</v>
      </c>
      <c r="L37" s="26" t="n">
        <f aca="false">F69</f>
        <v>0.946666666666667</v>
      </c>
      <c r="M37" s="27" t="n">
        <f aca="false">IF(K37&gt;0,3600/K37*L37,0)</f>
        <v>136.32</v>
      </c>
      <c r="N37" s="28" t="n">
        <f aca="false">M37*$B$7</f>
        <v>20448</v>
      </c>
      <c r="O37" s="29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customFormat="false" ht="14.25" hidden="false" customHeight="true" outlineLevel="0" collapsed="false">
      <c r="A38" s="22" t="n">
        <v>20</v>
      </c>
      <c r="B38" s="23" t="s">
        <v>134</v>
      </c>
      <c r="C38" s="22" t="s">
        <v>135</v>
      </c>
      <c r="D38" s="22" t="n">
        <v>1</v>
      </c>
      <c r="E38" s="22" t="n">
        <v>1</v>
      </c>
      <c r="F38" s="22" t="n">
        <v>1</v>
      </c>
      <c r="G38" s="22" t="n">
        <v>1</v>
      </c>
      <c r="H38" s="22" t="s">
        <v>136</v>
      </c>
      <c r="I38" s="22" t="n">
        <v>1</v>
      </c>
      <c r="J38" s="24" t="n">
        <v>1</v>
      </c>
      <c r="K38" s="25" t="n">
        <v>45</v>
      </c>
      <c r="L38" s="26" t="n">
        <f aca="false">F70</f>
        <v>1</v>
      </c>
      <c r="M38" s="27" t="n">
        <f aca="false">IF(K38&gt;0,3600/K38*L38,0)</f>
        <v>80</v>
      </c>
      <c r="N38" s="28" t="n">
        <f aca="false">M38*$B$7</f>
        <v>12000</v>
      </c>
      <c r="O38" s="29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customFormat="false" ht="14.25" hidden="false" customHeight="true" outlineLevel="0" collapsed="false">
      <c r="A39" s="22" t="n">
        <v>21</v>
      </c>
      <c r="B39" s="23" t="s">
        <v>137</v>
      </c>
      <c r="C39" s="22" t="s">
        <v>138</v>
      </c>
      <c r="D39" s="22" t="n">
        <v>1</v>
      </c>
      <c r="E39" s="22" t="n">
        <v>1</v>
      </c>
      <c r="F39" s="22" t="n">
        <v>1</v>
      </c>
      <c r="G39" s="22" t="n">
        <v>1</v>
      </c>
      <c r="H39" s="22" t="s">
        <v>136</v>
      </c>
      <c r="I39" s="22" t="n">
        <v>1</v>
      </c>
      <c r="J39" s="24" t="n">
        <v>1</v>
      </c>
      <c r="K39" s="25" t="n">
        <v>100</v>
      </c>
      <c r="L39" s="26" t="n">
        <f aca="false">F71</f>
        <v>0.982222222222222</v>
      </c>
      <c r="M39" s="27" t="n">
        <f aca="false">IF(K39&gt;0,3600/K39*L39,0)</f>
        <v>35.36</v>
      </c>
      <c r="N39" s="28" t="n">
        <f aca="false">M39*$B$7</f>
        <v>5304</v>
      </c>
      <c r="O39" s="29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customFormat="false" ht="14.25" hidden="false" customHeight="true" outlineLevel="0" collapsed="false">
      <c r="A40" s="22" t="n">
        <v>22</v>
      </c>
      <c r="B40" s="23" t="s">
        <v>139</v>
      </c>
      <c r="C40" s="22" t="s">
        <v>140</v>
      </c>
      <c r="D40" s="22" t="n">
        <v>1</v>
      </c>
      <c r="E40" s="22" t="n">
        <v>1</v>
      </c>
      <c r="F40" s="22" t="n">
        <v>1</v>
      </c>
      <c r="G40" s="22" t="n">
        <v>1</v>
      </c>
      <c r="H40" s="22" t="s">
        <v>136</v>
      </c>
      <c r="I40" s="22" t="n">
        <v>1</v>
      </c>
      <c r="J40" s="24" t="n">
        <v>1</v>
      </c>
      <c r="K40" s="25" t="n">
        <v>30</v>
      </c>
      <c r="L40" s="26" t="n">
        <f aca="false">F72</f>
        <v>1</v>
      </c>
      <c r="M40" s="27" t="n">
        <f aca="false">IF(K40&gt;0,3600/K40*L40,0)</f>
        <v>120</v>
      </c>
      <c r="N40" s="28" t="n">
        <f aca="false">M40*$B$7</f>
        <v>18000</v>
      </c>
      <c r="O40" s="29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customFormat="false" ht="14.25" hidden="false" customHeight="true" outlineLevel="0" collapsed="false">
      <c r="A41" s="22" t="n">
        <v>23</v>
      </c>
      <c r="B41" s="23" t="s">
        <v>141</v>
      </c>
      <c r="C41" s="22" t="s">
        <v>142</v>
      </c>
      <c r="D41" s="22" t="n">
        <v>1</v>
      </c>
      <c r="E41" s="22" t="n">
        <v>1</v>
      </c>
      <c r="F41" s="22" t="n">
        <v>1</v>
      </c>
      <c r="G41" s="22" t="n">
        <v>1</v>
      </c>
      <c r="H41" s="22" t="s">
        <v>136</v>
      </c>
      <c r="I41" s="22" t="n">
        <v>1</v>
      </c>
      <c r="J41" s="24" t="n">
        <v>1</v>
      </c>
      <c r="K41" s="25" t="n">
        <v>55</v>
      </c>
      <c r="L41" s="26" t="n">
        <f aca="false">F73</f>
        <v>1</v>
      </c>
      <c r="M41" s="27" t="n">
        <f aca="false">IF(K41&gt;0,3600/K41*L41,0)</f>
        <v>65.4545454545455</v>
      </c>
      <c r="N41" s="28" t="n">
        <f aca="false">M41*$B$7</f>
        <v>9818.18181818182</v>
      </c>
      <c r="O41" s="29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customFormat="false" ht="14.25" hidden="false" customHeight="true" outlineLevel="0" collapsed="false">
      <c r="A42" s="22" t="n">
        <v>24</v>
      </c>
      <c r="B42" s="23" t="s">
        <v>143</v>
      </c>
      <c r="C42" s="22" t="s">
        <v>144</v>
      </c>
      <c r="D42" s="22" t="n">
        <v>1</v>
      </c>
      <c r="E42" s="22" t="n">
        <v>1</v>
      </c>
      <c r="F42" s="22" t="n">
        <v>1</v>
      </c>
      <c r="G42" s="22" t="n">
        <v>1</v>
      </c>
      <c r="H42" s="22" t="s">
        <v>136</v>
      </c>
      <c r="I42" s="22" t="n">
        <v>1</v>
      </c>
      <c r="J42" s="24" t="n">
        <v>1</v>
      </c>
      <c r="K42" s="25" t="n">
        <v>60</v>
      </c>
      <c r="L42" s="26" t="n">
        <f aca="false">F74</f>
        <v>1</v>
      </c>
      <c r="M42" s="27" t="n">
        <f aca="false">IF(K42&gt;0,3600/K42*L42,0)</f>
        <v>60</v>
      </c>
      <c r="N42" s="28" t="n">
        <f aca="false">M42*$B$7</f>
        <v>9000</v>
      </c>
      <c r="O42" s="29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customFormat="false" ht="14.25" hidden="false" customHeight="true" outlineLevel="0" collapsed="false">
      <c r="A43" s="22" t="n">
        <v>25</v>
      </c>
      <c r="B43" s="23" t="s">
        <v>145</v>
      </c>
      <c r="C43" s="22" t="s">
        <v>146</v>
      </c>
      <c r="D43" s="22" t="n">
        <v>1</v>
      </c>
      <c r="E43" s="22" t="n">
        <v>1</v>
      </c>
      <c r="F43" s="22" t="n">
        <v>1</v>
      </c>
      <c r="G43" s="22" t="n">
        <v>1</v>
      </c>
      <c r="H43" s="22" t="s">
        <v>92</v>
      </c>
      <c r="I43" s="22" t="n">
        <v>1</v>
      </c>
      <c r="J43" s="24" t="n">
        <v>1</v>
      </c>
      <c r="K43" s="25" t="n">
        <v>45</v>
      </c>
      <c r="L43" s="26" t="n">
        <f aca="false">F75</f>
        <v>0.991111111111111</v>
      </c>
      <c r="M43" s="27" t="n">
        <f aca="false">IF(K43&gt;0,3600/K43*L43,0)</f>
        <v>79.2888888888889</v>
      </c>
      <c r="N43" s="28" t="n">
        <f aca="false">M43*$B$7</f>
        <v>11893.3333333333</v>
      </c>
      <c r="O43" s="29" t="s">
        <v>147</v>
      </c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customFormat="false" ht="14.25" hidden="false" customHeight="true" outlineLevel="0" collapsed="false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customFormat="false" ht="14.25" hidden="false" customHeight="true" outlineLevel="0" collapsed="false">
      <c r="A45" s="30" t="s">
        <v>148</v>
      </c>
      <c r="B45" s="30"/>
      <c r="C45" s="30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customFormat="false" ht="14.25" hidden="false" customHeight="true" outlineLevel="0" collapsed="false">
      <c r="A46" s="30" t="s">
        <v>149</v>
      </c>
      <c r="B46" s="30"/>
      <c r="C46" s="30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customFormat="false" ht="14.25" hidden="false" customHeight="true" outlineLevel="0" collapsed="false">
      <c r="A47" s="30" t="s">
        <v>150</v>
      </c>
      <c r="B47" s="30"/>
      <c r="C47" s="30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customFormat="false" ht="14.25" hidden="false" customHeight="true" outlineLevel="0" collapsed="false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customFormat="false" ht="14.25" hidden="false" customHeight="true" outlineLevel="0" collapsed="false">
      <c r="A49" s="7" t="s">
        <v>151</v>
      </c>
      <c r="B49" s="7"/>
      <c r="C49" s="7"/>
      <c r="D49" s="7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customFormat="false" ht="14.25" hidden="false" customHeight="true" outlineLevel="0" collapsed="false">
      <c r="A50" s="21" t="s">
        <v>79</v>
      </c>
      <c r="B50" s="21" t="s">
        <v>80</v>
      </c>
      <c r="C50" s="31" t="s">
        <v>152</v>
      </c>
      <c r="D50" s="31" t="s">
        <v>153</v>
      </c>
      <c r="E50" s="31" t="s">
        <v>154</v>
      </c>
      <c r="F50" s="31" t="s">
        <v>155</v>
      </c>
      <c r="G50" s="31" t="s">
        <v>89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customFormat="false" ht="14.25" hidden="false" customHeight="true" outlineLevel="0" collapsed="false">
      <c r="A51" s="22" t="n">
        <v>1</v>
      </c>
      <c r="B51" s="23" t="s">
        <v>90</v>
      </c>
      <c r="C51" s="22" t="n">
        <v>0</v>
      </c>
      <c r="D51" s="22" t="n">
        <v>0</v>
      </c>
      <c r="E51" s="22" t="n">
        <f aca="false">C51*D51/60</f>
        <v>0</v>
      </c>
      <c r="F51" s="32" t="n">
        <f aca="false">MAX(0,1-E51/150)</f>
        <v>1</v>
      </c>
      <c r="G51" s="29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customFormat="false" ht="14.25" hidden="false" customHeight="true" outlineLevel="0" collapsed="false">
      <c r="A52" s="22" t="n">
        <v>2</v>
      </c>
      <c r="B52" s="23" t="s">
        <v>94</v>
      </c>
      <c r="C52" s="29" t="n">
        <v>5</v>
      </c>
      <c r="D52" s="29" t="n">
        <v>12</v>
      </c>
      <c r="E52" s="22" t="n">
        <f aca="false">C52*D52/60</f>
        <v>1</v>
      </c>
      <c r="F52" s="32" t="n">
        <f aca="false">MAX(0,1-E52/150)</f>
        <v>0.993333333333333</v>
      </c>
      <c r="G52" s="29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customFormat="false" ht="14.25" hidden="false" customHeight="true" outlineLevel="0" collapsed="false">
      <c r="A53" s="22" t="n">
        <v>3</v>
      </c>
      <c r="B53" s="23" t="s">
        <v>97</v>
      </c>
      <c r="C53" s="29" t="n">
        <v>0</v>
      </c>
      <c r="D53" s="29" t="n">
        <v>0</v>
      </c>
      <c r="E53" s="22" t="n">
        <f aca="false">C53*D53/60</f>
        <v>0</v>
      </c>
      <c r="F53" s="32" t="n">
        <f aca="false">MAX(0,1-E53/150)</f>
        <v>1</v>
      </c>
      <c r="G53" s="29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customFormat="false" ht="14.25" hidden="false" customHeight="true" outlineLevel="0" collapsed="false">
      <c r="A54" s="22" t="n">
        <v>4</v>
      </c>
      <c r="B54" s="23" t="s">
        <v>100</v>
      </c>
      <c r="C54" s="29" t="n">
        <v>90</v>
      </c>
      <c r="D54" s="29" t="n">
        <v>32</v>
      </c>
      <c r="E54" s="22" t="n">
        <f aca="false">C54*D54/60</f>
        <v>48</v>
      </c>
      <c r="F54" s="32" t="n">
        <f aca="false">MAX(0,1-E54/150)</f>
        <v>0.68</v>
      </c>
      <c r="G54" s="29" t="s">
        <v>156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customFormat="false" ht="14.25" hidden="false" customHeight="true" outlineLevel="0" collapsed="false">
      <c r="A55" s="22" t="n">
        <v>5</v>
      </c>
      <c r="B55" s="23" t="s">
        <v>103</v>
      </c>
      <c r="C55" s="29" t="n">
        <v>0</v>
      </c>
      <c r="D55" s="29" t="n">
        <v>0</v>
      </c>
      <c r="E55" s="22" t="n">
        <f aca="false">C55*D55/60</f>
        <v>0</v>
      </c>
      <c r="F55" s="32" t="n">
        <f aca="false">MAX(0,1-E55/150)</f>
        <v>1</v>
      </c>
      <c r="G55" s="29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customFormat="false" ht="14.25" hidden="false" customHeight="true" outlineLevel="0" collapsed="false">
      <c r="A56" s="22" t="n">
        <v>6</v>
      </c>
      <c r="B56" s="23" t="s">
        <v>105</v>
      </c>
      <c r="C56" s="29"/>
      <c r="D56" s="29"/>
      <c r="E56" s="22" t="n">
        <f aca="false">C56*D56/60</f>
        <v>0</v>
      </c>
      <c r="F56" s="32" t="n">
        <f aca="false">MAX(0,1-E56/150)</f>
        <v>1</v>
      </c>
      <c r="G56" s="29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customFormat="false" ht="14.25" hidden="false" customHeight="true" outlineLevel="0" collapsed="false">
      <c r="A57" s="22" t="n">
        <v>7</v>
      </c>
      <c r="B57" s="23" t="s">
        <v>107</v>
      </c>
      <c r="C57" s="29" t="n">
        <v>15</v>
      </c>
      <c r="D57" s="29" t="n">
        <v>16</v>
      </c>
      <c r="E57" s="22" t="n">
        <f aca="false">C57*D57/60</f>
        <v>4</v>
      </c>
      <c r="F57" s="32" t="n">
        <f aca="false">MAX(0,1-E57/150)</f>
        <v>0.973333333333333</v>
      </c>
      <c r="G57" s="29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customFormat="false" ht="14.25" hidden="false" customHeight="true" outlineLevel="0" collapsed="false">
      <c r="A58" s="22" t="n">
        <v>8</v>
      </c>
      <c r="B58" s="23" t="s">
        <v>109</v>
      </c>
      <c r="C58" s="29" t="n">
        <v>10</v>
      </c>
      <c r="D58" s="29" t="n">
        <v>12</v>
      </c>
      <c r="E58" s="22" t="n">
        <f aca="false">C58*D58/60</f>
        <v>2</v>
      </c>
      <c r="F58" s="32" t="n">
        <f aca="false">MAX(0,1-E58/150)</f>
        <v>0.986666666666667</v>
      </c>
      <c r="G58" s="29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customFormat="false" ht="14.25" hidden="false" customHeight="true" outlineLevel="0" collapsed="false">
      <c r="A59" s="22" t="n">
        <v>9</v>
      </c>
      <c r="B59" s="23" t="s">
        <v>111</v>
      </c>
      <c r="C59" s="29" t="n">
        <v>10</v>
      </c>
      <c r="D59" s="29" t="n">
        <v>12</v>
      </c>
      <c r="E59" s="22" t="n">
        <f aca="false">C59*D59/60</f>
        <v>2</v>
      </c>
      <c r="F59" s="32" t="n">
        <f aca="false">MAX(0,1-E59/150)</f>
        <v>0.986666666666667</v>
      </c>
      <c r="G59" s="29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customFormat="false" ht="14.25" hidden="false" customHeight="true" outlineLevel="0" collapsed="false">
      <c r="A60" s="22" t="n">
        <v>10</v>
      </c>
      <c r="B60" s="23" t="s">
        <v>113</v>
      </c>
      <c r="C60" s="29" t="n">
        <v>10</v>
      </c>
      <c r="D60" s="29" t="n">
        <v>16</v>
      </c>
      <c r="E60" s="22" t="n">
        <f aca="false">C60*D60/60</f>
        <v>2.66666666666667</v>
      </c>
      <c r="F60" s="32" t="n">
        <f aca="false">MAX(0,1-E60/150)</f>
        <v>0.982222222222222</v>
      </c>
      <c r="G60" s="29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customFormat="false" ht="14.25" hidden="false" customHeight="true" outlineLevel="0" collapsed="false">
      <c r="A61" s="22" t="n">
        <v>11</v>
      </c>
      <c r="B61" s="23" t="s">
        <v>115</v>
      </c>
      <c r="C61" s="29" t="n">
        <v>10</v>
      </c>
      <c r="D61" s="29" t="n">
        <v>16</v>
      </c>
      <c r="E61" s="22" t="n">
        <f aca="false">C61*D61/60</f>
        <v>2.66666666666667</v>
      </c>
      <c r="F61" s="32" t="n">
        <f aca="false">MAX(0,1-E61/150)</f>
        <v>0.982222222222222</v>
      </c>
      <c r="G61" s="29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customFormat="false" ht="14.25" hidden="false" customHeight="true" outlineLevel="0" collapsed="false">
      <c r="A62" s="22" t="n">
        <v>12</v>
      </c>
      <c r="B62" s="23" t="s">
        <v>117</v>
      </c>
      <c r="C62" s="29" t="n">
        <v>10</v>
      </c>
      <c r="D62" s="29" t="n">
        <v>16</v>
      </c>
      <c r="E62" s="22" t="n">
        <f aca="false">C62*D62/60</f>
        <v>2.66666666666667</v>
      </c>
      <c r="F62" s="32" t="n">
        <f aca="false">MAX(0,1-E62/150)</f>
        <v>0.982222222222222</v>
      </c>
      <c r="G62" s="29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customFormat="false" ht="14.25" hidden="false" customHeight="true" outlineLevel="0" collapsed="false">
      <c r="A63" s="22" t="n">
        <v>13</v>
      </c>
      <c r="B63" s="23" t="s">
        <v>119</v>
      </c>
      <c r="C63" s="29" t="n">
        <v>0</v>
      </c>
      <c r="D63" s="29" t="n">
        <v>0</v>
      </c>
      <c r="E63" s="22" t="n">
        <f aca="false">C63*D63/60</f>
        <v>0</v>
      </c>
      <c r="F63" s="32" t="n">
        <f aca="false">MAX(0,1-E63/150)</f>
        <v>1</v>
      </c>
      <c r="G63" s="29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customFormat="false" ht="14.25" hidden="false" customHeight="true" outlineLevel="0" collapsed="false">
      <c r="A64" s="22" t="n">
        <v>14</v>
      </c>
      <c r="B64" s="23" t="s">
        <v>121</v>
      </c>
      <c r="C64" s="29" t="n">
        <v>10</v>
      </c>
      <c r="D64" s="29" t="n">
        <v>16</v>
      </c>
      <c r="E64" s="22" t="n">
        <f aca="false">C64*D64/60</f>
        <v>2.66666666666667</v>
      </c>
      <c r="F64" s="32" t="n">
        <f aca="false">MAX(0,1-E64/150)</f>
        <v>0.982222222222222</v>
      </c>
      <c r="G64" s="29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customFormat="false" ht="14.25" hidden="false" customHeight="true" outlineLevel="0" collapsed="false">
      <c r="A65" s="22" t="n">
        <v>15</v>
      </c>
      <c r="B65" s="23" t="s">
        <v>123</v>
      </c>
      <c r="C65" s="29" t="n">
        <v>0</v>
      </c>
      <c r="D65" s="29" t="n">
        <v>0</v>
      </c>
      <c r="E65" s="22" t="n">
        <f aca="false">C65*D65/60</f>
        <v>0</v>
      </c>
      <c r="F65" s="32" t="n">
        <f aca="false">MAX(0,1-E65/150)</f>
        <v>1</v>
      </c>
      <c r="G65" s="29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customFormat="false" ht="14.25" hidden="false" customHeight="true" outlineLevel="0" collapsed="false">
      <c r="A66" s="22" t="n">
        <v>16</v>
      </c>
      <c r="B66" s="23" t="s">
        <v>126</v>
      </c>
      <c r="C66" s="29" t="n">
        <v>10</v>
      </c>
      <c r="D66" s="29" t="n">
        <v>0</v>
      </c>
      <c r="E66" s="22" t="n">
        <f aca="false">C66*D66/60</f>
        <v>0</v>
      </c>
      <c r="F66" s="32" t="n">
        <f aca="false">MAX(0,1-E66/150)</f>
        <v>1</v>
      </c>
      <c r="G66" s="29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customFormat="false" ht="14.25" hidden="false" customHeight="true" outlineLevel="0" collapsed="false">
      <c r="A67" s="22" t="n">
        <v>17</v>
      </c>
      <c r="B67" s="23" t="s">
        <v>128</v>
      </c>
      <c r="C67" s="29" t="n">
        <v>0</v>
      </c>
      <c r="D67" s="29" t="n">
        <v>0</v>
      </c>
      <c r="E67" s="22" t="n">
        <f aca="false">C67*D67/60</f>
        <v>0</v>
      </c>
      <c r="F67" s="32" t="n">
        <f aca="false">MAX(0,1-E67/150)</f>
        <v>1</v>
      </c>
      <c r="G67" s="29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customFormat="false" ht="14.25" hidden="false" customHeight="true" outlineLevel="0" collapsed="false">
      <c r="A68" s="22" t="n">
        <v>18</v>
      </c>
      <c r="B68" s="23" t="s">
        <v>130</v>
      </c>
      <c r="C68" s="29" t="n">
        <v>0</v>
      </c>
      <c r="D68" s="29" t="n">
        <v>0</v>
      </c>
      <c r="E68" s="22" t="n">
        <f aca="false">C68*D68/60</f>
        <v>0</v>
      </c>
      <c r="F68" s="32" t="n">
        <f aca="false">MAX(0,1-E68/150)</f>
        <v>1</v>
      </c>
      <c r="G68" s="29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customFormat="false" ht="14.25" hidden="false" customHeight="true" outlineLevel="0" collapsed="false">
      <c r="A69" s="22" t="n">
        <v>19</v>
      </c>
      <c r="B69" s="23" t="s">
        <v>132</v>
      </c>
      <c r="C69" s="29" t="n">
        <v>30</v>
      </c>
      <c r="D69" s="29" t="n">
        <v>16</v>
      </c>
      <c r="E69" s="22" t="n">
        <f aca="false">C69*D69/60</f>
        <v>8</v>
      </c>
      <c r="F69" s="32" t="n">
        <f aca="false">MAX(0,1-E69/150)</f>
        <v>0.946666666666667</v>
      </c>
      <c r="G69" s="29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customFormat="false" ht="14.25" hidden="false" customHeight="true" outlineLevel="0" collapsed="false">
      <c r="A70" s="22" t="n">
        <v>20</v>
      </c>
      <c r="B70" s="23" t="s">
        <v>134</v>
      </c>
      <c r="C70" s="29" t="n">
        <v>0</v>
      </c>
      <c r="D70" s="29" t="n">
        <v>0</v>
      </c>
      <c r="E70" s="22" t="n">
        <f aca="false">C70*D70/60</f>
        <v>0</v>
      </c>
      <c r="F70" s="32" t="n">
        <f aca="false">MAX(0,1-E70/150)</f>
        <v>1</v>
      </c>
      <c r="G70" s="29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customFormat="false" ht="14.25" hidden="false" customHeight="true" outlineLevel="0" collapsed="false">
      <c r="A71" s="22" t="n">
        <v>21</v>
      </c>
      <c r="B71" s="23" t="s">
        <v>137</v>
      </c>
      <c r="C71" s="29" t="n">
        <v>10</v>
      </c>
      <c r="D71" s="29" t="n">
        <v>16</v>
      </c>
      <c r="E71" s="22" t="n">
        <f aca="false">C71*D71/60</f>
        <v>2.66666666666667</v>
      </c>
      <c r="F71" s="32" t="n">
        <f aca="false">MAX(0,1-E71/150)</f>
        <v>0.982222222222222</v>
      </c>
      <c r="G71" s="29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customFormat="false" ht="14.25" hidden="false" customHeight="true" outlineLevel="0" collapsed="false">
      <c r="A72" s="22" t="n">
        <v>22</v>
      </c>
      <c r="B72" s="23" t="s">
        <v>139</v>
      </c>
      <c r="C72" s="29" t="n">
        <v>0</v>
      </c>
      <c r="D72" s="29" t="n">
        <v>0</v>
      </c>
      <c r="E72" s="22" t="n">
        <f aca="false">C72*D72/60</f>
        <v>0</v>
      </c>
      <c r="F72" s="32" t="n">
        <f aca="false">MAX(0,1-E72/150)</f>
        <v>1</v>
      </c>
      <c r="G72" s="29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customFormat="false" ht="14.25" hidden="false" customHeight="true" outlineLevel="0" collapsed="false">
      <c r="A73" s="22" t="n">
        <v>23</v>
      </c>
      <c r="B73" s="23" t="s">
        <v>141</v>
      </c>
      <c r="C73" s="29" t="n">
        <v>0</v>
      </c>
      <c r="D73" s="29" t="n">
        <v>0</v>
      </c>
      <c r="E73" s="22" t="n">
        <f aca="false">C73*D73/60</f>
        <v>0</v>
      </c>
      <c r="F73" s="32" t="n">
        <f aca="false">MAX(0,1-E73/150)</f>
        <v>1</v>
      </c>
      <c r="G73" s="29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customFormat="false" ht="14.25" hidden="false" customHeight="true" outlineLevel="0" collapsed="false">
      <c r="A74" s="22" t="n">
        <v>24</v>
      </c>
      <c r="B74" s="23" t="s">
        <v>143</v>
      </c>
      <c r="C74" s="29" t="n">
        <v>0</v>
      </c>
      <c r="D74" s="29" t="n">
        <v>0</v>
      </c>
      <c r="E74" s="22" t="n">
        <f aca="false">C74*D74/60</f>
        <v>0</v>
      </c>
      <c r="F74" s="32" t="n">
        <f aca="false">MAX(0,1-E74/150)</f>
        <v>1</v>
      </c>
      <c r="G74" s="29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customFormat="false" ht="14.25" hidden="false" customHeight="true" outlineLevel="0" collapsed="false">
      <c r="A75" s="22" t="n">
        <v>25</v>
      </c>
      <c r="B75" s="23" t="s">
        <v>145</v>
      </c>
      <c r="C75" s="29" t="n">
        <v>5</v>
      </c>
      <c r="D75" s="29" t="n">
        <v>16</v>
      </c>
      <c r="E75" s="22" t="n">
        <f aca="false">C75*D75/60</f>
        <v>1.33333333333333</v>
      </c>
      <c r="F75" s="32" t="n">
        <f aca="false">MAX(0,1-E75/150)</f>
        <v>0.991111111111111</v>
      </c>
      <c r="G75" s="29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customFormat="false" ht="14.25" hidden="false" customHeight="true" outlineLevel="0" collapsed="false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customFormat="false" ht="14.25" hidden="false" customHeight="true" outlineLevel="0" collapsed="false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customFormat="false" ht="14.25" hidden="false" customHeight="true" outlineLevel="0" collapsed="false">
      <c r="A78" s="19" t="s">
        <v>157</v>
      </c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customFormat="false" ht="14.25" hidden="false" customHeight="true" outlineLevel="0" collapsed="false">
      <c r="A79" s="33" t="s">
        <v>158</v>
      </c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customFormat="false" ht="14.25" hidden="false" customHeight="true" outlineLevel="0" collapsed="false">
      <c r="A80" s="33" t="s">
        <v>159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customFormat="false" ht="14.25" hidden="false" customHeight="true" outlineLevel="0" collapsed="false">
      <c r="A81" s="33" t="s">
        <v>160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customFormat="false" ht="14.25" hidden="false" customHeight="true" outlineLevel="0" collapsed="false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customFormat="false" ht="14.25" hidden="false" customHeight="true" outlineLevel="0" collapsed="false">
      <c r="A83" s="34" t="s">
        <v>161</v>
      </c>
      <c r="B83" s="35" t="n">
        <f aca="false">MAX(B86:B89)</f>
        <v>0.09</v>
      </c>
      <c r="C83" s="36" t="s">
        <v>162</v>
      </c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customFormat="false" ht="14.25" hidden="false" customHeight="true" outlineLevel="0" collapsed="false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customFormat="false" ht="45" hidden="false" customHeight="true" outlineLevel="0" collapsed="false">
      <c r="A85" s="37" t="s">
        <v>58</v>
      </c>
      <c r="B85" s="37" t="s">
        <v>163</v>
      </c>
      <c r="C85" s="37" t="s">
        <v>164</v>
      </c>
      <c r="D85" s="37" t="s">
        <v>165</v>
      </c>
      <c r="E85" s="37" t="s">
        <v>166</v>
      </c>
      <c r="F85" s="37" t="s">
        <v>167</v>
      </c>
      <c r="G85" s="37" t="s">
        <v>168</v>
      </c>
      <c r="H85" s="37" t="s">
        <v>169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customFormat="false" ht="14.25" hidden="false" customHeight="true" outlineLevel="0" collapsed="false">
      <c r="A86" s="34" t="s">
        <v>72</v>
      </c>
      <c r="B86" s="38" t="n">
        <f aca="false">(B12+K12+L12)/3</f>
        <v>0.09</v>
      </c>
      <c r="C86" s="38" t="n">
        <f aca="false">MAX(0,M12-$B$83)</f>
        <v>0.03</v>
      </c>
      <c r="D86" s="38" t="n">
        <f aca="false">MAX(0,B12-$B$83)</f>
        <v>0.03</v>
      </c>
      <c r="E86" s="38" t="n">
        <f aca="false">C86+D86</f>
        <v>0.06</v>
      </c>
      <c r="F86" s="39" t="n">
        <f aca="false">COUNTIF(C94:L94,"&gt;0.000001")</f>
        <v>4</v>
      </c>
      <c r="G86" s="14" t="str">
        <f aca="false">IF(K94+L94&gt;=D86-0.000001,"OK","No alcanza: subir L")</f>
        <v>OK</v>
      </c>
      <c r="H86" s="38" t="n">
        <f aca="false">SUM(B94:L94)</f>
        <v>0.06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customFormat="false" ht="14.25" hidden="false" customHeight="true" outlineLevel="0" collapsed="false">
      <c r="A87" s="34" t="s">
        <v>74</v>
      </c>
      <c r="B87" s="38" t="n">
        <f aca="false">(B13+K13+L13)/3</f>
        <v>0.0816666666666667</v>
      </c>
      <c r="C87" s="38" t="n">
        <f aca="false">MAX(0,M13-$B$83)</f>
        <v>0.02</v>
      </c>
      <c r="D87" s="38" t="n">
        <f aca="false">MAX(0,B13-$B$83)</f>
        <v>0.01</v>
      </c>
      <c r="E87" s="38" t="n">
        <f aca="false">C87+D87</f>
        <v>0.03</v>
      </c>
      <c r="F87" s="39" t="n">
        <f aca="false">COUNTIF(C99:L99,"&gt;0.000001")</f>
        <v>2</v>
      </c>
      <c r="G87" s="14" t="str">
        <f aca="false">IF(K99+L99&gt;=D87-0.000001,"OK","No alcanza: subir L")</f>
        <v>OK</v>
      </c>
      <c r="H87" s="38" t="n">
        <f aca="false">SUM(B99:L99)</f>
        <v>0.03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customFormat="false" ht="14.25" hidden="false" customHeight="true" outlineLevel="0" collapsed="false">
      <c r="A88" s="34" t="s">
        <v>76</v>
      </c>
      <c r="B88" s="38" t="n">
        <f aca="false">(B14+K14+L14)/3</f>
        <v>0.0816666666666667</v>
      </c>
      <c r="C88" s="38" t="n">
        <f aca="false">MAX(0,M14-$B$83)</f>
        <v>0.02</v>
      </c>
      <c r="D88" s="38" t="n">
        <f aca="false">MAX(0,B14-$B$83)</f>
        <v>0.01</v>
      </c>
      <c r="E88" s="38" t="n">
        <f aca="false">C88+D88</f>
        <v>0.03</v>
      </c>
      <c r="F88" s="39" t="n">
        <f aca="false">COUNTIF(C104:L104,"&gt;0.000001")</f>
        <v>2</v>
      </c>
      <c r="G88" s="14" t="str">
        <f aca="false">IF(K104+L104&gt;=D88-0.000001,"OK","No alcanza: subir L")</f>
        <v>OK</v>
      </c>
      <c r="H88" s="38" t="n">
        <f aca="false">SUM(B104:L104)</f>
        <v>0.03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customFormat="false" ht="14.25" hidden="false" customHeight="true" outlineLevel="0" collapsed="false">
      <c r="A89" s="34" t="s">
        <v>77</v>
      </c>
      <c r="B89" s="38" t="n">
        <f aca="false">(B15+K15+L15)/3</f>
        <v>0.0816666666666667</v>
      </c>
      <c r="C89" s="38" t="n">
        <f aca="false">MAX(0,M15-$B$83)</f>
        <v>0.02</v>
      </c>
      <c r="D89" s="38" t="n">
        <f aca="false">MAX(0,B15-$B$83)</f>
        <v>0.01</v>
      </c>
      <c r="E89" s="38" t="n">
        <f aca="false">C89+D89</f>
        <v>0.03</v>
      </c>
      <c r="F89" s="39" t="n">
        <f aca="false">COUNTIF(C109:L109,"&gt;0.000001")</f>
        <v>2</v>
      </c>
      <c r="G89" s="14" t="str">
        <f aca="false">IF(K109+L109&gt;=D89-0.000001,"OK","No alcanza: subir L")</f>
        <v>OK</v>
      </c>
      <c r="H89" s="38" t="n">
        <f aca="false">SUM(B109:L109)</f>
        <v>0.03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customFormat="false" ht="14.25" hidden="false" customHeight="true" outlineLevel="0" collapsed="false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customFormat="false" ht="14.25" hidden="false" customHeight="true" outlineLevel="0" collapsed="false">
      <c r="A91" s="37" t="s">
        <v>170</v>
      </c>
      <c r="B91" s="37" t="s">
        <v>59</v>
      </c>
      <c r="C91" s="37" t="s">
        <v>60</v>
      </c>
      <c r="D91" s="37" t="s">
        <v>61</v>
      </c>
      <c r="E91" s="37" t="s">
        <v>62</v>
      </c>
      <c r="F91" s="37" t="s">
        <v>63</v>
      </c>
      <c r="G91" s="37" t="s">
        <v>64</v>
      </c>
      <c r="H91" s="37" t="s">
        <v>65</v>
      </c>
      <c r="I91" s="37" t="s">
        <v>66</v>
      </c>
      <c r="J91" s="37" t="s">
        <v>67</v>
      </c>
      <c r="K91" s="37" t="s">
        <v>68</v>
      </c>
      <c r="L91" s="37" t="s">
        <v>69</v>
      </c>
      <c r="M91" s="37" t="s">
        <v>70</v>
      </c>
      <c r="N91" s="37" t="s">
        <v>71</v>
      </c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customFormat="false" ht="14.25" hidden="false" customHeight="true" outlineLevel="0" collapsed="false">
      <c r="A92" s="14" t="s">
        <v>171</v>
      </c>
      <c r="B92" s="38" t="n">
        <f aca="false">B12</f>
        <v>0.12</v>
      </c>
      <c r="C92" s="38" t="n">
        <f aca="false">C12</f>
        <v>0.09</v>
      </c>
      <c r="D92" s="38" t="n">
        <f aca="false">D12</f>
        <v>0.08</v>
      </c>
      <c r="E92" s="38" t="n">
        <f aca="false">E12</f>
        <v>0.075</v>
      </c>
      <c r="F92" s="38" t="n">
        <f aca="false">F12</f>
        <v>0.07</v>
      </c>
      <c r="G92" s="38" t="n">
        <f aca="false">G12</f>
        <v>0.07</v>
      </c>
      <c r="H92" s="38" t="n">
        <f aca="false">H12</f>
        <v>0.075</v>
      </c>
      <c r="I92" s="38" t="n">
        <f aca="false">I12</f>
        <v>0.075</v>
      </c>
      <c r="J92" s="38" t="n">
        <f aca="false">J12</f>
        <v>0.075</v>
      </c>
      <c r="K92" s="38" t="n">
        <f aca="false">K12</f>
        <v>0.075</v>
      </c>
      <c r="L92" s="38" t="n">
        <f aca="false">L12</f>
        <v>0.075</v>
      </c>
      <c r="M92" s="38" t="n">
        <f aca="false">M12</f>
        <v>0.12</v>
      </c>
      <c r="N92" s="38" t="n">
        <f aca="false">SUM(B92:M92)</f>
        <v>1</v>
      </c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customFormat="false" ht="14.25" hidden="false" customHeight="true" outlineLevel="0" collapsed="false">
      <c r="A93" s="14" t="s">
        <v>172</v>
      </c>
      <c r="B93" s="38" t="n">
        <v>0</v>
      </c>
      <c r="C93" s="38" t="n">
        <f aca="false">MAX(0,$B$83-C92)</f>
        <v>0</v>
      </c>
      <c r="D93" s="38" t="n">
        <f aca="false">MAX(0,$B$83-D92)</f>
        <v>0.01</v>
      </c>
      <c r="E93" s="38" t="n">
        <f aca="false">MAX(0,$B$83-E92)</f>
        <v>0.015</v>
      </c>
      <c r="F93" s="38" t="n">
        <f aca="false">MAX(0,$B$83-F92)</f>
        <v>0.02</v>
      </c>
      <c r="G93" s="38" t="n">
        <f aca="false">MAX(0,$B$83-G92)</f>
        <v>0.02</v>
      </c>
      <c r="H93" s="38" t="n">
        <f aca="false">MAX(0,$B$83-H92)</f>
        <v>0.015</v>
      </c>
      <c r="I93" s="38" t="n">
        <f aca="false">MAX(0,$B$83-I92)</f>
        <v>0.015</v>
      </c>
      <c r="J93" s="38" t="n">
        <f aca="false">MAX(0,$B$83-J92)</f>
        <v>0.015</v>
      </c>
      <c r="K93" s="38" t="n">
        <f aca="false">MAX(0,$B$83-K92)</f>
        <v>0.015</v>
      </c>
      <c r="L93" s="38" t="n">
        <f aca="false">MAX(0,$B$83-L92)</f>
        <v>0.015</v>
      </c>
      <c r="M93" s="38" t="n">
        <v>0</v>
      </c>
      <c r="N93" s="38" t="n">
        <f aca="false">SUM(B93:M93)</f>
        <v>0.14</v>
      </c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customFormat="false" ht="14.25" hidden="false" customHeight="true" outlineLevel="0" collapsed="false">
      <c r="A94" s="14" t="s">
        <v>173</v>
      </c>
      <c r="B94" s="38" t="n">
        <v>0</v>
      </c>
      <c r="C94" s="38" t="n">
        <f aca="false">MIN(C93,MAX(0,$E$86-SUM(D93:L93)))</f>
        <v>0</v>
      </c>
      <c r="D94" s="38" t="n">
        <f aca="false">MIN(D93,MAX(0,$E$86-SUM(E93:L93)))</f>
        <v>0</v>
      </c>
      <c r="E94" s="38" t="n">
        <f aca="false">MIN(E93,MAX(0,$E$86-SUM(F93:L93)))</f>
        <v>0</v>
      </c>
      <c r="F94" s="38" t="n">
        <f aca="false">MIN(F93,MAX(0,$E$86-SUM(G93:L93)))</f>
        <v>0</v>
      </c>
      <c r="G94" s="38" t="n">
        <f aca="false">MIN(G93,MAX(0,$E$86-SUM(H93:L93)))</f>
        <v>0</v>
      </c>
      <c r="H94" s="38" t="n">
        <f aca="false">MIN(H93,MAX(0,$E$86-SUM(I93:L93)))</f>
        <v>0</v>
      </c>
      <c r="I94" s="38" t="n">
        <f aca="false">MIN(I93,MAX(0,$E$86-SUM(J93:L93)))</f>
        <v>0.0149999999999999</v>
      </c>
      <c r="J94" s="38" t="n">
        <f aca="false">MIN(J93,MAX(0,$E$86-SUM(K93:L93)))</f>
        <v>0.015</v>
      </c>
      <c r="K94" s="38" t="n">
        <f aca="false">MIN(K93,MAX(0,$E$86-SUM(L93)))</f>
        <v>0.015</v>
      </c>
      <c r="L94" s="38" t="n">
        <f aca="false">MIN(L93,MAX(0,$E$86-0))</f>
        <v>0.015</v>
      </c>
      <c r="M94" s="38" t="n">
        <v>0</v>
      </c>
      <c r="N94" s="38" t="n">
        <f aca="false">SUM(B94:M94)</f>
        <v>0.06</v>
      </c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customFormat="false" ht="14.25" hidden="false" customHeight="true" outlineLevel="0" collapsed="false">
      <c r="A95" s="34" t="s">
        <v>174</v>
      </c>
      <c r="B95" s="35" t="n">
        <f aca="false">MIN(B92,$B$83)</f>
        <v>0.09</v>
      </c>
      <c r="C95" s="35" t="n">
        <f aca="false">C92+C94</f>
        <v>0.09</v>
      </c>
      <c r="D95" s="35" t="n">
        <f aca="false">D92+D94</f>
        <v>0.08</v>
      </c>
      <c r="E95" s="35" t="n">
        <f aca="false">E92+E94</f>
        <v>0.075</v>
      </c>
      <c r="F95" s="35" t="n">
        <f aca="false">F92+F94</f>
        <v>0.07</v>
      </c>
      <c r="G95" s="35" t="n">
        <f aca="false">G92+G94</f>
        <v>0.07</v>
      </c>
      <c r="H95" s="35" t="n">
        <f aca="false">H92+H94</f>
        <v>0.075</v>
      </c>
      <c r="I95" s="35" t="n">
        <f aca="false">I92+I94</f>
        <v>0.0899999999999999</v>
      </c>
      <c r="J95" s="35" t="n">
        <f aca="false">J92+J94</f>
        <v>0.09</v>
      </c>
      <c r="K95" s="35" t="n">
        <f aca="false">K92+K94</f>
        <v>0.09</v>
      </c>
      <c r="L95" s="35" t="n">
        <f aca="false">L92+L94</f>
        <v>0.09</v>
      </c>
      <c r="M95" s="35" t="n">
        <f aca="false">MIN(M92,$B$83)</f>
        <v>0.09</v>
      </c>
      <c r="N95" s="40" t="n">
        <f aca="false">SUM(B95:M95)</f>
        <v>1</v>
      </c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customFormat="false" ht="14.25" hidden="false" customHeight="true" outlineLevel="0" collapsed="false">
      <c r="A96" s="37" t="s">
        <v>175</v>
      </c>
      <c r="B96" s="37" t="s">
        <v>59</v>
      </c>
      <c r="C96" s="37" t="s">
        <v>60</v>
      </c>
      <c r="D96" s="37" t="s">
        <v>61</v>
      </c>
      <c r="E96" s="37" t="s">
        <v>62</v>
      </c>
      <c r="F96" s="37" t="s">
        <v>63</v>
      </c>
      <c r="G96" s="37" t="s">
        <v>64</v>
      </c>
      <c r="H96" s="37" t="s">
        <v>65</v>
      </c>
      <c r="I96" s="37" t="s">
        <v>66</v>
      </c>
      <c r="J96" s="37" t="s">
        <v>67</v>
      </c>
      <c r="K96" s="37" t="s">
        <v>68</v>
      </c>
      <c r="L96" s="37" t="s">
        <v>69</v>
      </c>
      <c r="M96" s="37" t="s">
        <v>70</v>
      </c>
      <c r="N96" s="37" t="s">
        <v>71</v>
      </c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customFormat="false" ht="14.25" hidden="false" customHeight="true" outlineLevel="0" collapsed="false">
      <c r="A97" s="14" t="s">
        <v>171</v>
      </c>
      <c r="B97" s="38" t="n">
        <f aca="false">B13</f>
        <v>0.1</v>
      </c>
      <c r="C97" s="38" t="n">
        <f aca="false">C13</f>
        <v>0.08</v>
      </c>
      <c r="D97" s="38" t="n">
        <f aca="false">D13</f>
        <v>0.085</v>
      </c>
      <c r="E97" s="38" t="n">
        <f aca="false">E13</f>
        <v>0.085</v>
      </c>
      <c r="F97" s="38" t="n">
        <f aca="false">F13</f>
        <v>0.08</v>
      </c>
      <c r="G97" s="38" t="n">
        <f aca="false">G13</f>
        <v>0.075</v>
      </c>
      <c r="H97" s="38" t="n">
        <f aca="false">H13</f>
        <v>0.08</v>
      </c>
      <c r="I97" s="38" t="n">
        <f aca="false">I13</f>
        <v>0.08</v>
      </c>
      <c r="J97" s="38" t="n">
        <f aca="false">J13</f>
        <v>0.08</v>
      </c>
      <c r="K97" s="38" t="n">
        <f aca="false">K13</f>
        <v>0.075</v>
      </c>
      <c r="L97" s="38" t="n">
        <f aca="false">L13</f>
        <v>0.07</v>
      </c>
      <c r="M97" s="38" t="n">
        <f aca="false">M13</f>
        <v>0.11</v>
      </c>
      <c r="N97" s="38" t="n">
        <f aca="false">SUM(B97:M97)</f>
        <v>1</v>
      </c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customFormat="false" ht="14.25" hidden="false" customHeight="true" outlineLevel="0" collapsed="false">
      <c r="A98" s="14" t="s">
        <v>172</v>
      </c>
      <c r="B98" s="38" t="n">
        <v>0</v>
      </c>
      <c r="C98" s="38" t="n">
        <f aca="false">MAX(0,$B$83-C97)</f>
        <v>0.01</v>
      </c>
      <c r="D98" s="38" t="n">
        <f aca="false">MAX(0,$B$83-D97)</f>
        <v>0.005</v>
      </c>
      <c r="E98" s="38" t="n">
        <f aca="false">MAX(0,$B$83-E97)</f>
        <v>0.005</v>
      </c>
      <c r="F98" s="38" t="n">
        <f aca="false">MAX(0,$B$83-F97)</f>
        <v>0.01</v>
      </c>
      <c r="G98" s="38" t="n">
        <f aca="false">MAX(0,$B$83-G97)</f>
        <v>0.015</v>
      </c>
      <c r="H98" s="38" t="n">
        <f aca="false">MAX(0,$B$83-H97)</f>
        <v>0.01</v>
      </c>
      <c r="I98" s="38" t="n">
        <f aca="false">MAX(0,$B$83-I97)</f>
        <v>0.01</v>
      </c>
      <c r="J98" s="38" t="n">
        <f aca="false">MAX(0,$B$83-J97)</f>
        <v>0.01</v>
      </c>
      <c r="K98" s="38" t="n">
        <f aca="false">MAX(0,$B$83-K97)</f>
        <v>0.015</v>
      </c>
      <c r="L98" s="38" t="n">
        <f aca="false">MAX(0,$B$83-L97)</f>
        <v>0.02</v>
      </c>
      <c r="M98" s="38" t="n">
        <v>0</v>
      </c>
      <c r="N98" s="38" t="n">
        <f aca="false">SUM(B98:M98)</f>
        <v>0.11</v>
      </c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customFormat="false" ht="14.25" hidden="false" customHeight="true" outlineLevel="0" collapsed="false">
      <c r="A99" s="14" t="s">
        <v>173</v>
      </c>
      <c r="B99" s="38" t="n">
        <v>0</v>
      </c>
      <c r="C99" s="38" t="n">
        <f aca="false">MIN(C98,MAX(0,$E$87-SUM(D98:L98)))</f>
        <v>0</v>
      </c>
      <c r="D99" s="38" t="n">
        <f aca="false">MIN(D98,MAX(0,$E$87-SUM(E98:L98)))</f>
        <v>0</v>
      </c>
      <c r="E99" s="38" t="n">
        <f aca="false">MIN(E98,MAX(0,$E$87-SUM(F98:L98)))</f>
        <v>0</v>
      </c>
      <c r="F99" s="38" t="n">
        <f aca="false">MIN(F98,MAX(0,$E$87-SUM(G98:L98)))</f>
        <v>0</v>
      </c>
      <c r="G99" s="38" t="n">
        <f aca="false">MIN(G98,MAX(0,$E$87-SUM(H98:L98)))</f>
        <v>0</v>
      </c>
      <c r="H99" s="38" t="n">
        <f aca="false">MIN(H98,MAX(0,$E$87-SUM(I98:L98)))</f>
        <v>0</v>
      </c>
      <c r="I99" s="38" t="n">
        <f aca="false">MIN(I98,MAX(0,$E$87-SUM(J98:L98)))</f>
        <v>0</v>
      </c>
      <c r="J99" s="38" t="n">
        <f aca="false">MIN(J98,MAX(0,$E$87-SUM(K98:L98)))</f>
        <v>0</v>
      </c>
      <c r="K99" s="38" t="n">
        <f aca="false">MIN(K98,MAX(0,$E$87-SUM(L98)))</f>
        <v>0.00999999999999998</v>
      </c>
      <c r="L99" s="38" t="n">
        <f aca="false">MIN(L98,MAX(0,$E$87-0))</f>
        <v>0.02</v>
      </c>
      <c r="M99" s="38" t="n">
        <v>0</v>
      </c>
      <c r="N99" s="38" t="n">
        <f aca="false">SUM(B99:M99)</f>
        <v>0.03</v>
      </c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customFormat="false" ht="14.25" hidden="false" customHeight="true" outlineLevel="0" collapsed="false">
      <c r="A100" s="34" t="s">
        <v>174</v>
      </c>
      <c r="B100" s="35" t="n">
        <f aca="false">MIN(B97,$B$83)</f>
        <v>0.09</v>
      </c>
      <c r="C100" s="35" t="n">
        <f aca="false">C97+C99</f>
        <v>0.08</v>
      </c>
      <c r="D100" s="35" t="n">
        <f aca="false">D97+D99</f>
        <v>0.085</v>
      </c>
      <c r="E100" s="35" t="n">
        <f aca="false">E97+E99</f>
        <v>0.085</v>
      </c>
      <c r="F100" s="35" t="n">
        <f aca="false">F97+F99</f>
        <v>0.08</v>
      </c>
      <c r="G100" s="35" t="n">
        <f aca="false">G97+G99</f>
        <v>0.075</v>
      </c>
      <c r="H100" s="35" t="n">
        <f aca="false">H97+H99</f>
        <v>0.08</v>
      </c>
      <c r="I100" s="35" t="n">
        <f aca="false">I97+I99</f>
        <v>0.08</v>
      </c>
      <c r="J100" s="35" t="n">
        <f aca="false">J97+J99</f>
        <v>0.08</v>
      </c>
      <c r="K100" s="35" t="n">
        <f aca="false">K97+K99</f>
        <v>0.085</v>
      </c>
      <c r="L100" s="35" t="n">
        <f aca="false">L97+L99</f>
        <v>0.09</v>
      </c>
      <c r="M100" s="35" t="n">
        <f aca="false">MIN(M97,$B$83)</f>
        <v>0.09</v>
      </c>
      <c r="N100" s="40" t="n">
        <f aca="false">SUM(B100:M100)</f>
        <v>1</v>
      </c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customFormat="false" ht="14.25" hidden="false" customHeight="true" outlineLevel="0" collapsed="false">
      <c r="A101" s="37" t="s">
        <v>176</v>
      </c>
      <c r="B101" s="37" t="s">
        <v>59</v>
      </c>
      <c r="C101" s="37" t="s">
        <v>60</v>
      </c>
      <c r="D101" s="37" t="s">
        <v>61</v>
      </c>
      <c r="E101" s="37" t="s">
        <v>62</v>
      </c>
      <c r="F101" s="37" t="s">
        <v>63</v>
      </c>
      <c r="G101" s="37" t="s">
        <v>64</v>
      </c>
      <c r="H101" s="37" t="s">
        <v>65</v>
      </c>
      <c r="I101" s="37" t="s">
        <v>66</v>
      </c>
      <c r="J101" s="37" t="s">
        <v>67</v>
      </c>
      <c r="K101" s="37" t="s">
        <v>68</v>
      </c>
      <c r="L101" s="37" t="s">
        <v>69</v>
      </c>
      <c r="M101" s="37" t="s">
        <v>70</v>
      </c>
      <c r="N101" s="37" t="s">
        <v>71</v>
      </c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customFormat="false" ht="14.25" hidden="false" customHeight="true" outlineLevel="0" collapsed="false">
      <c r="A102" s="14" t="s">
        <v>171</v>
      </c>
      <c r="B102" s="38" t="n">
        <f aca="false">B14</f>
        <v>0.1</v>
      </c>
      <c r="C102" s="38" t="n">
        <f aca="false">C14</f>
        <v>0.08</v>
      </c>
      <c r="D102" s="38" t="n">
        <f aca="false">D14</f>
        <v>0.085</v>
      </c>
      <c r="E102" s="38" t="n">
        <f aca="false">E14</f>
        <v>0.085</v>
      </c>
      <c r="F102" s="38" t="n">
        <f aca="false">F14</f>
        <v>0.08</v>
      </c>
      <c r="G102" s="38" t="n">
        <f aca="false">G14</f>
        <v>0.075</v>
      </c>
      <c r="H102" s="38" t="n">
        <f aca="false">H14</f>
        <v>0.08</v>
      </c>
      <c r="I102" s="38" t="n">
        <f aca="false">I14</f>
        <v>0.08</v>
      </c>
      <c r="J102" s="38" t="n">
        <f aca="false">J14</f>
        <v>0.08</v>
      </c>
      <c r="K102" s="38" t="n">
        <f aca="false">K14</f>
        <v>0.075</v>
      </c>
      <c r="L102" s="38" t="n">
        <f aca="false">L14</f>
        <v>0.07</v>
      </c>
      <c r="M102" s="38" t="n">
        <f aca="false">M14</f>
        <v>0.11</v>
      </c>
      <c r="N102" s="38" t="n">
        <f aca="false">SUM(B102:M102)</f>
        <v>1</v>
      </c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customFormat="false" ht="14.25" hidden="false" customHeight="true" outlineLevel="0" collapsed="false">
      <c r="A103" s="14" t="s">
        <v>172</v>
      </c>
      <c r="B103" s="38" t="n">
        <v>0</v>
      </c>
      <c r="C103" s="38" t="n">
        <f aca="false">MAX(0,$B$83-C102)</f>
        <v>0.01</v>
      </c>
      <c r="D103" s="38" t="n">
        <f aca="false">MAX(0,$B$83-D102)</f>
        <v>0.005</v>
      </c>
      <c r="E103" s="38" t="n">
        <f aca="false">MAX(0,$B$83-E102)</f>
        <v>0.005</v>
      </c>
      <c r="F103" s="38" t="n">
        <f aca="false">MAX(0,$B$83-F102)</f>
        <v>0.01</v>
      </c>
      <c r="G103" s="38" t="n">
        <f aca="false">MAX(0,$B$83-G102)</f>
        <v>0.015</v>
      </c>
      <c r="H103" s="38" t="n">
        <f aca="false">MAX(0,$B$83-H102)</f>
        <v>0.01</v>
      </c>
      <c r="I103" s="38" t="n">
        <f aca="false">MAX(0,$B$83-I102)</f>
        <v>0.01</v>
      </c>
      <c r="J103" s="38" t="n">
        <f aca="false">MAX(0,$B$83-J102)</f>
        <v>0.01</v>
      </c>
      <c r="K103" s="38" t="n">
        <f aca="false">MAX(0,$B$83-K102)</f>
        <v>0.015</v>
      </c>
      <c r="L103" s="38" t="n">
        <f aca="false">MAX(0,$B$83-L102)</f>
        <v>0.02</v>
      </c>
      <c r="M103" s="38" t="n">
        <v>0</v>
      </c>
      <c r="N103" s="38" t="n">
        <f aca="false">SUM(B103:M103)</f>
        <v>0.11</v>
      </c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customFormat="false" ht="14.25" hidden="false" customHeight="true" outlineLevel="0" collapsed="false">
      <c r="A104" s="14" t="s">
        <v>173</v>
      </c>
      <c r="B104" s="38" t="n">
        <v>0</v>
      </c>
      <c r="C104" s="38" t="n">
        <f aca="false">MIN(C103,MAX(0,$E$88-SUM(D103:L103)))</f>
        <v>0</v>
      </c>
      <c r="D104" s="38" t="n">
        <f aca="false">MIN(D103,MAX(0,$E$88-SUM(E103:L103)))</f>
        <v>0</v>
      </c>
      <c r="E104" s="38" t="n">
        <f aca="false">MIN(E103,MAX(0,$E$88-SUM(F103:L103)))</f>
        <v>0</v>
      </c>
      <c r="F104" s="38" t="n">
        <f aca="false">MIN(F103,MAX(0,$E$88-SUM(G103:L103)))</f>
        <v>0</v>
      </c>
      <c r="G104" s="38" t="n">
        <f aca="false">MIN(G103,MAX(0,$E$88-SUM(H103:L103)))</f>
        <v>0</v>
      </c>
      <c r="H104" s="38" t="n">
        <f aca="false">MIN(H103,MAX(0,$E$88-SUM(I103:L103)))</f>
        <v>0</v>
      </c>
      <c r="I104" s="38" t="n">
        <f aca="false">MIN(I103,MAX(0,$E$88-SUM(J103:L103)))</f>
        <v>0</v>
      </c>
      <c r="J104" s="38" t="n">
        <f aca="false">MIN(J103,MAX(0,$E$88-SUM(K103:L103)))</f>
        <v>0</v>
      </c>
      <c r="K104" s="38" t="n">
        <f aca="false">MIN(K103,MAX(0,$E$88-SUM(L103)))</f>
        <v>0.00999999999999998</v>
      </c>
      <c r="L104" s="38" t="n">
        <f aca="false">MIN(L103,MAX(0,$E$88-0))</f>
        <v>0.02</v>
      </c>
      <c r="M104" s="38" t="n">
        <v>0</v>
      </c>
      <c r="N104" s="38" t="n">
        <f aca="false">SUM(B104:M104)</f>
        <v>0.03</v>
      </c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customFormat="false" ht="14.25" hidden="false" customHeight="true" outlineLevel="0" collapsed="false">
      <c r="A105" s="34" t="s">
        <v>174</v>
      </c>
      <c r="B105" s="35" t="n">
        <f aca="false">MIN(B102,$B$83)</f>
        <v>0.09</v>
      </c>
      <c r="C105" s="35" t="n">
        <f aca="false">C102+C104</f>
        <v>0.08</v>
      </c>
      <c r="D105" s="35" t="n">
        <f aca="false">D102+D104</f>
        <v>0.085</v>
      </c>
      <c r="E105" s="35" t="n">
        <f aca="false">E102+E104</f>
        <v>0.085</v>
      </c>
      <c r="F105" s="35" t="n">
        <f aca="false">F102+F104</f>
        <v>0.08</v>
      </c>
      <c r="G105" s="35" t="n">
        <f aca="false">G102+G104</f>
        <v>0.075</v>
      </c>
      <c r="H105" s="35" t="n">
        <f aca="false">H102+H104</f>
        <v>0.08</v>
      </c>
      <c r="I105" s="35" t="n">
        <f aca="false">I102+I104</f>
        <v>0.08</v>
      </c>
      <c r="J105" s="35" t="n">
        <f aca="false">J102+J104</f>
        <v>0.08</v>
      </c>
      <c r="K105" s="35" t="n">
        <f aca="false">K102+K104</f>
        <v>0.085</v>
      </c>
      <c r="L105" s="35" t="n">
        <f aca="false">L102+L104</f>
        <v>0.09</v>
      </c>
      <c r="M105" s="35" t="n">
        <f aca="false">MIN(M102,$B$83)</f>
        <v>0.09</v>
      </c>
      <c r="N105" s="40" t="n">
        <f aca="false">SUM(B105:M105)</f>
        <v>1</v>
      </c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customFormat="false" ht="14.25" hidden="false" customHeight="true" outlineLevel="0" collapsed="false">
      <c r="A106" s="37" t="s">
        <v>177</v>
      </c>
      <c r="B106" s="37" t="s">
        <v>59</v>
      </c>
      <c r="C106" s="37" t="s">
        <v>60</v>
      </c>
      <c r="D106" s="37" t="s">
        <v>61</v>
      </c>
      <c r="E106" s="37" t="s">
        <v>62</v>
      </c>
      <c r="F106" s="37" t="s">
        <v>63</v>
      </c>
      <c r="G106" s="37" t="s">
        <v>64</v>
      </c>
      <c r="H106" s="37" t="s">
        <v>65</v>
      </c>
      <c r="I106" s="37" t="s">
        <v>66</v>
      </c>
      <c r="J106" s="37" t="s">
        <v>67</v>
      </c>
      <c r="K106" s="37" t="s">
        <v>68</v>
      </c>
      <c r="L106" s="37" t="s">
        <v>69</v>
      </c>
      <c r="M106" s="37" t="s">
        <v>70</v>
      </c>
      <c r="N106" s="37" t="s">
        <v>71</v>
      </c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customFormat="false" ht="14.25" hidden="false" customHeight="true" outlineLevel="0" collapsed="false">
      <c r="A107" s="14" t="s">
        <v>171</v>
      </c>
      <c r="B107" s="38" t="n">
        <f aca="false">B15</f>
        <v>0.1</v>
      </c>
      <c r="C107" s="38" t="n">
        <f aca="false">C15</f>
        <v>0.08</v>
      </c>
      <c r="D107" s="38" t="n">
        <f aca="false">D15</f>
        <v>0.085</v>
      </c>
      <c r="E107" s="38" t="n">
        <f aca="false">E15</f>
        <v>0.085</v>
      </c>
      <c r="F107" s="38" t="n">
        <f aca="false">F15</f>
        <v>0.08</v>
      </c>
      <c r="G107" s="38" t="n">
        <f aca="false">G15</f>
        <v>0.075</v>
      </c>
      <c r="H107" s="38" t="n">
        <f aca="false">H15</f>
        <v>0.08</v>
      </c>
      <c r="I107" s="38" t="n">
        <f aca="false">I15</f>
        <v>0.08</v>
      </c>
      <c r="J107" s="38" t="n">
        <f aca="false">J15</f>
        <v>0.08</v>
      </c>
      <c r="K107" s="38" t="n">
        <f aca="false">K15</f>
        <v>0.075</v>
      </c>
      <c r="L107" s="38" t="n">
        <f aca="false">L15</f>
        <v>0.07</v>
      </c>
      <c r="M107" s="38" t="n">
        <f aca="false">M15</f>
        <v>0.11</v>
      </c>
      <c r="N107" s="38" t="n">
        <f aca="false">SUM(B107:M107)</f>
        <v>1</v>
      </c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customFormat="false" ht="14.25" hidden="false" customHeight="true" outlineLevel="0" collapsed="false">
      <c r="A108" s="14" t="s">
        <v>172</v>
      </c>
      <c r="B108" s="38" t="n">
        <v>0</v>
      </c>
      <c r="C108" s="38" t="n">
        <f aca="false">MAX(0,$B$83-C107)</f>
        <v>0.01</v>
      </c>
      <c r="D108" s="38" t="n">
        <f aca="false">MAX(0,$B$83-D107)</f>
        <v>0.005</v>
      </c>
      <c r="E108" s="38" t="n">
        <f aca="false">MAX(0,$B$83-E107)</f>
        <v>0.005</v>
      </c>
      <c r="F108" s="38" t="n">
        <f aca="false">MAX(0,$B$83-F107)</f>
        <v>0.01</v>
      </c>
      <c r="G108" s="38" t="n">
        <f aca="false">MAX(0,$B$83-G107)</f>
        <v>0.015</v>
      </c>
      <c r="H108" s="38" t="n">
        <f aca="false">MAX(0,$B$83-H107)</f>
        <v>0.01</v>
      </c>
      <c r="I108" s="38" t="n">
        <f aca="false">MAX(0,$B$83-I107)</f>
        <v>0.01</v>
      </c>
      <c r="J108" s="38" t="n">
        <f aca="false">MAX(0,$B$83-J107)</f>
        <v>0.01</v>
      </c>
      <c r="K108" s="38" t="n">
        <f aca="false">MAX(0,$B$83-K107)</f>
        <v>0.015</v>
      </c>
      <c r="L108" s="38" t="n">
        <f aca="false">MAX(0,$B$83-L107)</f>
        <v>0.02</v>
      </c>
      <c r="M108" s="38" t="n">
        <v>0</v>
      </c>
      <c r="N108" s="38" t="n">
        <f aca="false">SUM(B108:M108)</f>
        <v>0.11</v>
      </c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customFormat="false" ht="14.25" hidden="false" customHeight="true" outlineLevel="0" collapsed="false">
      <c r="A109" s="14" t="s">
        <v>173</v>
      </c>
      <c r="B109" s="38" t="n">
        <v>0</v>
      </c>
      <c r="C109" s="38" t="n">
        <f aca="false">MIN(C108,MAX(0,$E$89-SUM(D108:L108)))</f>
        <v>0</v>
      </c>
      <c r="D109" s="38" t="n">
        <f aca="false">MIN(D108,MAX(0,$E$89-SUM(E108:L108)))</f>
        <v>0</v>
      </c>
      <c r="E109" s="38" t="n">
        <f aca="false">MIN(E108,MAX(0,$E$89-SUM(F108:L108)))</f>
        <v>0</v>
      </c>
      <c r="F109" s="38" t="n">
        <f aca="false">MIN(F108,MAX(0,$E$89-SUM(G108:L108)))</f>
        <v>0</v>
      </c>
      <c r="G109" s="38" t="n">
        <f aca="false">MIN(G108,MAX(0,$E$89-SUM(H108:L108)))</f>
        <v>0</v>
      </c>
      <c r="H109" s="38" t="n">
        <f aca="false">MIN(H108,MAX(0,$E$89-SUM(I108:L108)))</f>
        <v>0</v>
      </c>
      <c r="I109" s="38" t="n">
        <f aca="false">MIN(I108,MAX(0,$E$89-SUM(J108:L108)))</f>
        <v>0</v>
      </c>
      <c r="J109" s="38" t="n">
        <f aca="false">MIN(J108,MAX(0,$E$89-SUM(K108:L108)))</f>
        <v>0</v>
      </c>
      <c r="K109" s="38" t="n">
        <f aca="false">MIN(K108,MAX(0,$E$89-SUM(L108)))</f>
        <v>0.00999999999999998</v>
      </c>
      <c r="L109" s="38" t="n">
        <f aca="false">MIN(L108,MAX(0,$E$89-0))</f>
        <v>0.02</v>
      </c>
      <c r="M109" s="38" t="n">
        <v>0</v>
      </c>
      <c r="N109" s="38" t="n">
        <f aca="false">SUM(B109:M109)</f>
        <v>0.03</v>
      </c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customFormat="false" ht="14.25" hidden="false" customHeight="true" outlineLevel="0" collapsed="false">
      <c r="A110" s="34" t="s">
        <v>174</v>
      </c>
      <c r="B110" s="35" t="n">
        <f aca="false">MIN(B107,$B$83)</f>
        <v>0.09</v>
      </c>
      <c r="C110" s="35" t="n">
        <f aca="false">C107+C109</f>
        <v>0.08</v>
      </c>
      <c r="D110" s="35" t="n">
        <f aca="false">D107+D109</f>
        <v>0.085</v>
      </c>
      <c r="E110" s="35" t="n">
        <f aca="false">E107+E109</f>
        <v>0.085</v>
      </c>
      <c r="F110" s="35" t="n">
        <f aca="false">F107+F109</f>
        <v>0.08</v>
      </c>
      <c r="G110" s="35" t="n">
        <f aca="false">G107+G109</f>
        <v>0.075</v>
      </c>
      <c r="H110" s="35" t="n">
        <f aca="false">H107+H109</f>
        <v>0.08</v>
      </c>
      <c r="I110" s="35" t="n">
        <f aca="false">I107+I109</f>
        <v>0.08</v>
      </c>
      <c r="J110" s="35" t="n">
        <f aca="false">J107+J109</f>
        <v>0.08</v>
      </c>
      <c r="K110" s="35" t="n">
        <f aca="false">K107+K109</f>
        <v>0.085</v>
      </c>
      <c r="L110" s="35" t="n">
        <f aca="false">L107+L109</f>
        <v>0.09</v>
      </c>
      <c r="M110" s="35" t="n">
        <f aca="false">MIN(M107,$B$83)</f>
        <v>0.09</v>
      </c>
      <c r="N110" s="40" t="n">
        <f aca="false">SUM(B110:M110)</f>
        <v>1</v>
      </c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customFormat="false" ht="14.25" hidden="false" customHeight="true" outlineLevel="0" collapsed="false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customFormat="false" ht="14.25" hidden="false" customHeight="true" outlineLevel="0" collapsed="false">
      <c r="A112" s="33" t="s">
        <v>178</v>
      </c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customFormat="false" ht="14.25" hidden="false" customHeight="true" outlineLevel="0" collapsed="false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customFormat="false" ht="14.25" hidden="false" customHeight="true" outlineLevel="0" collapsed="false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customFormat="false" ht="14.25" hidden="false" customHeight="true" outlineLevel="0" collapsed="false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customFormat="false" ht="14.25" hidden="false" customHeight="true" outlineLevel="0" collapsed="false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customFormat="false" ht="14.25" hidden="false" customHeight="tru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customFormat="false" ht="14.25" hidden="false" customHeight="true" outlineLevel="0" collapsed="false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customFormat="false" ht="14.25" hidden="false" customHeight="true" outlineLevel="0" collapsed="false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customFormat="false" ht="14.25" hidden="false" customHeight="true" outlineLevel="0" collapsed="false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customFormat="false" ht="14.25" hidden="false" customHeight="true" outlineLevel="0" collapsed="false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customFormat="false" ht="14.25" hidden="false" customHeight="true" outlineLevel="0" collapsed="false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customFormat="false" ht="14.25" hidden="false" customHeight="true" outlineLevel="0" collapsed="false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customFormat="false" ht="14.25" hidden="false" customHeight="true" outlineLevel="0" collapsed="false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customFormat="false" ht="14.25" hidden="false" customHeight="true" outlineLevel="0" collapsed="false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customFormat="false" ht="14.25" hidden="false" customHeight="true" outlineLevel="0" collapsed="false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customFormat="false" ht="14.25" hidden="false" customHeight="true" outlineLevel="0" collapsed="false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customFormat="false" ht="14.25" hidden="false" customHeight="true" outlineLevel="0" collapsed="false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customFormat="false" ht="14.25" hidden="false" customHeight="true" outlineLevel="0" collapsed="false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customFormat="false" ht="14.25" hidden="false" customHeight="true" outlineLevel="0" collapsed="false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customFormat="false" ht="14.25" hidden="false" customHeight="true" outlineLevel="0" collapsed="false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customFormat="false" ht="14.25" hidden="false" customHeight="true" outlineLevel="0" collapsed="false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customFormat="false" ht="14.25" hidden="false" customHeight="true" outlineLevel="0" collapsed="false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customFormat="false" ht="14.25" hidden="false" customHeight="true" outlineLevel="0" collapsed="false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customFormat="false" ht="14.25" hidden="false" customHeight="true" outlineLevel="0" collapsed="false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customFormat="false" ht="14.25" hidden="false" customHeight="true" outlineLevel="0" collapsed="false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customFormat="false" ht="14.25" hidden="false" customHeight="true" outlineLevel="0" collapsed="false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customFormat="false" ht="14.25" hidden="false" customHeight="true" outlineLevel="0" collapsed="false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customFormat="false" ht="14.25" hidden="false" customHeight="true" outlineLevel="0" collapsed="false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customFormat="false" ht="14.25" hidden="false" customHeight="true" outlineLevel="0" collapsed="false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customFormat="false" ht="14.25" hidden="false" customHeight="true" outlineLevel="0" collapsed="false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customFormat="false" ht="14.25" hidden="false" customHeight="true" outlineLevel="0" collapsed="false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customFormat="false" ht="14.25" hidden="false" customHeight="true" outlineLevel="0" collapsed="false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customFormat="false" ht="14.25" hidden="false" customHeight="true" outlineLevel="0" collapsed="false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customFormat="false" ht="14.25" hidden="false" customHeight="true" outlineLevel="0" collapsed="false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customFormat="false" ht="14.25" hidden="false" customHeight="true" outlineLevel="0" collapsed="false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customFormat="false" ht="14.25" hidden="false" customHeight="true" outlineLevel="0" collapsed="false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customFormat="false" ht="14.25" hidden="false" customHeight="true" outlineLevel="0" collapsed="false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customFormat="false" ht="14.25" hidden="false" customHeight="true" outlineLevel="0" collapsed="false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customFormat="false" ht="14.25" hidden="false" customHeight="true" outlineLevel="0" collapsed="false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customFormat="false" ht="14.25" hidden="false" customHeight="true" outlineLevel="0" collapsed="false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customFormat="false" ht="14.25" hidden="false" customHeight="true" outlineLevel="0" collapsed="false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customFormat="false" ht="14.25" hidden="false" customHeight="true" outlineLevel="0" collapsed="false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customFormat="false" ht="14.25" hidden="false" customHeight="true" outlineLevel="0" collapsed="false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customFormat="false" ht="14.25" hidden="false" customHeight="true" outlineLevel="0" collapsed="false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customFormat="false" ht="14.25" hidden="false" customHeight="true" outlineLevel="0" collapsed="false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customFormat="false" ht="14.25" hidden="false" customHeight="true" outlineLevel="0" collapsed="false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customFormat="false" ht="14.25" hidden="false" customHeight="true" outlineLevel="0" collapsed="false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customFormat="false" ht="14.25" hidden="false" customHeight="true" outlineLevel="0" collapsed="false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customFormat="false" ht="14.25" hidden="false" customHeight="true" outlineLevel="0" collapsed="false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customFormat="false" ht="14.25" hidden="false" customHeight="true" outlineLevel="0" collapsed="false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customFormat="false" ht="14.25" hidden="false" customHeight="true" outlineLevel="0" collapsed="false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customFormat="false" ht="14.25" hidden="false" customHeight="true" outlineLevel="0" collapsed="false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customFormat="false" ht="14.25" hidden="false" customHeight="true" outlineLevel="0" collapsed="false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customFormat="false" ht="14.25" hidden="false" customHeight="true" outlineLevel="0" collapsed="false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customFormat="false" ht="14.25" hidden="false" customHeight="true" outlineLevel="0" collapsed="false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customFormat="false" ht="14.25" hidden="false" customHeight="true" outlineLevel="0" collapsed="false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customFormat="false" ht="14.25" hidden="false" customHeight="true" outlineLevel="0" collapsed="false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customFormat="false" ht="14.25" hidden="false" customHeight="true" outlineLevel="0" collapsed="false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customFormat="false" ht="14.25" hidden="false" customHeight="true" outlineLevel="0" collapsed="false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customFormat="false" ht="14.25" hidden="false" customHeight="true" outlineLevel="0" collapsed="false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customFormat="false" ht="14.25" hidden="false" customHeight="true" outlineLevel="0" collapsed="false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customFormat="false" ht="14.25" hidden="false" customHeight="true" outlineLevel="0" collapsed="false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customFormat="false" ht="14.25" hidden="false" customHeight="true" outlineLevel="0" collapsed="false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customFormat="false" ht="14.25" hidden="false" customHeight="true" outlineLevel="0" collapsed="false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customFormat="false" ht="14.25" hidden="false" customHeight="true" outlineLevel="0" collapsed="false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customFormat="false" ht="14.25" hidden="false" customHeight="true" outlineLevel="0" collapsed="false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customFormat="false" ht="14.25" hidden="false" customHeight="true" outlineLevel="0" collapsed="false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customFormat="false" ht="14.25" hidden="false" customHeight="true" outlineLevel="0" collapsed="false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customFormat="false" ht="14.25" hidden="false" customHeight="true" outlineLevel="0" collapsed="false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customFormat="false" ht="14.25" hidden="false" customHeight="true" outlineLevel="0" collapsed="false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customFormat="false" ht="14.25" hidden="false" customHeight="true" outlineLevel="0" collapsed="false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customFormat="false" ht="14.25" hidden="false" customHeight="true" outlineLevel="0" collapsed="false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customFormat="false" ht="14.25" hidden="false" customHeight="true" outlineLevel="0" collapsed="false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customFormat="false" ht="14.25" hidden="false" customHeight="true" outlineLevel="0" collapsed="false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customFormat="false" ht="14.25" hidden="false" customHeight="true" outlineLevel="0" collapsed="false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customFormat="false" ht="14.25" hidden="false" customHeight="true" outlineLevel="0" collapsed="false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customFormat="false" ht="14.25" hidden="false" customHeight="true" outlineLevel="0" collapsed="false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customFormat="false" ht="14.25" hidden="false" customHeight="true" outlineLevel="0" collapsed="false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customFormat="false" ht="14.25" hidden="false" customHeight="true" outlineLevel="0" collapsed="false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customFormat="false" ht="14.25" hidden="false" customHeight="true" outlineLevel="0" collapsed="false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customFormat="false" ht="14.25" hidden="false" customHeight="true" outlineLevel="0" collapsed="false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customFormat="false" ht="14.25" hidden="false" customHeight="true" outlineLevel="0" collapsed="false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customFormat="false" ht="14.25" hidden="false" customHeight="true" outlineLevel="0" collapsed="false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customFormat="false" ht="14.25" hidden="false" customHeight="true" outlineLevel="0" collapsed="false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customFormat="false" ht="14.25" hidden="false" customHeight="true" outlineLevel="0" collapsed="false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customFormat="false" ht="14.25" hidden="false" customHeight="true" outlineLevel="0" collapsed="false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customFormat="false" ht="14.25" hidden="false" customHeight="true" outlineLevel="0" collapsed="false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customFormat="false" ht="14.25" hidden="false" customHeight="true" outlineLevel="0" collapsed="false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customFormat="false" ht="14.25" hidden="false" customHeight="true" outlineLevel="0" collapsed="false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customFormat="false" ht="14.25" hidden="false" customHeight="true" outlineLevel="0" collapsed="false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customFormat="false" ht="14.25" hidden="false" customHeight="true" outlineLevel="0" collapsed="false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customFormat="false" ht="14.25" hidden="false" customHeight="true" outlineLevel="0" collapsed="false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customFormat="false" ht="14.25" hidden="false" customHeight="true" outlineLevel="0" collapsed="false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customFormat="false" ht="14.25" hidden="false" customHeight="true" outlineLevel="0" collapsed="false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customFormat="false" ht="14.25" hidden="false" customHeight="true" outlineLevel="0" collapsed="false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customFormat="false" ht="14.25" hidden="false" customHeight="true" outlineLevel="0" collapsed="false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customFormat="false" ht="14.25" hidden="false" customHeight="true" outlineLevel="0" collapsed="false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customFormat="false" ht="14.25" hidden="false" customHeight="true" outlineLevel="0" collapsed="false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customFormat="false" ht="14.25" hidden="false" customHeight="true" outlineLevel="0" collapsed="false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customFormat="false" ht="14.25" hidden="false" customHeight="true" outlineLevel="0" collapsed="false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customFormat="false" ht="14.25" hidden="false" customHeight="true" outlineLevel="0" collapsed="false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customFormat="false" ht="14.25" hidden="false" customHeight="true" outlineLevel="0" collapsed="false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customFormat="false" ht="14.25" hidden="false" customHeight="true" outlineLevel="0" collapsed="false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customFormat="false" ht="14.25" hidden="false" customHeight="true" outlineLevel="0" collapsed="false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customFormat="false" ht="14.25" hidden="false" customHeight="true" outlineLevel="0" collapsed="false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customFormat="false" ht="14.25" hidden="false" customHeight="true" outlineLevel="0" collapsed="false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customFormat="false" ht="14.25" hidden="false" customHeight="true" outlineLevel="0" collapsed="false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customFormat="false" ht="14.25" hidden="false" customHeight="true" outlineLevel="0" collapsed="false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customFormat="false" ht="14.25" hidden="false" customHeight="true" outlineLevel="0" collapsed="false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customFormat="false" ht="14.25" hidden="false" customHeight="true" outlineLevel="0" collapsed="false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customFormat="false" ht="14.25" hidden="false" customHeight="true" outlineLevel="0" collapsed="false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customFormat="false" ht="14.25" hidden="false" customHeight="true" outlineLevel="0" collapsed="false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customFormat="false" ht="14.25" hidden="false" customHeight="true" outlineLevel="0" collapsed="false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customFormat="false" ht="14.25" hidden="false" customHeight="true" outlineLevel="0" collapsed="false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customFormat="false" ht="14.25" hidden="false" customHeight="true" outlineLevel="0" collapsed="false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customFormat="false" ht="14.25" hidden="false" customHeight="true" outlineLevel="0" collapsed="false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customFormat="false" ht="14.25" hidden="false" customHeight="true" outlineLevel="0" collapsed="false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customFormat="false" ht="14.25" hidden="false" customHeight="true" outlineLevel="0" collapsed="false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customFormat="false" ht="14.25" hidden="false" customHeight="true" outlineLevel="0" collapsed="false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customFormat="false" ht="14.25" hidden="false" customHeight="true" outlineLevel="0" collapsed="false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customFormat="false" ht="14.25" hidden="false" customHeight="true" outlineLevel="0" collapsed="false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customFormat="false" ht="14.25" hidden="false" customHeight="true" outlineLevel="0" collapsed="false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customFormat="false" ht="14.25" hidden="false" customHeight="true" outlineLevel="0" collapsed="false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customFormat="false" ht="14.25" hidden="false" customHeight="true" outlineLevel="0" collapsed="false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customFormat="false" ht="14.25" hidden="false" customHeight="true" outlineLevel="0" collapsed="false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customFormat="false" ht="14.25" hidden="false" customHeight="true" outlineLevel="0" collapsed="false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customFormat="false" ht="14.25" hidden="false" customHeight="true" outlineLevel="0" collapsed="false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customFormat="false" ht="14.25" hidden="false" customHeight="true" outlineLevel="0" collapsed="false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customFormat="false" ht="14.25" hidden="false" customHeight="true" outlineLevel="0" collapsed="false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customFormat="false" ht="14.25" hidden="false" customHeight="true" outlineLevel="0" collapsed="false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customFormat="false" ht="14.25" hidden="false" customHeight="true" outlineLevel="0" collapsed="false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customFormat="false" ht="14.25" hidden="false" customHeight="true" outlineLevel="0" collapsed="false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customFormat="false" ht="14.25" hidden="false" customHeight="true" outlineLevel="0" collapsed="false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customFormat="false" ht="14.25" hidden="false" customHeight="true" outlineLevel="0" collapsed="false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customFormat="false" ht="14.25" hidden="false" customHeight="true" outlineLevel="0" collapsed="false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customFormat="false" ht="14.25" hidden="false" customHeight="true" outlineLevel="0" collapsed="false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customFormat="false" ht="14.25" hidden="false" customHeight="true" outlineLevel="0" collapsed="false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customFormat="false" ht="14.25" hidden="false" customHeight="true" outlineLevel="0" collapsed="false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customFormat="false" ht="14.25" hidden="false" customHeight="true" outlineLevel="0" collapsed="false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customFormat="false" ht="14.25" hidden="false" customHeight="true" outlineLevel="0" collapsed="false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customFormat="false" ht="14.25" hidden="false" customHeight="true" outlineLevel="0" collapsed="false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customFormat="false" ht="14.25" hidden="false" customHeight="true" outlineLevel="0" collapsed="false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customFormat="false" ht="14.25" hidden="false" customHeight="true" outlineLevel="0" collapsed="false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customFormat="false" ht="14.25" hidden="false" customHeight="true" outlineLevel="0" collapsed="false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customFormat="false" ht="14.25" hidden="false" customHeight="true" outlineLevel="0" collapsed="false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customFormat="false" ht="14.25" hidden="false" customHeight="true" outlineLevel="0" collapsed="false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customFormat="false" ht="14.25" hidden="false" customHeight="true" outlineLevel="0" collapsed="false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customFormat="false" ht="14.25" hidden="false" customHeight="true" outlineLevel="0" collapsed="false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customFormat="false" ht="14.25" hidden="false" customHeight="true" outlineLevel="0" collapsed="false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customFormat="false" ht="14.25" hidden="false" customHeight="true" outlineLevel="0" collapsed="false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customFormat="false" ht="14.25" hidden="false" customHeight="true" outlineLevel="0" collapsed="false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customFormat="false" ht="14.25" hidden="false" customHeight="true" outlineLevel="0" collapsed="false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customFormat="false" ht="14.25" hidden="false" customHeight="true" outlineLevel="0" collapsed="false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customFormat="false" ht="14.25" hidden="false" customHeight="true" outlineLevel="0" collapsed="false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customFormat="false" ht="14.25" hidden="false" customHeight="true" outlineLevel="0" collapsed="false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customFormat="false" ht="14.25" hidden="false" customHeight="true" outlineLevel="0" collapsed="false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customFormat="false" ht="14.25" hidden="false" customHeight="true" outlineLevel="0" collapsed="false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customFormat="false" ht="14.25" hidden="false" customHeight="true" outlineLevel="0" collapsed="false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customFormat="false" ht="14.25" hidden="false" customHeight="true" outlineLevel="0" collapsed="false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customFormat="false" ht="14.25" hidden="false" customHeight="true" outlineLevel="0" collapsed="false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customFormat="false" ht="14.25" hidden="false" customHeight="true" outlineLevel="0" collapsed="false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customFormat="false" ht="14.25" hidden="false" customHeight="true" outlineLevel="0" collapsed="false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customFormat="false" ht="14.25" hidden="false" customHeight="true" outlineLevel="0" collapsed="false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customFormat="false" ht="14.25" hidden="false" customHeight="true" outlineLevel="0" collapsed="false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customFormat="false" ht="14.25" hidden="false" customHeight="true" outlineLevel="0" collapsed="false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customFormat="false" ht="14.25" hidden="false" customHeight="true" outlineLevel="0" collapsed="false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customFormat="false" ht="14.25" hidden="false" customHeight="true" outlineLevel="0" collapsed="false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customFormat="false" ht="14.25" hidden="false" customHeight="true" outlineLevel="0" collapsed="false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customFormat="false" ht="14.25" hidden="false" customHeight="true" outlineLevel="0" collapsed="false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customFormat="false" ht="14.25" hidden="false" customHeight="true" outlineLevel="0" collapsed="false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customFormat="false" ht="14.25" hidden="false" customHeight="true" outlineLevel="0" collapsed="false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customFormat="false" ht="14.25" hidden="false" customHeight="true" outlineLevel="0" collapsed="false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customFormat="false" ht="14.25" hidden="false" customHeight="true" outlineLevel="0" collapsed="false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customFormat="false" ht="14.25" hidden="false" customHeight="true" outlineLevel="0" collapsed="false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customFormat="false" ht="14.25" hidden="false" customHeight="true" outlineLevel="0" collapsed="false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customFormat="false" ht="14.25" hidden="false" customHeight="true" outlineLevel="0" collapsed="false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customFormat="false" ht="14.25" hidden="false" customHeight="true" outlineLevel="0" collapsed="false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customFormat="false" ht="14.25" hidden="false" customHeight="true" outlineLevel="0" collapsed="false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customFormat="false" ht="14.25" hidden="false" customHeight="true" outlineLevel="0" collapsed="false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customFormat="false" ht="14.25" hidden="false" customHeight="true" outlineLevel="0" collapsed="false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customFormat="false" ht="14.25" hidden="false" customHeight="true" outlineLevel="0" collapsed="false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customFormat="false" ht="14.25" hidden="false" customHeight="true" outlineLevel="0" collapsed="false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customFormat="false" ht="14.25" hidden="false" customHeight="true" outlineLevel="0" collapsed="false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customFormat="false" ht="14.25" hidden="false" customHeight="true" outlineLevel="0" collapsed="false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customFormat="false" ht="14.25" hidden="false" customHeight="true" outlineLevel="0" collapsed="false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customFormat="false" ht="14.25" hidden="false" customHeight="true" outlineLevel="0" collapsed="false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customFormat="false" ht="14.25" hidden="false" customHeight="true" outlineLevel="0" collapsed="false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customFormat="false" ht="14.25" hidden="false" customHeight="true" outlineLevel="0" collapsed="false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customFormat="false" ht="14.25" hidden="false" customHeight="true" outlineLevel="0" collapsed="false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customFormat="false" ht="14.25" hidden="false" customHeight="true" outlineLevel="0" collapsed="false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customFormat="false" ht="14.25" hidden="false" customHeight="true" outlineLevel="0" collapsed="false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customFormat="false" ht="14.25" hidden="false" customHeight="true" outlineLevel="0" collapsed="false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customFormat="false" ht="14.25" hidden="false" customHeight="true" outlineLevel="0" collapsed="false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customFormat="false" ht="14.25" hidden="false" customHeight="true" outlineLevel="0" collapsed="false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customFormat="false" ht="14.25" hidden="false" customHeight="true" outlineLevel="0" collapsed="false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customFormat="false" ht="14.25" hidden="false" customHeight="true" outlineLevel="0" collapsed="false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customFormat="false" ht="14.25" hidden="false" customHeight="true" outlineLevel="0" collapsed="false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customFormat="false" ht="14.25" hidden="false" customHeight="true" outlineLevel="0" collapsed="false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customFormat="false" ht="14.25" hidden="false" customHeight="true" outlineLevel="0" collapsed="false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customFormat="false" ht="14.25" hidden="false" customHeight="true" outlineLevel="0" collapsed="false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customFormat="false" ht="14.25" hidden="false" customHeight="true" outlineLevel="0" collapsed="false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4">
    <mergeCell ref="A45:C45"/>
    <mergeCell ref="A46:C46"/>
    <mergeCell ref="A47:C47"/>
    <mergeCell ref="A49:D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24"/>
    <col collapsed="false" customWidth="true" hidden="false" outlineLevel="0" max="3" min="3" style="1" width="11"/>
    <col collapsed="false" customWidth="true" hidden="false" outlineLevel="0" max="16" min="4" style="1" width="9"/>
  </cols>
  <sheetData>
    <row r="1" customFormat="false" ht="14.25" hidden="false" customHeight="true" outlineLevel="0" collapsed="false">
      <c r="A1" s="7" t="n">
        <v>2026</v>
      </c>
      <c r="B1" s="7" t="s">
        <v>179</v>
      </c>
      <c r="C1" s="7" t="s">
        <v>180</v>
      </c>
      <c r="D1" s="7" t="s">
        <v>59</v>
      </c>
      <c r="E1" s="7" t="s">
        <v>60</v>
      </c>
      <c r="F1" s="7" t="s">
        <v>61</v>
      </c>
      <c r="G1" s="7" t="s">
        <v>62</v>
      </c>
      <c r="H1" s="7" t="s">
        <v>63</v>
      </c>
      <c r="I1" s="7" t="s">
        <v>64</v>
      </c>
      <c r="J1" s="7" t="s">
        <v>65</v>
      </c>
      <c r="K1" s="7" t="s">
        <v>66</v>
      </c>
      <c r="L1" s="7" t="s">
        <v>67</v>
      </c>
      <c r="M1" s="7" t="s">
        <v>68</v>
      </c>
      <c r="N1" s="7" t="s">
        <v>69</v>
      </c>
      <c r="O1" s="7" t="s">
        <v>70</v>
      </c>
      <c r="P1" s="7" t="s">
        <v>181</v>
      </c>
    </row>
    <row r="2" customFormat="false" ht="14.25" hidden="false" customHeight="true" outlineLevel="0" collapsed="false">
      <c r="A2" s="41" t="n">
        <v>2026</v>
      </c>
      <c r="B2" s="8" t="s">
        <v>14</v>
      </c>
      <c r="C2" s="8" t="s">
        <v>182</v>
      </c>
      <c r="D2" s="42" t="n">
        <f aca="false">datos_base!$B$2*parametros_manuales!B$12</f>
        <v>501.44838516</v>
      </c>
      <c r="E2" s="42" t="n">
        <f aca="false">datos_base!$B$2*parametros_manuales!C$12</f>
        <v>376.08628887</v>
      </c>
      <c r="F2" s="42" t="n">
        <f aca="false">datos_base!$B$2*parametros_manuales!D$12</f>
        <v>334.29892344</v>
      </c>
      <c r="G2" s="42" t="n">
        <f aca="false">datos_base!$B$2*parametros_manuales!E$12</f>
        <v>313.405240725</v>
      </c>
      <c r="H2" s="42" t="n">
        <f aca="false">datos_base!$B$2*parametros_manuales!F$12</f>
        <v>292.51155801</v>
      </c>
      <c r="I2" s="42" t="n">
        <f aca="false">datos_base!$B$2*parametros_manuales!G$12</f>
        <v>292.51155801</v>
      </c>
      <c r="J2" s="42" t="n">
        <f aca="false">datos_base!$B$2*parametros_manuales!H$12</f>
        <v>313.405240725</v>
      </c>
      <c r="K2" s="42" t="n">
        <f aca="false">datos_base!$B$2*parametros_manuales!I$12</f>
        <v>313.405240725</v>
      </c>
      <c r="L2" s="42" t="n">
        <f aca="false">datos_base!$B$2*parametros_manuales!J$12</f>
        <v>313.405240725</v>
      </c>
      <c r="M2" s="42" t="n">
        <f aca="false">datos_base!$B$2*parametros_manuales!K$12</f>
        <v>313.405240725</v>
      </c>
      <c r="N2" s="42" t="n">
        <f aca="false">datos_base!$B$2*parametros_manuales!L$12</f>
        <v>313.405240725</v>
      </c>
      <c r="O2" s="42" t="n">
        <f aca="false">datos_base!$B$2*parametros_manuales!M$12</f>
        <v>501.44838516</v>
      </c>
      <c r="P2" s="9" t="n">
        <f aca="false">SUM(D2:O2)</f>
        <v>4178.736543</v>
      </c>
    </row>
    <row r="3" customFormat="false" ht="14.25" hidden="false" customHeight="true" outlineLevel="0" collapsed="false">
      <c r="A3" s="41" t="n">
        <v>2026</v>
      </c>
      <c r="B3" s="8" t="s">
        <v>15</v>
      </c>
      <c r="C3" s="8" t="s">
        <v>182</v>
      </c>
      <c r="D3" s="42" t="n">
        <f aca="false">datos_base!$B$3*parametros_manuales!B$13</f>
        <v>29.50303572</v>
      </c>
      <c r="E3" s="42" t="n">
        <f aca="false">datos_base!$B$3*parametros_manuales!C$13</f>
        <v>23.602428576</v>
      </c>
      <c r="F3" s="42" t="n">
        <f aca="false">datos_base!$B$3*parametros_manuales!D$13</f>
        <v>25.077580362</v>
      </c>
      <c r="G3" s="42" t="n">
        <f aca="false">datos_base!$B$3*parametros_manuales!E$13</f>
        <v>25.077580362</v>
      </c>
      <c r="H3" s="42" t="n">
        <f aca="false">datos_base!$B$3*parametros_manuales!F$13</f>
        <v>23.602428576</v>
      </c>
      <c r="I3" s="42" t="n">
        <f aca="false">datos_base!$B$3*parametros_manuales!G$13</f>
        <v>22.12727679</v>
      </c>
      <c r="J3" s="42" t="n">
        <f aca="false">datos_base!$B$3*parametros_manuales!H$13</f>
        <v>23.602428576</v>
      </c>
      <c r="K3" s="42" t="n">
        <f aca="false">datos_base!$B$3*parametros_manuales!I$13</f>
        <v>23.602428576</v>
      </c>
      <c r="L3" s="42" t="n">
        <f aca="false">datos_base!$B$3*parametros_manuales!J$13</f>
        <v>23.602428576</v>
      </c>
      <c r="M3" s="42" t="n">
        <f aca="false">datos_base!$B$3*parametros_manuales!K$13</f>
        <v>22.12727679</v>
      </c>
      <c r="N3" s="42" t="n">
        <f aca="false">datos_base!$B$3*parametros_manuales!L$13</f>
        <v>20.652125004</v>
      </c>
      <c r="O3" s="42" t="n">
        <f aca="false">datos_base!$B$3*parametros_manuales!M$13</f>
        <v>32.453339292</v>
      </c>
      <c r="P3" s="9" t="n">
        <f aca="false">SUM(D3:O3)</f>
        <v>295.0303572</v>
      </c>
    </row>
    <row r="4" customFormat="false" ht="14.25" hidden="false" customHeight="true" outlineLevel="0" collapsed="false">
      <c r="A4" s="41" t="n">
        <v>2026</v>
      </c>
      <c r="B4" s="8" t="s">
        <v>16</v>
      </c>
      <c r="C4" s="8" t="s">
        <v>182</v>
      </c>
      <c r="D4" s="42" t="n">
        <f aca="false">datos_base!$B$4*parametros_manuales!B$14</f>
        <v>225.5773025</v>
      </c>
      <c r="E4" s="42" t="n">
        <f aca="false">datos_base!$B$4*parametros_manuales!C$14</f>
        <v>180.461842</v>
      </c>
      <c r="F4" s="42" t="n">
        <f aca="false">datos_base!$B$4*parametros_manuales!D$14</f>
        <v>191.740707125</v>
      </c>
      <c r="G4" s="42" t="n">
        <f aca="false">datos_base!$B$4*parametros_manuales!E$14</f>
        <v>191.740707125</v>
      </c>
      <c r="H4" s="42" t="n">
        <f aca="false">datos_base!$B$4*parametros_manuales!F$14</f>
        <v>180.461842</v>
      </c>
      <c r="I4" s="42" t="n">
        <f aca="false">datos_base!$B$4*parametros_manuales!G$14</f>
        <v>169.182976875</v>
      </c>
      <c r="J4" s="42" t="n">
        <f aca="false">datos_base!$B$4*parametros_manuales!H$14</f>
        <v>180.461842</v>
      </c>
      <c r="K4" s="42" t="n">
        <f aca="false">datos_base!$B$4*parametros_manuales!I$14</f>
        <v>180.461842</v>
      </c>
      <c r="L4" s="42" t="n">
        <f aca="false">datos_base!$B$4*parametros_manuales!J$14</f>
        <v>180.461842</v>
      </c>
      <c r="M4" s="42" t="n">
        <f aca="false">datos_base!$B$4*parametros_manuales!K$14</f>
        <v>169.182976875</v>
      </c>
      <c r="N4" s="42" t="n">
        <f aca="false">datos_base!$B$4*parametros_manuales!L$14</f>
        <v>157.90411175</v>
      </c>
      <c r="O4" s="42" t="n">
        <f aca="false">datos_base!$B$4*parametros_manuales!M$14</f>
        <v>248.13503275</v>
      </c>
      <c r="P4" s="9" t="n">
        <f aca="false">SUM(D4:O4)</f>
        <v>2255.773025</v>
      </c>
    </row>
    <row r="5" customFormat="false" ht="14.25" hidden="false" customHeight="true" outlineLevel="0" collapsed="false">
      <c r="A5" s="41" t="n">
        <v>2026</v>
      </c>
      <c r="B5" s="8" t="s">
        <v>17</v>
      </c>
      <c r="C5" s="8" t="s">
        <v>182</v>
      </c>
      <c r="D5" s="42" t="n">
        <f aca="false">datos_base!$B$5*parametros_manuales!B$15</f>
        <v>9.183318153</v>
      </c>
      <c r="E5" s="42" t="n">
        <f aca="false">datos_base!$B$5*parametros_manuales!C$15</f>
        <v>7.3466545224</v>
      </c>
      <c r="F5" s="42" t="n">
        <f aca="false">datos_base!$B$5*parametros_manuales!D$15</f>
        <v>7.80582043005</v>
      </c>
      <c r="G5" s="42" t="n">
        <f aca="false">datos_base!$B$5*parametros_manuales!E$15</f>
        <v>7.80582043005</v>
      </c>
      <c r="H5" s="42" t="n">
        <f aca="false">datos_base!$B$5*parametros_manuales!F$15</f>
        <v>7.3466545224</v>
      </c>
      <c r="I5" s="42" t="n">
        <f aca="false">datos_base!$B$5*parametros_manuales!G$15</f>
        <v>6.88748861475</v>
      </c>
      <c r="J5" s="42" t="n">
        <f aca="false">datos_base!$B$5*parametros_manuales!H$15</f>
        <v>7.3466545224</v>
      </c>
      <c r="K5" s="42" t="n">
        <f aca="false">datos_base!$B$5*parametros_manuales!I$15</f>
        <v>7.3466545224</v>
      </c>
      <c r="L5" s="42" t="n">
        <f aca="false">datos_base!$B$5*parametros_manuales!J$15</f>
        <v>7.3466545224</v>
      </c>
      <c r="M5" s="42" t="n">
        <f aca="false">datos_base!$B$5*parametros_manuales!K$15</f>
        <v>6.88748861475</v>
      </c>
      <c r="N5" s="42" t="n">
        <f aca="false">datos_base!$B$5*parametros_manuales!L$15</f>
        <v>6.4283227071</v>
      </c>
      <c r="O5" s="42" t="n">
        <f aca="false">datos_base!$B$5*parametros_manuales!M$15</f>
        <v>10.1016499683</v>
      </c>
      <c r="P5" s="9" t="n">
        <f aca="false">SUM(D5:O5)</f>
        <v>91.83318153</v>
      </c>
    </row>
    <row r="6" customFormat="false" ht="14.25" hidden="false" customHeight="true" outlineLevel="0" collapsed="false">
      <c r="A6" s="41" t="n">
        <v>2026</v>
      </c>
      <c r="B6" s="8" t="s">
        <v>20</v>
      </c>
      <c r="C6" s="8" t="s">
        <v>183</v>
      </c>
      <c r="D6" s="42" t="n">
        <f aca="false">datos_base!$B$9*parametros_manuales!B$12</f>
        <v>0</v>
      </c>
      <c r="E6" s="42" t="n">
        <f aca="false">datos_base!$B$9*parametros_manuales!C$12</f>
        <v>0</v>
      </c>
      <c r="F6" s="42" t="n">
        <f aca="false">datos_base!$B$9*parametros_manuales!D$12</f>
        <v>0</v>
      </c>
      <c r="G6" s="42" t="n">
        <f aca="false">datos_base!$B$9*parametros_manuales!E$12</f>
        <v>0</v>
      </c>
      <c r="H6" s="42" t="n">
        <f aca="false">datos_base!$B$9*parametros_manuales!F$12</f>
        <v>0</v>
      </c>
      <c r="I6" s="42" t="n">
        <f aca="false">datos_base!$B$9*parametros_manuales!G$12</f>
        <v>0</v>
      </c>
      <c r="J6" s="42" t="n">
        <f aca="false">datos_base!$B$9*parametros_manuales!H$12</f>
        <v>0</v>
      </c>
      <c r="K6" s="42" t="n">
        <f aca="false">datos_base!$B$9*parametros_manuales!I$12</f>
        <v>0</v>
      </c>
      <c r="L6" s="42" t="n">
        <f aca="false">datos_base!$B$9*parametros_manuales!J$12</f>
        <v>0</v>
      </c>
      <c r="M6" s="42" t="n">
        <f aca="false">datos_base!$B$9*parametros_manuales!K$12</f>
        <v>0</v>
      </c>
      <c r="N6" s="42" t="n">
        <f aca="false">datos_base!$B$9*parametros_manuales!L$12</f>
        <v>0</v>
      </c>
      <c r="O6" s="42" t="n">
        <f aca="false">datos_base!$B$9*parametros_manuales!M$12</f>
        <v>0</v>
      </c>
      <c r="P6" s="9" t="n">
        <f aca="false">SUM(D6:O6)</f>
        <v>0</v>
      </c>
    </row>
    <row r="7" customFormat="false" ht="14.25" hidden="false" customHeight="true" outlineLevel="0" collapsed="false">
      <c r="A7" s="41" t="n">
        <v>2026</v>
      </c>
      <c r="B7" s="8" t="s">
        <v>21</v>
      </c>
      <c r="C7" s="8" t="s">
        <v>183</v>
      </c>
      <c r="D7" s="42" t="n">
        <f aca="false">datos_base!$B$10*parametros_manuales!B$13</f>
        <v>0</v>
      </c>
      <c r="E7" s="42" t="n">
        <f aca="false">datos_base!$B$10*parametros_manuales!C$13</f>
        <v>0</v>
      </c>
      <c r="F7" s="42" t="n">
        <f aca="false">datos_base!$B$10*parametros_manuales!D$13</f>
        <v>0</v>
      </c>
      <c r="G7" s="42" t="n">
        <f aca="false">datos_base!$B$10*parametros_manuales!E$13</f>
        <v>0</v>
      </c>
      <c r="H7" s="42" t="n">
        <f aca="false">datos_base!$B$10*parametros_manuales!F$13</f>
        <v>0</v>
      </c>
      <c r="I7" s="42" t="n">
        <f aca="false">datos_base!$B$10*parametros_manuales!G$13</f>
        <v>0</v>
      </c>
      <c r="J7" s="42" t="n">
        <f aca="false">datos_base!$B$10*parametros_manuales!H$13</f>
        <v>0</v>
      </c>
      <c r="K7" s="42" t="n">
        <f aca="false">datos_base!$B$10*parametros_manuales!I$13</f>
        <v>0</v>
      </c>
      <c r="L7" s="42" t="n">
        <f aca="false">datos_base!$B$10*parametros_manuales!J$13</f>
        <v>0</v>
      </c>
      <c r="M7" s="42" t="n">
        <f aca="false">datos_base!$B$10*parametros_manuales!K$13</f>
        <v>0</v>
      </c>
      <c r="N7" s="42" t="n">
        <f aca="false">datos_base!$B$10*parametros_manuales!L$13</f>
        <v>0</v>
      </c>
      <c r="O7" s="42" t="n">
        <f aca="false">datos_base!$B$10*parametros_manuales!M$13</f>
        <v>0</v>
      </c>
      <c r="P7" s="9" t="n">
        <f aca="false">SUM(D7:O7)</f>
        <v>0</v>
      </c>
    </row>
    <row r="8" customFormat="false" ht="14.25" hidden="false" customHeight="true" outlineLevel="0" collapsed="false">
      <c r="A8" s="41" t="n">
        <v>2026</v>
      </c>
      <c r="B8" s="8" t="s">
        <v>22</v>
      </c>
      <c r="C8" s="8" t="s">
        <v>183</v>
      </c>
      <c r="D8" s="42" t="n">
        <f aca="false">datos_base!$B$11*parametros_manuales!B$14</f>
        <v>0</v>
      </c>
      <c r="E8" s="42" t="n">
        <f aca="false">datos_base!$B$11*parametros_manuales!C$14</f>
        <v>0</v>
      </c>
      <c r="F8" s="42" t="n">
        <f aca="false">datos_base!$B$11*parametros_manuales!D$14</f>
        <v>0</v>
      </c>
      <c r="G8" s="42" t="n">
        <f aca="false">datos_base!$B$11*parametros_manuales!E$14</f>
        <v>0</v>
      </c>
      <c r="H8" s="42" t="n">
        <f aca="false">datos_base!$B$11*parametros_manuales!F$14</f>
        <v>0</v>
      </c>
      <c r="I8" s="42" t="n">
        <f aca="false">datos_base!$B$11*parametros_manuales!G$14</f>
        <v>0</v>
      </c>
      <c r="J8" s="42" t="n">
        <f aca="false">datos_base!$B$11*parametros_manuales!H$14</f>
        <v>0</v>
      </c>
      <c r="K8" s="42" t="n">
        <f aca="false">datos_base!$B$11*parametros_manuales!I$14</f>
        <v>0</v>
      </c>
      <c r="L8" s="42" t="n">
        <f aca="false">datos_base!$B$11*parametros_manuales!J$14</f>
        <v>0</v>
      </c>
      <c r="M8" s="42" t="n">
        <f aca="false">datos_base!$B$11*parametros_manuales!K$14</f>
        <v>0</v>
      </c>
      <c r="N8" s="42" t="n">
        <f aca="false">datos_base!$B$11*parametros_manuales!L$14</f>
        <v>0</v>
      </c>
      <c r="O8" s="42" t="n">
        <f aca="false">datos_base!$B$11*parametros_manuales!M$14</f>
        <v>0</v>
      </c>
      <c r="P8" s="9" t="n">
        <f aca="false">SUM(D8:O8)</f>
        <v>0</v>
      </c>
    </row>
    <row r="9" customFormat="false" ht="14.25" hidden="false" customHeight="true" outlineLevel="0" collapsed="false">
      <c r="A9" s="41" t="n">
        <v>2026</v>
      </c>
      <c r="B9" s="8" t="s">
        <v>23</v>
      </c>
      <c r="C9" s="8" t="s">
        <v>183</v>
      </c>
      <c r="D9" s="42" t="n">
        <f aca="false">datos_base!$B$12*parametros_manuales!B$15</f>
        <v>0</v>
      </c>
      <c r="E9" s="42" t="n">
        <f aca="false">datos_base!$B$12*parametros_manuales!C$15</f>
        <v>0</v>
      </c>
      <c r="F9" s="42" t="n">
        <f aca="false">datos_base!$B$12*parametros_manuales!D$15</f>
        <v>0</v>
      </c>
      <c r="G9" s="42" t="n">
        <f aca="false">datos_base!$B$12*parametros_manuales!E$15</f>
        <v>0</v>
      </c>
      <c r="H9" s="42" t="n">
        <f aca="false">datos_base!$B$12*parametros_manuales!F$15</f>
        <v>0</v>
      </c>
      <c r="I9" s="42" t="n">
        <f aca="false">datos_base!$B$12*parametros_manuales!G$15</f>
        <v>0</v>
      </c>
      <c r="J9" s="42" t="n">
        <f aca="false">datos_base!$B$12*parametros_manuales!H$15</f>
        <v>0</v>
      </c>
      <c r="K9" s="42" t="n">
        <f aca="false">datos_base!$B$12*parametros_manuales!I$15</f>
        <v>0</v>
      </c>
      <c r="L9" s="42" t="n">
        <f aca="false">datos_base!$B$12*parametros_manuales!J$15</f>
        <v>0</v>
      </c>
      <c r="M9" s="42" t="n">
        <f aca="false">datos_base!$B$12*parametros_manuales!K$15</f>
        <v>0</v>
      </c>
      <c r="N9" s="42" t="n">
        <f aca="false">datos_base!$B$12*parametros_manuales!L$15</f>
        <v>0</v>
      </c>
      <c r="O9" s="42" t="n">
        <f aca="false">datos_base!$B$12*parametros_manuales!M$15</f>
        <v>0</v>
      </c>
      <c r="P9" s="9" t="n">
        <f aca="false">SUM(D9:O9)</f>
        <v>0</v>
      </c>
    </row>
    <row r="10" customFormat="false" ht="14.25" hidden="false" customHeight="true" outlineLevel="0" collapsed="false">
      <c r="B10" s="10" t="s">
        <v>184</v>
      </c>
      <c r="D10" s="11" t="n">
        <f aca="false">SUM(D2:D9)</f>
        <v>765.712041533</v>
      </c>
      <c r="E10" s="11" t="n">
        <f aca="false">SUM(E2:E9)</f>
        <v>587.4972139684</v>
      </c>
      <c r="F10" s="11" t="n">
        <f aca="false">SUM(F2:F9)</f>
        <v>558.92303135705</v>
      </c>
      <c r="G10" s="11" t="n">
        <f aca="false">SUM(G2:G9)</f>
        <v>538.02934864205</v>
      </c>
      <c r="H10" s="11" t="n">
        <f aca="false">SUM(H2:H9)</f>
        <v>503.9224831084</v>
      </c>
      <c r="I10" s="11" t="n">
        <f aca="false">SUM(I2:I9)</f>
        <v>490.70930028975</v>
      </c>
      <c r="J10" s="11" t="n">
        <f aca="false">SUM(J2:J9)</f>
        <v>524.8161658234</v>
      </c>
      <c r="K10" s="11" t="n">
        <f aca="false">SUM(K2:K9)</f>
        <v>524.8161658234</v>
      </c>
      <c r="L10" s="11" t="n">
        <f aca="false">SUM(L2:L9)</f>
        <v>524.8161658234</v>
      </c>
      <c r="M10" s="11" t="n">
        <f aca="false">SUM(M2:M9)</f>
        <v>511.60298300475</v>
      </c>
      <c r="N10" s="11" t="n">
        <f aca="false">SUM(N2:N9)</f>
        <v>498.3898001861</v>
      </c>
      <c r="O10" s="11" t="n">
        <f aca="false">SUM(O2:O9)</f>
        <v>792.1384071703</v>
      </c>
      <c r="P10" s="11" t="n">
        <f aca="false">SUM(P2:P9)</f>
        <v>6821.37310673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7" t="n">
        <v>2027</v>
      </c>
      <c r="B12" s="7" t="s">
        <v>179</v>
      </c>
      <c r="C12" s="7" t="s">
        <v>180</v>
      </c>
      <c r="D12" s="7" t="s">
        <v>59</v>
      </c>
      <c r="E12" s="7" t="s">
        <v>60</v>
      </c>
      <c r="F12" s="7" t="s">
        <v>61</v>
      </c>
      <c r="G12" s="7" t="s">
        <v>62</v>
      </c>
      <c r="H12" s="7" t="s">
        <v>63</v>
      </c>
      <c r="I12" s="7" t="s">
        <v>64</v>
      </c>
      <c r="J12" s="7" t="s">
        <v>65</v>
      </c>
      <c r="K12" s="7" t="s">
        <v>66</v>
      </c>
      <c r="L12" s="7" t="s">
        <v>67</v>
      </c>
      <c r="M12" s="7" t="s">
        <v>68</v>
      </c>
      <c r="N12" s="7" t="s">
        <v>69</v>
      </c>
      <c r="O12" s="7" t="s">
        <v>70</v>
      </c>
      <c r="P12" s="7" t="s">
        <v>181</v>
      </c>
    </row>
    <row r="13" customFormat="false" ht="14.25" hidden="false" customHeight="true" outlineLevel="0" collapsed="false">
      <c r="A13" s="41" t="n">
        <v>2027</v>
      </c>
      <c r="B13" s="8" t="s">
        <v>14</v>
      </c>
      <c r="C13" s="8" t="s">
        <v>182</v>
      </c>
      <c r="D13" s="42" t="n">
        <f aca="false">datos_base!$C$2*parametros_manuales!B$12</f>
        <v>719.67647724</v>
      </c>
      <c r="E13" s="42" t="n">
        <f aca="false">datos_base!$C$2*parametros_manuales!C$12</f>
        <v>539.75735793</v>
      </c>
      <c r="F13" s="42" t="n">
        <f aca="false">datos_base!$C$2*parametros_manuales!D$12</f>
        <v>479.78431816</v>
      </c>
      <c r="G13" s="42" t="n">
        <f aca="false">datos_base!$C$2*parametros_manuales!E$12</f>
        <v>449.797798275</v>
      </c>
      <c r="H13" s="42" t="n">
        <f aca="false">datos_base!$C$2*parametros_manuales!F$12</f>
        <v>419.81127839</v>
      </c>
      <c r="I13" s="42" t="n">
        <f aca="false">datos_base!$C$2*parametros_manuales!G$12</f>
        <v>419.81127839</v>
      </c>
      <c r="J13" s="42" t="n">
        <f aca="false">datos_base!$C$2*parametros_manuales!H$12</f>
        <v>449.797798275</v>
      </c>
      <c r="K13" s="42" t="n">
        <f aca="false">datos_base!$C$2*parametros_manuales!I$12</f>
        <v>449.797798275</v>
      </c>
      <c r="L13" s="42" t="n">
        <f aca="false">datos_base!$C$2*parametros_manuales!J$12</f>
        <v>449.797798275</v>
      </c>
      <c r="M13" s="42" t="n">
        <f aca="false">datos_base!$C$2*parametros_manuales!K$12</f>
        <v>449.797798275</v>
      </c>
      <c r="N13" s="42" t="n">
        <f aca="false">datos_base!$C$2*parametros_manuales!L$12</f>
        <v>449.797798275</v>
      </c>
      <c r="O13" s="42" t="n">
        <f aca="false">datos_base!$C$2*parametros_manuales!M$12</f>
        <v>719.67647724</v>
      </c>
      <c r="P13" s="9" t="n">
        <f aca="false">SUM(D13:O13)</f>
        <v>5997.303977</v>
      </c>
    </row>
    <row r="14" customFormat="false" ht="14.25" hidden="false" customHeight="true" outlineLevel="0" collapsed="false">
      <c r="A14" s="41" t="n">
        <v>2027</v>
      </c>
      <c r="B14" s="8" t="s">
        <v>15</v>
      </c>
      <c r="C14" s="8" t="s">
        <v>182</v>
      </c>
      <c r="D14" s="42" t="n">
        <f aca="false">datos_base!$C$3*parametros_manuales!B$13</f>
        <v>70.97274503</v>
      </c>
      <c r="E14" s="42" t="n">
        <f aca="false">datos_base!$C$3*parametros_manuales!C$13</f>
        <v>56.778196024</v>
      </c>
      <c r="F14" s="42" t="n">
        <f aca="false">datos_base!$C$3*parametros_manuales!D$13</f>
        <v>60.3268332755</v>
      </c>
      <c r="G14" s="42" t="n">
        <f aca="false">datos_base!$C$3*parametros_manuales!E$13</f>
        <v>60.3268332755</v>
      </c>
      <c r="H14" s="42" t="n">
        <f aca="false">datos_base!$C$3*parametros_manuales!F$13</f>
        <v>56.778196024</v>
      </c>
      <c r="I14" s="42" t="n">
        <f aca="false">datos_base!$C$3*parametros_manuales!G$13</f>
        <v>53.2295587725</v>
      </c>
      <c r="J14" s="42" t="n">
        <f aca="false">datos_base!$C$3*parametros_manuales!H$13</f>
        <v>56.778196024</v>
      </c>
      <c r="K14" s="42" t="n">
        <f aca="false">datos_base!$C$3*parametros_manuales!I$13</f>
        <v>56.778196024</v>
      </c>
      <c r="L14" s="42" t="n">
        <f aca="false">datos_base!$C$3*parametros_manuales!J$13</f>
        <v>56.778196024</v>
      </c>
      <c r="M14" s="42" t="n">
        <f aca="false">datos_base!$C$3*parametros_manuales!K$13</f>
        <v>53.2295587725</v>
      </c>
      <c r="N14" s="42" t="n">
        <f aca="false">datos_base!$C$3*parametros_manuales!L$13</f>
        <v>49.680921521</v>
      </c>
      <c r="O14" s="42" t="n">
        <f aca="false">datos_base!$C$3*parametros_manuales!M$13</f>
        <v>78.070019533</v>
      </c>
      <c r="P14" s="9" t="n">
        <f aca="false">SUM(D14:O14)</f>
        <v>709.7274503</v>
      </c>
    </row>
    <row r="15" customFormat="false" ht="14.25" hidden="false" customHeight="true" outlineLevel="0" collapsed="false">
      <c r="A15" s="41" t="n">
        <v>2027</v>
      </c>
      <c r="B15" s="8" t="s">
        <v>16</v>
      </c>
      <c r="C15" s="8" t="s">
        <v>182</v>
      </c>
      <c r="D15" s="42" t="n">
        <f aca="false">datos_base!$C$4*parametros_manuales!B$14</f>
        <v>384.6978881</v>
      </c>
      <c r="E15" s="42" t="n">
        <f aca="false">datos_base!$C$4*parametros_manuales!C$14</f>
        <v>307.75831048</v>
      </c>
      <c r="F15" s="42" t="n">
        <f aca="false">datos_base!$C$4*parametros_manuales!D$14</f>
        <v>326.993204885</v>
      </c>
      <c r="G15" s="42" t="n">
        <f aca="false">datos_base!$C$4*parametros_manuales!E$14</f>
        <v>326.993204885</v>
      </c>
      <c r="H15" s="42" t="n">
        <f aca="false">datos_base!$C$4*parametros_manuales!F$14</f>
        <v>307.75831048</v>
      </c>
      <c r="I15" s="42" t="n">
        <f aca="false">datos_base!$C$4*parametros_manuales!G$14</f>
        <v>288.523416075</v>
      </c>
      <c r="J15" s="42" t="n">
        <f aca="false">datos_base!$C$4*parametros_manuales!H$14</f>
        <v>307.75831048</v>
      </c>
      <c r="K15" s="42" t="n">
        <f aca="false">datos_base!$C$4*parametros_manuales!I$14</f>
        <v>307.75831048</v>
      </c>
      <c r="L15" s="42" t="n">
        <f aca="false">datos_base!$C$4*parametros_manuales!J$14</f>
        <v>307.75831048</v>
      </c>
      <c r="M15" s="42" t="n">
        <f aca="false">datos_base!$C$4*parametros_manuales!K$14</f>
        <v>288.523416075</v>
      </c>
      <c r="N15" s="42" t="n">
        <f aca="false">datos_base!$C$4*parametros_manuales!L$14</f>
        <v>269.28852167</v>
      </c>
      <c r="O15" s="42" t="n">
        <f aca="false">datos_base!$C$4*parametros_manuales!M$14</f>
        <v>423.16767691</v>
      </c>
      <c r="P15" s="9" t="n">
        <f aca="false">SUM(D15:O15)</f>
        <v>3846.978881</v>
      </c>
    </row>
    <row r="16" customFormat="false" ht="14.25" hidden="false" customHeight="true" outlineLevel="0" collapsed="false">
      <c r="A16" s="41" t="n">
        <v>2027</v>
      </c>
      <c r="B16" s="8" t="s">
        <v>17</v>
      </c>
      <c r="C16" s="8" t="s">
        <v>182</v>
      </c>
      <c r="D16" s="42" t="n">
        <f aca="false">datos_base!$C$5*parametros_manuales!B$15</f>
        <v>17.72472967</v>
      </c>
      <c r="E16" s="42" t="n">
        <f aca="false">datos_base!$C$5*parametros_manuales!C$15</f>
        <v>14.179783736</v>
      </c>
      <c r="F16" s="42" t="n">
        <f aca="false">datos_base!$C$5*parametros_manuales!D$15</f>
        <v>15.0660202195</v>
      </c>
      <c r="G16" s="42" t="n">
        <f aca="false">datos_base!$C$5*parametros_manuales!E$15</f>
        <v>15.0660202195</v>
      </c>
      <c r="H16" s="42" t="n">
        <f aca="false">datos_base!$C$5*parametros_manuales!F$15</f>
        <v>14.179783736</v>
      </c>
      <c r="I16" s="42" t="n">
        <f aca="false">datos_base!$C$5*parametros_manuales!G$15</f>
        <v>13.2935472525</v>
      </c>
      <c r="J16" s="42" t="n">
        <f aca="false">datos_base!$C$5*parametros_manuales!H$15</f>
        <v>14.179783736</v>
      </c>
      <c r="K16" s="42" t="n">
        <f aca="false">datos_base!$C$5*parametros_manuales!I$15</f>
        <v>14.179783736</v>
      </c>
      <c r="L16" s="42" t="n">
        <f aca="false">datos_base!$C$5*parametros_manuales!J$15</f>
        <v>14.179783736</v>
      </c>
      <c r="M16" s="42" t="n">
        <f aca="false">datos_base!$C$5*parametros_manuales!K$15</f>
        <v>13.2935472525</v>
      </c>
      <c r="N16" s="42" t="n">
        <f aca="false">datos_base!$C$5*parametros_manuales!L$15</f>
        <v>12.407310769</v>
      </c>
      <c r="O16" s="42" t="n">
        <f aca="false">datos_base!$C$5*parametros_manuales!M$15</f>
        <v>19.497202637</v>
      </c>
      <c r="P16" s="9" t="n">
        <f aca="false">SUM(D16:O16)</f>
        <v>177.2472967</v>
      </c>
    </row>
    <row r="17" customFormat="false" ht="14.25" hidden="false" customHeight="true" outlineLevel="0" collapsed="false">
      <c r="A17" s="41" t="n">
        <v>2027</v>
      </c>
      <c r="B17" s="8" t="s">
        <v>20</v>
      </c>
      <c r="C17" s="8" t="s">
        <v>183</v>
      </c>
      <c r="D17" s="42" t="n">
        <f aca="false">datos_base!$C$9*parametros_manuales!B$12</f>
        <v>0</v>
      </c>
      <c r="E17" s="42" t="n">
        <f aca="false">datos_base!$C$9*parametros_manuales!C$12</f>
        <v>0</v>
      </c>
      <c r="F17" s="42" t="n">
        <f aca="false">datos_base!$C$9*parametros_manuales!D$12</f>
        <v>0</v>
      </c>
      <c r="G17" s="42" t="n">
        <f aca="false">datos_base!$C$9*parametros_manuales!E$12</f>
        <v>0</v>
      </c>
      <c r="H17" s="42" t="n">
        <f aca="false">datos_base!$C$9*parametros_manuales!F$12</f>
        <v>0</v>
      </c>
      <c r="I17" s="42" t="n">
        <f aca="false">datos_base!$C$9*parametros_manuales!G$12</f>
        <v>0</v>
      </c>
      <c r="J17" s="42" t="n">
        <f aca="false">datos_base!$C$9*parametros_manuales!H$12</f>
        <v>0</v>
      </c>
      <c r="K17" s="42" t="n">
        <f aca="false">datos_base!$C$9*parametros_manuales!I$12</f>
        <v>0</v>
      </c>
      <c r="L17" s="42" t="n">
        <f aca="false">datos_base!$C$9*parametros_manuales!J$12</f>
        <v>0</v>
      </c>
      <c r="M17" s="42" t="n">
        <f aca="false">datos_base!$C$9*parametros_manuales!K$12</f>
        <v>0</v>
      </c>
      <c r="N17" s="42" t="n">
        <f aca="false">datos_base!$C$9*parametros_manuales!L$12</f>
        <v>0</v>
      </c>
      <c r="O17" s="42" t="n">
        <f aca="false">datos_base!$C$9*parametros_manuales!M$12</f>
        <v>0</v>
      </c>
      <c r="P17" s="9" t="n">
        <f aca="false">SUM(D17:O17)</f>
        <v>0</v>
      </c>
    </row>
    <row r="18" customFormat="false" ht="14.25" hidden="false" customHeight="true" outlineLevel="0" collapsed="false">
      <c r="A18" s="41" t="n">
        <v>2027</v>
      </c>
      <c r="B18" s="8" t="s">
        <v>21</v>
      </c>
      <c r="C18" s="8" t="s">
        <v>183</v>
      </c>
      <c r="D18" s="42" t="n">
        <f aca="false">datos_base!$C$10*parametros_manuales!B$13</f>
        <v>0</v>
      </c>
      <c r="E18" s="42" t="n">
        <f aca="false">datos_base!$C$10*parametros_manuales!C$13</f>
        <v>0</v>
      </c>
      <c r="F18" s="42" t="n">
        <f aca="false">datos_base!$C$10*parametros_manuales!D$13</f>
        <v>0</v>
      </c>
      <c r="G18" s="42" t="n">
        <f aca="false">datos_base!$C$10*parametros_manuales!E$13</f>
        <v>0</v>
      </c>
      <c r="H18" s="42" t="n">
        <f aca="false">datos_base!$C$10*parametros_manuales!F$13</f>
        <v>0</v>
      </c>
      <c r="I18" s="42" t="n">
        <f aca="false">datos_base!$C$10*parametros_manuales!G$13</f>
        <v>0</v>
      </c>
      <c r="J18" s="42" t="n">
        <f aca="false">datos_base!$C$10*parametros_manuales!H$13</f>
        <v>0</v>
      </c>
      <c r="K18" s="42" t="n">
        <f aca="false">datos_base!$C$10*parametros_manuales!I$13</f>
        <v>0</v>
      </c>
      <c r="L18" s="42" t="n">
        <f aca="false">datos_base!$C$10*parametros_manuales!J$13</f>
        <v>0</v>
      </c>
      <c r="M18" s="42" t="n">
        <f aca="false">datos_base!$C$10*parametros_manuales!K$13</f>
        <v>0</v>
      </c>
      <c r="N18" s="42" t="n">
        <f aca="false">datos_base!$C$10*parametros_manuales!L$13</f>
        <v>0</v>
      </c>
      <c r="O18" s="42" t="n">
        <f aca="false">datos_base!$C$10*parametros_manuales!M$13</f>
        <v>0</v>
      </c>
      <c r="P18" s="9" t="n">
        <f aca="false">SUM(D18:O18)</f>
        <v>0</v>
      </c>
    </row>
    <row r="19" customFormat="false" ht="14.25" hidden="false" customHeight="true" outlineLevel="0" collapsed="false">
      <c r="A19" s="41" t="n">
        <v>2027</v>
      </c>
      <c r="B19" s="8" t="s">
        <v>22</v>
      </c>
      <c r="C19" s="8" t="s">
        <v>183</v>
      </c>
      <c r="D19" s="42" t="n">
        <f aca="false">datos_base!$C$11*parametros_manuales!B$14</f>
        <v>0</v>
      </c>
      <c r="E19" s="42" t="n">
        <f aca="false">datos_base!$C$11*parametros_manuales!C$14</f>
        <v>0</v>
      </c>
      <c r="F19" s="42" t="n">
        <f aca="false">datos_base!$C$11*parametros_manuales!D$14</f>
        <v>0</v>
      </c>
      <c r="G19" s="42" t="n">
        <f aca="false">datos_base!$C$11*parametros_manuales!E$14</f>
        <v>0</v>
      </c>
      <c r="H19" s="42" t="n">
        <f aca="false">datos_base!$C$11*parametros_manuales!F$14</f>
        <v>0</v>
      </c>
      <c r="I19" s="42" t="n">
        <f aca="false">datos_base!$C$11*parametros_manuales!G$14</f>
        <v>0</v>
      </c>
      <c r="J19" s="42" t="n">
        <f aca="false">datos_base!$C$11*parametros_manuales!H$14</f>
        <v>0</v>
      </c>
      <c r="K19" s="42" t="n">
        <f aca="false">datos_base!$C$11*parametros_manuales!I$14</f>
        <v>0</v>
      </c>
      <c r="L19" s="42" t="n">
        <f aca="false">datos_base!$C$11*parametros_manuales!J$14</f>
        <v>0</v>
      </c>
      <c r="M19" s="42" t="n">
        <f aca="false">datos_base!$C$11*parametros_manuales!K$14</f>
        <v>0</v>
      </c>
      <c r="N19" s="42" t="n">
        <f aca="false">datos_base!$C$11*parametros_manuales!L$14</f>
        <v>0</v>
      </c>
      <c r="O19" s="42" t="n">
        <f aca="false">datos_base!$C$11*parametros_manuales!M$14</f>
        <v>0</v>
      </c>
      <c r="P19" s="9" t="n">
        <f aca="false">SUM(D19:O19)</f>
        <v>0</v>
      </c>
    </row>
    <row r="20" customFormat="false" ht="14.25" hidden="false" customHeight="true" outlineLevel="0" collapsed="false">
      <c r="A20" s="41" t="n">
        <v>2027</v>
      </c>
      <c r="B20" s="8" t="s">
        <v>23</v>
      </c>
      <c r="C20" s="8" t="s">
        <v>183</v>
      </c>
      <c r="D20" s="42" t="n">
        <f aca="false">datos_base!$C$12*parametros_manuales!B$15</f>
        <v>0</v>
      </c>
      <c r="E20" s="42" t="n">
        <f aca="false">datos_base!$C$12*parametros_manuales!C$15</f>
        <v>0</v>
      </c>
      <c r="F20" s="42" t="n">
        <f aca="false">datos_base!$C$12*parametros_manuales!D$15</f>
        <v>0</v>
      </c>
      <c r="G20" s="42" t="n">
        <f aca="false">datos_base!$C$12*parametros_manuales!E$15</f>
        <v>0</v>
      </c>
      <c r="H20" s="42" t="n">
        <f aca="false">datos_base!$C$12*parametros_manuales!F$15</f>
        <v>0</v>
      </c>
      <c r="I20" s="42" t="n">
        <f aca="false">datos_base!$C$12*parametros_manuales!G$15</f>
        <v>0</v>
      </c>
      <c r="J20" s="42" t="n">
        <f aca="false">datos_base!$C$12*parametros_manuales!H$15</f>
        <v>0</v>
      </c>
      <c r="K20" s="42" t="n">
        <f aca="false">datos_base!$C$12*parametros_manuales!I$15</f>
        <v>0</v>
      </c>
      <c r="L20" s="42" t="n">
        <f aca="false">datos_base!$C$12*parametros_manuales!J$15</f>
        <v>0</v>
      </c>
      <c r="M20" s="42" t="n">
        <f aca="false">datos_base!$C$12*parametros_manuales!K$15</f>
        <v>0</v>
      </c>
      <c r="N20" s="42" t="n">
        <f aca="false">datos_base!$C$12*parametros_manuales!L$15</f>
        <v>0</v>
      </c>
      <c r="O20" s="42" t="n">
        <f aca="false">datos_base!$C$12*parametros_manuales!M$15</f>
        <v>0</v>
      </c>
      <c r="P20" s="9" t="n">
        <f aca="false">SUM(D20:O20)</f>
        <v>0</v>
      </c>
    </row>
    <row r="21" customFormat="false" ht="14.25" hidden="false" customHeight="true" outlineLevel="0" collapsed="false">
      <c r="B21" s="10" t="s">
        <v>184</v>
      </c>
      <c r="D21" s="11" t="n">
        <f aca="false">SUM(D13:D20)</f>
        <v>1193.07184004</v>
      </c>
      <c r="E21" s="11" t="n">
        <f aca="false">SUM(E13:E20)</f>
        <v>918.47364817</v>
      </c>
      <c r="F21" s="11" t="n">
        <f aca="false">SUM(F13:F20)</f>
        <v>882.17037654</v>
      </c>
      <c r="G21" s="11" t="n">
        <f aca="false">SUM(G13:G20)</f>
        <v>852.183856655</v>
      </c>
      <c r="H21" s="11" t="n">
        <f aca="false">SUM(H13:H20)</f>
        <v>798.52756863</v>
      </c>
      <c r="I21" s="11" t="n">
        <f aca="false">SUM(I13:I20)</f>
        <v>774.85780049</v>
      </c>
      <c r="J21" s="11" t="n">
        <f aca="false">SUM(J13:J20)</f>
        <v>828.514088515</v>
      </c>
      <c r="K21" s="11" t="n">
        <f aca="false">SUM(K13:K20)</f>
        <v>828.514088515</v>
      </c>
      <c r="L21" s="11" t="n">
        <f aca="false">SUM(L13:L20)</f>
        <v>828.514088515</v>
      </c>
      <c r="M21" s="11" t="n">
        <f aca="false">SUM(M13:M20)</f>
        <v>804.844320375</v>
      </c>
      <c r="N21" s="11" t="n">
        <f aca="false">SUM(N13:N20)</f>
        <v>781.174552235</v>
      </c>
      <c r="O21" s="11" t="n">
        <f aca="false">SUM(O13:O20)</f>
        <v>1240.41137632</v>
      </c>
      <c r="P21" s="11" t="n">
        <f aca="false">SUM(P13:P20)</f>
        <v>10731.257605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7" t="n">
        <v>2028</v>
      </c>
      <c r="B23" s="7" t="s">
        <v>179</v>
      </c>
      <c r="C23" s="7" t="s">
        <v>180</v>
      </c>
      <c r="D23" s="7" t="s">
        <v>59</v>
      </c>
      <c r="E23" s="7" t="s">
        <v>60</v>
      </c>
      <c r="F23" s="7" t="s">
        <v>61</v>
      </c>
      <c r="G23" s="7" t="s">
        <v>62</v>
      </c>
      <c r="H23" s="7" t="s">
        <v>63</v>
      </c>
      <c r="I23" s="7" t="s">
        <v>64</v>
      </c>
      <c r="J23" s="7" t="s">
        <v>65</v>
      </c>
      <c r="K23" s="7" t="s">
        <v>66</v>
      </c>
      <c r="L23" s="7" t="s">
        <v>67</v>
      </c>
      <c r="M23" s="7" t="s">
        <v>68</v>
      </c>
      <c r="N23" s="7" t="s">
        <v>69</v>
      </c>
      <c r="O23" s="7" t="s">
        <v>70</v>
      </c>
      <c r="P23" s="7" t="s">
        <v>181</v>
      </c>
    </row>
    <row r="24" customFormat="false" ht="14.25" hidden="false" customHeight="true" outlineLevel="0" collapsed="false">
      <c r="A24" s="41" t="n">
        <v>2028</v>
      </c>
      <c r="B24" s="8" t="s">
        <v>14</v>
      </c>
      <c r="C24" s="8" t="s">
        <v>182</v>
      </c>
      <c r="D24" s="42" t="n">
        <f aca="false">datos_base!$D$2*parametros_manuales!B$12</f>
        <v>822.20973096</v>
      </c>
      <c r="E24" s="42" t="n">
        <f aca="false">datos_base!$D$2*parametros_manuales!C$12</f>
        <v>616.65729822</v>
      </c>
      <c r="F24" s="42" t="n">
        <f aca="false">datos_base!$D$2*parametros_manuales!D$12</f>
        <v>548.13982064</v>
      </c>
      <c r="G24" s="42" t="n">
        <f aca="false">datos_base!$D$2*parametros_manuales!E$12</f>
        <v>513.88108185</v>
      </c>
      <c r="H24" s="42" t="n">
        <f aca="false">datos_base!$D$2*parametros_manuales!F$12</f>
        <v>479.62234306</v>
      </c>
      <c r="I24" s="42" t="n">
        <f aca="false">datos_base!$D$2*parametros_manuales!G$12</f>
        <v>479.62234306</v>
      </c>
      <c r="J24" s="42" t="n">
        <f aca="false">datos_base!$D$2*parametros_manuales!H$12</f>
        <v>513.88108185</v>
      </c>
      <c r="K24" s="42" t="n">
        <f aca="false">datos_base!$D$2*parametros_manuales!I$12</f>
        <v>513.88108185</v>
      </c>
      <c r="L24" s="42" t="n">
        <f aca="false">datos_base!$D$2*parametros_manuales!J$12</f>
        <v>513.88108185</v>
      </c>
      <c r="M24" s="42" t="n">
        <f aca="false">datos_base!$D$2*parametros_manuales!K$12</f>
        <v>513.88108185</v>
      </c>
      <c r="N24" s="42" t="n">
        <f aca="false">datos_base!$D$2*parametros_manuales!L$12</f>
        <v>513.88108185</v>
      </c>
      <c r="O24" s="42" t="n">
        <f aca="false">datos_base!$D$2*parametros_manuales!M$12</f>
        <v>822.20973096</v>
      </c>
      <c r="P24" s="9" t="n">
        <f aca="false">SUM(D24:O24)</f>
        <v>6851.747758</v>
      </c>
    </row>
    <row r="25" customFormat="false" ht="14.25" hidden="false" customHeight="true" outlineLevel="0" collapsed="false">
      <c r="A25" s="41" t="n">
        <v>2028</v>
      </c>
      <c r="B25" s="8" t="s">
        <v>15</v>
      </c>
      <c r="C25" s="8" t="s">
        <v>182</v>
      </c>
      <c r="D25" s="42" t="n">
        <f aca="false">datos_base!$D$3*parametros_manuales!B$13</f>
        <v>98.68680576</v>
      </c>
      <c r="E25" s="42" t="n">
        <f aca="false">datos_base!$D$3*parametros_manuales!C$13</f>
        <v>78.949444608</v>
      </c>
      <c r="F25" s="42" t="n">
        <f aca="false">datos_base!$D$3*parametros_manuales!D$13</f>
        <v>83.883784896</v>
      </c>
      <c r="G25" s="42" t="n">
        <f aca="false">datos_base!$D$3*parametros_manuales!E$13</f>
        <v>83.883784896</v>
      </c>
      <c r="H25" s="42" t="n">
        <f aca="false">datos_base!$D$3*parametros_manuales!F$13</f>
        <v>78.949444608</v>
      </c>
      <c r="I25" s="42" t="n">
        <f aca="false">datos_base!$D$3*parametros_manuales!G$13</f>
        <v>74.01510432</v>
      </c>
      <c r="J25" s="42" t="n">
        <f aca="false">datos_base!$D$3*parametros_manuales!H$13</f>
        <v>78.949444608</v>
      </c>
      <c r="K25" s="42" t="n">
        <f aca="false">datos_base!$D$3*parametros_manuales!I$13</f>
        <v>78.949444608</v>
      </c>
      <c r="L25" s="42" t="n">
        <f aca="false">datos_base!$D$3*parametros_manuales!J$13</f>
        <v>78.949444608</v>
      </c>
      <c r="M25" s="42" t="n">
        <f aca="false">datos_base!$D$3*parametros_manuales!K$13</f>
        <v>74.01510432</v>
      </c>
      <c r="N25" s="42" t="n">
        <f aca="false">datos_base!$D$3*parametros_manuales!L$13</f>
        <v>69.080764032</v>
      </c>
      <c r="O25" s="42" t="n">
        <f aca="false">datos_base!$D$3*parametros_manuales!M$13</f>
        <v>108.555486336</v>
      </c>
      <c r="P25" s="9" t="n">
        <f aca="false">SUM(D25:O25)</f>
        <v>986.8680576</v>
      </c>
    </row>
    <row r="26" customFormat="false" ht="14.25" hidden="false" customHeight="true" outlineLevel="0" collapsed="false">
      <c r="A26" s="41" t="n">
        <v>2028</v>
      </c>
      <c r="B26" s="8" t="s">
        <v>16</v>
      </c>
      <c r="C26" s="8" t="s">
        <v>182</v>
      </c>
      <c r="D26" s="42" t="n">
        <f aca="false">datos_base!$D$4*parametros_manuales!B$14</f>
        <v>509.3537591</v>
      </c>
      <c r="E26" s="42" t="n">
        <f aca="false">datos_base!$D$4*parametros_manuales!C$14</f>
        <v>407.48300728</v>
      </c>
      <c r="F26" s="42" t="n">
        <f aca="false">datos_base!$D$4*parametros_manuales!D$14</f>
        <v>432.950695235</v>
      </c>
      <c r="G26" s="42" t="n">
        <f aca="false">datos_base!$D$4*parametros_manuales!E$14</f>
        <v>432.950695235</v>
      </c>
      <c r="H26" s="42" t="n">
        <f aca="false">datos_base!$D$4*parametros_manuales!F$14</f>
        <v>407.48300728</v>
      </c>
      <c r="I26" s="42" t="n">
        <f aca="false">datos_base!$D$4*parametros_manuales!G$14</f>
        <v>382.015319325</v>
      </c>
      <c r="J26" s="42" t="n">
        <f aca="false">datos_base!$D$4*parametros_manuales!H$14</f>
        <v>407.48300728</v>
      </c>
      <c r="K26" s="42" t="n">
        <f aca="false">datos_base!$D$4*parametros_manuales!I$14</f>
        <v>407.48300728</v>
      </c>
      <c r="L26" s="42" t="n">
        <f aca="false">datos_base!$D$4*parametros_manuales!J$14</f>
        <v>407.48300728</v>
      </c>
      <c r="M26" s="42" t="n">
        <f aca="false">datos_base!$D$4*parametros_manuales!K$14</f>
        <v>382.015319325</v>
      </c>
      <c r="N26" s="42" t="n">
        <f aca="false">datos_base!$D$4*parametros_manuales!L$14</f>
        <v>356.54763137</v>
      </c>
      <c r="O26" s="42" t="n">
        <f aca="false">datos_base!$D$4*parametros_manuales!M$14</f>
        <v>560.28913501</v>
      </c>
      <c r="P26" s="9" t="n">
        <f aca="false">SUM(D26:O26)</f>
        <v>5093.537591</v>
      </c>
    </row>
    <row r="27" customFormat="false" ht="14.25" hidden="false" customHeight="true" outlineLevel="0" collapsed="false">
      <c r="A27" s="41" t="n">
        <v>2028</v>
      </c>
      <c r="B27" s="8" t="s">
        <v>17</v>
      </c>
      <c r="C27" s="8" t="s">
        <v>182</v>
      </c>
      <c r="D27" s="42" t="n">
        <f aca="false">datos_base!$D$5*parametros_manuales!B$15</f>
        <v>25.29787798</v>
      </c>
      <c r="E27" s="42" t="n">
        <f aca="false">datos_base!$D$5*parametros_manuales!C$15</f>
        <v>20.238302384</v>
      </c>
      <c r="F27" s="42" t="n">
        <f aca="false">datos_base!$D$5*parametros_manuales!D$15</f>
        <v>21.503196283</v>
      </c>
      <c r="G27" s="42" t="n">
        <f aca="false">datos_base!$D$5*parametros_manuales!E$15</f>
        <v>21.503196283</v>
      </c>
      <c r="H27" s="42" t="n">
        <f aca="false">datos_base!$D$5*parametros_manuales!F$15</f>
        <v>20.238302384</v>
      </c>
      <c r="I27" s="42" t="n">
        <f aca="false">datos_base!$D$5*parametros_manuales!G$15</f>
        <v>18.973408485</v>
      </c>
      <c r="J27" s="42" t="n">
        <f aca="false">datos_base!$D$5*parametros_manuales!H$15</f>
        <v>20.238302384</v>
      </c>
      <c r="K27" s="42" t="n">
        <f aca="false">datos_base!$D$5*parametros_manuales!I$15</f>
        <v>20.238302384</v>
      </c>
      <c r="L27" s="42" t="n">
        <f aca="false">datos_base!$D$5*parametros_manuales!J$15</f>
        <v>20.238302384</v>
      </c>
      <c r="M27" s="42" t="n">
        <f aca="false">datos_base!$D$5*parametros_manuales!K$15</f>
        <v>18.973408485</v>
      </c>
      <c r="N27" s="42" t="n">
        <f aca="false">datos_base!$D$5*parametros_manuales!L$15</f>
        <v>17.708514586</v>
      </c>
      <c r="O27" s="42" t="n">
        <f aca="false">datos_base!$D$5*parametros_manuales!M$15</f>
        <v>27.827665778</v>
      </c>
      <c r="P27" s="9" t="n">
        <f aca="false">SUM(D27:O27)</f>
        <v>252.9787798</v>
      </c>
    </row>
    <row r="28" customFormat="false" ht="14.25" hidden="false" customHeight="true" outlineLevel="0" collapsed="false">
      <c r="A28" s="41" t="n">
        <v>2028</v>
      </c>
      <c r="B28" s="8" t="s">
        <v>20</v>
      </c>
      <c r="C28" s="8" t="s">
        <v>183</v>
      </c>
      <c r="D28" s="42" t="n">
        <f aca="false">datos_base!$D$9*parametros_manuales!B$12</f>
        <v>919.488</v>
      </c>
      <c r="E28" s="42" t="n">
        <f aca="false">datos_base!$D$9*parametros_manuales!C$12</f>
        <v>689.616</v>
      </c>
      <c r="F28" s="42" t="n">
        <f aca="false">datos_base!$D$9*parametros_manuales!D$12</f>
        <v>612.992</v>
      </c>
      <c r="G28" s="42" t="n">
        <f aca="false">datos_base!$D$9*parametros_manuales!E$12</f>
        <v>574.68</v>
      </c>
      <c r="H28" s="42" t="n">
        <f aca="false">datos_base!$D$9*parametros_manuales!F$12</f>
        <v>536.368</v>
      </c>
      <c r="I28" s="42" t="n">
        <f aca="false">datos_base!$D$9*parametros_manuales!G$12</f>
        <v>536.368</v>
      </c>
      <c r="J28" s="42" t="n">
        <f aca="false">datos_base!$D$9*parametros_manuales!H$12</f>
        <v>574.68</v>
      </c>
      <c r="K28" s="42" t="n">
        <f aca="false">datos_base!$D$9*parametros_manuales!I$12</f>
        <v>574.68</v>
      </c>
      <c r="L28" s="42" t="n">
        <f aca="false">datos_base!$D$9*parametros_manuales!J$12</f>
        <v>574.68</v>
      </c>
      <c r="M28" s="42" t="n">
        <f aca="false">datos_base!$D$9*parametros_manuales!K$12</f>
        <v>574.68</v>
      </c>
      <c r="N28" s="42" t="n">
        <f aca="false">datos_base!$D$9*parametros_manuales!L$12</f>
        <v>574.68</v>
      </c>
      <c r="O28" s="42" t="n">
        <f aca="false">datos_base!$D$9*parametros_manuales!M$12</f>
        <v>919.488</v>
      </c>
      <c r="P28" s="9" t="n">
        <f aca="false">SUM(D28:O28)</f>
        <v>7662.4</v>
      </c>
    </row>
    <row r="29" customFormat="false" ht="14.25" hidden="false" customHeight="true" outlineLevel="0" collapsed="false">
      <c r="A29" s="41" t="n">
        <v>2028</v>
      </c>
      <c r="B29" s="8" t="s">
        <v>21</v>
      </c>
      <c r="C29" s="8" t="s">
        <v>183</v>
      </c>
      <c r="D29" s="42" t="n">
        <f aca="false">datos_base!$D$10*parametros_manuales!B$13</f>
        <v>29.96</v>
      </c>
      <c r="E29" s="42" t="n">
        <f aca="false">datos_base!$D$10*parametros_manuales!C$13</f>
        <v>23.968</v>
      </c>
      <c r="F29" s="42" t="n">
        <f aca="false">datos_base!$D$10*parametros_manuales!D$13</f>
        <v>25.466</v>
      </c>
      <c r="G29" s="42" t="n">
        <f aca="false">datos_base!$D$10*parametros_manuales!E$13</f>
        <v>25.466</v>
      </c>
      <c r="H29" s="42" t="n">
        <f aca="false">datos_base!$D$10*parametros_manuales!F$13</f>
        <v>23.968</v>
      </c>
      <c r="I29" s="42" t="n">
        <f aca="false">datos_base!$D$10*parametros_manuales!G$13</f>
        <v>22.47</v>
      </c>
      <c r="J29" s="42" t="n">
        <f aca="false">datos_base!$D$10*parametros_manuales!H$13</f>
        <v>23.968</v>
      </c>
      <c r="K29" s="42" t="n">
        <f aca="false">datos_base!$D$10*parametros_manuales!I$13</f>
        <v>23.968</v>
      </c>
      <c r="L29" s="42" t="n">
        <f aca="false">datos_base!$D$10*parametros_manuales!J$13</f>
        <v>23.968</v>
      </c>
      <c r="M29" s="42" t="n">
        <f aca="false">datos_base!$D$10*parametros_manuales!K$13</f>
        <v>22.47</v>
      </c>
      <c r="N29" s="42" t="n">
        <f aca="false">datos_base!$D$10*parametros_manuales!L$13</f>
        <v>20.972</v>
      </c>
      <c r="O29" s="42" t="n">
        <f aca="false">datos_base!$D$10*parametros_manuales!M$13</f>
        <v>32.956</v>
      </c>
      <c r="P29" s="9" t="n">
        <f aca="false">SUM(D29:O29)</f>
        <v>299.6</v>
      </c>
    </row>
    <row r="30" customFormat="false" ht="14.25" hidden="false" customHeight="true" outlineLevel="0" collapsed="false">
      <c r="A30" s="41" t="n">
        <v>2028</v>
      </c>
      <c r="B30" s="8" t="s">
        <v>22</v>
      </c>
      <c r="C30" s="8" t="s">
        <v>183</v>
      </c>
      <c r="D30" s="42" t="n">
        <f aca="false">datos_base!$D$11*parametros_manuales!B$14</f>
        <v>147.88</v>
      </c>
      <c r="E30" s="42" t="n">
        <f aca="false">datos_base!$D$11*parametros_manuales!C$14</f>
        <v>118.304</v>
      </c>
      <c r="F30" s="42" t="n">
        <f aca="false">datos_base!$D$11*parametros_manuales!D$14</f>
        <v>125.698</v>
      </c>
      <c r="G30" s="42" t="n">
        <f aca="false">datos_base!$D$11*parametros_manuales!E$14</f>
        <v>125.698</v>
      </c>
      <c r="H30" s="42" t="n">
        <f aca="false">datos_base!$D$11*parametros_manuales!F$14</f>
        <v>118.304</v>
      </c>
      <c r="I30" s="42" t="n">
        <f aca="false">datos_base!$D$11*parametros_manuales!G$14</f>
        <v>110.91</v>
      </c>
      <c r="J30" s="42" t="n">
        <f aca="false">datos_base!$D$11*parametros_manuales!H$14</f>
        <v>118.304</v>
      </c>
      <c r="K30" s="42" t="n">
        <f aca="false">datos_base!$D$11*parametros_manuales!I$14</f>
        <v>118.304</v>
      </c>
      <c r="L30" s="42" t="n">
        <f aca="false">datos_base!$D$11*parametros_manuales!J$14</f>
        <v>118.304</v>
      </c>
      <c r="M30" s="42" t="n">
        <f aca="false">datos_base!$D$11*parametros_manuales!K$14</f>
        <v>110.91</v>
      </c>
      <c r="N30" s="42" t="n">
        <f aca="false">datos_base!$D$11*parametros_manuales!L$14</f>
        <v>103.516</v>
      </c>
      <c r="O30" s="42" t="n">
        <f aca="false">datos_base!$D$11*parametros_manuales!M$14</f>
        <v>162.668</v>
      </c>
      <c r="P30" s="9" t="n">
        <f aca="false">SUM(D30:O30)</f>
        <v>1478.8</v>
      </c>
    </row>
    <row r="31" customFormat="false" ht="14.25" hidden="false" customHeight="true" outlineLevel="0" collapsed="false">
      <c r="A31" s="41" t="n">
        <v>2028</v>
      </c>
      <c r="B31" s="8" t="s">
        <v>23</v>
      </c>
      <c r="C31" s="8" t="s">
        <v>183</v>
      </c>
      <c r="D31" s="42" t="n">
        <f aca="false">datos_base!$D$12*parametros_manuales!B$15</f>
        <v>9.04</v>
      </c>
      <c r="E31" s="42" t="n">
        <f aca="false">datos_base!$D$12*parametros_manuales!C$15</f>
        <v>7.232</v>
      </c>
      <c r="F31" s="42" t="n">
        <f aca="false">datos_base!$D$12*parametros_manuales!D$15</f>
        <v>7.684</v>
      </c>
      <c r="G31" s="42" t="n">
        <f aca="false">datos_base!$D$12*parametros_manuales!E$15</f>
        <v>7.684</v>
      </c>
      <c r="H31" s="42" t="n">
        <f aca="false">datos_base!$D$12*parametros_manuales!F$15</f>
        <v>7.232</v>
      </c>
      <c r="I31" s="42" t="n">
        <f aca="false">datos_base!$D$12*parametros_manuales!G$15</f>
        <v>6.78</v>
      </c>
      <c r="J31" s="42" t="n">
        <f aca="false">datos_base!$D$12*parametros_manuales!H$15</f>
        <v>7.232</v>
      </c>
      <c r="K31" s="42" t="n">
        <f aca="false">datos_base!$D$12*parametros_manuales!I$15</f>
        <v>7.232</v>
      </c>
      <c r="L31" s="42" t="n">
        <f aca="false">datos_base!$D$12*parametros_manuales!J$15</f>
        <v>7.232</v>
      </c>
      <c r="M31" s="42" t="n">
        <f aca="false">datos_base!$D$12*parametros_manuales!K$15</f>
        <v>6.78</v>
      </c>
      <c r="N31" s="42" t="n">
        <f aca="false">datos_base!$D$12*parametros_manuales!L$15</f>
        <v>6.328</v>
      </c>
      <c r="O31" s="42" t="n">
        <f aca="false">datos_base!$D$12*parametros_manuales!M$15</f>
        <v>9.944</v>
      </c>
      <c r="P31" s="9" t="n">
        <f aca="false">SUM(D31:O31)</f>
        <v>90.4</v>
      </c>
    </row>
    <row r="32" customFormat="false" ht="14.25" hidden="false" customHeight="true" outlineLevel="0" collapsed="false">
      <c r="B32" s="10" t="s">
        <v>184</v>
      </c>
      <c r="D32" s="11" t="n">
        <f aca="false">SUM(D24:D31)</f>
        <v>2561.9161738</v>
      </c>
      <c r="E32" s="11" t="n">
        <f aca="false">SUM(E24:E31)</f>
        <v>1962.448052492</v>
      </c>
      <c r="F32" s="11" t="n">
        <f aca="false">SUM(F24:F31)</f>
        <v>1858.317497054</v>
      </c>
      <c r="G32" s="11" t="n">
        <f aca="false">SUM(G24:G31)</f>
        <v>1785.746758264</v>
      </c>
      <c r="H32" s="11" t="n">
        <f aca="false">SUM(H24:H31)</f>
        <v>1672.165097332</v>
      </c>
      <c r="I32" s="11" t="n">
        <f aca="false">SUM(I24:I31)</f>
        <v>1631.15417519</v>
      </c>
      <c r="J32" s="11" t="n">
        <f aca="false">SUM(J24:J31)</f>
        <v>1744.735836122</v>
      </c>
      <c r="K32" s="11" t="n">
        <f aca="false">SUM(K24:K31)</f>
        <v>1744.735836122</v>
      </c>
      <c r="L32" s="11" t="n">
        <f aca="false">SUM(L24:L31)</f>
        <v>1744.735836122</v>
      </c>
      <c r="M32" s="11" t="n">
        <f aca="false">SUM(M24:M31)</f>
        <v>1703.72491398</v>
      </c>
      <c r="N32" s="11" t="n">
        <f aca="false">SUM(N24:N31)</f>
        <v>1662.713991838</v>
      </c>
      <c r="O32" s="11" t="n">
        <f aca="false">SUM(O24:O31)</f>
        <v>2643.938018084</v>
      </c>
      <c r="P32" s="11" t="n">
        <f aca="false">SUM(P24:P31)</f>
        <v>22716.3321864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n">
        <v>2029</v>
      </c>
      <c r="B34" s="7" t="s">
        <v>179</v>
      </c>
      <c r="C34" s="7" t="s">
        <v>180</v>
      </c>
      <c r="D34" s="7" t="s">
        <v>59</v>
      </c>
      <c r="E34" s="7" t="s">
        <v>60</v>
      </c>
      <c r="F34" s="7" t="s">
        <v>61</v>
      </c>
      <c r="G34" s="7" t="s">
        <v>62</v>
      </c>
      <c r="H34" s="7" t="s">
        <v>63</v>
      </c>
      <c r="I34" s="7" t="s">
        <v>64</v>
      </c>
      <c r="J34" s="7" t="s">
        <v>65</v>
      </c>
      <c r="K34" s="7" t="s">
        <v>66</v>
      </c>
      <c r="L34" s="7" t="s">
        <v>67</v>
      </c>
      <c r="M34" s="7" t="s">
        <v>68</v>
      </c>
      <c r="N34" s="7" t="s">
        <v>69</v>
      </c>
      <c r="O34" s="7" t="s">
        <v>70</v>
      </c>
      <c r="P34" s="7" t="s">
        <v>181</v>
      </c>
    </row>
    <row r="35" customFormat="false" ht="14.25" hidden="false" customHeight="true" outlineLevel="0" collapsed="false">
      <c r="A35" s="41" t="n">
        <v>2029</v>
      </c>
      <c r="B35" s="8" t="s">
        <v>14</v>
      </c>
      <c r="C35" s="8" t="s">
        <v>182</v>
      </c>
      <c r="D35" s="42" t="n">
        <f aca="false">datos_base!$E$2*parametros_manuales!B$12</f>
        <v>1016.05626588</v>
      </c>
      <c r="E35" s="42" t="n">
        <f aca="false">datos_base!$E$2*parametros_manuales!C$12</f>
        <v>762.04219941</v>
      </c>
      <c r="F35" s="42" t="n">
        <f aca="false">datos_base!$E$2*parametros_manuales!D$12</f>
        <v>677.37084392</v>
      </c>
      <c r="G35" s="42" t="n">
        <f aca="false">datos_base!$E$2*parametros_manuales!E$12</f>
        <v>635.035166175</v>
      </c>
      <c r="H35" s="42" t="n">
        <f aca="false">datos_base!$E$2*parametros_manuales!F$12</f>
        <v>592.69948843</v>
      </c>
      <c r="I35" s="42" t="n">
        <f aca="false">datos_base!$E$2*parametros_manuales!G$12</f>
        <v>592.69948843</v>
      </c>
      <c r="J35" s="42" t="n">
        <f aca="false">datos_base!$E$2*parametros_manuales!H$12</f>
        <v>635.035166175</v>
      </c>
      <c r="K35" s="42" t="n">
        <f aca="false">datos_base!$E$2*parametros_manuales!I$12</f>
        <v>635.035166175</v>
      </c>
      <c r="L35" s="42" t="n">
        <f aca="false">datos_base!$E$2*parametros_manuales!J$12</f>
        <v>635.035166175</v>
      </c>
      <c r="M35" s="42" t="n">
        <f aca="false">datos_base!$E$2*parametros_manuales!K$12</f>
        <v>635.035166175</v>
      </c>
      <c r="N35" s="42" t="n">
        <f aca="false">datos_base!$E$2*parametros_manuales!L$12</f>
        <v>635.035166175</v>
      </c>
      <c r="O35" s="42" t="n">
        <f aca="false">datos_base!$E$2*parametros_manuales!M$12</f>
        <v>1016.05626588</v>
      </c>
      <c r="P35" s="9" t="n">
        <f aca="false">SUM(D35:O35)</f>
        <v>8467.135549</v>
      </c>
    </row>
    <row r="36" customFormat="false" ht="14.25" hidden="false" customHeight="true" outlineLevel="0" collapsed="false">
      <c r="A36" s="41" t="n">
        <v>2029</v>
      </c>
      <c r="B36" s="8" t="s">
        <v>15</v>
      </c>
      <c r="C36" s="8" t="s">
        <v>182</v>
      </c>
      <c r="D36" s="42" t="n">
        <f aca="false">datos_base!$E$3*parametros_manuales!B$13</f>
        <v>150.0638174</v>
      </c>
      <c r="E36" s="42" t="n">
        <f aca="false">datos_base!$E$3*parametros_manuales!C$13</f>
        <v>120.05105392</v>
      </c>
      <c r="F36" s="42" t="n">
        <f aca="false">datos_base!$E$3*parametros_manuales!D$13</f>
        <v>127.55424479</v>
      </c>
      <c r="G36" s="42" t="n">
        <f aca="false">datos_base!$E$3*parametros_manuales!E$13</f>
        <v>127.55424479</v>
      </c>
      <c r="H36" s="42" t="n">
        <f aca="false">datos_base!$E$3*parametros_manuales!F$13</f>
        <v>120.05105392</v>
      </c>
      <c r="I36" s="42" t="n">
        <f aca="false">datos_base!$E$3*parametros_manuales!G$13</f>
        <v>112.54786305</v>
      </c>
      <c r="J36" s="42" t="n">
        <f aca="false">datos_base!$E$3*parametros_manuales!H$13</f>
        <v>120.05105392</v>
      </c>
      <c r="K36" s="42" t="n">
        <f aca="false">datos_base!$E$3*parametros_manuales!I$13</f>
        <v>120.05105392</v>
      </c>
      <c r="L36" s="42" t="n">
        <f aca="false">datos_base!$E$3*parametros_manuales!J$13</f>
        <v>120.05105392</v>
      </c>
      <c r="M36" s="42" t="n">
        <f aca="false">datos_base!$E$3*parametros_manuales!K$13</f>
        <v>112.54786305</v>
      </c>
      <c r="N36" s="42" t="n">
        <f aca="false">datos_base!$E$3*parametros_manuales!L$13</f>
        <v>105.04467218</v>
      </c>
      <c r="O36" s="42" t="n">
        <f aca="false">datos_base!$E$3*parametros_manuales!M$13</f>
        <v>165.07019914</v>
      </c>
      <c r="P36" s="9" t="n">
        <f aca="false">SUM(D36:O36)</f>
        <v>1500.638174</v>
      </c>
    </row>
    <row r="37" customFormat="false" ht="14.25" hidden="false" customHeight="true" outlineLevel="0" collapsed="false">
      <c r="A37" s="41" t="n">
        <v>2029</v>
      </c>
      <c r="B37" s="8" t="s">
        <v>16</v>
      </c>
      <c r="C37" s="8" t="s">
        <v>182</v>
      </c>
      <c r="D37" s="42" t="n">
        <f aca="false">datos_base!$E$4*parametros_manuales!B$14</f>
        <v>682.3115313</v>
      </c>
      <c r="E37" s="42" t="n">
        <f aca="false">datos_base!$E$4*parametros_manuales!C$14</f>
        <v>545.84922504</v>
      </c>
      <c r="F37" s="42" t="n">
        <f aca="false">datos_base!$E$4*parametros_manuales!D$14</f>
        <v>579.964801605</v>
      </c>
      <c r="G37" s="42" t="n">
        <f aca="false">datos_base!$E$4*parametros_manuales!E$14</f>
        <v>579.964801605</v>
      </c>
      <c r="H37" s="42" t="n">
        <f aca="false">datos_base!$E$4*parametros_manuales!F$14</f>
        <v>545.84922504</v>
      </c>
      <c r="I37" s="42" t="n">
        <f aca="false">datos_base!$E$4*parametros_manuales!G$14</f>
        <v>511.733648475</v>
      </c>
      <c r="J37" s="42" t="n">
        <f aca="false">datos_base!$E$4*parametros_manuales!H$14</f>
        <v>545.84922504</v>
      </c>
      <c r="K37" s="42" t="n">
        <f aca="false">datos_base!$E$4*parametros_manuales!I$14</f>
        <v>545.84922504</v>
      </c>
      <c r="L37" s="42" t="n">
        <f aca="false">datos_base!$E$4*parametros_manuales!J$14</f>
        <v>545.84922504</v>
      </c>
      <c r="M37" s="42" t="n">
        <f aca="false">datos_base!$E$4*parametros_manuales!K$14</f>
        <v>511.733648475</v>
      </c>
      <c r="N37" s="42" t="n">
        <f aca="false">datos_base!$E$4*parametros_manuales!L$14</f>
        <v>477.61807191</v>
      </c>
      <c r="O37" s="42" t="n">
        <f aca="false">datos_base!$E$4*parametros_manuales!M$14</f>
        <v>750.54268443</v>
      </c>
      <c r="P37" s="9" t="n">
        <f aca="false">SUM(D37:O37)</f>
        <v>6823.115313</v>
      </c>
    </row>
    <row r="38" customFormat="false" ht="14.25" hidden="false" customHeight="true" outlineLevel="0" collapsed="false">
      <c r="A38" s="41" t="n">
        <v>2029</v>
      </c>
      <c r="B38" s="8" t="s">
        <v>17</v>
      </c>
      <c r="C38" s="8" t="s">
        <v>182</v>
      </c>
      <c r="D38" s="42" t="n">
        <f aca="false">datos_base!$E$5*parametros_manuales!B$15</f>
        <v>35.80204941</v>
      </c>
      <c r="E38" s="42" t="n">
        <f aca="false">datos_base!$E$5*parametros_manuales!C$15</f>
        <v>28.641639528</v>
      </c>
      <c r="F38" s="42" t="n">
        <f aca="false">datos_base!$E$5*parametros_manuales!D$15</f>
        <v>30.4317419985</v>
      </c>
      <c r="G38" s="42" t="n">
        <f aca="false">datos_base!$E$5*parametros_manuales!E$15</f>
        <v>30.4317419985</v>
      </c>
      <c r="H38" s="42" t="n">
        <f aca="false">datos_base!$E$5*parametros_manuales!F$15</f>
        <v>28.641639528</v>
      </c>
      <c r="I38" s="42" t="n">
        <f aca="false">datos_base!$E$5*parametros_manuales!G$15</f>
        <v>26.8515370575</v>
      </c>
      <c r="J38" s="42" t="n">
        <f aca="false">datos_base!$E$5*parametros_manuales!H$15</f>
        <v>28.641639528</v>
      </c>
      <c r="K38" s="42" t="n">
        <f aca="false">datos_base!$E$5*parametros_manuales!I$15</f>
        <v>28.641639528</v>
      </c>
      <c r="L38" s="42" t="n">
        <f aca="false">datos_base!$E$5*parametros_manuales!J$15</f>
        <v>28.641639528</v>
      </c>
      <c r="M38" s="42" t="n">
        <f aca="false">datos_base!$E$5*parametros_manuales!K$15</f>
        <v>26.8515370575</v>
      </c>
      <c r="N38" s="42" t="n">
        <f aca="false">datos_base!$E$5*parametros_manuales!L$15</f>
        <v>25.061434587</v>
      </c>
      <c r="O38" s="42" t="n">
        <f aca="false">datos_base!$E$5*parametros_manuales!M$15</f>
        <v>39.382254351</v>
      </c>
      <c r="P38" s="9" t="n">
        <f aca="false">SUM(D38:O38)</f>
        <v>358.0204941</v>
      </c>
    </row>
    <row r="39" customFormat="false" ht="14.25" hidden="false" customHeight="true" outlineLevel="0" collapsed="false">
      <c r="A39" s="41" t="n">
        <v>2029</v>
      </c>
      <c r="B39" s="8" t="s">
        <v>20</v>
      </c>
      <c r="C39" s="8" t="s">
        <v>183</v>
      </c>
      <c r="D39" s="42" t="n">
        <f aca="false">datos_base!$E$9*parametros_manuales!B$12</f>
        <v>3203.376</v>
      </c>
      <c r="E39" s="42" t="n">
        <f aca="false">datos_base!$E$9*parametros_manuales!C$12</f>
        <v>2402.532</v>
      </c>
      <c r="F39" s="42" t="n">
        <f aca="false">datos_base!$E$9*parametros_manuales!D$12</f>
        <v>2135.584</v>
      </c>
      <c r="G39" s="42" t="n">
        <f aca="false">datos_base!$E$9*parametros_manuales!E$12</f>
        <v>2002.11</v>
      </c>
      <c r="H39" s="42" t="n">
        <f aca="false">datos_base!$E$9*parametros_manuales!F$12</f>
        <v>1868.636</v>
      </c>
      <c r="I39" s="42" t="n">
        <f aca="false">datos_base!$E$9*parametros_manuales!G$12</f>
        <v>1868.636</v>
      </c>
      <c r="J39" s="42" t="n">
        <f aca="false">datos_base!$E$9*parametros_manuales!H$12</f>
        <v>2002.11</v>
      </c>
      <c r="K39" s="42" t="n">
        <f aca="false">datos_base!$E$9*parametros_manuales!I$12</f>
        <v>2002.11</v>
      </c>
      <c r="L39" s="42" t="n">
        <f aca="false">datos_base!$E$9*parametros_manuales!J$12</f>
        <v>2002.11</v>
      </c>
      <c r="M39" s="42" t="n">
        <f aca="false">datos_base!$E$9*parametros_manuales!K$12</f>
        <v>2002.11</v>
      </c>
      <c r="N39" s="42" t="n">
        <f aca="false">datos_base!$E$9*parametros_manuales!L$12</f>
        <v>2002.11</v>
      </c>
      <c r="O39" s="42" t="n">
        <f aca="false">datos_base!$E$9*parametros_manuales!M$12</f>
        <v>3203.376</v>
      </c>
      <c r="P39" s="9" t="n">
        <f aca="false">SUM(D39:O39)</f>
        <v>26694.8</v>
      </c>
    </row>
    <row r="40" customFormat="false" ht="14.25" hidden="false" customHeight="true" outlineLevel="0" collapsed="false">
      <c r="A40" s="41" t="n">
        <v>2029</v>
      </c>
      <c r="B40" s="8" t="s">
        <v>21</v>
      </c>
      <c r="C40" s="8" t="s">
        <v>183</v>
      </c>
      <c r="D40" s="42" t="n">
        <f aca="false">datos_base!$E$10*parametros_manuales!B$13</f>
        <v>104.38</v>
      </c>
      <c r="E40" s="42" t="n">
        <f aca="false">datos_base!$E$10*parametros_manuales!C$13</f>
        <v>83.504</v>
      </c>
      <c r="F40" s="42" t="n">
        <f aca="false">datos_base!$E$10*parametros_manuales!D$13</f>
        <v>88.723</v>
      </c>
      <c r="G40" s="42" t="n">
        <f aca="false">datos_base!$E$10*parametros_manuales!E$13</f>
        <v>88.723</v>
      </c>
      <c r="H40" s="42" t="n">
        <f aca="false">datos_base!$E$10*parametros_manuales!F$13</f>
        <v>83.504</v>
      </c>
      <c r="I40" s="42" t="n">
        <f aca="false">datos_base!$E$10*parametros_manuales!G$13</f>
        <v>78.285</v>
      </c>
      <c r="J40" s="42" t="n">
        <f aca="false">datos_base!$E$10*parametros_manuales!H$13</f>
        <v>83.504</v>
      </c>
      <c r="K40" s="42" t="n">
        <f aca="false">datos_base!$E$10*parametros_manuales!I$13</f>
        <v>83.504</v>
      </c>
      <c r="L40" s="42" t="n">
        <f aca="false">datos_base!$E$10*parametros_manuales!J$13</f>
        <v>83.504</v>
      </c>
      <c r="M40" s="42" t="n">
        <f aca="false">datos_base!$E$10*parametros_manuales!K$13</f>
        <v>78.285</v>
      </c>
      <c r="N40" s="42" t="n">
        <f aca="false">datos_base!$E$10*parametros_manuales!L$13</f>
        <v>73.066</v>
      </c>
      <c r="O40" s="42" t="n">
        <f aca="false">datos_base!$E$10*parametros_manuales!M$13</f>
        <v>114.818</v>
      </c>
      <c r="P40" s="9" t="n">
        <f aca="false">SUM(D40:O40)</f>
        <v>1043.8</v>
      </c>
    </row>
    <row r="41" customFormat="false" ht="14.25" hidden="false" customHeight="true" outlineLevel="0" collapsed="false">
      <c r="A41" s="41" t="n">
        <v>2029</v>
      </c>
      <c r="B41" s="8" t="s">
        <v>22</v>
      </c>
      <c r="C41" s="8" t="s">
        <v>183</v>
      </c>
      <c r="D41" s="42" t="n">
        <f aca="false">datos_base!$E$11*parametros_manuales!B$14</f>
        <v>515.2</v>
      </c>
      <c r="E41" s="42" t="n">
        <f aca="false">datos_base!$E$11*parametros_manuales!C$14</f>
        <v>412.16</v>
      </c>
      <c r="F41" s="42" t="n">
        <f aca="false">datos_base!$E$11*parametros_manuales!D$14</f>
        <v>437.92</v>
      </c>
      <c r="G41" s="42" t="n">
        <f aca="false">datos_base!$E$11*parametros_manuales!E$14</f>
        <v>437.92</v>
      </c>
      <c r="H41" s="42" t="n">
        <f aca="false">datos_base!$E$11*parametros_manuales!F$14</f>
        <v>412.16</v>
      </c>
      <c r="I41" s="42" t="n">
        <f aca="false">datos_base!$E$11*parametros_manuales!G$14</f>
        <v>386.4</v>
      </c>
      <c r="J41" s="42" t="n">
        <f aca="false">datos_base!$E$11*parametros_manuales!H$14</f>
        <v>412.16</v>
      </c>
      <c r="K41" s="42" t="n">
        <f aca="false">datos_base!$E$11*parametros_manuales!I$14</f>
        <v>412.16</v>
      </c>
      <c r="L41" s="42" t="n">
        <f aca="false">datos_base!$E$11*parametros_manuales!J$14</f>
        <v>412.16</v>
      </c>
      <c r="M41" s="42" t="n">
        <f aca="false">datos_base!$E$11*parametros_manuales!K$14</f>
        <v>386.4</v>
      </c>
      <c r="N41" s="42" t="n">
        <f aca="false">datos_base!$E$11*parametros_manuales!L$14</f>
        <v>360.64</v>
      </c>
      <c r="O41" s="42" t="n">
        <f aca="false">datos_base!$E$11*parametros_manuales!M$14</f>
        <v>566.72</v>
      </c>
      <c r="P41" s="9" t="n">
        <f aca="false">SUM(D41:O41)</f>
        <v>5152</v>
      </c>
    </row>
    <row r="42" customFormat="false" ht="14.25" hidden="false" customHeight="true" outlineLevel="0" collapsed="false">
      <c r="A42" s="41" t="n">
        <v>2029</v>
      </c>
      <c r="B42" s="8" t="s">
        <v>23</v>
      </c>
      <c r="C42" s="8" t="s">
        <v>183</v>
      </c>
      <c r="D42" s="42" t="n">
        <f aca="false">datos_base!$E$12*parametros_manuales!B$15</f>
        <v>31.5</v>
      </c>
      <c r="E42" s="42" t="n">
        <f aca="false">datos_base!$E$12*parametros_manuales!C$15</f>
        <v>25.2</v>
      </c>
      <c r="F42" s="42" t="n">
        <f aca="false">datos_base!$E$12*parametros_manuales!D$15</f>
        <v>26.775</v>
      </c>
      <c r="G42" s="42" t="n">
        <f aca="false">datos_base!$E$12*parametros_manuales!E$15</f>
        <v>26.775</v>
      </c>
      <c r="H42" s="42" t="n">
        <f aca="false">datos_base!$E$12*parametros_manuales!F$15</f>
        <v>25.2</v>
      </c>
      <c r="I42" s="42" t="n">
        <f aca="false">datos_base!$E$12*parametros_manuales!G$15</f>
        <v>23.625</v>
      </c>
      <c r="J42" s="42" t="n">
        <f aca="false">datos_base!$E$12*parametros_manuales!H$15</f>
        <v>25.2</v>
      </c>
      <c r="K42" s="42" t="n">
        <f aca="false">datos_base!$E$12*parametros_manuales!I$15</f>
        <v>25.2</v>
      </c>
      <c r="L42" s="42" t="n">
        <f aca="false">datos_base!$E$12*parametros_manuales!J$15</f>
        <v>25.2</v>
      </c>
      <c r="M42" s="42" t="n">
        <f aca="false">datos_base!$E$12*parametros_manuales!K$15</f>
        <v>23.625</v>
      </c>
      <c r="N42" s="42" t="n">
        <f aca="false">datos_base!$E$12*parametros_manuales!L$15</f>
        <v>22.05</v>
      </c>
      <c r="O42" s="42" t="n">
        <f aca="false">datos_base!$E$12*parametros_manuales!M$15</f>
        <v>34.65</v>
      </c>
      <c r="P42" s="9" t="n">
        <f aca="false">SUM(D42:O42)</f>
        <v>315</v>
      </c>
    </row>
    <row r="43" customFormat="false" ht="14.25" hidden="false" customHeight="true" outlineLevel="0" collapsed="false">
      <c r="B43" s="10" t="s">
        <v>184</v>
      </c>
      <c r="D43" s="11" t="n">
        <f aca="false">SUM(D35:D42)</f>
        <v>5738.68966399</v>
      </c>
      <c r="E43" s="11" t="n">
        <f aca="false">SUM(E35:E42)</f>
        <v>4379.980117898</v>
      </c>
      <c r="F43" s="11" t="n">
        <f aca="false">SUM(F35:F42)</f>
        <v>4104.3236323135</v>
      </c>
      <c r="G43" s="11" t="n">
        <f aca="false">SUM(G35:G42)</f>
        <v>3928.5139545685</v>
      </c>
      <c r="H43" s="11" t="n">
        <f aca="false">SUM(H35:H42)</f>
        <v>3676.741406918</v>
      </c>
      <c r="I43" s="11" t="n">
        <f aca="false">SUM(I35:I42)</f>
        <v>3600.7785370125</v>
      </c>
      <c r="J43" s="11" t="n">
        <f aca="false">SUM(J35:J42)</f>
        <v>3852.551084663</v>
      </c>
      <c r="K43" s="11" t="n">
        <f aca="false">SUM(K35:K42)</f>
        <v>3852.551084663</v>
      </c>
      <c r="L43" s="11" t="n">
        <f aca="false">SUM(L35:L42)</f>
        <v>3852.551084663</v>
      </c>
      <c r="M43" s="11" t="n">
        <f aca="false">SUM(M35:M42)</f>
        <v>3776.5882147575</v>
      </c>
      <c r="N43" s="11" t="n">
        <f aca="false">SUM(N35:N42)</f>
        <v>3700.625344852</v>
      </c>
      <c r="O43" s="11" t="n">
        <f aca="false">SUM(O35:O42)</f>
        <v>5890.615403801</v>
      </c>
      <c r="P43" s="11" t="n">
        <f aca="false">SUM(P35:P42)</f>
        <v>50354.5095301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7" t="n">
        <v>2030</v>
      </c>
      <c r="B45" s="7" t="s">
        <v>179</v>
      </c>
      <c r="C45" s="7" t="s">
        <v>180</v>
      </c>
      <c r="D45" s="7" t="s">
        <v>59</v>
      </c>
      <c r="E45" s="7" t="s">
        <v>60</v>
      </c>
      <c r="F45" s="7" t="s">
        <v>61</v>
      </c>
      <c r="G45" s="7" t="s">
        <v>62</v>
      </c>
      <c r="H45" s="7" t="s">
        <v>63</v>
      </c>
      <c r="I45" s="7" t="s">
        <v>64</v>
      </c>
      <c r="J45" s="7" t="s">
        <v>65</v>
      </c>
      <c r="K45" s="7" t="s">
        <v>66</v>
      </c>
      <c r="L45" s="7" t="s">
        <v>67</v>
      </c>
      <c r="M45" s="7" t="s">
        <v>68</v>
      </c>
      <c r="N45" s="7" t="s">
        <v>69</v>
      </c>
      <c r="O45" s="7" t="s">
        <v>70</v>
      </c>
      <c r="P45" s="7" t="s">
        <v>181</v>
      </c>
    </row>
    <row r="46" customFormat="false" ht="14.25" hidden="false" customHeight="true" outlineLevel="0" collapsed="false">
      <c r="A46" s="41" t="n">
        <v>2030</v>
      </c>
      <c r="B46" s="8" t="s">
        <v>14</v>
      </c>
      <c r="C46" s="8" t="s">
        <v>182</v>
      </c>
      <c r="D46" s="42" t="n">
        <f aca="false">datos_base!$F$2*parametros_manuales!B$12</f>
        <v>1521.6759252</v>
      </c>
      <c r="E46" s="42" t="n">
        <f aca="false">datos_base!$F$2*parametros_manuales!C$12</f>
        <v>1141.2569439</v>
      </c>
      <c r="F46" s="42" t="n">
        <f aca="false">datos_base!$F$2*parametros_manuales!D$12</f>
        <v>1014.4506168</v>
      </c>
      <c r="G46" s="42" t="n">
        <f aca="false">datos_base!$F$2*parametros_manuales!E$12</f>
        <v>951.04745325</v>
      </c>
      <c r="H46" s="42" t="n">
        <f aca="false">datos_base!$F$2*parametros_manuales!F$12</f>
        <v>887.6442897</v>
      </c>
      <c r="I46" s="42" t="n">
        <f aca="false">datos_base!$F$2*parametros_manuales!G$12</f>
        <v>887.6442897</v>
      </c>
      <c r="J46" s="42" t="n">
        <f aca="false">datos_base!$F$2*parametros_manuales!H$12</f>
        <v>951.04745325</v>
      </c>
      <c r="K46" s="42" t="n">
        <f aca="false">datos_base!$F$2*parametros_manuales!I$12</f>
        <v>951.04745325</v>
      </c>
      <c r="L46" s="42" t="n">
        <f aca="false">datos_base!$F$2*parametros_manuales!J$12</f>
        <v>951.04745325</v>
      </c>
      <c r="M46" s="42" t="n">
        <f aca="false">datos_base!$F$2*parametros_manuales!K$12</f>
        <v>951.04745325</v>
      </c>
      <c r="N46" s="42" t="n">
        <f aca="false">datos_base!$F$2*parametros_manuales!L$12</f>
        <v>951.04745325</v>
      </c>
      <c r="O46" s="42" t="n">
        <f aca="false">datos_base!$F$2*parametros_manuales!M$12</f>
        <v>1521.6759252</v>
      </c>
      <c r="P46" s="9" t="n">
        <f aca="false">SUM(D46:O46)</f>
        <v>12680.63271</v>
      </c>
    </row>
    <row r="47" customFormat="false" ht="14.25" hidden="false" customHeight="true" outlineLevel="0" collapsed="false">
      <c r="A47" s="41" t="n">
        <v>2030</v>
      </c>
      <c r="B47" s="8" t="s">
        <v>15</v>
      </c>
      <c r="C47" s="8" t="s">
        <v>182</v>
      </c>
      <c r="D47" s="42" t="n">
        <f aca="false">datos_base!$F$3*parametros_manuales!B$13</f>
        <v>231.2627726</v>
      </c>
      <c r="E47" s="42" t="n">
        <f aca="false">datos_base!$F$3*parametros_manuales!C$13</f>
        <v>185.01021808</v>
      </c>
      <c r="F47" s="42" t="n">
        <f aca="false">datos_base!$F$3*parametros_manuales!D$13</f>
        <v>196.57335671</v>
      </c>
      <c r="G47" s="42" t="n">
        <f aca="false">datos_base!$F$3*parametros_manuales!E$13</f>
        <v>196.57335671</v>
      </c>
      <c r="H47" s="42" t="n">
        <f aca="false">datos_base!$F$3*parametros_manuales!F$13</f>
        <v>185.01021808</v>
      </c>
      <c r="I47" s="42" t="n">
        <f aca="false">datos_base!$F$3*parametros_manuales!G$13</f>
        <v>173.44707945</v>
      </c>
      <c r="J47" s="42" t="n">
        <f aca="false">datos_base!$F$3*parametros_manuales!H$13</f>
        <v>185.01021808</v>
      </c>
      <c r="K47" s="42" t="n">
        <f aca="false">datos_base!$F$3*parametros_manuales!I$13</f>
        <v>185.01021808</v>
      </c>
      <c r="L47" s="42" t="n">
        <f aca="false">datos_base!$F$3*parametros_manuales!J$13</f>
        <v>185.01021808</v>
      </c>
      <c r="M47" s="42" t="n">
        <f aca="false">datos_base!$F$3*parametros_manuales!K$13</f>
        <v>173.44707945</v>
      </c>
      <c r="N47" s="42" t="n">
        <f aca="false">datos_base!$F$3*parametros_manuales!L$13</f>
        <v>161.88394082</v>
      </c>
      <c r="O47" s="42" t="n">
        <f aca="false">datos_base!$F$3*parametros_manuales!M$13</f>
        <v>254.38904986</v>
      </c>
      <c r="P47" s="9" t="n">
        <f aca="false">SUM(D47:O47)</f>
        <v>2312.627726</v>
      </c>
    </row>
    <row r="48" customFormat="false" ht="14.25" hidden="false" customHeight="true" outlineLevel="0" collapsed="false">
      <c r="A48" s="41" t="n">
        <v>2030</v>
      </c>
      <c r="B48" s="8" t="s">
        <v>16</v>
      </c>
      <c r="C48" s="8" t="s">
        <v>182</v>
      </c>
      <c r="D48" s="42" t="n">
        <f aca="false">datos_base!$F$4*parametros_manuales!B$14</f>
        <v>1081.930694</v>
      </c>
      <c r="E48" s="42" t="n">
        <f aca="false">datos_base!$F$4*parametros_manuales!C$14</f>
        <v>865.5445552</v>
      </c>
      <c r="F48" s="42" t="n">
        <f aca="false">datos_base!$F$4*parametros_manuales!D$14</f>
        <v>919.6410899</v>
      </c>
      <c r="G48" s="42" t="n">
        <f aca="false">datos_base!$F$4*parametros_manuales!E$14</f>
        <v>919.6410899</v>
      </c>
      <c r="H48" s="42" t="n">
        <f aca="false">datos_base!$F$4*parametros_manuales!F$14</f>
        <v>865.5445552</v>
      </c>
      <c r="I48" s="42" t="n">
        <f aca="false">datos_base!$F$4*parametros_manuales!G$14</f>
        <v>811.4480205</v>
      </c>
      <c r="J48" s="42" t="n">
        <f aca="false">datos_base!$F$4*parametros_manuales!H$14</f>
        <v>865.5445552</v>
      </c>
      <c r="K48" s="42" t="n">
        <f aca="false">datos_base!$F$4*parametros_manuales!I$14</f>
        <v>865.5445552</v>
      </c>
      <c r="L48" s="42" t="n">
        <f aca="false">datos_base!$F$4*parametros_manuales!J$14</f>
        <v>865.5445552</v>
      </c>
      <c r="M48" s="42" t="n">
        <f aca="false">datos_base!$F$4*parametros_manuales!K$14</f>
        <v>811.4480205</v>
      </c>
      <c r="N48" s="42" t="n">
        <f aca="false">datos_base!$F$4*parametros_manuales!L$14</f>
        <v>757.3514858</v>
      </c>
      <c r="O48" s="42" t="n">
        <f aca="false">datos_base!$F$4*parametros_manuales!M$14</f>
        <v>1190.1237634</v>
      </c>
      <c r="P48" s="9" t="n">
        <f aca="false">SUM(D48:O48)</f>
        <v>10819.30694</v>
      </c>
    </row>
    <row r="49" customFormat="false" ht="14.25" hidden="false" customHeight="true" outlineLevel="0" collapsed="false">
      <c r="A49" s="41" t="n">
        <v>2030</v>
      </c>
      <c r="B49" s="8" t="s">
        <v>17</v>
      </c>
      <c r="C49" s="8" t="s">
        <v>182</v>
      </c>
      <c r="D49" s="42" t="n">
        <f aca="false">datos_base!$F$5*parametros_manuales!B$15</f>
        <v>60.27181519</v>
      </c>
      <c r="E49" s="42" t="n">
        <f aca="false">datos_base!$F$5*parametros_manuales!C$15</f>
        <v>48.217452152</v>
      </c>
      <c r="F49" s="42" t="n">
        <f aca="false">datos_base!$F$5*parametros_manuales!D$15</f>
        <v>51.2310429115</v>
      </c>
      <c r="G49" s="42" t="n">
        <f aca="false">datos_base!$F$5*parametros_manuales!E$15</f>
        <v>51.2310429115</v>
      </c>
      <c r="H49" s="42" t="n">
        <f aca="false">datos_base!$F$5*parametros_manuales!F$15</f>
        <v>48.217452152</v>
      </c>
      <c r="I49" s="42" t="n">
        <f aca="false">datos_base!$F$5*parametros_manuales!G$15</f>
        <v>45.2038613925</v>
      </c>
      <c r="J49" s="42" t="n">
        <f aca="false">datos_base!$F$5*parametros_manuales!H$15</f>
        <v>48.217452152</v>
      </c>
      <c r="K49" s="42" t="n">
        <f aca="false">datos_base!$F$5*parametros_manuales!I$15</f>
        <v>48.217452152</v>
      </c>
      <c r="L49" s="42" t="n">
        <f aca="false">datos_base!$F$5*parametros_manuales!J$15</f>
        <v>48.217452152</v>
      </c>
      <c r="M49" s="42" t="n">
        <f aca="false">datos_base!$F$5*parametros_manuales!K$15</f>
        <v>45.2038613925</v>
      </c>
      <c r="N49" s="42" t="n">
        <f aca="false">datos_base!$F$5*parametros_manuales!L$15</f>
        <v>42.190270633</v>
      </c>
      <c r="O49" s="42" t="n">
        <f aca="false">datos_base!$F$5*parametros_manuales!M$15</f>
        <v>66.298996709</v>
      </c>
      <c r="P49" s="9" t="n">
        <f aca="false">SUM(D49:O49)</f>
        <v>602.7181519</v>
      </c>
    </row>
    <row r="50" customFormat="false" ht="14.25" hidden="false" customHeight="true" outlineLevel="0" collapsed="false">
      <c r="A50" s="41" t="n">
        <v>2030</v>
      </c>
      <c r="B50" s="8" t="s">
        <v>20</v>
      </c>
      <c r="C50" s="8" t="s">
        <v>183</v>
      </c>
      <c r="D50" s="42" t="n">
        <f aca="false">datos_base!$F$9*parametros_manuales!B$12</f>
        <v>5932.176</v>
      </c>
      <c r="E50" s="42" t="n">
        <f aca="false">datos_base!$F$9*parametros_manuales!C$12</f>
        <v>4449.132</v>
      </c>
      <c r="F50" s="42" t="n">
        <f aca="false">datos_base!$F$9*parametros_manuales!D$12</f>
        <v>3954.784</v>
      </c>
      <c r="G50" s="42" t="n">
        <f aca="false">datos_base!$F$9*parametros_manuales!E$12</f>
        <v>3707.61</v>
      </c>
      <c r="H50" s="42" t="n">
        <f aca="false">datos_base!$F$9*parametros_manuales!F$12</f>
        <v>3460.436</v>
      </c>
      <c r="I50" s="42" t="n">
        <f aca="false">datos_base!$F$9*parametros_manuales!G$12</f>
        <v>3460.436</v>
      </c>
      <c r="J50" s="42" t="n">
        <f aca="false">datos_base!$F$9*parametros_manuales!H$12</f>
        <v>3707.61</v>
      </c>
      <c r="K50" s="42" t="n">
        <f aca="false">datos_base!$F$9*parametros_manuales!I$12</f>
        <v>3707.61</v>
      </c>
      <c r="L50" s="42" t="n">
        <f aca="false">datos_base!$F$9*parametros_manuales!J$12</f>
        <v>3707.61</v>
      </c>
      <c r="M50" s="42" t="n">
        <f aca="false">datos_base!$F$9*parametros_manuales!K$12</f>
        <v>3707.61</v>
      </c>
      <c r="N50" s="42" t="n">
        <f aca="false">datos_base!$F$9*parametros_manuales!L$12</f>
        <v>3707.61</v>
      </c>
      <c r="O50" s="42" t="n">
        <f aca="false">datos_base!$F$9*parametros_manuales!M$12</f>
        <v>5932.176</v>
      </c>
      <c r="P50" s="9" t="n">
        <f aca="false">SUM(D50:O50)</f>
        <v>49434.8</v>
      </c>
    </row>
    <row r="51" customFormat="false" ht="14.25" hidden="false" customHeight="true" outlineLevel="0" collapsed="false">
      <c r="A51" s="41" t="n">
        <v>2030</v>
      </c>
      <c r="B51" s="8" t="s">
        <v>21</v>
      </c>
      <c r="C51" s="8" t="s">
        <v>183</v>
      </c>
      <c r="D51" s="42" t="n">
        <f aca="false">datos_base!$F$10*parametros_manuales!B$13</f>
        <v>193.3</v>
      </c>
      <c r="E51" s="42" t="n">
        <f aca="false">datos_base!$F$10*parametros_manuales!C$13</f>
        <v>154.64</v>
      </c>
      <c r="F51" s="42" t="n">
        <f aca="false">datos_base!$F$10*parametros_manuales!D$13</f>
        <v>164.305</v>
      </c>
      <c r="G51" s="42" t="n">
        <f aca="false">datos_base!$F$10*parametros_manuales!E$13</f>
        <v>164.305</v>
      </c>
      <c r="H51" s="42" t="n">
        <f aca="false">datos_base!$F$10*parametros_manuales!F$13</f>
        <v>154.64</v>
      </c>
      <c r="I51" s="42" t="n">
        <f aca="false">datos_base!$F$10*parametros_manuales!G$13</f>
        <v>144.975</v>
      </c>
      <c r="J51" s="42" t="n">
        <f aca="false">datos_base!$F$10*parametros_manuales!H$13</f>
        <v>154.64</v>
      </c>
      <c r="K51" s="42" t="n">
        <f aca="false">datos_base!$F$10*parametros_manuales!I$13</f>
        <v>154.64</v>
      </c>
      <c r="L51" s="42" t="n">
        <f aca="false">datos_base!$F$10*parametros_manuales!J$13</f>
        <v>154.64</v>
      </c>
      <c r="M51" s="42" t="n">
        <f aca="false">datos_base!$F$10*parametros_manuales!K$13</f>
        <v>144.975</v>
      </c>
      <c r="N51" s="42" t="n">
        <f aca="false">datos_base!$F$10*parametros_manuales!L$13</f>
        <v>135.31</v>
      </c>
      <c r="O51" s="42" t="n">
        <f aca="false">datos_base!$F$10*parametros_manuales!M$13</f>
        <v>212.63</v>
      </c>
      <c r="P51" s="9" t="n">
        <f aca="false">SUM(D51:O51)</f>
        <v>1933</v>
      </c>
    </row>
    <row r="52" customFormat="false" ht="14.25" hidden="false" customHeight="true" outlineLevel="0" collapsed="false">
      <c r="A52" s="41" t="n">
        <v>2030</v>
      </c>
      <c r="B52" s="8" t="s">
        <v>22</v>
      </c>
      <c r="C52" s="8" t="s">
        <v>183</v>
      </c>
      <c r="D52" s="42" t="n">
        <f aca="false">datos_base!$F$11*parametros_manuales!B$14</f>
        <v>954.08</v>
      </c>
      <c r="E52" s="42" t="n">
        <f aca="false">datos_base!$F$11*parametros_manuales!C$14</f>
        <v>763.264</v>
      </c>
      <c r="F52" s="42" t="n">
        <f aca="false">datos_base!$F$11*parametros_manuales!D$14</f>
        <v>810.968</v>
      </c>
      <c r="G52" s="42" t="n">
        <f aca="false">datos_base!$F$11*parametros_manuales!E$14</f>
        <v>810.968</v>
      </c>
      <c r="H52" s="42" t="n">
        <f aca="false">datos_base!$F$11*parametros_manuales!F$14</f>
        <v>763.264</v>
      </c>
      <c r="I52" s="42" t="n">
        <f aca="false">datos_base!$F$11*parametros_manuales!G$14</f>
        <v>715.56</v>
      </c>
      <c r="J52" s="42" t="n">
        <f aca="false">datos_base!$F$11*parametros_manuales!H$14</f>
        <v>763.264</v>
      </c>
      <c r="K52" s="42" t="n">
        <f aca="false">datos_base!$F$11*parametros_manuales!I$14</f>
        <v>763.264</v>
      </c>
      <c r="L52" s="42" t="n">
        <f aca="false">datos_base!$F$11*parametros_manuales!J$14</f>
        <v>763.264</v>
      </c>
      <c r="M52" s="42" t="n">
        <f aca="false">datos_base!$F$11*parametros_manuales!K$14</f>
        <v>715.56</v>
      </c>
      <c r="N52" s="42" t="n">
        <f aca="false">datos_base!$F$11*parametros_manuales!L$14</f>
        <v>667.856</v>
      </c>
      <c r="O52" s="42" t="n">
        <f aca="false">datos_base!$F$11*parametros_manuales!M$14</f>
        <v>1049.488</v>
      </c>
      <c r="P52" s="9" t="n">
        <f aca="false">SUM(D52:O52)</f>
        <v>9540.8</v>
      </c>
    </row>
    <row r="53" customFormat="false" ht="14.25" hidden="false" customHeight="true" outlineLevel="0" collapsed="false">
      <c r="A53" s="41" t="n">
        <v>2030</v>
      </c>
      <c r="B53" s="8" t="s">
        <v>23</v>
      </c>
      <c r="C53" s="8" t="s">
        <v>183</v>
      </c>
      <c r="D53" s="42" t="n">
        <f aca="false">datos_base!$F$12*parametros_manuales!B$15</f>
        <v>58.34</v>
      </c>
      <c r="E53" s="42" t="n">
        <f aca="false">datos_base!$F$12*parametros_manuales!C$15</f>
        <v>46.672</v>
      </c>
      <c r="F53" s="42" t="n">
        <f aca="false">datos_base!$F$12*parametros_manuales!D$15</f>
        <v>49.589</v>
      </c>
      <c r="G53" s="42" t="n">
        <f aca="false">datos_base!$F$12*parametros_manuales!E$15</f>
        <v>49.589</v>
      </c>
      <c r="H53" s="42" t="n">
        <f aca="false">datos_base!$F$12*parametros_manuales!F$15</f>
        <v>46.672</v>
      </c>
      <c r="I53" s="42" t="n">
        <f aca="false">datos_base!$F$12*parametros_manuales!G$15</f>
        <v>43.755</v>
      </c>
      <c r="J53" s="42" t="n">
        <f aca="false">datos_base!$F$12*parametros_manuales!H$15</f>
        <v>46.672</v>
      </c>
      <c r="K53" s="42" t="n">
        <f aca="false">datos_base!$F$12*parametros_manuales!I$15</f>
        <v>46.672</v>
      </c>
      <c r="L53" s="42" t="n">
        <f aca="false">datos_base!$F$12*parametros_manuales!J$15</f>
        <v>46.672</v>
      </c>
      <c r="M53" s="42" t="n">
        <f aca="false">datos_base!$F$12*parametros_manuales!K$15</f>
        <v>43.755</v>
      </c>
      <c r="N53" s="42" t="n">
        <f aca="false">datos_base!$F$12*parametros_manuales!L$15</f>
        <v>40.838</v>
      </c>
      <c r="O53" s="42" t="n">
        <f aca="false">datos_base!$F$12*parametros_manuales!M$15</f>
        <v>64.174</v>
      </c>
      <c r="P53" s="9" t="n">
        <f aca="false">SUM(D53:O53)</f>
        <v>583.4</v>
      </c>
    </row>
    <row r="54" customFormat="false" ht="14.25" hidden="false" customHeight="true" outlineLevel="0" collapsed="false">
      <c r="B54" s="10" t="s">
        <v>184</v>
      </c>
      <c r="D54" s="11" t="n">
        <f aca="false">SUM(D46:D53)</f>
        <v>10033.03720699</v>
      </c>
      <c r="E54" s="11" t="n">
        <f aca="false">SUM(E46:E53)</f>
        <v>7653.737169332</v>
      </c>
      <c r="F54" s="11" t="n">
        <f aca="false">SUM(F46:F53)</f>
        <v>7161.5421063215</v>
      </c>
      <c r="G54" s="11" t="n">
        <f aca="false">SUM(G46:G53)</f>
        <v>6850.9649427715</v>
      </c>
      <c r="H54" s="11" t="n">
        <f aca="false">SUM(H46:H53)</f>
        <v>6411.428515132</v>
      </c>
      <c r="I54" s="11" t="n">
        <f aca="false">SUM(I46:I53)</f>
        <v>6282.4692510425</v>
      </c>
      <c r="J54" s="11" t="n">
        <f aca="false">SUM(J46:J53)</f>
        <v>6722.005678682</v>
      </c>
      <c r="K54" s="11" t="n">
        <f aca="false">SUM(K46:K53)</f>
        <v>6722.005678682</v>
      </c>
      <c r="L54" s="11" t="n">
        <f aca="false">SUM(L46:L53)</f>
        <v>6722.005678682</v>
      </c>
      <c r="M54" s="11" t="n">
        <f aca="false">SUM(M46:M53)</f>
        <v>6593.0464145925</v>
      </c>
      <c r="N54" s="11" t="n">
        <f aca="false">SUM(N46:N53)</f>
        <v>6464.087150503</v>
      </c>
      <c r="O54" s="11" t="n">
        <f aca="false">SUM(O46:O53)</f>
        <v>10290.955735169</v>
      </c>
      <c r="P54" s="11" t="n">
        <f aca="false">SUM(P46:P53)</f>
        <v>87907.2855279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7" t="n">
        <v>2031</v>
      </c>
      <c r="B56" s="7" t="s">
        <v>179</v>
      </c>
      <c r="C56" s="7" t="s">
        <v>180</v>
      </c>
      <c r="D56" s="7" t="s">
        <v>59</v>
      </c>
      <c r="E56" s="7" t="s">
        <v>60</v>
      </c>
      <c r="F56" s="7" t="s">
        <v>61</v>
      </c>
      <c r="G56" s="7" t="s">
        <v>62</v>
      </c>
      <c r="H56" s="7" t="s">
        <v>63</v>
      </c>
      <c r="I56" s="7" t="s">
        <v>64</v>
      </c>
      <c r="J56" s="7" t="s">
        <v>65</v>
      </c>
      <c r="K56" s="7" t="s">
        <v>66</v>
      </c>
      <c r="L56" s="7" t="s">
        <v>67</v>
      </c>
      <c r="M56" s="7" t="s">
        <v>68</v>
      </c>
      <c r="N56" s="7" t="s">
        <v>69</v>
      </c>
      <c r="O56" s="7" t="s">
        <v>70</v>
      </c>
      <c r="P56" s="7" t="s">
        <v>181</v>
      </c>
    </row>
    <row r="57" customFormat="false" ht="14.25" hidden="false" customHeight="true" outlineLevel="0" collapsed="false">
      <c r="A57" s="41" t="n">
        <v>2031</v>
      </c>
      <c r="B57" s="8" t="s">
        <v>14</v>
      </c>
      <c r="C57" s="8" t="s">
        <v>182</v>
      </c>
      <c r="D57" s="42" t="n">
        <f aca="false">datos_base!$G$2*parametros_manuales!B$12</f>
        <v>1874.4303684</v>
      </c>
      <c r="E57" s="42" t="n">
        <f aca="false">datos_base!$G$2*parametros_manuales!C$12</f>
        <v>1405.8227763</v>
      </c>
      <c r="F57" s="42" t="n">
        <f aca="false">datos_base!$G$2*parametros_manuales!D$12</f>
        <v>1249.6202456</v>
      </c>
      <c r="G57" s="42" t="n">
        <f aca="false">datos_base!$G$2*parametros_manuales!E$12</f>
        <v>1171.51898025</v>
      </c>
      <c r="H57" s="42" t="n">
        <f aca="false">datos_base!$G$2*parametros_manuales!F$12</f>
        <v>1093.4177149</v>
      </c>
      <c r="I57" s="42" t="n">
        <f aca="false">datos_base!$G$2*parametros_manuales!G$12</f>
        <v>1093.4177149</v>
      </c>
      <c r="J57" s="42" t="n">
        <f aca="false">datos_base!$G$2*parametros_manuales!H$12</f>
        <v>1171.51898025</v>
      </c>
      <c r="K57" s="42" t="n">
        <f aca="false">datos_base!$G$2*parametros_manuales!I$12</f>
        <v>1171.51898025</v>
      </c>
      <c r="L57" s="42" t="n">
        <f aca="false">datos_base!$G$2*parametros_manuales!J$12</f>
        <v>1171.51898025</v>
      </c>
      <c r="M57" s="42" t="n">
        <f aca="false">datos_base!$G$2*parametros_manuales!K$12</f>
        <v>1171.51898025</v>
      </c>
      <c r="N57" s="42" t="n">
        <f aca="false">datos_base!$G$2*parametros_manuales!L$12</f>
        <v>1171.51898025</v>
      </c>
      <c r="O57" s="42" t="n">
        <f aca="false">datos_base!$G$2*parametros_manuales!M$12</f>
        <v>1874.4303684</v>
      </c>
      <c r="P57" s="9" t="n">
        <f aca="false">SUM(D57:O57)</f>
        <v>15620.25307</v>
      </c>
    </row>
    <row r="58" customFormat="false" ht="14.25" hidden="false" customHeight="true" outlineLevel="0" collapsed="false">
      <c r="A58" s="41" t="n">
        <v>2031</v>
      </c>
      <c r="B58" s="8" t="s">
        <v>15</v>
      </c>
      <c r="C58" s="8" t="s">
        <v>182</v>
      </c>
      <c r="D58" s="42" t="n">
        <f aca="false">datos_base!$G$3*parametros_manuales!B$13</f>
        <v>325.2869887</v>
      </c>
      <c r="E58" s="42" t="n">
        <f aca="false">datos_base!$G$3*parametros_manuales!C$13</f>
        <v>260.22959096</v>
      </c>
      <c r="F58" s="42" t="n">
        <f aca="false">datos_base!$G$3*parametros_manuales!D$13</f>
        <v>276.493940395</v>
      </c>
      <c r="G58" s="42" t="n">
        <f aca="false">datos_base!$G$3*parametros_manuales!E$13</f>
        <v>276.493940395</v>
      </c>
      <c r="H58" s="42" t="n">
        <f aca="false">datos_base!$G$3*parametros_manuales!F$13</f>
        <v>260.22959096</v>
      </c>
      <c r="I58" s="42" t="n">
        <f aca="false">datos_base!$G$3*parametros_manuales!G$13</f>
        <v>243.965241525</v>
      </c>
      <c r="J58" s="42" t="n">
        <f aca="false">datos_base!$G$3*parametros_manuales!H$13</f>
        <v>260.22959096</v>
      </c>
      <c r="K58" s="42" t="n">
        <f aca="false">datos_base!$G$3*parametros_manuales!I$13</f>
        <v>260.22959096</v>
      </c>
      <c r="L58" s="42" t="n">
        <f aca="false">datos_base!$G$3*parametros_manuales!J$13</f>
        <v>260.22959096</v>
      </c>
      <c r="M58" s="42" t="n">
        <f aca="false">datos_base!$G$3*parametros_manuales!K$13</f>
        <v>243.965241525</v>
      </c>
      <c r="N58" s="42" t="n">
        <f aca="false">datos_base!$G$3*parametros_manuales!L$13</f>
        <v>227.70089209</v>
      </c>
      <c r="O58" s="42" t="n">
        <f aca="false">datos_base!$G$3*parametros_manuales!M$13</f>
        <v>357.81568757</v>
      </c>
      <c r="P58" s="9" t="n">
        <f aca="false">SUM(D58:O58)</f>
        <v>3252.869887</v>
      </c>
    </row>
    <row r="59" customFormat="false" ht="14.25" hidden="false" customHeight="true" outlineLevel="0" collapsed="false">
      <c r="A59" s="41" t="n">
        <v>2031</v>
      </c>
      <c r="B59" s="8" t="s">
        <v>16</v>
      </c>
      <c r="C59" s="8" t="s">
        <v>182</v>
      </c>
      <c r="D59" s="42" t="n">
        <f aca="false">datos_base!$G$4*parametros_manuales!B$14</f>
        <v>1460.596411</v>
      </c>
      <c r="E59" s="42" t="n">
        <f aca="false">datos_base!$G$4*parametros_manuales!C$14</f>
        <v>1168.4771288</v>
      </c>
      <c r="F59" s="42" t="n">
        <f aca="false">datos_base!$G$4*parametros_manuales!D$14</f>
        <v>1241.50694935</v>
      </c>
      <c r="G59" s="42" t="n">
        <f aca="false">datos_base!$G$4*parametros_manuales!E$14</f>
        <v>1241.50694935</v>
      </c>
      <c r="H59" s="42" t="n">
        <f aca="false">datos_base!$G$4*parametros_manuales!F$14</f>
        <v>1168.4771288</v>
      </c>
      <c r="I59" s="42" t="n">
        <f aca="false">datos_base!$G$4*parametros_manuales!G$14</f>
        <v>1095.44730825</v>
      </c>
      <c r="J59" s="42" t="n">
        <f aca="false">datos_base!$G$4*parametros_manuales!H$14</f>
        <v>1168.4771288</v>
      </c>
      <c r="K59" s="42" t="n">
        <f aca="false">datos_base!$G$4*parametros_manuales!I$14</f>
        <v>1168.4771288</v>
      </c>
      <c r="L59" s="42" t="n">
        <f aca="false">datos_base!$G$4*parametros_manuales!J$14</f>
        <v>1168.4771288</v>
      </c>
      <c r="M59" s="42" t="n">
        <f aca="false">datos_base!$G$4*parametros_manuales!K$14</f>
        <v>1095.44730825</v>
      </c>
      <c r="N59" s="42" t="n">
        <f aca="false">datos_base!$G$4*parametros_manuales!L$14</f>
        <v>1022.4174877</v>
      </c>
      <c r="O59" s="42" t="n">
        <f aca="false">datos_base!$G$4*parametros_manuales!M$14</f>
        <v>1606.6560521</v>
      </c>
      <c r="P59" s="9" t="n">
        <f aca="false">SUM(D59:O59)</f>
        <v>14605.96411</v>
      </c>
    </row>
    <row r="60" customFormat="false" ht="14.25" hidden="false" customHeight="true" outlineLevel="0" collapsed="false">
      <c r="A60" s="41" t="n">
        <v>2031</v>
      </c>
      <c r="B60" s="8" t="s">
        <v>17</v>
      </c>
      <c r="C60" s="8" t="s">
        <v>182</v>
      </c>
      <c r="D60" s="42" t="n">
        <f aca="false">datos_base!$G$5*parametros_manuales!B$15</f>
        <v>87.2605032</v>
      </c>
      <c r="E60" s="42" t="n">
        <f aca="false">datos_base!$G$5*parametros_manuales!C$15</f>
        <v>69.80840256</v>
      </c>
      <c r="F60" s="42" t="n">
        <f aca="false">datos_base!$G$5*parametros_manuales!D$15</f>
        <v>74.17142772</v>
      </c>
      <c r="G60" s="42" t="n">
        <f aca="false">datos_base!$G$5*parametros_manuales!E$15</f>
        <v>74.17142772</v>
      </c>
      <c r="H60" s="42" t="n">
        <f aca="false">datos_base!$G$5*parametros_manuales!F$15</f>
        <v>69.80840256</v>
      </c>
      <c r="I60" s="42" t="n">
        <f aca="false">datos_base!$G$5*parametros_manuales!G$15</f>
        <v>65.4453774</v>
      </c>
      <c r="J60" s="42" t="n">
        <f aca="false">datos_base!$G$5*parametros_manuales!H$15</f>
        <v>69.80840256</v>
      </c>
      <c r="K60" s="42" t="n">
        <f aca="false">datos_base!$G$5*parametros_manuales!I$15</f>
        <v>69.80840256</v>
      </c>
      <c r="L60" s="42" t="n">
        <f aca="false">datos_base!$G$5*parametros_manuales!J$15</f>
        <v>69.80840256</v>
      </c>
      <c r="M60" s="42" t="n">
        <f aca="false">datos_base!$G$5*parametros_manuales!K$15</f>
        <v>65.4453774</v>
      </c>
      <c r="N60" s="42" t="n">
        <f aca="false">datos_base!$G$5*parametros_manuales!L$15</f>
        <v>61.08235224</v>
      </c>
      <c r="O60" s="42" t="n">
        <f aca="false">datos_base!$G$5*parametros_manuales!M$15</f>
        <v>95.98655352</v>
      </c>
      <c r="P60" s="9" t="n">
        <f aca="false">SUM(D60:O60)</f>
        <v>872.605032</v>
      </c>
    </row>
    <row r="61" customFormat="false" ht="14.25" hidden="false" customHeight="true" outlineLevel="0" collapsed="false">
      <c r="A61" s="41" t="n">
        <v>2031</v>
      </c>
      <c r="B61" s="8" t="s">
        <v>20</v>
      </c>
      <c r="C61" s="8" t="s">
        <v>183</v>
      </c>
      <c r="D61" s="42" t="n">
        <f aca="false">datos_base!$G$9*parametros_manuales!B$12</f>
        <v>8601.624</v>
      </c>
      <c r="E61" s="42" t="n">
        <f aca="false">datos_base!$G$9*parametros_manuales!C$12</f>
        <v>6451.218</v>
      </c>
      <c r="F61" s="42" t="n">
        <f aca="false">datos_base!$G$9*parametros_manuales!D$12</f>
        <v>5734.416</v>
      </c>
      <c r="G61" s="42" t="n">
        <f aca="false">datos_base!$G$9*parametros_manuales!E$12</f>
        <v>5376.015</v>
      </c>
      <c r="H61" s="42" t="n">
        <f aca="false">datos_base!$G$9*parametros_manuales!F$12</f>
        <v>5017.614</v>
      </c>
      <c r="I61" s="42" t="n">
        <f aca="false">datos_base!$G$9*parametros_manuales!G$12</f>
        <v>5017.614</v>
      </c>
      <c r="J61" s="42" t="n">
        <f aca="false">datos_base!$G$9*parametros_manuales!H$12</f>
        <v>5376.015</v>
      </c>
      <c r="K61" s="42" t="n">
        <f aca="false">datos_base!$G$9*parametros_manuales!I$12</f>
        <v>5376.015</v>
      </c>
      <c r="L61" s="42" t="n">
        <f aca="false">datos_base!$G$9*parametros_manuales!J$12</f>
        <v>5376.015</v>
      </c>
      <c r="M61" s="42" t="n">
        <f aca="false">datos_base!$G$9*parametros_manuales!K$12</f>
        <v>5376.015</v>
      </c>
      <c r="N61" s="42" t="n">
        <f aca="false">datos_base!$G$9*parametros_manuales!L$12</f>
        <v>5376.015</v>
      </c>
      <c r="O61" s="42" t="n">
        <f aca="false">datos_base!$G$9*parametros_manuales!M$12</f>
        <v>8601.624</v>
      </c>
      <c r="P61" s="9" t="n">
        <f aca="false">SUM(D61:O61)</f>
        <v>71680.2</v>
      </c>
    </row>
    <row r="62" customFormat="false" ht="14.25" hidden="false" customHeight="true" outlineLevel="0" collapsed="false">
      <c r="A62" s="41" t="n">
        <v>2031</v>
      </c>
      <c r="B62" s="8" t="s">
        <v>21</v>
      </c>
      <c r="C62" s="8" t="s">
        <v>183</v>
      </c>
      <c r="D62" s="42" t="n">
        <f aca="false">datos_base!$G$10*parametros_manuales!B$13</f>
        <v>280.3</v>
      </c>
      <c r="E62" s="42" t="n">
        <f aca="false">datos_base!$G$10*parametros_manuales!C$13</f>
        <v>224.24</v>
      </c>
      <c r="F62" s="42" t="n">
        <f aca="false">datos_base!$G$10*parametros_manuales!D$13</f>
        <v>238.255</v>
      </c>
      <c r="G62" s="42" t="n">
        <f aca="false">datos_base!$G$10*parametros_manuales!E$13</f>
        <v>238.255</v>
      </c>
      <c r="H62" s="42" t="n">
        <f aca="false">datos_base!$G$10*parametros_manuales!F$13</f>
        <v>224.24</v>
      </c>
      <c r="I62" s="42" t="n">
        <f aca="false">datos_base!$G$10*parametros_manuales!G$13</f>
        <v>210.225</v>
      </c>
      <c r="J62" s="42" t="n">
        <f aca="false">datos_base!$G$10*parametros_manuales!H$13</f>
        <v>224.24</v>
      </c>
      <c r="K62" s="42" t="n">
        <f aca="false">datos_base!$G$10*parametros_manuales!I$13</f>
        <v>224.24</v>
      </c>
      <c r="L62" s="42" t="n">
        <f aca="false">datos_base!$G$10*parametros_manuales!J$13</f>
        <v>224.24</v>
      </c>
      <c r="M62" s="42" t="n">
        <f aca="false">datos_base!$G$10*parametros_manuales!K$13</f>
        <v>210.225</v>
      </c>
      <c r="N62" s="42" t="n">
        <f aca="false">datos_base!$G$10*parametros_manuales!L$13</f>
        <v>196.21</v>
      </c>
      <c r="O62" s="42" t="n">
        <f aca="false">datos_base!$G$10*parametros_manuales!M$13</f>
        <v>308.33</v>
      </c>
      <c r="P62" s="9" t="n">
        <f aca="false">SUM(D62:O62)</f>
        <v>2803</v>
      </c>
    </row>
    <row r="63" customFormat="false" ht="14.25" hidden="false" customHeight="true" outlineLevel="0" collapsed="false">
      <c r="A63" s="41" t="n">
        <v>2031</v>
      </c>
      <c r="B63" s="8" t="s">
        <v>22</v>
      </c>
      <c r="C63" s="8" t="s">
        <v>183</v>
      </c>
      <c r="D63" s="42" t="n">
        <f aca="false">datos_base!$G$11*parametros_manuales!B$14</f>
        <v>1383.42</v>
      </c>
      <c r="E63" s="42" t="n">
        <f aca="false">datos_base!$G$11*parametros_manuales!C$14</f>
        <v>1106.736</v>
      </c>
      <c r="F63" s="42" t="n">
        <f aca="false">datos_base!$G$11*parametros_manuales!D$14</f>
        <v>1175.907</v>
      </c>
      <c r="G63" s="42" t="n">
        <f aca="false">datos_base!$G$11*parametros_manuales!E$14</f>
        <v>1175.907</v>
      </c>
      <c r="H63" s="42" t="n">
        <f aca="false">datos_base!$G$11*parametros_manuales!F$14</f>
        <v>1106.736</v>
      </c>
      <c r="I63" s="42" t="n">
        <f aca="false">datos_base!$G$11*parametros_manuales!G$14</f>
        <v>1037.565</v>
      </c>
      <c r="J63" s="42" t="n">
        <f aca="false">datos_base!$G$11*parametros_manuales!H$14</f>
        <v>1106.736</v>
      </c>
      <c r="K63" s="42" t="n">
        <f aca="false">datos_base!$G$11*parametros_manuales!I$14</f>
        <v>1106.736</v>
      </c>
      <c r="L63" s="42" t="n">
        <f aca="false">datos_base!$G$11*parametros_manuales!J$14</f>
        <v>1106.736</v>
      </c>
      <c r="M63" s="42" t="n">
        <f aca="false">datos_base!$G$11*parametros_manuales!K$14</f>
        <v>1037.565</v>
      </c>
      <c r="N63" s="42" t="n">
        <f aca="false">datos_base!$G$11*parametros_manuales!L$14</f>
        <v>968.394</v>
      </c>
      <c r="O63" s="42" t="n">
        <f aca="false">datos_base!$G$11*parametros_manuales!M$14</f>
        <v>1521.762</v>
      </c>
      <c r="P63" s="9" t="n">
        <f aca="false">SUM(D63:O63)</f>
        <v>13834.2</v>
      </c>
    </row>
    <row r="64" customFormat="false" ht="14.25" hidden="false" customHeight="true" outlineLevel="0" collapsed="false">
      <c r="A64" s="41" t="n">
        <v>2031</v>
      </c>
      <c r="B64" s="8" t="s">
        <v>23</v>
      </c>
      <c r="C64" s="8" t="s">
        <v>183</v>
      </c>
      <c r="D64" s="42" t="n">
        <f aca="false">datos_base!$G$12*parametros_manuales!B$15</f>
        <v>84.58</v>
      </c>
      <c r="E64" s="42" t="n">
        <f aca="false">datos_base!$G$12*parametros_manuales!C$15</f>
        <v>67.664</v>
      </c>
      <c r="F64" s="42" t="n">
        <f aca="false">datos_base!$G$12*parametros_manuales!D$15</f>
        <v>71.893</v>
      </c>
      <c r="G64" s="42" t="n">
        <f aca="false">datos_base!$G$12*parametros_manuales!E$15</f>
        <v>71.893</v>
      </c>
      <c r="H64" s="42" t="n">
        <f aca="false">datos_base!$G$12*parametros_manuales!F$15</f>
        <v>67.664</v>
      </c>
      <c r="I64" s="42" t="n">
        <f aca="false">datos_base!$G$12*parametros_manuales!G$15</f>
        <v>63.435</v>
      </c>
      <c r="J64" s="42" t="n">
        <f aca="false">datos_base!$G$12*parametros_manuales!H$15</f>
        <v>67.664</v>
      </c>
      <c r="K64" s="42" t="n">
        <f aca="false">datos_base!$G$12*parametros_manuales!I$15</f>
        <v>67.664</v>
      </c>
      <c r="L64" s="42" t="n">
        <f aca="false">datos_base!$G$12*parametros_manuales!J$15</f>
        <v>67.664</v>
      </c>
      <c r="M64" s="42" t="n">
        <f aca="false">datos_base!$G$12*parametros_manuales!K$15</f>
        <v>63.435</v>
      </c>
      <c r="N64" s="42" t="n">
        <f aca="false">datos_base!$G$12*parametros_manuales!L$15</f>
        <v>59.206</v>
      </c>
      <c r="O64" s="42" t="n">
        <f aca="false">datos_base!$G$12*parametros_manuales!M$15</f>
        <v>93.038</v>
      </c>
      <c r="P64" s="9" t="n">
        <f aca="false">SUM(D64:O64)</f>
        <v>845.8</v>
      </c>
    </row>
    <row r="65" customFormat="false" ht="14.25" hidden="false" customHeight="true" outlineLevel="0" collapsed="false">
      <c r="B65" s="10" t="s">
        <v>184</v>
      </c>
      <c r="D65" s="11" t="n">
        <f aca="false">SUM(D57:D64)</f>
        <v>14097.4982713</v>
      </c>
      <c r="E65" s="11" t="n">
        <f aca="false">SUM(E57:E64)</f>
        <v>10754.19589862</v>
      </c>
      <c r="F65" s="11" t="n">
        <f aca="false">SUM(F57:F64)</f>
        <v>10062.263563065</v>
      </c>
      <c r="G65" s="11" t="n">
        <f aca="false">SUM(G57:G64)</f>
        <v>9625.761297715</v>
      </c>
      <c r="H65" s="11" t="n">
        <f aca="false">SUM(H57:H64)</f>
        <v>9008.18683722</v>
      </c>
      <c r="I65" s="11" t="n">
        <f aca="false">SUM(I57:I64)</f>
        <v>8827.114642075</v>
      </c>
      <c r="J65" s="11" t="n">
        <f aca="false">SUM(J57:J64)</f>
        <v>9444.68910257</v>
      </c>
      <c r="K65" s="11" t="n">
        <f aca="false">SUM(K57:K64)</f>
        <v>9444.68910257</v>
      </c>
      <c r="L65" s="11" t="n">
        <f aca="false">SUM(L57:L64)</f>
        <v>9444.68910257</v>
      </c>
      <c r="M65" s="11" t="n">
        <f aca="false">SUM(M57:M64)</f>
        <v>9263.616907425</v>
      </c>
      <c r="N65" s="11" t="n">
        <f aca="false">SUM(N57:N64)</f>
        <v>9082.54471228</v>
      </c>
      <c r="O65" s="11" t="n">
        <f aca="false">SUM(O57:O64)</f>
        <v>14459.64266159</v>
      </c>
      <c r="P65" s="11" t="n">
        <f aca="false">SUM(P57:P64)</f>
        <v>123514.892099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7" t="n">
        <v>2032</v>
      </c>
      <c r="B67" s="7" t="s">
        <v>179</v>
      </c>
      <c r="C67" s="7" t="s">
        <v>180</v>
      </c>
      <c r="D67" s="7" t="s">
        <v>59</v>
      </c>
      <c r="E67" s="7" t="s">
        <v>60</v>
      </c>
      <c r="F67" s="7" t="s">
        <v>61</v>
      </c>
      <c r="G67" s="7" t="s">
        <v>62</v>
      </c>
      <c r="H67" s="7" t="s">
        <v>63</v>
      </c>
      <c r="I67" s="7" t="s">
        <v>64</v>
      </c>
      <c r="J67" s="7" t="s">
        <v>65</v>
      </c>
      <c r="K67" s="7" t="s">
        <v>66</v>
      </c>
      <c r="L67" s="7" t="s">
        <v>67</v>
      </c>
      <c r="M67" s="7" t="s">
        <v>68</v>
      </c>
      <c r="N67" s="7" t="s">
        <v>69</v>
      </c>
      <c r="O67" s="7" t="s">
        <v>70</v>
      </c>
      <c r="P67" s="7" t="s">
        <v>181</v>
      </c>
    </row>
    <row r="68" customFormat="false" ht="14.25" hidden="false" customHeight="true" outlineLevel="0" collapsed="false">
      <c r="A68" s="41" t="n">
        <v>2032</v>
      </c>
      <c r="B68" s="8" t="s">
        <v>14</v>
      </c>
      <c r="C68" s="8" t="s">
        <v>182</v>
      </c>
      <c r="D68" s="42" t="n">
        <f aca="false">datos_base!$H$2*parametros_manuales!B$12</f>
        <v>2439.9063912</v>
      </c>
      <c r="E68" s="42" t="n">
        <f aca="false">datos_base!$H$2*parametros_manuales!C$12</f>
        <v>1829.9297934</v>
      </c>
      <c r="F68" s="42" t="n">
        <f aca="false">datos_base!$H$2*parametros_manuales!D$12</f>
        <v>1626.6042608</v>
      </c>
      <c r="G68" s="42" t="n">
        <f aca="false">datos_base!$H$2*parametros_manuales!E$12</f>
        <v>1524.9414945</v>
      </c>
      <c r="H68" s="42" t="n">
        <f aca="false">datos_base!$H$2*parametros_manuales!F$12</f>
        <v>1423.2787282</v>
      </c>
      <c r="I68" s="42" t="n">
        <f aca="false">datos_base!$H$2*parametros_manuales!G$12</f>
        <v>1423.2787282</v>
      </c>
      <c r="J68" s="42" t="n">
        <f aca="false">datos_base!$H$2*parametros_manuales!H$12</f>
        <v>1524.9414945</v>
      </c>
      <c r="K68" s="42" t="n">
        <f aca="false">datos_base!$H$2*parametros_manuales!I$12</f>
        <v>1524.9414945</v>
      </c>
      <c r="L68" s="42" t="n">
        <f aca="false">datos_base!$H$2*parametros_manuales!J$12</f>
        <v>1524.9414945</v>
      </c>
      <c r="M68" s="42" t="n">
        <f aca="false">datos_base!$H$2*parametros_manuales!K$12</f>
        <v>1524.9414945</v>
      </c>
      <c r="N68" s="42" t="n">
        <f aca="false">datos_base!$H$2*parametros_manuales!L$12</f>
        <v>1524.9414945</v>
      </c>
      <c r="O68" s="42" t="n">
        <f aca="false">datos_base!$H$2*parametros_manuales!M$12</f>
        <v>2439.9063912</v>
      </c>
      <c r="P68" s="9" t="n">
        <f aca="false">SUM(D68:O68)</f>
        <v>20332.55326</v>
      </c>
    </row>
    <row r="69" customFormat="false" ht="14.25" hidden="false" customHeight="true" outlineLevel="0" collapsed="false">
      <c r="A69" s="41" t="n">
        <v>2032</v>
      </c>
      <c r="B69" s="8" t="s">
        <v>15</v>
      </c>
      <c r="C69" s="8" t="s">
        <v>182</v>
      </c>
      <c r="D69" s="42" t="n">
        <f aca="false">datos_base!$H$3*parametros_manuales!B$13</f>
        <v>410.2315524</v>
      </c>
      <c r="E69" s="42" t="n">
        <f aca="false">datos_base!$H$3*parametros_manuales!C$13</f>
        <v>328.18524192</v>
      </c>
      <c r="F69" s="42" t="n">
        <f aca="false">datos_base!$H$3*parametros_manuales!D$13</f>
        <v>348.69681954</v>
      </c>
      <c r="G69" s="42" t="n">
        <f aca="false">datos_base!$H$3*parametros_manuales!E$13</f>
        <v>348.69681954</v>
      </c>
      <c r="H69" s="42" t="n">
        <f aca="false">datos_base!$H$3*parametros_manuales!F$13</f>
        <v>328.18524192</v>
      </c>
      <c r="I69" s="42" t="n">
        <f aca="false">datos_base!$H$3*parametros_manuales!G$13</f>
        <v>307.6736643</v>
      </c>
      <c r="J69" s="42" t="n">
        <f aca="false">datos_base!$H$3*parametros_manuales!H$13</f>
        <v>328.18524192</v>
      </c>
      <c r="K69" s="42" t="n">
        <f aca="false">datos_base!$H$3*parametros_manuales!I$13</f>
        <v>328.18524192</v>
      </c>
      <c r="L69" s="42" t="n">
        <f aca="false">datos_base!$H$3*parametros_manuales!J$13</f>
        <v>328.18524192</v>
      </c>
      <c r="M69" s="42" t="n">
        <f aca="false">datos_base!$H$3*parametros_manuales!K$13</f>
        <v>307.6736643</v>
      </c>
      <c r="N69" s="42" t="n">
        <f aca="false">datos_base!$H$3*parametros_manuales!L$13</f>
        <v>287.16208668</v>
      </c>
      <c r="O69" s="42" t="n">
        <f aca="false">datos_base!$H$3*parametros_manuales!M$13</f>
        <v>451.25470764</v>
      </c>
      <c r="P69" s="9" t="n">
        <f aca="false">SUM(D69:O69)</f>
        <v>4102.315524</v>
      </c>
    </row>
    <row r="70" customFormat="false" ht="14.25" hidden="false" customHeight="true" outlineLevel="0" collapsed="false">
      <c r="A70" s="41" t="n">
        <v>2032</v>
      </c>
      <c r="B70" s="8" t="s">
        <v>16</v>
      </c>
      <c r="C70" s="8" t="s">
        <v>182</v>
      </c>
      <c r="D70" s="42" t="n">
        <f aca="false">datos_base!$H$4*parametros_manuales!B$14</f>
        <v>1887.775984</v>
      </c>
      <c r="E70" s="42" t="n">
        <f aca="false">datos_base!$H$4*parametros_manuales!C$14</f>
        <v>1510.2207872</v>
      </c>
      <c r="F70" s="42" t="n">
        <f aca="false">datos_base!$H$4*parametros_manuales!D$14</f>
        <v>1604.6095864</v>
      </c>
      <c r="G70" s="42" t="n">
        <f aca="false">datos_base!$H$4*parametros_manuales!E$14</f>
        <v>1604.6095864</v>
      </c>
      <c r="H70" s="42" t="n">
        <f aca="false">datos_base!$H$4*parametros_manuales!F$14</f>
        <v>1510.2207872</v>
      </c>
      <c r="I70" s="42" t="n">
        <f aca="false">datos_base!$H$4*parametros_manuales!G$14</f>
        <v>1415.831988</v>
      </c>
      <c r="J70" s="42" t="n">
        <f aca="false">datos_base!$H$4*parametros_manuales!H$14</f>
        <v>1510.2207872</v>
      </c>
      <c r="K70" s="42" t="n">
        <f aca="false">datos_base!$H$4*parametros_manuales!I$14</f>
        <v>1510.2207872</v>
      </c>
      <c r="L70" s="42" t="n">
        <f aca="false">datos_base!$H$4*parametros_manuales!J$14</f>
        <v>1510.2207872</v>
      </c>
      <c r="M70" s="42" t="n">
        <f aca="false">datos_base!$H$4*parametros_manuales!K$14</f>
        <v>1415.831988</v>
      </c>
      <c r="N70" s="42" t="n">
        <f aca="false">datos_base!$H$4*parametros_manuales!L$14</f>
        <v>1321.4431888</v>
      </c>
      <c r="O70" s="42" t="n">
        <f aca="false">datos_base!$H$4*parametros_manuales!M$14</f>
        <v>2076.5535824</v>
      </c>
      <c r="P70" s="9" t="n">
        <f aca="false">SUM(D70:O70)</f>
        <v>18877.75984</v>
      </c>
    </row>
    <row r="71" customFormat="false" ht="14.25" hidden="false" customHeight="true" outlineLevel="0" collapsed="false">
      <c r="A71" s="41" t="n">
        <v>2032</v>
      </c>
      <c r="B71" s="8" t="s">
        <v>17</v>
      </c>
      <c r="C71" s="8" t="s">
        <v>182</v>
      </c>
      <c r="D71" s="42" t="n">
        <f aca="false">datos_base!$H$5*parametros_manuales!B$15</f>
        <v>112.7160545</v>
      </c>
      <c r="E71" s="42" t="n">
        <f aca="false">datos_base!$H$5*parametros_manuales!C$15</f>
        <v>90.1728436</v>
      </c>
      <c r="F71" s="42" t="n">
        <f aca="false">datos_base!$H$5*parametros_manuales!D$15</f>
        <v>95.808646325</v>
      </c>
      <c r="G71" s="42" t="n">
        <f aca="false">datos_base!$H$5*parametros_manuales!E$15</f>
        <v>95.808646325</v>
      </c>
      <c r="H71" s="42" t="n">
        <f aca="false">datos_base!$H$5*parametros_manuales!F$15</f>
        <v>90.1728436</v>
      </c>
      <c r="I71" s="42" t="n">
        <f aca="false">datos_base!$H$5*parametros_manuales!G$15</f>
        <v>84.537040875</v>
      </c>
      <c r="J71" s="42" t="n">
        <f aca="false">datos_base!$H$5*parametros_manuales!H$15</f>
        <v>90.1728436</v>
      </c>
      <c r="K71" s="42" t="n">
        <f aca="false">datos_base!$H$5*parametros_manuales!I$15</f>
        <v>90.1728436</v>
      </c>
      <c r="L71" s="42" t="n">
        <f aca="false">datos_base!$H$5*parametros_manuales!J$15</f>
        <v>90.1728436</v>
      </c>
      <c r="M71" s="42" t="n">
        <f aca="false">datos_base!$H$5*parametros_manuales!K$15</f>
        <v>84.537040875</v>
      </c>
      <c r="N71" s="42" t="n">
        <f aca="false">datos_base!$H$5*parametros_manuales!L$15</f>
        <v>78.90123815</v>
      </c>
      <c r="O71" s="42" t="n">
        <f aca="false">datos_base!$H$5*parametros_manuales!M$15</f>
        <v>123.98765995</v>
      </c>
      <c r="P71" s="9" t="n">
        <f aca="false">SUM(D71:O71)</f>
        <v>1127.160545</v>
      </c>
    </row>
    <row r="72" customFormat="false" ht="14.25" hidden="false" customHeight="true" outlineLevel="0" collapsed="false">
      <c r="A72" s="41" t="n">
        <v>2032</v>
      </c>
      <c r="B72" s="8" t="s">
        <v>20</v>
      </c>
      <c r="C72" s="8" t="s">
        <v>183</v>
      </c>
      <c r="D72" s="42" t="n">
        <f aca="false">datos_base!$H$9*parametros_manuales!B$12</f>
        <v>12160.872</v>
      </c>
      <c r="E72" s="42" t="n">
        <f aca="false">datos_base!$H$9*parametros_manuales!C$12</f>
        <v>9120.654</v>
      </c>
      <c r="F72" s="42" t="n">
        <f aca="false">datos_base!$H$9*parametros_manuales!D$12</f>
        <v>8107.248</v>
      </c>
      <c r="G72" s="42" t="n">
        <f aca="false">datos_base!$H$9*parametros_manuales!E$12</f>
        <v>7600.545</v>
      </c>
      <c r="H72" s="42" t="n">
        <f aca="false">datos_base!$H$9*parametros_manuales!F$12</f>
        <v>7093.842</v>
      </c>
      <c r="I72" s="42" t="n">
        <f aca="false">datos_base!$H$9*parametros_manuales!G$12</f>
        <v>7093.842</v>
      </c>
      <c r="J72" s="42" t="n">
        <f aca="false">datos_base!$H$9*parametros_manuales!H$12</f>
        <v>7600.545</v>
      </c>
      <c r="K72" s="42" t="n">
        <f aca="false">datos_base!$H$9*parametros_manuales!I$12</f>
        <v>7600.545</v>
      </c>
      <c r="L72" s="42" t="n">
        <f aca="false">datos_base!$H$9*parametros_manuales!J$12</f>
        <v>7600.545</v>
      </c>
      <c r="M72" s="42" t="n">
        <f aca="false">datos_base!$H$9*parametros_manuales!K$12</f>
        <v>7600.545</v>
      </c>
      <c r="N72" s="42" t="n">
        <f aca="false">datos_base!$H$9*parametros_manuales!L$12</f>
        <v>7600.545</v>
      </c>
      <c r="O72" s="42" t="n">
        <f aca="false">datos_base!$H$9*parametros_manuales!M$12</f>
        <v>12160.872</v>
      </c>
      <c r="P72" s="9" t="n">
        <f aca="false">SUM(D72:O72)</f>
        <v>101340.6</v>
      </c>
    </row>
    <row r="73" customFormat="false" ht="14.25" hidden="false" customHeight="true" outlineLevel="0" collapsed="false">
      <c r="A73" s="41" t="n">
        <v>2032</v>
      </c>
      <c r="B73" s="8" t="s">
        <v>21</v>
      </c>
      <c r="C73" s="8" t="s">
        <v>183</v>
      </c>
      <c r="D73" s="42" t="n">
        <f aca="false">datos_base!$H$10*parametros_manuales!B$13</f>
        <v>396.3</v>
      </c>
      <c r="E73" s="42" t="n">
        <f aca="false">datos_base!$H$10*parametros_manuales!C$13</f>
        <v>317.04</v>
      </c>
      <c r="F73" s="42" t="n">
        <f aca="false">datos_base!$H$10*parametros_manuales!D$13</f>
        <v>336.855</v>
      </c>
      <c r="G73" s="42" t="n">
        <f aca="false">datos_base!$H$10*parametros_manuales!E$13</f>
        <v>336.855</v>
      </c>
      <c r="H73" s="42" t="n">
        <f aca="false">datos_base!$H$10*parametros_manuales!F$13</f>
        <v>317.04</v>
      </c>
      <c r="I73" s="42" t="n">
        <f aca="false">datos_base!$H$10*parametros_manuales!G$13</f>
        <v>297.225</v>
      </c>
      <c r="J73" s="42" t="n">
        <f aca="false">datos_base!$H$10*parametros_manuales!H$13</f>
        <v>317.04</v>
      </c>
      <c r="K73" s="42" t="n">
        <f aca="false">datos_base!$H$10*parametros_manuales!I$13</f>
        <v>317.04</v>
      </c>
      <c r="L73" s="42" t="n">
        <f aca="false">datos_base!$H$10*parametros_manuales!J$13</f>
        <v>317.04</v>
      </c>
      <c r="M73" s="42" t="n">
        <f aca="false">datos_base!$H$10*parametros_manuales!K$13</f>
        <v>297.225</v>
      </c>
      <c r="N73" s="42" t="n">
        <f aca="false">datos_base!$H$10*parametros_manuales!L$13</f>
        <v>277.41</v>
      </c>
      <c r="O73" s="42" t="n">
        <f aca="false">datos_base!$H$10*parametros_manuales!M$13</f>
        <v>435.93</v>
      </c>
      <c r="P73" s="9" t="n">
        <f aca="false">SUM(D73:O73)</f>
        <v>3963</v>
      </c>
    </row>
    <row r="74" customFormat="false" ht="14.25" hidden="false" customHeight="true" outlineLevel="0" collapsed="false">
      <c r="A74" s="41" t="n">
        <v>2032</v>
      </c>
      <c r="B74" s="8" t="s">
        <v>22</v>
      </c>
      <c r="C74" s="8" t="s">
        <v>183</v>
      </c>
      <c r="D74" s="42" t="n">
        <f aca="false">datos_base!$H$11*parametros_manuales!B$14</f>
        <v>1955.86</v>
      </c>
      <c r="E74" s="42" t="n">
        <f aca="false">datos_base!$H$11*parametros_manuales!C$14</f>
        <v>1564.688</v>
      </c>
      <c r="F74" s="42" t="n">
        <f aca="false">datos_base!$H$11*parametros_manuales!D$14</f>
        <v>1662.481</v>
      </c>
      <c r="G74" s="42" t="n">
        <f aca="false">datos_base!$H$11*parametros_manuales!E$14</f>
        <v>1662.481</v>
      </c>
      <c r="H74" s="42" t="n">
        <f aca="false">datos_base!$H$11*parametros_manuales!F$14</f>
        <v>1564.688</v>
      </c>
      <c r="I74" s="42" t="n">
        <f aca="false">datos_base!$H$11*parametros_manuales!G$14</f>
        <v>1466.895</v>
      </c>
      <c r="J74" s="42" t="n">
        <f aca="false">datos_base!$H$11*parametros_manuales!H$14</f>
        <v>1564.688</v>
      </c>
      <c r="K74" s="42" t="n">
        <f aca="false">datos_base!$H$11*parametros_manuales!I$14</f>
        <v>1564.688</v>
      </c>
      <c r="L74" s="42" t="n">
        <f aca="false">datos_base!$H$11*parametros_manuales!J$14</f>
        <v>1564.688</v>
      </c>
      <c r="M74" s="42" t="n">
        <f aca="false">datos_base!$H$11*parametros_manuales!K$14</f>
        <v>1466.895</v>
      </c>
      <c r="N74" s="42" t="n">
        <f aca="false">datos_base!$H$11*parametros_manuales!L$14</f>
        <v>1369.102</v>
      </c>
      <c r="O74" s="42" t="n">
        <f aca="false">datos_base!$H$11*parametros_manuales!M$14</f>
        <v>2151.446</v>
      </c>
      <c r="P74" s="9" t="n">
        <f aca="false">SUM(D74:O74)</f>
        <v>19558.6</v>
      </c>
    </row>
    <row r="75" customFormat="false" ht="14.25" hidden="false" customHeight="true" outlineLevel="0" collapsed="false">
      <c r="A75" s="41" t="n">
        <v>2032</v>
      </c>
      <c r="B75" s="8" t="s">
        <v>23</v>
      </c>
      <c r="C75" s="8" t="s">
        <v>183</v>
      </c>
      <c r="D75" s="42" t="n">
        <f aca="false">datos_base!$H$12*parametros_manuales!B$15</f>
        <v>119.54</v>
      </c>
      <c r="E75" s="42" t="n">
        <f aca="false">datos_base!$H$12*parametros_manuales!C$15</f>
        <v>95.632</v>
      </c>
      <c r="F75" s="42" t="n">
        <f aca="false">datos_base!$H$12*parametros_manuales!D$15</f>
        <v>101.609</v>
      </c>
      <c r="G75" s="42" t="n">
        <f aca="false">datos_base!$H$12*parametros_manuales!E$15</f>
        <v>101.609</v>
      </c>
      <c r="H75" s="42" t="n">
        <f aca="false">datos_base!$H$12*parametros_manuales!F$15</f>
        <v>95.632</v>
      </c>
      <c r="I75" s="42" t="n">
        <f aca="false">datos_base!$H$12*parametros_manuales!G$15</f>
        <v>89.655</v>
      </c>
      <c r="J75" s="42" t="n">
        <f aca="false">datos_base!$H$12*parametros_manuales!H$15</f>
        <v>95.632</v>
      </c>
      <c r="K75" s="42" t="n">
        <f aca="false">datos_base!$H$12*parametros_manuales!I$15</f>
        <v>95.632</v>
      </c>
      <c r="L75" s="42" t="n">
        <f aca="false">datos_base!$H$12*parametros_manuales!J$15</f>
        <v>95.632</v>
      </c>
      <c r="M75" s="42" t="n">
        <f aca="false">datos_base!$H$12*parametros_manuales!K$15</f>
        <v>89.655</v>
      </c>
      <c r="N75" s="42" t="n">
        <f aca="false">datos_base!$H$12*parametros_manuales!L$15</f>
        <v>83.678</v>
      </c>
      <c r="O75" s="42" t="n">
        <f aca="false">datos_base!$H$12*parametros_manuales!M$15</f>
        <v>131.494</v>
      </c>
      <c r="P75" s="9" t="n">
        <f aca="false">SUM(D75:O75)</f>
        <v>1195.4</v>
      </c>
    </row>
    <row r="76" customFormat="false" ht="14.25" hidden="false" customHeight="true" outlineLevel="0" collapsed="false">
      <c r="B76" s="10" t="s">
        <v>184</v>
      </c>
      <c r="D76" s="11" t="n">
        <f aca="false">SUM(D68:D75)</f>
        <v>19483.2019821</v>
      </c>
      <c r="E76" s="11" t="n">
        <f aca="false">SUM(E68:E75)</f>
        <v>14856.52266612</v>
      </c>
      <c r="F76" s="11" t="n">
        <f aca="false">SUM(F68:F75)</f>
        <v>13883.912313065</v>
      </c>
      <c r="G76" s="11" t="n">
        <f aca="false">SUM(G68:G75)</f>
        <v>13275.546546765</v>
      </c>
      <c r="H76" s="11" t="n">
        <f aca="false">SUM(H68:H75)</f>
        <v>12423.05960092</v>
      </c>
      <c r="I76" s="11" t="n">
        <f aca="false">SUM(I68:I75)</f>
        <v>12178.938421375</v>
      </c>
      <c r="J76" s="11" t="n">
        <f aca="false">SUM(J68:J75)</f>
        <v>13031.42536722</v>
      </c>
      <c r="K76" s="11" t="n">
        <f aca="false">SUM(K68:K75)</f>
        <v>13031.42536722</v>
      </c>
      <c r="L76" s="11" t="n">
        <f aca="false">SUM(L68:L75)</f>
        <v>13031.42536722</v>
      </c>
      <c r="M76" s="11" t="n">
        <f aca="false">SUM(M68:M75)</f>
        <v>12787.304187675</v>
      </c>
      <c r="N76" s="11" t="n">
        <f aca="false">SUM(N68:N75)</f>
        <v>12543.18300813</v>
      </c>
      <c r="O76" s="11" t="n">
        <f aca="false">SUM(O68:O75)</f>
        <v>19971.44434119</v>
      </c>
      <c r="P76" s="11" t="n">
        <f aca="false">SUM(P68:P75)</f>
        <v>170497.389169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7" t="n">
        <v>2033</v>
      </c>
      <c r="B78" s="7" t="s">
        <v>179</v>
      </c>
      <c r="C78" s="7" t="s">
        <v>180</v>
      </c>
      <c r="D78" s="7" t="s">
        <v>59</v>
      </c>
      <c r="E78" s="7" t="s">
        <v>60</v>
      </c>
      <c r="F78" s="7" t="s">
        <v>61</v>
      </c>
      <c r="G78" s="7" t="s">
        <v>62</v>
      </c>
      <c r="H78" s="7" t="s">
        <v>63</v>
      </c>
      <c r="I78" s="7" t="s">
        <v>64</v>
      </c>
      <c r="J78" s="7" t="s">
        <v>65</v>
      </c>
      <c r="K78" s="7" t="s">
        <v>66</v>
      </c>
      <c r="L78" s="7" t="s">
        <v>67</v>
      </c>
      <c r="M78" s="7" t="s">
        <v>68</v>
      </c>
      <c r="N78" s="7" t="s">
        <v>69</v>
      </c>
      <c r="O78" s="7" t="s">
        <v>70</v>
      </c>
      <c r="P78" s="7" t="s">
        <v>181</v>
      </c>
    </row>
    <row r="79" customFormat="false" ht="14.25" hidden="false" customHeight="true" outlineLevel="0" collapsed="false">
      <c r="A79" s="41" t="n">
        <v>2033</v>
      </c>
      <c r="B79" s="8" t="s">
        <v>14</v>
      </c>
      <c r="C79" s="8" t="s">
        <v>182</v>
      </c>
      <c r="D79" s="42" t="n">
        <f aca="false">datos_base!$I$2*parametros_manuales!B$12</f>
        <v>3015.8494176</v>
      </c>
      <c r="E79" s="42" t="n">
        <f aca="false">datos_base!$I$2*parametros_manuales!C$12</f>
        <v>2261.8870632</v>
      </c>
      <c r="F79" s="42" t="n">
        <f aca="false">datos_base!$I$2*parametros_manuales!D$12</f>
        <v>2010.5662784</v>
      </c>
      <c r="G79" s="42" t="n">
        <f aca="false">datos_base!$I$2*parametros_manuales!E$12</f>
        <v>1884.905886</v>
      </c>
      <c r="H79" s="42" t="n">
        <f aca="false">datos_base!$I$2*parametros_manuales!F$12</f>
        <v>1759.2454936</v>
      </c>
      <c r="I79" s="42" t="n">
        <f aca="false">datos_base!$I$2*parametros_manuales!G$12</f>
        <v>1759.2454936</v>
      </c>
      <c r="J79" s="42" t="n">
        <f aca="false">datos_base!$I$2*parametros_manuales!H$12</f>
        <v>1884.905886</v>
      </c>
      <c r="K79" s="42" t="n">
        <f aca="false">datos_base!$I$2*parametros_manuales!I$12</f>
        <v>1884.905886</v>
      </c>
      <c r="L79" s="42" t="n">
        <f aca="false">datos_base!$I$2*parametros_manuales!J$12</f>
        <v>1884.905886</v>
      </c>
      <c r="M79" s="42" t="n">
        <f aca="false">datos_base!$I$2*parametros_manuales!K$12</f>
        <v>1884.905886</v>
      </c>
      <c r="N79" s="42" t="n">
        <f aca="false">datos_base!$I$2*parametros_manuales!L$12</f>
        <v>1884.905886</v>
      </c>
      <c r="O79" s="42" t="n">
        <f aca="false">datos_base!$I$2*parametros_manuales!M$12</f>
        <v>3015.8494176</v>
      </c>
      <c r="P79" s="9" t="n">
        <f aca="false">SUM(D79:O79)</f>
        <v>25132.07848</v>
      </c>
    </row>
    <row r="80" customFormat="false" ht="14.25" hidden="false" customHeight="true" outlineLevel="0" collapsed="false">
      <c r="A80" s="41" t="n">
        <v>2033</v>
      </c>
      <c r="B80" s="8" t="s">
        <v>15</v>
      </c>
      <c r="C80" s="8" t="s">
        <v>182</v>
      </c>
      <c r="D80" s="42" t="n">
        <f aca="false">datos_base!$I$3*parametros_manuales!B$13</f>
        <v>510.4306587</v>
      </c>
      <c r="E80" s="42" t="n">
        <f aca="false">datos_base!$I$3*parametros_manuales!C$13</f>
        <v>408.34452696</v>
      </c>
      <c r="F80" s="42" t="n">
        <f aca="false">datos_base!$I$3*parametros_manuales!D$13</f>
        <v>433.866059895</v>
      </c>
      <c r="G80" s="42" t="n">
        <f aca="false">datos_base!$I$3*parametros_manuales!E$13</f>
        <v>433.866059895</v>
      </c>
      <c r="H80" s="42" t="n">
        <f aca="false">datos_base!$I$3*parametros_manuales!F$13</f>
        <v>408.34452696</v>
      </c>
      <c r="I80" s="42" t="n">
        <f aca="false">datos_base!$I$3*parametros_manuales!G$13</f>
        <v>382.822994025</v>
      </c>
      <c r="J80" s="42" t="n">
        <f aca="false">datos_base!$I$3*parametros_manuales!H$13</f>
        <v>408.34452696</v>
      </c>
      <c r="K80" s="42" t="n">
        <f aca="false">datos_base!$I$3*parametros_manuales!I$13</f>
        <v>408.34452696</v>
      </c>
      <c r="L80" s="42" t="n">
        <f aca="false">datos_base!$I$3*parametros_manuales!J$13</f>
        <v>408.34452696</v>
      </c>
      <c r="M80" s="42" t="n">
        <f aca="false">datos_base!$I$3*parametros_manuales!K$13</f>
        <v>382.822994025</v>
      </c>
      <c r="N80" s="42" t="n">
        <f aca="false">datos_base!$I$3*parametros_manuales!L$13</f>
        <v>357.30146109</v>
      </c>
      <c r="O80" s="42" t="n">
        <f aca="false">datos_base!$I$3*parametros_manuales!M$13</f>
        <v>561.47372457</v>
      </c>
      <c r="P80" s="9" t="n">
        <f aca="false">SUM(D80:O80)</f>
        <v>5104.306587</v>
      </c>
    </row>
    <row r="81" customFormat="false" ht="14.25" hidden="false" customHeight="true" outlineLevel="0" collapsed="false">
      <c r="A81" s="41" t="n">
        <v>2033</v>
      </c>
      <c r="B81" s="8" t="s">
        <v>16</v>
      </c>
      <c r="C81" s="8" t="s">
        <v>182</v>
      </c>
      <c r="D81" s="42" t="n">
        <f aca="false">datos_base!$I$4*parametros_manuales!B$14</f>
        <v>2336.818637</v>
      </c>
      <c r="E81" s="42" t="n">
        <f aca="false">datos_base!$I$4*parametros_manuales!C$14</f>
        <v>1869.4549096</v>
      </c>
      <c r="F81" s="42" t="n">
        <f aca="false">datos_base!$I$4*parametros_manuales!D$14</f>
        <v>1986.29584145</v>
      </c>
      <c r="G81" s="42" t="n">
        <f aca="false">datos_base!$I$4*parametros_manuales!E$14</f>
        <v>1986.29584145</v>
      </c>
      <c r="H81" s="42" t="n">
        <f aca="false">datos_base!$I$4*parametros_manuales!F$14</f>
        <v>1869.4549096</v>
      </c>
      <c r="I81" s="42" t="n">
        <f aca="false">datos_base!$I$4*parametros_manuales!G$14</f>
        <v>1752.61397775</v>
      </c>
      <c r="J81" s="42" t="n">
        <f aca="false">datos_base!$I$4*parametros_manuales!H$14</f>
        <v>1869.4549096</v>
      </c>
      <c r="K81" s="42" t="n">
        <f aca="false">datos_base!$I$4*parametros_manuales!I$14</f>
        <v>1869.4549096</v>
      </c>
      <c r="L81" s="42" t="n">
        <f aca="false">datos_base!$I$4*parametros_manuales!J$14</f>
        <v>1869.4549096</v>
      </c>
      <c r="M81" s="42" t="n">
        <f aca="false">datos_base!$I$4*parametros_manuales!K$14</f>
        <v>1752.61397775</v>
      </c>
      <c r="N81" s="42" t="n">
        <f aca="false">datos_base!$I$4*parametros_manuales!L$14</f>
        <v>1635.7730459</v>
      </c>
      <c r="O81" s="42" t="n">
        <f aca="false">datos_base!$I$4*parametros_manuales!M$14</f>
        <v>2570.5005007</v>
      </c>
      <c r="P81" s="9" t="n">
        <f aca="false">SUM(D81:O81)</f>
        <v>23368.18637</v>
      </c>
    </row>
    <row r="82" customFormat="false" ht="14.25" hidden="false" customHeight="true" outlineLevel="0" collapsed="false">
      <c r="A82" s="41" t="n">
        <v>2033</v>
      </c>
      <c r="B82" s="8" t="s">
        <v>17</v>
      </c>
      <c r="C82" s="8" t="s">
        <v>182</v>
      </c>
      <c r="D82" s="42" t="n">
        <f aca="false">datos_base!$I$5*parametros_manuales!B$15</f>
        <v>139.5444812</v>
      </c>
      <c r="E82" s="42" t="n">
        <f aca="false">datos_base!$I$5*parametros_manuales!C$15</f>
        <v>111.63558496</v>
      </c>
      <c r="F82" s="42" t="n">
        <f aca="false">datos_base!$I$5*parametros_manuales!D$15</f>
        <v>118.61280902</v>
      </c>
      <c r="G82" s="42" t="n">
        <f aca="false">datos_base!$I$5*parametros_manuales!E$15</f>
        <v>118.61280902</v>
      </c>
      <c r="H82" s="42" t="n">
        <f aca="false">datos_base!$I$5*parametros_manuales!F$15</f>
        <v>111.63558496</v>
      </c>
      <c r="I82" s="42" t="n">
        <f aca="false">datos_base!$I$5*parametros_manuales!G$15</f>
        <v>104.6583609</v>
      </c>
      <c r="J82" s="42" t="n">
        <f aca="false">datos_base!$I$5*parametros_manuales!H$15</f>
        <v>111.63558496</v>
      </c>
      <c r="K82" s="42" t="n">
        <f aca="false">datos_base!$I$5*parametros_manuales!I$15</f>
        <v>111.63558496</v>
      </c>
      <c r="L82" s="42" t="n">
        <f aca="false">datos_base!$I$5*parametros_manuales!J$15</f>
        <v>111.63558496</v>
      </c>
      <c r="M82" s="42" t="n">
        <f aca="false">datos_base!$I$5*parametros_manuales!K$15</f>
        <v>104.6583609</v>
      </c>
      <c r="N82" s="42" t="n">
        <f aca="false">datos_base!$I$5*parametros_manuales!L$15</f>
        <v>97.68113684</v>
      </c>
      <c r="O82" s="42" t="n">
        <f aca="false">datos_base!$I$5*parametros_manuales!M$15</f>
        <v>153.49892932</v>
      </c>
      <c r="P82" s="9" t="n">
        <f aca="false">SUM(D82:O82)</f>
        <v>1395.444812</v>
      </c>
    </row>
    <row r="83" customFormat="false" ht="14.25" hidden="false" customHeight="true" outlineLevel="0" collapsed="false">
      <c r="A83" s="41" t="n">
        <v>2033</v>
      </c>
      <c r="B83" s="8" t="s">
        <v>20</v>
      </c>
      <c r="C83" s="8" t="s">
        <v>183</v>
      </c>
      <c r="D83" s="42" t="n">
        <f aca="false">datos_base!$I$9*parametros_manuales!B$12</f>
        <v>15720.12</v>
      </c>
      <c r="E83" s="42" t="n">
        <f aca="false">datos_base!$I$9*parametros_manuales!C$12</f>
        <v>11790.09</v>
      </c>
      <c r="F83" s="42" t="n">
        <f aca="false">datos_base!$I$9*parametros_manuales!D$12</f>
        <v>10480.08</v>
      </c>
      <c r="G83" s="42" t="n">
        <f aca="false">datos_base!$I$9*parametros_manuales!E$12</f>
        <v>9825.075</v>
      </c>
      <c r="H83" s="42" t="n">
        <f aca="false">datos_base!$I$9*parametros_manuales!F$12</f>
        <v>9170.07</v>
      </c>
      <c r="I83" s="42" t="n">
        <f aca="false">datos_base!$I$9*parametros_manuales!G$12</f>
        <v>9170.07</v>
      </c>
      <c r="J83" s="42" t="n">
        <f aca="false">datos_base!$I$9*parametros_manuales!H$12</f>
        <v>9825.075</v>
      </c>
      <c r="K83" s="42" t="n">
        <f aca="false">datos_base!$I$9*parametros_manuales!I$12</f>
        <v>9825.075</v>
      </c>
      <c r="L83" s="42" t="n">
        <f aca="false">datos_base!$I$9*parametros_manuales!J$12</f>
        <v>9825.075</v>
      </c>
      <c r="M83" s="42" t="n">
        <f aca="false">datos_base!$I$9*parametros_manuales!K$12</f>
        <v>9825.075</v>
      </c>
      <c r="N83" s="42" t="n">
        <f aca="false">datos_base!$I$9*parametros_manuales!L$12</f>
        <v>9825.075</v>
      </c>
      <c r="O83" s="42" t="n">
        <f aca="false">datos_base!$I$9*parametros_manuales!M$12</f>
        <v>15720.12</v>
      </c>
      <c r="P83" s="9" t="n">
        <f aca="false">SUM(D83:O83)</f>
        <v>131001</v>
      </c>
    </row>
    <row r="84" customFormat="false" ht="14.25" hidden="false" customHeight="true" outlineLevel="0" collapsed="false">
      <c r="A84" s="41" t="n">
        <v>2033</v>
      </c>
      <c r="B84" s="8" t="s">
        <v>21</v>
      </c>
      <c r="C84" s="8" t="s">
        <v>183</v>
      </c>
      <c r="D84" s="42" t="n">
        <f aca="false">datos_base!$I$10*parametros_manuales!B$13</f>
        <v>512.3</v>
      </c>
      <c r="E84" s="42" t="n">
        <f aca="false">datos_base!$I$10*parametros_manuales!C$13</f>
        <v>409.84</v>
      </c>
      <c r="F84" s="42" t="n">
        <f aca="false">datos_base!$I$10*parametros_manuales!D$13</f>
        <v>435.455</v>
      </c>
      <c r="G84" s="42" t="n">
        <f aca="false">datos_base!$I$10*parametros_manuales!E$13</f>
        <v>435.455</v>
      </c>
      <c r="H84" s="42" t="n">
        <f aca="false">datos_base!$I$10*parametros_manuales!F$13</f>
        <v>409.84</v>
      </c>
      <c r="I84" s="42" t="n">
        <f aca="false">datos_base!$I$10*parametros_manuales!G$13</f>
        <v>384.225</v>
      </c>
      <c r="J84" s="42" t="n">
        <f aca="false">datos_base!$I$10*parametros_manuales!H$13</f>
        <v>409.84</v>
      </c>
      <c r="K84" s="42" t="n">
        <f aca="false">datos_base!$I$10*parametros_manuales!I$13</f>
        <v>409.84</v>
      </c>
      <c r="L84" s="42" t="n">
        <f aca="false">datos_base!$I$10*parametros_manuales!J$13</f>
        <v>409.84</v>
      </c>
      <c r="M84" s="42" t="n">
        <f aca="false">datos_base!$I$10*parametros_manuales!K$13</f>
        <v>384.225</v>
      </c>
      <c r="N84" s="42" t="n">
        <f aca="false">datos_base!$I$10*parametros_manuales!L$13</f>
        <v>358.61</v>
      </c>
      <c r="O84" s="42" t="n">
        <f aca="false">datos_base!$I$10*parametros_manuales!M$13</f>
        <v>563.53</v>
      </c>
      <c r="P84" s="9" t="n">
        <f aca="false">SUM(D84:O84)</f>
        <v>5123</v>
      </c>
    </row>
    <row r="85" customFormat="false" ht="14.25" hidden="false" customHeight="true" outlineLevel="0" collapsed="false">
      <c r="A85" s="41" t="n">
        <v>2033</v>
      </c>
      <c r="B85" s="8" t="s">
        <v>22</v>
      </c>
      <c r="C85" s="8" t="s">
        <v>183</v>
      </c>
      <c r="D85" s="42" t="n">
        <f aca="false">datos_base!$I$11*parametros_manuales!B$14</f>
        <v>2528.3</v>
      </c>
      <c r="E85" s="42" t="n">
        <f aca="false">datos_base!$I$11*parametros_manuales!C$14</f>
        <v>2022.64</v>
      </c>
      <c r="F85" s="42" t="n">
        <f aca="false">datos_base!$I$11*parametros_manuales!D$14</f>
        <v>2149.055</v>
      </c>
      <c r="G85" s="42" t="n">
        <f aca="false">datos_base!$I$11*parametros_manuales!E$14</f>
        <v>2149.055</v>
      </c>
      <c r="H85" s="42" t="n">
        <f aca="false">datos_base!$I$11*parametros_manuales!F$14</f>
        <v>2022.64</v>
      </c>
      <c r="I85" s="42" t="n">
        <f aca="false">datos_base!$I$11*parametros_manuales!G$14</f>
        <v>1896.225</v>
      </c>
      <c r="J85" s="42" t="n">
        <f aca="false">datos_base!$I$11*parametros_manuales!H$14</f>
        <v>2022.64</v>
      </c>
      <c r="K85" s="42" t="n">
        <f aca="false">datos_base!$I$11*parametros_manuales!I$14</f>
        <v>2022.64</v>
      </c>
      <c r="L85" s="42" t="n">
        <f aca="false">datos_base!$I$11*parametros_manuales!J$14</f>
        <v>2022.64</v>
      </c>
      <c r="M85" s="42" t="n">
        <f aca="false">datos_base!$I$11*parametros_manuales!K$14</f>
        <v>1896.225</v>
      </c>
      <c r="N85" s="42" t="n">
        <f aca="false">datos_base!$I$11*parametros_manuales!L$14</f>
        <v>1769.81</v>
      </c>
      <c r="O85" s="42" t="n">
        <f aca="false">datos_base!$I$11*parametros_manuales!M$14</f>
        <v>2781.13</v>
      </c>
      <c r="P85" s="9" t="n">
        <f aca="false">SUM(D85:O85)</f>
        <v>25283</v>
      </c>
    </row>
    <row r="86" customFormat="false" ht="14.25" hidden="false" customHeight="true" outlineLevel="0" collapsed="false">
      <c r="A86" s="41" t="n">
        <v>2033</v>
      </c>
      <c r="B86" s="8" t="s">
        <v>23</v>
      </c>
      <c r="C86" s="8" t="s">
        <v>183</v>
      </c>
      <c r="D86" s="42" t="n">
        <f aca="false">datos_base!$I$12*parametros_manuales!B$15</f>
        <v>154.5</v>
      </c>
      <c r="E86" s="42" t="n">
        <f aca="false">datos_base!$I$12*parametros_manuales!C$15</f>
        <v>123.6</v>
      </c>
      <c r="F86" s="42" t="n">
        <f aca="false">datos_base!$I$12*parametros_manuales!D$15</f>
        <v>131.325</v>
      </c>
      <c r="G86" s="42" t="n">
        <f aca="false">datos_base!$I$12*parametros_manuales!E$15</f>
        <v>131.325</v>
      </c>
      <c r="H86" s="42" t="n">
        <f aca="false">datos_base!$I$12*parametros_manuales!F$15</f>
        <v>123.6</v>
      </c>
      <c r="I86" s="42" t="n">
        <f aca="false">datos_base!$I$12*parametros_manuales!G$15</f>
        <v>115.875</v>
      </c>
      <c r="J86" s="42" t="n">
        <f aca="false">datos_base!$I$12*parametros_manuales!H$15</f>
        <v>123.6</v>
      </c>
      <c r="K86" s="42" t="n">
        <f aca="false">datos_base!$I$12*parametros_manuales!I$15</f>
        <v>123.6</v>
      </c>
      <c r="L86" s="42" t="n">
        <f aca="false">datos_base!$I$12*parametros_manuales!J$15</f>
        <v>123.6</v>
      </c>
      <c r="M86" s="42" t="n">
        <f aca="false">datos_base!$I$12*parametros_manuales!K$15</f>
        <v>115.875</v>
      </c>
      <c r="N86" s="42" t="n">
        <f aca="false">datos_base!$I$12*parametros_manuales!L$15</f>
        <v>108.15</v>
      </c>
      <c r="O86" s="42" t="n">
        <f aca="false">datos_base!$I$12*parametros_manuales!M$15</f>
        <v>169.95</v>
      </c>
      <c r="P86" s="9" t="n">
        <f aca="false">SUM(D86:O86)</f>
        <v>1545</v>
      </c>
    </row>
    <row r="87" customFormat="false" ht="14.25" hidden="false" customHeight="true" outlineLevel="0" collapsed="false">
      <c r="B87" s="10" t="s">
        <v>184</v>
      </c>
      <c r="D87" s="11" t="n">
        <f aca="false">SUM(D79:D86)</f>
        <v>24917.8631945</v>
      </c>
      <c r="E87" s="11" t="n">
        <f aca="false">SUM(E79:E86)</f>
        <v>18997.49208472</v>
      </c>
      <c r="F87" s="11" t="n">
        <f aca="false">SUM(F79:F86)</f>
        <v>17745.255988765</v>
      </c>
      <c r="G87" s="11" t="n">
        <f aca="false">SUM(G79:G86)</f>
        <v>16964.590596365</v>
      </c>
      <c r="H87" s="11" t="n">
        <f aca="false">SUM(H79:H86)</f>
        <v>15874.83051512</v>
      </c>
      <c r="I87" s="11" t="n">
        <f aca="false">SUM(I79:I86)</f>
        <v>15565.735826275</v>
      </c>
      <c r="J87" s="11" t="n">
        <f aca="false">SUM(J79:J86)</f>
        <v>16655.49590752</v>
      </c>
      <c r="K87" s="11" t="n">
        <f aca="false">SUM(K79:K86)</f>
        <v>16655.49590752</v>
      </c>
      <c r="L87" s="11" t="n">
        <f aca="false">SUM(L79:L86)</f>
        <v>16655.49590752</v>
      </c>
      <c r="M87" s="11" t="n">
        <f aca="false">SUM(M79:M86)</f>
        <v>16346.401218675</v>
      </c>
      <c r="N87" s="11" t="n">
        <f aca="false">SUM(N79:N86)</f>
        <v>16037.30652983</v>
      </c>
      <c r="O87" s="11" t="n">
        <f aca="false">SUM(O79:O86)</f>
        <v>25536.05257219</v>
      </c>
      <c r="P87" s="11" t="n">
        <f aca="false">SUM(P79:P86)</f>
        <v>217952.016249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7" t="n">
        <v>2034</v>
      </c>
      <c r="B89" s="7" t="s">
        <v>179</v>
      </c>
      <c r="C89" s="7" t="s">
        <v>180</v>
      </c>
      <c r="D89" s="7" t="s">
        <v>59</v>
      </c>
      <c r="E89" s="7" t="s">
        <v>60</v>
      </c>
      <c r="F89" s="7" t="s">
        <v>61</v>
      </c>
      <c r="G89" s="7" t="s">
        <v>62</v>
      </c>
      <c r="H89" s="7" t="s">
        <v>63</v>
      </c>
      <c r="I89" s="7" t="s">
        <v>64</v>
      </c>
      <c r="J89" s="7" t="s">
        <v>65</v>
      </c>
      <c r="K89" s="7" t="s">
        <v>66</v>
      </c>
      <c r="L89" s="7" t="s">
        <v>67</v>
      </c>
      <c r="M89" s="7" t="s">
        <v>68</v>
      </c>
      <c r="N89" s="7" t="s">
        <v>69</v>
      </c>
      <c r="O89" s="7" t="s">
        <v>70</v>
      </c>
      <c r="P89" s="7" t="s">
        <v>181</v>
      </c>
    </row>
    <row r="90" customFormat="false" ht="14.25" hidden="false" customHeight="true" outlineLevel="0" collapsed="false">
      <c r="A90" s="41" t="n">
        <v>2034</v>
      </c>
      <c r="B90" s="8" t="s">
        <v>14</v>
      </c>
      <c r="C90" s="8" t="s">
        <v>182</v>
      </c>
      <c r="D90" s="42" t="n">
        <f aca="false">datos_base!$J$2*parametros_manuales!B$12</f>
        <v>3428.8003368</v>
      </c>
      <c r="E90" s="42" t="n">
        <f aca="false">datos_base!$J$2*parametros_manuales!C$12</f>
        <v>2571.6002526</v>
      </c>
      <c r="F90" s="42" t="n">
        <f aca="false">datos_base!$J$2*parametros_manuales!D$12</f>
        <v>2285.8668912</v>
      </c>
      <c r="G90" s="42" t="n">
        <f aca="false">datos_base!$J$2*parametros_manuales!E$12</f>
        <v>2143.0002105</v>
      </c>
      <c r="H90" s="42" t="n">
        <f aca="false">datos_base!$J$2*parametros_manuales!F$12</f>
        <v>2000.1335298</v>
      </c>
      <c r="I90" s="42" t="n">
        <f aca="false">datos_base!$J$2*parametros_manuales!G$12</f>
        <v>2000.1335298</v>
      </c>
      <c r="J90" s="42" t="n">
        <f aca="false">datos_base!$J$2*parametros_manuales!H$12</f>
        <v>2143.0002105</v>
      </c>
      <c r="K90" s="42" t="n">
        <f aca="false">datos_base!$J$2*parametros_manuales!I$12</f>
        <v>2143.0002105</v>
      </c>
      <c r="L90" s="42" t="n">
        <f aca="false">datos_base!$J$2*parametros_manuales!J$12</f>
        <v>2143.0002105</v>
      </c>
      <c r="M90" s="42" t="n">
        <f aca="false">datos_base!$J$2*parametros_manuales!K$12</f>
        <v>2143.0002105</v>
      </c>
      <c r="N90" s="42" t="n">
        <f aca="false">datos_base!$J$2*parametros_manuales!L$12</f>
        <v>2143.0002105</v>
      </c>
      <c r="O90" s="42" t="n">
        <f aca="false">datos_base!$J$2*parametros_manuales!M$12</f>
        <v>3428.8003368</v>
      </c>
      <c r="P90" s="9" t="n">
        <f aca="false">SUM(D90:O90)</f>
        <v>28573.33614</v>
      </c>
    </row>
    <row r="91" customFormat="false" ht="14.25" hidden="false" customHeight="true" outlineLevel="0" collapsed="false">
      <c r="A91" s="41" t="n">
        <v>2034</v>
      </c>
      <c r="B91" s="8" t="s">
        <v>15</v>
      </c>
      <c r="C91" s="8" t="s">
        <v>182</v>
      </c>
      <c r="D91" s="42" t="n">
        <f aca="false">datos_base!$J$3*parametros_manuales!B$13</f>
        <v>619.5186243</v>
      </c>
      <c r="E91" s="42" t="n">
        <f aca="false">datos_base!$J$3*parametros_manuales!C$13</f>
        <v>495.61489944</v>
      </c>
      <c r="F91" s="42" t="n">
        <f aca="false">datos_base!$J$3*parametros_manuales!D$13</f>
        <v>526.590830655</v>
      </c>
      <c r="G91" s="42" t="n">
        <f aca="false">datos_base!$J$3*parametros_manuales!E$13</f>
        <v>526.590830655</v>
      </c>
      <c r="H91" s="42" t="n">
        <f aca="false">datos_base!$J$3*parametros_manuales!F$13</f>
        <v>495.61489944</v>
      </c>
      <c r="I91" s="42" t="n">
        <f aca="false">datos_base!$J$3*parametros_manuales!G$13</f>
        <v>464.638968225</v>
      </c>
      <c r="J91" s="42" t="n">
        <f aca="false">datos_base!$J$3*parametros_manuales!H$13</f>
        <v>495.61489944</v>
      </c>
      <c r="K91" s="42" t="n">
        <f aca="false">datos_base!$J$3*parametros_manuales!I$13</f>
        <v>495.61489944</v>
      </c>
      <c r="L91" s="42" t="n">
        <f aca="false">datos_base!$J$3*parametros_manuales!J$13</f>
        <v>495.61489944</v>
      </c>
      <c r="M91" s="42" t="n">
        <f aca="false">datos_base!$J$3*parametros_manuales!K$13</f>
        <v>464.638968225</v>
      </c>
      <c r="N91" s="42" t="n">
        <f aca="false">datos_base!$J$3*parametros_manuales!L$13</f>
        <v>433.66303701</v>
      </c>
      <c r="O91" s="42" t="n">
        <f aca="false">datos_base!$J$3*parametros_manuales!M$13</f>
        <v>681.47048673</v>
      </c>
      <c r="P91" s="9" t="n">
        <f aca="false">SUM(D91:O91)</f>
        <v>6195.186243</v>
      </c>
    </row>
    <row r="92" customFormat="false" ht="14.25" hidden="false" customHeight="true" outlineLevel="0" collapsed="false">
      <c r="A92" s="41" t="n">
        <v>2034</v>
      </c>
      <c r="B92" s="8" t="s">
        <v>16</v>
      </c>
      <c r="C92" s="8" t="s">
        <v>182</v>
      </c>
      <c r="D92" s="42" t="n">
        <f aca="false">datos_base!$J$4*parametros_manuales!B$14</f>
        <v>2696.772455</v>
      </c>
      <c r="E92" s="42" t="n">
        <f aca="false">datos_base!$J$4*parametros_manuales!C$14</f>
        <v>2157.417964</v>
      </c>
      <c r="F92" s="42" t="n">
        <f aca="false">datos_base!$J$4*parametros_manuales!D$14</f>
        <v>2292.25658675</v>
      </c>
      <c r="G92" s="42" t="n">
        <f aca="false">datos_base!$J$4*parametros_manuales!E$14</f>
        <v>2292.25658675</v>
      </c>
      <c r="H92" s="42" t="n">
        <f aca="false">datos_base!$J$4*parametros_manuales!F$14</f>
        <v>2157.417964</v>
      </c>
      <c r="I92" s="42" t="n">
        <f aca="false">datos_base!$J$4*parametros_manuales!G$14</f>
        <v>2022.57934125</v>
      </c>
      <c r="J92" s="42" t="n">
        <f aca="false">datos_base!$J$4*parametros_manuales!H$14</f>
        <v>2157.417964</v>
      </c>
      <c r="K92" s="42" t="n">
        <f aca="false">datos_base!$J$4*parametros_manuales!I$14</f>
        <v>2157.417964</v>
      </c>
      <c r="L92" s="42" t="n">
        <f aca="false">datos_base!$J$4*parametros_manuales!J$14</f>
        <v>2157.417964</v>
      </c>
      <c r="M92" s="42" t="n">
        <f aca="false">datos_base!$J$4*parametros_manuales!K$14</f>
        <v>2022.57934125</v>
      </c>
      <c r="N92" s="42" t="n">
        <f aca="false">datos_base!$J$4*parametros_manuales!L$14</f>
        <v>1887.7407185</v>
      </c>
      <c r="O92" s="42" t="n">
        <f aca="false">datos_base!$J$4*parametros_manuales!M$14</f>
        <v>2966.4497005</v>
      </c>
      <c r="P92" s="9" t="n">
        <f aca="false">SUM(D92:O92)</f>
        <v>26967.72455</v>
      </c>
    </row>
    <row r="93" customFormat="false" ht="14.25" hidden="false" customHeight="true" outlineLevel="0" collapsed="false">
      <c r="A93" s="41" t="n">
        <v>2034</v>
      </c>
      <c r="B93" s="8" t="s">
        <v>17</v>
      </c>
      <c r="C93" s="8" t="s">
        <v>182</v>
      </c>
      <c r="D93" s="42" t="n">
        <f aca="false">datos_base!$J$5*parametros_manuales!B$15</f>
        <v>161.2350054</v>
      </c>
      <c r="E93" s="42" t="n">
        <f aca="false">datos_base!$J$5*parametros_manuales!C$15</f>
        <v>128.98800432</v>
      </c>
      <c r="F93" s="42" t="n">
        <f aca="false">datos_base!$J$5*parametros_manuales!D$15</f>
        <v>137.04975459</v>
      </c>
      <c r="G93" s="42" t="n">
        <f aca="false">datos_base!$J$5*parametros_manuales!E$15</f>
        <v>137.04975459</v>
      </c>
      <c r="H93" s="42" t="n">
        <f aca="false">datos_base!$J$5*parametros_manuales!F$15</f>
        <v>128.98800432</v>
      </c>
      <c r="I93" s="42" t="n">
        <f aca="false">datos_base!$J$5*parametros_manuales!G$15</f>
        <v>120.92625405</v>
      </c>
      <c r="J93" s="42" t="n">
        <f aca="false">datos_base!$J$5*parametros_manuales!H$15</f>
        <v>128.98800432</v>
      </c>
      <c r="K93" s="42" t="n">
        <f aca="false">datos_base!$J$5*parametros_manuales!I$15</f>
        <v>128.98800432</v>
      </c>
      <c r="L93" s="42" t="n">
        <f aca="false">datos_base!$J$5*parametros_manuales!J$15</f>
        <v>128.98800432</v>
      </c>
      <c r="M93" s="42" t="n">
        <f aca="false">datos_base!$J$5*parametros_manuales!K$15</f>
        <v>120.92625405</v>
      </c>
      <c r="N93" s="42" t="n">
        <f aca="false">datos_base!$J$5*parametros_manuales!L$15</f>
        <v>112.86450378</v>
      </c>
      <c r="O93" s="42" t="n">
        <f aca="false">datos_base!$J$5*parametros_manuales!M$15</f>
        <v>177.35850594</v>
      </c>
      <c r="P93" s="9" t="n">
        <f aca="false">SUM(D93:O93)</f>
        <v>1612.350054</v>
      </c>
    </row>
    <row r="94" customFormat="false" ht="14.25" hidden="false" customHeight="true" outlineLevel="0" collapsed="false">
      <c r="A94" s="41" t="n">
        <v>2034</v>
      </c>
      <c r="B94" s="8" t="s">
        <v>20</v>
      </c>
      <c r="C94" s="8" t="s">
        <v>183</v>
      </c>
      <c r="D94" s="42" t="n">
        <f aca="false">datos_base!$J$9*parametros_manuales!B$12</f>
        <v>17618.376</v>
      </c>
      <c r="E94" s="42" t="n">
        <f aca="false">datos_base!$J$9*parametros_manuales!C$12</f>
        <v>13213.782</v>
      </c>
      <c r="F94" s="42" t="n">
        <f aca="false">datos_base!$J$9*parametros_manuales!D$12</f>
        <v>11745.584</v>
      </c>
      <c r="G94" s="42" t="n">
        <f aca="false">datos_base!$J$9*parametros_manuales!E$12</f>
        <v>11011.485</v>
      </c>
      <c r="H94" s="42" t="n">
        <f aca="false">datos_base!$J$9*parametros_manuales!F$12</f>
        <v>10277.386</v>
      </c>
      <c r="I94" s="42" t="n">
        <f aca="false">datos_base!$J$9*parametros_manuales!G$12</f>
        <v>10277.386</v>
      </c>
      <c r="J94" s="42" t="n">
        <f aca="false">datos_base!$J$9*parametros_manuales!H$12</f>
        <v>11011.485</v>
      </c>
      <c r="K94" s="42" t="n">
        <f aca="false">datos_base!$J$9*parametros_manuales!I$12</f>
        <v>11011.485</v>
      </c>
      <c r="L94" s="42" t="n">
        <f aca="false">datos_base!$J$9*parametros_manuales!J$12</f>
        <v>11011.485</v>
      </c>
      <c r="M94" s="42" t="n">
        <f aca="false">datos_base!$J$9*parametros_manuales!K$12</f>
        <v>11011.485</v>
      </c>
      <c r="N94" s="42" t="n">
        <f aca="false">datos_base!$J$9*parametros_manuales!L$12</f>
        <v>11011.485</v>
      </c>
      <c r="O94" s="42" t="n">
        <f aca="false">datos_base!$J$9*parametros_manuales!M$12</f>
        <v>17618.376</v>
      </c>
      <c r="P94" s="9" t="n">
        <f aca="false">SUM(D94:O94)</f>
        <v>146819.8</v>
      </c>
    </row>
    <row r="95" customFormat="false" ht="14.25" hidden="false" customHeight="true" outlineLevel="0" collapsed="false">
      <c r="A95" s="41" t="n">
        <v>2034</v>
      </c>
      <c r="B95" s="8" t="s">
        <v>21</v>
      </c>
      <c r="C95" s="8" t="s">
        <v>183</v>
      </c>
      <c r="D95" s="42" t="n">
        <f aca="false">datos_base!$J$10*parametros_manuales!B$13</f>
        <v>574.14</v>
      </c>
      <c r="E95" s="42" t="n">
        <f aca="false">datos_base!$J$10*parametros_manuales!C$13</f>
        <v>459.312</v>
      </c>
      <c r="F95" s="42" t="n">
        <f aca="false">datos_base!$J$10*parametros_manuales!D$13</f>
        <v>488.019</v>
      </c>
      <c r="G95" s="42" t="n">
        <f aca="false">datos_base!$J$10*parametros_manuales!E$13</f>
        <v>488.019</v>
      </c>
      <c r="H95" s="42" t="n">
        <f aca="false">datos_base!$J$10*parametros_manuales!F$13</f>
        <v>459.312</v>
      </c>
      <c r="I95" s="42" t="n">
        <f aca="false">datos_base!$J$10*parametros_manuales!G$13</f>
        <v>430.605</v>
      </c>
      <c r="J95" s="42" t="n">
        <f aca="false">datos_base!$J$10*parametros_manuales!H$13</f>
        <v>459.312</v>
      </c>
      <c r="K95" s="42" t="n">
        <f aca="false">datos_base!$J$10*parametros_manuales!I$13</f>
        <v>459.312</v>
      </c>
      <c r="L95" s="42" t="n">
        <f aca="false">datos_base!$J$10*parametros_manuales!J$13</f>
        <v>459.312</v>
      </c>
      <c r="M95" s="42" t="n">
        <f aca="false">datos_base!$J$10*parametros_manuales!K$13</f>
        <v>430.605</v>
      </c>
      <c r="N95" s="42" t="n">
        <f aca="false">datos_base!$J$10*parametros_manuales!L$13</f>
        <v>401.898</v>
      </c>
      <c r="O95" s="42" t="n">
        <f aca="false">datos_base!$J$10*parametros_manuales!M$13</f>
        <v>631.554</v>
      </c>
      <c r="P95" s="9" t="n">
        <f aca="false">SUM(D95:O95)</f>
        <v>5741.4</v>
      </c>
    </row>
    <row r="96" customFormat="false" ht="14.25" hidden="false" customHeight="true" outlineLevel="0" collapsed="false">
      <c r="A96" s="41" t="n">
        <v>2034</v>
      </c>
      <c r="B96" s="8" t="s">
        <v>22</v>
      </c>
      <c r="C96" s="8" t="s">
        <v>183</v>
      </c>
      <c r="D96" s="42" t="n">
        <f aca="false">datos_base!$J$11*parametros_manuales!B$14</f>
        <v>2833.58</v>
      </c>
      <c r="E96" s="42" t="n">
        <f aca="false">datos_base!$J$11*parametros_manuales!C$14</f>
        <v>2266.864</v>
      </c>
      <c r="F96" s="42" t="n">
        <f aca="false">datos_base!$J$11*parametros_manuales!D$14</f>
        <v>2408.543</v>
      </c>
      <c r="G96" s="42" t="n">
        <f aca="false">datos_base!$J$11*parametros_manuales!E$14</f>
        <v>2408.543</v>
      </c>
      <c r="H96" s="42" t="n">
        <f aca="false">datos_base!$J$11*parametros_manuales!F$14</f>
        <v>2266.864</v>
      </c>
      <c r="I96" s="42" t="n">
        <f aca="false">datos_base!$J$11*parametros_manuales!G$14</f>
        <v>2125.185</v>
      </c>
      <c r="J96" s="42" t="n">
        <f aca="false">datos_base!$J$11*parametros_manuales!H$14</f>
        <v>2266.864</v>
      </c>
      <c r="K96" s="42" t="n">
        <f aca="false">datos_base!$J$11*parametros_manuales!I$14</f>
        <v>2266.864</v>
      </c>
      <c r="L96" s="42" t="n">
        <f aca="false">datos_base!$J$11*parametros_manuales!J$14</f>
        <v>2266.864</v>
      </c>
      <c r="M96" s="42" t="n">
        <f aca="false">datos_base!$J$11*parametros_manuales!K$14</f>
        <v>2125.185</v>
      </c>
      <c r="N96" s="42" t="n">
        <f aca="false">datos_base!$J$11*parametros_manuales!L$14</f>
        <v>1983.506</v>
      </c>
      <c r="O96" s="42" t="n">
        <f aca="false">datos_base!$J$11*parametros_manuales!M$14</f>
        <v>3116.938</v>
      </c>
      <c r="P96" s="9" t="n">
        <f aca="false">SUM(D96:O96)</f>
        <v>28335.8</v>
      </c>
    </row>
    <row r="97" customFormat="false" ht="14.25" hidden="false" customHeight="true" outlineLevel="0" collapsed="false">
      <c r="A97" s="41" t="n">
        <v>2034</v>
      </c>
      <c r="B97" s="8" t="s">
        <v>23</v>
      </c>
      <c r="C97" s="8" t="s">
        <v>183</v>
      </c>
      <c r="D97" s="42" t="n">
        <f aca="false">datos_base!$J$12*parametros_manuales!B$15</f>
        <v>173.14</v>
      </c>
      <c r="E97" s="42" t="n">
        <f aca="false">datos_base!$J$12*parametros_manuales!C$15</f>
        <v>138.512</v>
      </c>
      <c r="F97" s="42" t="n">
        <f aca="false">datos_base!$J$12*parametros_manuales!D$15</f>
        <v>147.169</v>
      </c>
      <c r="G97" s="42" t="n">
        <f aca="false">datos_base!$J$12*parametros_manuales!E$15</f>
        <v>147.169</v>
      </c>
      <c r="H97" s="42" t="n">
        <f aca="false">datos_base!$J$12*parametros_manuales!F$15</f>
        <v>138.512</v>
      </c>
      <c r="I97" s="42" t="n">
        <f aca="false">datos_base!$J$12*parametros_manuales!G$15</f>
        <v>129.855</v>
      </c>
      <c r="J97" s="42" t="n">
        <f aca="false">datos_base!$J$12*parametros_manuales!H$15</f>
        <v>138.512</v>
      </c>
      <c r="K97" s="42" t="n">
        <f aca="false">datos_base!$J$12*parametros_manuales!I$15</f>
        <v>138.512</v>
      </c>
      <c r="L97" s="42" t="n">
        <f aca="false">datos_base!$J$12*parametros_manuales!J$15</f>
        <v>138.512</v>
      </c>
      <c r="M97" s="42" t="n">
        <f aca="false">datos_base!$J$12*parametros_manuales!K$15</f>
        <v>129.855</v>
      </c>
      <c r="N97" s="42" t="n">
        <f aca="false">datos_base!$J$12*parametros_manuales!L$15</f>
        <v>121.198</v>
      </c>
      <c r="O97" s="42" t="n">
        <f aca="false">datos_base!$J$12*parametros_manuales!M$15</f>
        <v>190.454</v>
      </c>
      <c r="P97" s="9" t="n">
        <f aca="false">SUM(D97:O97)</f>
        <v>1731.4</v>
      </c>
    </row>
    <row r="98" customFormat="false" ht="14.25" hidden="false" customHeight="true" outlineLevel="0" collapsed="false">
      <c r="B98" s="10" t="s">
        <v>184</v>
      </c>
      <c r="D98" s="11" t="n">
        <f aca="false">SUM(D90:D97)</f>
        <v>28105.5624215</v>
      </c>
      <c r="E98" s="11" t="n">
        <f aca="false">SUM(E90:E97)</f>
        <v>21432.09112036</v>
      </c>
      <c r="F98" s="11" t="n">
        <f aca="false">SUM(F90:F97)</f>
        <v>20031.079063195</v>
      </c>
      <c r="G98" s="11" t="n">
        <f aca="false">SUM(G90:G97)</f>
        <v>19154.113382495</v>
      </c>
      <c r="H98" s="11" t="n">
        <f aca="false">SUM(H90:H97)</f>
        <v>17924.22839756</v>
      </c>
      <c r="I98" s="11" t="n">
        <f aca="false">SUM(I90:I97)</f>
        <v>17571.309093325</v>
      </c>
      <c r="J98" s="11" t="n">
        <f aca="false">SUM(J90:J97)</f>
        <v>18801.19407826</v>
      </c>
      <c r="K98" s="11" t="n">
        <f aca="false">SUM(K90:K97)</f>
        <v>18801.19407826</v>
      </c>
      <c r="L98" s="11" t="n">
        <f aca="false">SUM(L90:L97)</f>
        <v>18801.19407826</v>
      </c>
      <c r="M98" s="11" t="n">
        <f aca="false">SUM(M90:M97)</f>
        <v>18448.274774025</v>
      </c>
      <c r="N98" s="11" t="n">
        <f aca="false">SUM(N90:N97)</f>
        <v>18095.35546979</v>
      </c>
      <c r="O98" s="11" t="n">
        <f aca="false">SUM(O90:O97)</f>
        <v>28811.40102997</v>
      </c>
      <c r="P98" s="11" t="n">
        <f aca="false">SUM(P90:P97)</f>
        <v>245976.996987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7" t="n">
        <v>2035</v>
      </c>
      <c r="B100" s="7" t="s">
        <v>179</v>
      </c>
      <c r="C100" s="7" t="s">
        <v>180</v>
      </c>
      <c r="D100" s="7" t="s">
        <v>59</v>
      </c>
      <c r="E100" s="7" t="s">
        <v>60</v>
      </c>
      <c r="F100" s="7" t="s">
        <v>61</v>
      </c>
      <c r="G100" s="7" t="s">
        <v>62</v>
      </c>
      <c r="H100" s="7" t="s">
        <v>63</v>
      </c>
      <c r="I100" s="7" t="s">
        <v>64</v>
      </c>
      <c r="J100" s="7" t="s">
        <v>65</v>
      </c>
      <c r="K100" s="7" t="s">
        <v>66</v>
      </c>
      <c r="L100" s="7" t="s">
        <v>67</v>
      </c>
      <c r="M100" s="7" t="s">
        <v>68</v>
      </c>
      <c r="N100" s="7" t="s">
        <v>69</v>
      </c>
      <c r="O100" s="7" t="s">
        <v>70</v>
      </c>
      <c r="P100" s="7" t="s">
        <v>181</v>
      </c>
    </row>
    <row r="101" customFormat="false" ht="14.25" hidden="false" customHeight="true" outlineLevel="0" collapsed="false">
      <c r="A101" s="41" t="n">
        <v>2035</v>
      </c>
      <c r="B101" s="8" t="s">
        <v>14</v>
      </c>
      <c r="C101" s="8" t="s">
        <v>182</v>
      </c>
      <c r="D101" s="42" t="n">
        <f aca="false">datos_base!$K$2*parametros_manuales!B$12</f>
        <v>3848.7166956</v>
      </c>
      <c r="E101" s="42" t="n">
        <f aca="false">datos_base!$K$2*parametros_manuales!C$12</f>
        <v>2886.5375217</v>
      </c>
      <c r="F101" s="42" t="n">
        <f aca="false">datos_base!$K$2*parametros_manuales!D$12</f>
        <v>2565.8111304</v>
      </c>
      <c r="G101" s="42" t="n">
        <f aca="false">datos_base!$K$2*parametros_manuales!E$12</f>
        <v>2405.44793475</v>
      </c>
      <c r="H101" s="42" t="n">
        <f aca="false">datos_base!$K$2*parametros_manuales!F$12</f>
        <v>2245.0847391</v>
      </c>
      <c r="I101" s="42" t="n">
        <f aca="false">datos_base!$K$2*parametros_manuales!G$12</f>
        <v>2245.0847391</v>
      </c>
      <c r="J101" s="42" t="n">
        <f aca="false">datos_base!$K$2*parametros_manuales!H$12</f>
        <v>2405.44793475</v>
      </c>
      <c r="K101" s="42" t="n">
        <f aca="false">datos_base!$K$2*parametros_manuales!I$12</f>
        <v>2405.44793475</v>
      </c>
      <c r="L101" s="42" t="n">
        <f aca="false">datos_base!$K$2*parametros_manuales!J$12</f>
        <v>2405.44793475</v>
      </c>
      <c r="M101" s="42" t="n">
        <f aca="false">datos_base!$K$2*parametros_manuales!K$12</f>
        <v>2405.44793475</v>
      </c>
      <c r="N101" s="42" t="n">
        <f aca="false">datos_base!$K$2*parametros_manuales!L$12</f>
        <v>2405.44793475</v>
      </c>
      <c r="O101" s="42" t="n">
        <f aca="false">datos_base!$K$2*parametros_manuales!M$12</f>
        <v>3848.7166956</v>
      </c>
      <c r="P101" s="9" t="n">
        <f aca="false">SUM(D101:O101)</f>
        <v>32072.63913</v>
      </c>
    </row>
    <row r="102" customFormat="false" ht="14.25" hidden="false" customHeight="true" outlineLevel="0" collapsed="false">
      <c r="A102" s="41" t="n">
        <v>2035</v>
      </c>
      <c r="B102" s="8" t="s">
        <v>15</v>
      </c>
      <c r="C102" s="8" t="s">
        <v>182</v>
      </c>
      <c r="D102" s="42" t="n">
        <f aca="false">datos_base!$K$3*parametros_manuales!B$13</f>
        <v>742.4858444</v>
      </c>
      <c r="E102" s="42" t="n">
        <f aca="false">datos_base!$K$3*parametros_manuales!C$13</f>
        <v>593.98867552</v>
      </c>
      <c r="F102" s="42" t="n">
        <f aca="false">datos_base!$K$3*parametros_manuales!D$13</f>
        <v>631.11296774</v>
      </c>
      <c r="G102" s="42" t="n">
        <f aca="false">datos_base!$K$3*parametros_manuales!E$13</f>
        <v>631.11296774</v>
      </c>
      <c r="H102" s="42" t="n">
        <f aca="false">datos_base!$K$3*parametros_manuales!F$13</f>
        <v>593.98867552</v>
      </c>
      <c r="I102" s="42" t="n">
        <f aca="false">datos_base!$K$3*parametros_manuales!G$13</f>
        <v>556.8643833</v>
      </c>
      <c r="J102" s="42" t="n">
        <f aca="false">datos_base!$K$3*parametros_manuales!H$13</f>
        <v>593.98867552</v>
      </c>
      <c r="K102" s="42" t="n">
        <f aca="false">datos_base!$K$3*parametros_manuales!I$13</f>
        <v>593.98867552</v>
      </c>
      <c r="L102" s="42" t="n">
        <f aca="false">datos_base!$K$3*parametros_manuales!J$13</f>
        <v>593.98867552</v>
      </c>
      <c r="M102" s="42" t="n">
        <f aca="false">datos_base!$K$3*parametros_manuales!K$13</f>
        <v>556.8643833</v>
      </c>
      <c r="N102" s="42" t="n">
        <f aca="false">datos_base!$K$3*parametros_manuales!L$13</f>
        <v>519.74009108</v>
      </c>
      <c r="O102" s="42" t="n">
        <f aca="false">datos_base!$K$3*parametros_manuales!M$13</f>
        <v>816.73442884</v>
      </c>
      <c r="P102" s="9" t="n">
        <f aca="false">SUM(D102:O102)</f>
        <v>7424.858444</v>
      </c>
    </row>
    <row r="103" customFormat="false" ht="14.25" hidden="false" customHeight="true" outlineLevel="0" collapsed="false">
      <c r="A103" s="41" t="n">
        <v>2035</v>
      </c>
      <c r="B103" s="8" t="s">
        <v>16</v>
      </c>
      <c r="C103" s="8" t="s">
        <v>182</v>
      </c>
      <c r="D103" s="42" t="n">
        <f aca="false">datos_base!$K$4*parametros_manuales!B$14</f>
        <v>3075.077872</v>
      </c>
      <c r="E103" s="42" t="n">
        <f aca="false">datos_base!$K$4*parametros_manuales!C$14</f>
        <v>2460.0622976</v>
      </c>
      <c r="F103" s="42" t="n">
        <f aca="false">datos_base!$K$4*parametros_manuales!D$14</f>
        <v>2613.8161912</v>
      </c>
      <c r="G103" s="42" t="n">
        <f aca="false">datos_base!$K$4*parametros_manuales!E$14</f>
        <v>2613.8161912</v>
      </c>
      <c r="H103" s="42" t="n">
        <f aca="false">datos_base!$K$4*parametros_manuales!F$14</f>
        <v>2460.0622976</v>
      </c>
      <c r="I103" s="42" t="n">
        <f aca="false">datos_base!$K$4*parametros_manuales!G$14</f>
        <v>2306.308404</v>
      </c>
      <c r="J103" s="42" t="n">
        <f aca="false">datos_base!$K$4*parametros_manuales!H$14</f>
        <v>2460.0622976</v>
      </c>
      <c r="K103" s="42" t="n">
        <f aca="false">datos_base!$K$4*parametros_manuales!I$14</f>
        <v>2460.0622976</v>
      </c>
      <c r="L103" s="42" t="n">
        <f aca="false">datos_base!$K$4*parametros_manuales!J$14</f>
        <v>2460.0622976</v>
      </c>
      <c r="M103" s="42" t="n">
        <f aca="false">datos_base!$K$4*parametros_manuales!K$14</f>
        <v>2306.308404</v>
      </c>
      <c r="N103" s="42" t="n">
        <f aca="false">datos_base!$K$4*parametros_manuales!L$14</f>
        <v>2152.5545104</v>
      </c>
      <c r="O103" s="42" t="n">
        <f aca="false">datos_base!$K$4*parametros_manuales!M$14</f>
        <v>3382.5856592</v>
      </c>
      <c r="P103" s="9" t="n">
        <f aca="false">SUM(D103:O103)</f>
        <v>30750.77872</v>
      </c>
    </row>
    <row r="104" customFormat="false" ht="14.25" hidden="false" customHeight="true" outlineLevel="0" collapsed="false">
      <c r="A104" s="41" t="n">
        <v>2035</v>
      </c>
      <c r="B104" s="8" t="s">
        <v>17</v>
      </c>
      <c r="C104" s="8" t="s">
        <v>182</v>
      </c>
      <c r="D104" s="42" t="n">
        <f aca="false">datos_base!$K$5*parametros_manuales!B$15</f>
        <v>184.0848079</v>
      </c>
      <c r="E104" s="42" t="n">
        <f aca="false">datos_base!$K$5*parametros_manuales!C$15</f>
        <v>147.26784632</v>
      </c>
      <c r="F104" s="42" t="n">
        <f aca="false">datos_base!$K$5*parametros_manuales!D$15</f>
        <v>156.472086715</v>
      </c>
      <c r="G104" s="42" t="n">
        <f aca="false">datos_base!$K$5*parametros_manuales!E$15</f>
        <v>156.472086715</v>
      </c>
      <c r="H104" s="42" t="n">
        <f aca="false">datos_base!$K$5*parametros_manuales!F$15</f>
        <v>147.26784632</v>
      </c>
      <c r="I104" s="42" t="n">
        <f aca="false">datos_base!$K$5*parametros_manuales!G$15</f>
        <v>138.063605925</v>
      </c>
      <c r="J104" s="42" t="n">
        <f aca="false">datos_base!$K$5*parametros_manuales!H$15</f>
        <v>147.26784632</v>
      </c>
      <c r="K104" s="42" t="n">
        <f aca="false">datos_base!$K$5*parametros_manuales!I$15</f>
        <v>147.26784632</v>
      </c>
      <c r="L104" s="42" t="n">
        <f aca="false">datos_base!$K$5*parametros_manuales!J$15</f>
        <v>147.26784632</v>
      </c>
      <c r="M104" s="42" t="n">
        <f aca="false">datos_base!$K$5*parametros_manuales!K$15</f>
        <v>138.063605925</v>
      </c>
      <c r="N104" s="42" t="n">
        <f aca="false">datos_base!$K$5*parametros_manuales!L$15</f>
        <v>128.85936553</v>
      </c>
      <c r="O104" s="42" t="n">
        <f aca="false">datos_base!$K$5*parametros_manuales!M$15</f>
        <v>202.49328869</v>
      </c>
      <c r="P104" s="9" t="n">
        <f aca="false">SUM(D104:O104)</f>
        <v>1840.848079</v>
      </c>
    </row>
    <row r="105" customFormat="false" ht="14.25" hidden="false" customHeight="true" outlineLevel="0" collapsed="false">
      <c r="A105" s="41" t="n">
        <v>2035</v>
      </c>
      <c r="B105" s="8" t="s">
        <v>20</v>
      </c>
      <c r="C105" s="8" t="s">
        <v>183</v>
      </c>
      <c r="D105" s="42" t="n">
        <f aca="false">datos_base!$K$9*parametros_manuales!B$12</f>
        <v>20465.76</v>
      </c>
      <c r="E105" s="42" t="n">
        <f aca="false">datos_base!$K$9*parametros_manuales!C$12</f>
        <v>15349.32</v>
      </c>
      <c r="F105" s="42" t="n">
        <f aca="false">datos_base!$K$9*parametros_manuales!D$12</f>
        <v>13643.84</v>
      </c>
      <c r="G105" s="42" t="n">
        <f aca="false">datos_base!$K$9*parametros_manuales!E$12</f>
        <v>12791.1</v>
      </c>
      <c r="H105" s="42" t="n">
        <f aca="false">datos_base!$K$9*parametros_manuales!F$12</f>
        <v>11938.36</v>
      </c>
      <c r="I105" s="42" t="n">
        <f aca="false">datos_base!$K$9*parametros_manuales!G$12</f>
        <v>11938.36</v>
      </c>
      <c r="J105" s="42" t="n">
        <f aca="false">datos_base!$K$9*parametros_manuales!H$12</f>
        <v>12791.1</v>
      </c>
      <c r="K105" s="42" t="n">
        <f aca="false">datos_base!$K$9*parametros_manuales!I$12</f>
        <v>12791.1</v>
      </c>
      <c r="L105" s="42" t="n">
        <f aca="false">datos_base!$K$9*parametros_manuales!J$12</f>
        <v>12791.1</v>
      </c>
      <c r="M105" s="42" t="n">
        <f aca="false">datos_base!$K$9*parametros_manuales!K$12</f>
        <v>12791.1</v>
      </c>
      <c r="N105" s="42" t="n">
        <f aca="false">datos_base!$K$9*parametros_manuales!L$12</f>
        <v>12791.1</v>
      </c>
      <c r="O105" s="42" t="n">
        <f aca="false">datos_base!$K$9*parametros_manuales!M$12</f>
        <v>20465.76</v>
      </c>
      <c r="P105" s="9" t="n">
        <f aca="false">SUM(D105:O105)</f>
        <v>170548</v>
      </c>
    </row>
    <row r="106" customFormat="false" ht="14.25" hidden="false" customHeight="true" outlineLevel="0" collapsed="false">
      <c r="A106" s="41" t="n">
        <v>2035</v>
      </c>
      <c r="B106" s="8" t="s">
        <v>21</v>
      </c>
      <c r="C106" s="8" t="s">
        <v>183</v>
      </c>
      <c r="D106" s="42" t="n">
        <f aca="false">datos_base!$K$10*parametros_manuales!B$13</f>
        <v>666.9</v>
      </c>
      <c r="E106" s="42" t="n">
        <f aca="false">datos_base!$K$10*parametros_manuales!C$13</f>
        <v>533.52</v>
      </c>
      <c r="F106" s="42" t="n">
        <f aca="false">datos_base!$K$10*parametros_manuales!D$13</f>
        <v>566.865</v>
      </c>
      <c r="G106" s="42" t="n">
        <f aca="false">datos_base!$K$10*parametros_manuales!E$13</f>
        <v>566.865</v>
      </c>
      <c r="H106" s="42" t="n">
        <f aca="false">datos_base!$K$10*parametros_manuales!F$13</f>
        <v>533.52</v>
      </c>
      <c r="I106" s="42" t="n">
        <f aca="false">datos_base!$K$10*parametros_manuales!G$13</f>
        <v>500.175</v>
      </c>
      <c r="J106" s="42" t="n">
        <f aca="false">datos_base!$K$10*parametros_manuales!H$13</f>
        <v>533.52</v>
      </c>
      <c r="K106" s="42" t="n">
        <f aca="false">datos_base!$K$10*parametros_manuales!I$13</f>
        <v>533.52</v>
      </c>
      <c r="L106" s="42" t="n">
        <f aca="false">datos_base!$K$10*parametros_manuales!J$13</f>
        <v>533.52</v>
      </c>
      <c r="M106" s="42" t="n">
        <f aca="false">datos_base!$K$10*parametros_manuales!K$13</f>
        <v>500.175</v>
      </c>
      <c r="N106" s="42" t="n">
        <f aca="false">datos_base!$K$10*parametros_manuales!L$13</f>
        <v>466.83</v>
      </c>
      <c r="O106" s="42" t="n">
        <f aca="false">datos_base!$K$10*parametros_manuales!M$13</f>
        <v>733.59</v>
      </c>
      <c r="P106" s="9" t="n">
        <f aca="false">SUM(D106:O106)</f>
        <v>6669</v>
      </c>
    </row>
    <row r="107" customFormat="false" ht="14.25" hidden="false" customHeight="true" outlineLevel="0" collapsed="false">
      <c r="A107" s="41" t="n">
        <v>2035</v>
      </c>
      <c r="B107" s="8" t="s">
        <v>22</v>
      </c>
      <c r="C107" s="8" t="s">
        <v>183</v>
      </c>
      <c r="D107" s="42" t="n">
        <f aca="false">datos_base!$K$11*parametros_manuales!B$14</f>
        <v>3291.5</v>
      </c>
      <c r="E107" s="42" t="n">
        <f aca="false">datos_base!$K$11*parametros_manuales!C$14</f>
        <v>2633.2</v>
      </c>
      <c r="F107" s="42" t="n">
        <f aca="false">datos_base!$K$11*parametros_manuales!D$14</f>
        <v>2797.775</v>
      </c>
      <c r="G107" s="42" t="n">
        <f aca="false">datos_base!$K$11*parametros_manuales!E$14</f>
        <v>2797.775</v>
      </c>
      <c r="H107" s="42" t="n">
        <f aca="false">datos_base!$K$11*parametros_manuales!F$14</f>
        <v>2633.2</v>
      </c>
      <c r="I107" s="42" t="n">
        <f aca="false">datos_base!$K$11*parametros_manuales!G$14</f>
        <v>2468.625</v>
      </c>
      <c r="J107" s="42" t="n">
        <f aca="false">datos_base!$K$11*parametros_manuales!H$14</f>
        <v>2633.2</v>
      </c>
      <c r="K107" s="42" t="n">
        <f aca="false">datos_base!$K$11*parametros_manuales!I$14</f>
        <v>2633.2</v>
      </c>
      <c r="L107" s="42" t="n">
        <f aca="false">datos_base!$K$11*parametros_manuales!J$14</f>
        <v>2633.2</v>
      </c>
      <c r="M107" s="42" t="n">
        <f aca="false">datos_base!$K$11*parametros_manuales!K$14</f>
        <v>2468.625</v>
      </c>
      <c r="N107" s="42" t="n">
        <f aca="false">datos_base!$K$11*parametros_manuales!L$14</f>
        <v>2304.05</v>
      </c>
      <c r="O107" s="42" t="n">
        <f aca="false">datos_base!$K$11*parametros_manuales!M$14</f>
        <v>3620.65</v>
      </c>
      <c r="P107" s="9" t="n">
        <f aca="false">SUM(D107:O107)</f>
        <v>32915</v>
      </c>
    </row>
    <row r="108" customFormat="false" ht="14.25" hidden="false" customHeight="true" outlineLevel="0" collapsed="false">
      <c r="A108" s="41" t="n">
        <v>2035</v>
      </c>
      <c r="B108" s="8" t="s">
        <v>23</v>
      </c>
      <c r="C108" s="8" t="s">
        <v>183</v>
      </c>
      <c r="D108" s="42" t="n">
        <f aca="false">datos_base!$K$12*parametros_manuales!B$15</f>
        <v>201.1</v>
      </c>
      <c r="E108" s="42" t="n">
        <f aca="false">datos_base!$K$12*parametros_manuales!C$15</f>
        <v>160.88</v>
      </c>
      <c r="F108" s="42" t="n">
        <f aca="false">datos_base!$K$12*parametros_manuales!D$15</f>
        <v>170.935</v>
      </c>
      <c r="G108" s="42" t="n">
        <f aca="false">datos_base!$K$12*parametros_manuales!E$15</f>
        <v>170.935</v>
      </c>
      <c r="H108" s="42" t="n">
        <f aca="false">datos_base!$K$12*parametros_manuales!F$15</f>
        <v>160.88</v>
      </c>
      <c r="I108" s="42" t="n">
        <f aca="false">datos_base!$K$12*parametros_manuales!G$15</f>
        <v>150.825</v>
      </c>
      <c r="J108" s="42" t="n">
        <f aca="false">datos_base!$K$12*parametros_manuales!H$15</f>
        <v>160.88</v>
      </c>
      <c r="K108" s="42" t="n">
        <f aca="false">datos_base!$K$12*parametros_manuales!I$15</f>
        <v>160.88</v>
      </c>
      <c r="L108" s="42" t="n">
        <f aca="false">datos_base!$K$12*parametros_manuales!J$15</f>
        <v>160.88</v>
      </c>
      <c r="M108" s="42" t="n">
        <f aca="false">datos_base!$K$12*parametros_manuales!K$15</f>
        <v>150.825</v>
      </c>
      <c r="N108" s="42" t="n">
        <f aca="false">datos_base!$K$12*parametros_manuales!L$15</f>
        <v>140.77</v>
      </c>
      <c r="O108" s="42" t="n">
        <f aca="false">datos_base!$K$12*parametros_manuales!M$15</f>
        <v>221.21</v>
      </c>
      <c r="P108" s="9" t="n">
        <f aca="false">SUM(D108:O108)</f>
        <v>2011</v>
      </c>
    </row>
    <row r="109" customFormat="false" ht="14.25" hidden="false" customHeight="true" outlineLevel="0" collapsed="false">
      <c r="B109" s="10" t="s">
        <v>184</v>
      </c>
      <c r="D109" s="11" t="n">
        <f aca="false">SUM(D101:D108)</f>
        <v>32475.6252199</v>
      </c>
      <c r="E109" s="11" t="n">
        <f aca="false">SUM(E101:E108)</f>
        <v>24764.77634114</v>
      </c>
      <c r="F109" s="11" t="n">
        <f aca="false">SUM(F101:F108)</f>
        <v>23146.627376055</v>
      </c>
      <c r="G109" s="11" t="n">
        <f aca="false">SUM(G101:G108)</f>
        <v>22133.524180405</v>
      </c>
      <c r="H109" s="11" t="n">
        <f aca="false">SUM(H101:H108)</f>
        <v>20712.36355854</v>
      </c>
      <c r="I109" s="11" t="n">
        <f aca="false">SUM(I101:I108)</f>
        <v>20304.306132325</v>
      </c>
      <c r="J109" s="11" t="n">
        <f aca="false">SUM(J101:J108)</f>
        <v>21725.46675419</v>
      </c>
      <c r="K109" s="11" t="n">
        <f aca="false">SUM(K101:K108)</f>
        <v>21725.46675419</v>
      </c>
      <c r="L109" s="11" t="n">
        <f aca="false">SUM(L101:L108)</f>
        <v>21725.46675419</v>
      </c>
      <c r="M109" s="11" t="n">
        <f aca="false">SUM(M101:M108)</f>
        <v>21317.409327975</v>
      </c>
      <c r="N109" s="11" t="n">
        <f aca="false">SUM(N101:N108)</f>
        <v>20909.35190176</v>
      </c>
      <c r="O109" s="11" t="n">
        <f aca="false">SUM(O101:O108)</f>
        <v>33291.74007233</v>
      </c>
      <c r="P109" s="11" t="n">
        <f aca="false">SUM(P101:P108)</f>
        <v>284232.124373</v>
      </c>
    </row>
    <row r="110" customFormat="false" ht="14.25" hidden="false" customHeight="true" outlineLevel="0" collapsed="false"/>
    <row r="111" customFormat="false" ht="14.25" hidden="false" customHeight="true" outlineLevel="0" collapsed="false">
      <c r="B111" s="43" t="s">
        <v>185</v>
      </c>
    </row>
    <row r="112" customFormat="false" ht="14.25" hidden="false" customHeight="true" outlineLevel="0" collapsed="false">
      <c r="A112" s="7" t="n">
        <v>2026</v>
      </c>
      <c r="B112" s="7" t="s">
        <v>179</v>
      </c>
      <c r="C112" s="7" t="s">
        <v>180</v>
      </c>
      <c r="D112" s="7" t="s">
        <v>59</v>
      </c>
      <c r="E112" s="7" t="s">
        <v>60</v>
      </c>
      <c r="F112" s="7" t="s">
        <v>61</v>
      </c>
      <c r="G112" s="7" t="s">
        <v>62</v>
      </c>
      <c r="H112" s="7" t="s">
        <v>63</v>
      </c>
      <c r="I112" s="7" t="s">
        <v>64</v>
      </c>
      <c r="J112" s="7" t="s">
        <v>65</v>
      </c>
      <c r="K112" s="7" t="s">
        <v>66</v>
      </c>
      <c r="L112" s="7" t="s">
        <v>67</v>
      </c>
      <c r="M112" s="7" t="s">
        <v>68</v>
      </c>
      <c r="N112" s="7" t="s">
        <v>69</v>
      </c>
      <c r="O112" s="7" t="s">
        <v>70</v>
      </c>
      <c r="P112" s="7" t="s">
        <v>181</v>
      </c>
    </row>
    <row r="113" customFormat="false" ht="14.25" hidden="false" customHeight="true" outlineLevel="0" collapsed="false">
      <c r="A113" s="41" t="n">
        <v>2026</v>
      </c>
      <c r="B113" s="8" t="s">
        <v>186</v>
      </c>
      <c r="C113" s="8" t="s">
        <v>187</v>
      </c>
      <c r="D113" s="42" t="n">
        <f aca="false">datos_base!$B$18*parametros_manuales!B$12</f>
        <v>0</v>
      </c>
      <c r="E113" s="42" t="n">
        <f aca="false">datos_base!$B$18*parametros_manuales!C$12</f>
        <v>0</v>
      </c>
      <c r="F113" s="42" t="n">
        <f aca="false">datos_base!$B$18*parametros_manuales!D$12</f>
        <v>0</v>
      </c>
      <c r="G113" s="42" t="n">
        <f aca="false">datos_base!$B$18*parametros_manuales!E$12</f>
        <v>0</v>
      </c>
      <c r="H113" s="42" t="n">
        <f aca="false">datos_base!$B$18*parametros_manuales!F$12</f>
        <v>0</v>
      </c>
      <c r="I113" s="42" t="n">
        <f aca="false">datos_base!$B$18*parametros_manuales!G$12</f>
        <v>0</v>
      </c>
      <c r="J113" s="42" t="n">
        <f aca="false">datos_base!$B$18*parametros_manuales!H$12</f>
        <v>0</v>
      </c>
      <c r="K113" s="42" t="n">
        <f aca="false">datos_base!$B$18*parametros_manuales!I$12</f>
        <v>0</v>
      </c>
      <c r="L113" s="42" t="n">
        <f aca="false">datos_base!$B$18*parametros_manuales!J$12</f>
        <v>0</v>
      </c>
      <c r="M113" s="42" t="n">
        <f aca="false">datos_base!$B$18*parametros_manuales!K$12</f>
        <v>0</v>
      </c>
      <c r="N113" s="42" t="n">
        <f aca="false">datos_base!$B$18*parametros_manuales!L$12</f>
        <v>0</v>
      </c>
      <c r="O113" s="42" t="n">
        <f aca="false">datos_base!$B$18*parametros_manuales!M$12</f>
        <v>0</v>
      </c>
      <c r="P113" s="9" t="n">
        <f aca="false">SUM(D113:O113)</f>
        <v>0</v>
      </c>
    </row>
    <row r="114" customFormat="false" ht="14.25" hidden="false" customHeight="true" outlineLevel="0" collapsed="false">
      <c r="A114" s="41" t="n">
        <v>2026</v>
      </c>
      <c r="B114" s="8" t="s">
        <v>188</v>
      </c>
      <c r="C114" s="8" t="s">
        <v>187</v>
      </c>
      <c r="D114" s="42" t="n">
        <f aca="false">datos_base!$B$19*parametros_manuales!B$13</f>
        <v>0.2</v>
      </c>
      <c r="E114" s="42" t="n">
        <f aca="false">datos_base!$B$19*parametros_manuales!C$13</f>
        <v>0.16</v>
      </c>
      <c r="F114" s="42" t="n">
        <f aca="false">datos_base!$B$19*parametros_manuales!D$13</f>
        <v>0.17</v>
      </c>
      <c r="G114" s="42" t="n">
        <f aca="false">datos_base!$B$19*parametros_manuales!E$13</f>
        <v>0.17</v>
      </c>
      <c r="H114" s="42" t="n">
        <f aca="false">datos_base!$B$19*parametros_manuales!F$13</f>
        <v>0.16</v>
      </c>
      <c r="I114" s="42" t="n">
        <f aca="false">datos_base!$B$19*parametros_manuales!G$13</f>
        <v>0.15</v>
      </c>
      <c r="J114" s="42" t="n">
        <f aca="false">datos_base!$B$19*parametros_manuales!H$13</f>
        <v>0.16</v>
      </c>
      <c r="K114" s="42" t="n">
        <f aca="false">datos_base!$B$19*parametros_manuales!I$13</f>
        <v>0.16</v>
      </c>
      <c r="L114" s="42" t="n">
        <f aca="false">datos_base!$B$19*parametros_manuales!J$13</f>
        <v>0.16</v>
      </c>
      <c r="M114" s="42" t="n">
        <f aca="false">datos_base!$B$19*parametros_manuales!K$13</f>
        <v>0.15</v>
      </c>
      <c r="N114" s="42" t="n">
        <f aca="false">datos_base!$B$19*parametros_manuales!L$13</f>
        <v>0.14</v>
      </c>
      <c r="O114" s="42" t="n">
        <f aca="false">datos_base!$B$19*parametros_manuales!M$13</f>
        <v>0.22</v>
      </c>
      <c r="P114" s="9" t="n">
        <f aca="false">SUM(D114:O114)</f>
        <v>2</v>
      </c>
    </row>
    <row r="115" customFormat="false" ht="14.25" hidden="false" customHeight="true" outlineLevel="0" collapsed="false">
      <c r="A115" s="41" t="n">
        <v>2026</v>
      </c>
      <c r="B115" s="8" t="s">
        <v>189</v>
      </c>
      <c r="C115" s="8" t="s">
        <v>187</v>
      </c>
      <c r="D115" s="42" t="n">
        <f aca="false">datos_base!$B$20*parametros_manuales!B$14</f>
        <v>0.8</v>
      </c>
      <c r="E115" s="42" t="n">
        <f aca="false">datos_base!$B$20*parametros_manuales!C$14</f>
        <v>0.64</v>
      </c>
      <c r="F115" s="42" t="n">
        <f aca="false">datos_base!$B$20*parametros_manuales!D$14</f>
        <v>0.68</v>
      </c>
      <c r="G115" s="42" t="n">
        <f aca="false">datos_base!$B$20*parametros_manuales!E$14</f>
        <v>0.68</v>
      </c>
      <c r="H115" s="42" t="n">
        <f aca="false">datos_base!$B$20*parametros_manuales!F$14</f>
        <v>0.64</v>
      </c>
      <c r="I115" s="42" t="n">
        <f aca="false">datos_base!$B$20*parametros_manuales!G$14</f>
        <v>0.6</v>
      </c>
      <c r="J115" s="42" t="n">
        <f aca="false">datos_base!$B$20*parametros_manuales!H$14</f>
        <v>0.64</v>
      </c>
      <c r="K115" s="42" t="n">
        <f aca="false">datos_base!$B$20*parametros_manuales!I$14</f>
        <v>0.64</v>
      </c>
      <c r="L115" s="42" t="n">
        <f aca="false">datos_base!$B$20*parametros_manuales!J$14</f>
        <v>0.64</v>
      </c>
      <c r="M115" s="42" t="n">
        <f aca="false">datos_base!$B$20*parametros_manuales!K$14</f>
        <v>0.6</v>
      </c>
      <c r="N115" s="42" t="n">
        <f aca="false">datos_base!$B$20*parametros_manuales!L$14</f>
        <v>0.56</v>
      </c>
      <c r="O115" s="42" t="n">
        <f aca="false">datos_base!$B$20*parametros_manuales!M$14</f>
        <v>0.88</v>
      </c>
      <c r="P115" s="9" t="n">
        <f aca="false">SUM(D115:O115)</f>
        <v>8</v>
      </c>
    </row>
    <row r="116" customFormat="false" ht="14.25" hidden="false" customHeight="true" outlineLevel="0" collapsed="false">
      <c r="A116" s="41" t="n">
        <v>2026</v>
      </c>
      <c r="B116" s="8" t="s">
        <v>190</v>
      </c>
      <c r="C116" s="8" t="s">
        <v>187</v>
      </c>
      <c r="D116" s="42" t="n">
        <f aca="false">datos_base!$B$21*parametros_manuales!B$15</f>
        <v>0.1</v>
      </c>
      <c r="E116" s="42" t="n">
        <f aca="false">datos_base!$B$21*parametros_manuales!C$15</f>
        <v>0.08</v>
      </c>
      <c r="F116" s="42" t="n">
        <f aca="false">datos_base!$B$21*parametros_manuales!D$15</f>
        <v>0.085</v>
      </c>
      <c r="G116" s="42" t="n">
        <f aca="false">datos_base!$B$21*parametros_manuales!E$15</f>
        <v>0.085</v>
      </c>
      <c r="H116" s="42" t="n">
        <f aca="false">datos_base!$B$21*parametros_manuales!F$15</f>
        <v>0.08</v>
      </c>
      <c r="I116" s="42" t="n">
        <f aca="false">datos_base!$B$21*parametros_manuales!G$15</f>
        <v>0.075</v>
      </c>
      <c r="J116" s="42" t="n">
        <f aca="false">datos_base!$B$21*parametros_manuales!H$15</f>
        <v>0.08</v>
      </c>
      <c r="K116" s="42" t="n">
        <f aca="false">datos_base!$B$21*parametros_manuales!I$15</f>
        <v>0.08</v>
      </c>
      <c r="L116" s="42" t="n">
        <f aca="false">datos_base!$B$21*parametros_manuales!J$15</f>
        <v>0.08</v>
      </c>
      <c r="M116" s="42" t="n">
        <f aca="false">datos_base!$B$21*parametros_manuales!K$15</f>
        <v>0.075</v>
      </c>
      <c r="N116" s="42" t="n">
        <f aca="false">datos_base!$B$21*parametros_manuales!L$15</f>
        <v>0.07</v>
      </c>
      <c r="O116" s="42" t="n">
        <f aca="false">datos_base!$B$21*parametros_manuales!M$15</f>
        <v>0.11</v>
      </c>
      <c r="P116" s="9" t="n">
        <f aca="false">SUM(D116:O116)</f>
        <v>1</v>
      </c>
    </row>
    <row r="117" customFormat="false" ht="14.25" hidden="false" customHeight="true" outlineLevel="0" collapsed="false">
      <c r="A117" s="41" t="n">
        <v>2026</v>
      </c>
      <c r="B117" s="8" t="s">
        <v>191</v>
      </c>
      <c r="C117" s="8" t="s">
        <v>192</v>
      </c>
      <c r="D117" s="42" t="n">
        <f aca="false">datos_base!$B$23*parametros_manuales!B$12</f>
        <v>0</v>
      </c>
      <c r="E117" s="42" t="n">
        <f aca="false">datos_base!$B$23*parametros_manuales!C$12</f>
        <v>0</v>
      </c>
      <c r="F117" s="42" t="n">
        <f aca="false">datos_base!$B$23*parametros_manuales!D$12</f>
        <v>0</v>
      </c>
      <c r="G117" s="42" t="n">
        <f aca="false">datos_base!$B$23*parametros_manuales!E$12</f>
        <v>0</v>
      </c>
      <c r="H117" s="42" t="n">
        <f aca="false">datos_base!$B$23*parametros_manuales!F$12</f>
        <v>0</v>
      </c>
      <c r="I117" s="42" t="n">
        <f aca="false">datos_base!$B$23*parametros_manuales!G$12</f>
        <v>0</v>
      </c>
      <c r="J117" s="42" t="n">
        <f aca="false">datos_base!$B$23*parametros_manuales!H$12</f>
        <v>0</v>
      </c>
      <c r="K117" s="42" t="n">
        <f aca="false">datos_base!$B$23*parametros_manuales!I$12</f>
        <v>0</v>
      </c>
      <c r="L117" s="42" t="n">
        <f aca="false">datos_base!$B$23*parametros_manuales!J$12</f>
        <v>0</v>
      </c>
      <c r="M117" s="42" t="n">
        <f aca="false">datos_base!$B$23*parametros_manuales!K$12</f>
        <v>0</v>
      </c>
      <c r="N117" s="42" t="n">
        <f aca="false">datos_base!$B$23*parametros_manuales!L$12</f>
        <v>0</v>
      </c>
      <c r="O117" s="42" t="n">
        <f aca="false">datos_base!$B$23*parametros_manuales!M$12</f>
        <v>0</v>
      </c>
      <c r="P117" s="9" t="n">
        <f aca="false">SUM(D117:O117)</f>
        <v>0</v>
      </c>
    </row>
    <row r="118" customFormat="false" ht="14.25" hidden="false" customHeight="true" outlineLevel="0" collapsed="false">
      <c r="A118" s="41" t="n">
        <v>2026</v>
      </c>
      <c r="B118" s="8" t="s">
        <v>193</v>
      </c>
      <c r="C118" s="8" t="s">
        <v>192</v>
      </c>
      <c r="D118" s="42" t="n">
        <f aca="false">datos_base!$B$24*parametros_manuales!B$13</f>
        <v>0.3</v>
      </c>
      <c r="E118" s="42" t="n">
        <f aca="false">datos_base!$B$24*parametros_manuales!C$13</f>
        <v>0.24</v>
      </c>
      <c r="F118" s="42" t="n">
        <f aca="false">datos_base!$B$24*parametros_manuales!D$13</f>
        <v>0.255</v>
      </c>
      <c r="G118" s="42" t="n">
        <f aca="false">datos_base!$B$24*parametros_manuales!E$13</f>
        <v>0.255</v>
      </c>
      <c r="H118" s="42" t="n">
        <f aca="false">datos_base!$B$24*parametros_manuales!F$13</f>
        <v>0.24</v>
      </c>
      <c r="I118" s="42" t="n">
        <f aca="false">datos_base!$B$24*parametros_manuales!G$13</f>
        <v>0.225</v>
      </c>
      <c r="J118" s="42" t="n">
        <f aca="false">datos_base!$B$24*parametros_manuales!H$13</f>
        <v>0.24</v>
      </c>
      <c r="K118" s="42" t="n">
        <f aca="false">datos_base!$B$24*parametros_manuales!I$13</f>
        <v>0.24</v>
      </c>
      <c r="L118" s="42" t="n">
        <f aca="false">datos_base!$B$24*parametros_manuales!J$13</f>
        <v>0.24</v>
      </c>
      <c r="M118" s="42" t="n">
        <f aca="false">datos_base!$B$24*parametros_manuales!K$13</f>
        <v>0.225</v>
      </c>
      <c r="N118" s="42" t="n">
        <f aca="false">datos_base!$B$24*parametros_manuales!L$13</f>
        <v>0.21</v>
      </c>
      <c r="O118" s="42" t="n">
        <f aca="false">datos_base!$B$24*parametros_manuales!M$13</f>
        <v>0.33</v>
      </c>
      <c r="P118" s="9" t="n">
        <f aca="false">SUM(D118:O118)</f>
        <v>3</v>
      </c>
    </row>
    <row r="119" customFormat="false" ht="14.25" hidden="false" customHeight="true" outlineLevel="0" collapsed="false">
      <c r="A119" s="41" t="n">
        <v>2026</v>
      </c>
      <c r="B119" s="8" t="s">
        <v>194</v>
      </c>
      <c r="C119" s="8" t="s">
        <v>192</v>
      </c>
      <c r="D119" s="42" t="n">
        <f aca="false">datos_base!$B$25*parametros_manuales!B$14</f>
        <v>1.5</v>
      </c>
      <c r="E119" s="42" t="n">
        <f aca="false">datos_base!$B$25*parametros_manuales!C$14</f>
        <v>1.2</v>
      </c>
      <c r="F119" s="42" t="n">
        <f aca="false">datos_base!$B$25*parametros_manuales!D$14</f>
        <v>1.275</v>
      </c>
      <c r="G119" s="42" t="n">
        <f aca="false">datos_base!$B$25*parametros_manuales!E$14</f>
        <v>1.275</v>
      </c>
      <c r="H119" s="42" t="n">
        <f aca="false">datos_base!$B$25*parametros_manuales!F$14</f>
        <v>1.2</v>
      </c>
      <c r="I119" s="42" t="n">
        <f aca="false">datos_base!$B$25*parametros_manuales!G$14</f>
        <v>1.125</v>
      </c>
      <c r="J119" s="42" t="n">
        <f aca="false">datos_base!$B$25*parametros_manuales!H$14</f>
        <v>1.2</v>
      </c>
      <c r="K119" s="42" t="n">
        <f aca="false">datos_base!$B$25*parametros_manuales!I$14</f>
        <v>1.2</v>
      </c>
      <c r="L119" s="42" t="n">
        <f aca="false">datos_base!$B$25*parametros_manuales!J$14</f>
        <v>1.2</v>
      </c>
      <c r="M119" s="42" t="n">
        <f aca="false">datos_base!$B$25*parametros_manuales!K$14</f>
        <v>1.125</v>
      </c>
      <c r="N119" s="42" t="n">
        <f aca="false">datos_base!$B$25*parametros_manuales!L$14</f>
        <v>1.05</v>
      </c>
      <c r="O119" s="42" t="n">
        <f aca="false">datos_base!$B$25*parametros_manuales!M$14</f>
        <v>1.65</v>
      </c>
      <c r="P119" s="9" t="n">
        <f aca="false">SUM(D119:O119)</f>
        <v>15</v>
      </c>
    </row>
    <row r="120" customFormat="false" ht="14.25" hidden="false" customHeight="true" outlineLevel="0" collapsed="false">
      <c r="A120" s="41" t="n">
        <v>2026</v>
      </c>
      <c r="B120" s="8" t="s">
        <v>195</v>
      </c>
      <c r="C120" s="8" t="s">
        <v>192</v>
      </c>
      <c r="D120" s="42" t="n">
        <f aca="false">datos_base!$B$26*parametros_manuales!B$15</f>
        <v>0.1</v>
      </c>
      <c r="E120" s="42" t="n">
        <f aca="false">datos_base!$B$26*parametros_manuales!C$15</f>
        <v>0.08</v>
      </c>
      <c r="F120" s="42" t="n">
        <f aca="false">datos_base!$B$26*parametros_manuales!D$15</f>
        <v>0.085</v>
      </c>
      <c r="G120" s="42" t="n">
        <f aca="false">datos_base!$B$26*parametros_manuales!E$15</f>
        <v>0.085</v>
      </c>
      <c r="H120" s="42" t="n">
        <f aca="false">datos_base!$B$26*parametros_manuales!F$15</f>
        <v>0.08</v>
      </c>
      <c r="I120" s="42" t="n">
        <f aca="false">datos_base!$B$26*parametros_manuales!G$15</f>
        <v>0.075</v>
      </c>
      <c r="J120" s="42" t="n">
        <f aca="false">datos_base!$B$26*parametros_manuales!H$15</f>
        <v>0.08</v>
      </c>
      <c r="K120" s="42" t="n">
        <f aca="false">datos_base!$B$26*parametros_manuales!I$15</f>
        <v>0.08</v>
      </c>
      <c r="L120" s="42" t="n">
        <f aca="false">datos_base!$B$26*parametros_manuales!J$15</f>
        <v>0.08</v>
      </c>
      <c r="M120" s="42" t="n">
        <f aca="false">datos_base!$B$26*parametros_manuales!K$15</f>
        <v>0.075</v>
      </c>
      <c r="N120" s="42" t="n">
        <f aca="false">datos_base!$B$26*parametros_manuales!L$15</f>
        <v>0.07</v>
      </c>
      <c r="O120" s="42" t="n">
        <f aca="false">datos_base!$B$26*parametros_manuales!M$15</f>
        <v>0.11</v>
      </c>
      <c r="P120" s="9" t="n">
        <f aca="false">SUM(D120:O120)</f>
        <v>1</v>
      </c>
    </row>
    <row r="121" customFormat="false" ht="14.25" hidden="false" customHeight="true" outlineLevel="0" collapsed="false">
      <c r="B121" s="10" t="s">
        <v>196</v>
      </c>
      <c r="D121" s="11" t="n">
        <f aca="false">SUM(D113:D120)</f>
        <v>3</v>
      </c>
      <c r="E121" s="11" t="n">
        <f aca="false">SUM(E113:E120)</f>
        <v>2.4</v>
      </c>
      <c r="F121" s="11" t="n">
        <f aca="false">SUM(F113:F120)</f>
        <v>2.55</v>
      </c>
      <c r="G121" s="11" t="n">
        <f aca="false">SUM(G113:G120)</f>
        <v>2.55</v>
      </c>
      <c r="H121" s="11" t="n">
        <f aca="false">SUM(H113:H120)</f>
        <v>2.4</v>
      </c>
      <c r="I121" s="11" t="n">
        <f aca="false">SUM(I113:I120)</f>
        <v>2.25</v>
      </c>
      <c r="J121" s="11" t="n">
        <f aca="false">SUM(J113:J120)</f>
        <v>2.4</v>
      </c>
      <c r="K121" s="11" t="n">
        <f aca="false">SUM(K113:K120)</f>
        <v>2.4</v>
      </c>
      <c r="L121" s="11" t="n">
        <f aca="false">SUM(L113:L120)</f>
        <v>2.4</v>
      </c>
      <c r="M121" s="11" t="n">
        <f aca="false">SUM(M113:M120)</f>
        <v>2.25</v>
      </c>
      <c r="N121" s="11" t="n">
        <f aca="false">SUM(N113:N120)</f>
        <v>2.1</v>
      </c>
      <c r="O121" s="11" t="n">
        <f aca="false">SUM(O113:O120)</f>
        <v>3.3</v>
      </c>
      <c r="P121" s="11" t="n">
        <f aca="false">SUM(P113:P120)</f>
        <v>30</v>
      </c>
    </row>
    <row r="122" customFormat="false" ht="14.25" hidden="false" customHeight="true" outlineLevel="0" collapsed="false"/>
    <row r="123" customFormat="false" ht="14.25" hidden="false" customHeight="true" outlineLevel="0" collapsed="false">
      <c r="A123" s="7" t="n">
        <v>2027</v>
      </c>
      <c r="B123" s="7" t="s">
        <v>179</v>
      </c>
      <c r="C123" s="7" t="s">
        <v>180</v>
      </c>
      <c r="D123" s="7" t="s">
        <v>59</v>
      </c>
      <c r="E123" s="7" t="s">
        <v>60</v>
      </c>
      <c r="F123" s="7" t="s">
        <v>61</v>
      </c>
      <c r="G123" s="7" t="s">
        <v>62</v>
      </c>
      <c r="H123" s="7" t="s">
        <v>63</v>
      </c>
      <c r="I123" s="7" t="s">
        <v>64</v>
      </c>
      <c r="J123" s="7" t="s">
        <v>65</v>
      </c>
      <c r="K123" s="7" t="s">
        <v>66</v>
      </c>
      <c r="L123" s="7" t="s">
        <v>67</v>
      </c>
      <c r="M123" s="7" t="s">
        <v>68</v>
      </c>
      <c r="N123" s="7" t="s">
        <v>69</v>
      </c>
      <c r="O123" s="7" t="s">
        <v>70</v>
      </c>
      <c r="P123" s="7" t="s">
        <v>181</v>
      </c>
    </row>
    <row r="124" customFormat="false" ht="14.25" hidden="false" customHeight="true" outlineLevel="0" collapsed="false">
      <c r="A124" s="41" t="n">
        <v>2027</v>
      </c>
      <c r="B124" s="8" t="s">
        <v>186</v>
      </c>
      <c r="C124" s="8" t="s">
        <v>187</v>
      </c>
      <c r="D124" s="42" t="n">
        <f aca="false">datos_base!$C$18*parametros_manuales!B$12</f>
        <v>0</v>
      </c>
      <c r="E124" s="42" t="n">
        <f aca="false">datos_base!$C$18*parametros_manuales!C$12</f>
        <v>0</v>
      </c>
      <c r="F124" s="42" t="n">
        <f aca="false">datos_base!$C$18*parametros_manuales!D$12</f>
        <v>0</v>
      </c>
      <c r="G124" s="42" t="n">
        <f aca="false">datos_base!$C$18*parametros_manuales!E$12</f>
        <v>0</v>
      </c>
      <c r="H124" s="42" t="n">
        <f aca="false">datos_base!$C$18*parametros_manuales!F$12</f>
        <v>0</v>
      </c>
      <c r="I124" s="42" t="n">
        <f aca="false">datos_base!$C$18*parametros_manuales!G$12</f>
        <v>0</v>
      </c>
      <c r="J124" s="42" t="n">
        <f aca="false">datos_base!$C$18*parametros_manuales!H$12</f>
        <v>0</v>
      </c>
      <c r="K124" s="42" t="n">
        <f aca="false">datos_base!$C$18*parametros_manuales!I$12</f>
        <v>0</v>
      </c>
      <c r="L124" s="42" t="n">
        <f aca="false">datos_base!$C$18*parametros_manuales!J$12</f>
        <v>0</v>
      </c>
      <c r="M124" s="42" t="n">
        <f aca="false">datos_base!$C$18*parametros_manuales!K$12</f>
        <v>0</v>
      </c>
      <c r="N124" s="42" t="n">
        <f aca="false">datos_base!$C$18*parametros_manuales!L$12</f>
        <v>0</v>
      </c>
      <c r="O124" s="42" t="n">
        <f aca="false">datos_base!$C$18*parametros_manuales!M$12</f>
        <v>0</v>
      </c>
      <c r="P124" s="9" t="n">
        <f aca="false">SUM(D124:O124)</f>
        <v>0</v>
      </c>
    </row>
    <row r="125" customFormat="false" ht="14.25" hidden="false" customHeight="true" outlineLevel="0" collapsed="false">
      <c r="A125" s="41" t="n">
        <v>2027</v>
      </c>
      <c r="B125" s="8" t="s">
        <v>188</v>
      </c>
      <c r="C125" s="8" t="s">
        <v>187</v>
      </c>
      <c r="D125" s="42" t="n">
        <f aca="false">datos_base!$C$19*parametros_manuales!B$13</f>
        <v>0.316</v>
      </c>
      <c r="E125" s="42" t="n">
        <f aca="false">datos_base!$C$19*parametros_manuales!C$13</f>
        <v>0.2528</v>
      </c>
      <c r="F125" s="42" t="n">
        <f aca="false">datos_base!$C$19*parametros_manuales!D$13</f>
        <v>0.2686</v>
      </c>
      <c r="G125" s="42" t="n">
        <f aca="false">datos_base!$C$19*parametros_manuales!E$13</f>
        <v>0.2686</v>
      </c>
      <c r="H125" s="42" t="n">
        <f aca="false">datos_base!$C$19*parametros_manuales!F$13</f>
        <v>0.2528</v>
      </c>
      <c r="I125" s="42" t="n">
        <f aca="false">datos_base!$C$19*parametros_manuales!G$13</f>
        <v>0.237</v>
      </c>
      <c r="J125" s="42" t="n">
        <f aca="false">datos_base!$C$19*parametros_manuales!H$13</f>
        <v>0.2528</v>
      </c>
      <c r="K125" s="42" t="n">
        <f aca="false">datos_base!$C$19*parametros_manuales!I$13</f>
        <v>0.2528</v>
      </c>
      <c r="L125" s="42" t="n">
        <f aca="false">datos_base!$C$19*parametros_manuales!J$13</f>
        <v>0.2528</v>
      </c>
      <c r="M125" s="42" t="n">
        <f aca="false">datos_base!$C$19*parametros_manuales!K$13</f>
        <v>0.237</v>
      </c>
      <c r="N125" s="42" t="n">
        <f aca="false">datos_base!$C$19*parametros_manuales!L$13</f>
        <v>0.2212</v>
      </c>
      <c r="O125" s="42" t="n">
        <f aca="false">datos_base!$C$19*parametros_manuales!M$13</f>
        <v>0.3476</v>
      </c>
      <c r="P125" s="9" t="n">
        <f aca="false">SUM(D125:O125)</f>
        <v>3.16</v>
      </c>
    </row>
    <row r="126" customFormat="false" ht="14.25" hidden="false" customHeight="true" outlineLevel="0" collapsed="false">
      <c r="A126" s="41" t="n">
        <v>2027</v>
      </c>
      <c r="B126" s="8" t="s">
        <v>189</v>
      </c>
      <c r="C126" s="8" t="s">
        <v>187</v>
      </c>
      <c r="D126" s="42" t="n">
        <f aca="false">datos_base!$C$20*parametros_manuales!B$14</f>
        <v>2.364</v>
      </c>
      <c r="E126" s="42" t="n">
        <f aca="false">datos_base!$C$20*parametros_manuales!C$14</f>
        <v>1.8912</v>
      </c>
      <c r="F126" s="42" t="n">
        <f aca="false">datos_base!$C$20*parametros_manuales!D$14</f>
        <v>2.0094</v>
      </c>
      <c r="G126" s="42" t="n">
        <f aca="false">datos_base!$C$20*parametros_manuales!E$14</f>
        <v>2.0094</v>
      </c>
      <c r="H126" s="42" t="n">
        <f aca="false">datos_base!$C$20*parametros_manuales!F$14</f>
        <v>1.8912</v>
      </c>
      <c r="I126" s="42" t="n">
        <f aca="false">datos_base!$C$20*parametros_manuales!G$14</f>
        <v>1.773</v>
      </c>
      <c r="J126" s="42" t="n">
        <f aca="false">datos_base!$C$20*parametros_manuales!H$14</f>
        <v>1.8912</v>
      </c>
      <c r="K126" s="42" t="n">
        <f aca="false">datos_base!$C$20*parametros_manuales!I$14</f>
        <v>1.8912</v>
      </c>
      <c r="L126" s="42" t="n">
        <f aca="false">datos_base!$C$20*parametros_manuales!J$14</f>
        <v>1.8912</v>
      </c>
      <c r="M126" s="42" t="n">
        <f aca="false">datos_base!$C$20*parametros_manuales!K$14</f>
        <v>1.773</v>
      </c>
      <c r="N126" s="42" t="n">
        <f aca="false">datos_base!$C$20*parametros_manuales!L$14</f>
        <v>1.6548</v>
      </c>
      <c r="O126" s="42" t="n">
        <f aca="false">datos_base!$C$20*parametros_manuales!M$14</f>
        <v>2.6004</v>
      </c>
      <c r="P126" s="9" t="n">
        <f aca="false">SUM(D126:O126)</f>
        <v>23.64</v>
      </c>
    </row>
    <row r="127" customFormat="false" ht="14.25" hidden="false" customHeight="true" outlineLevel="0" collapsed="false">
      <c r="A127" s="41" t="n">
        <v>2027</v>
      </c>
      <c r="B127" s="8" t="s">
        <v>190</v>
      </c>
      <c r="C127" s="8" t="s">
        <v>187</v>
      </c>
      <c r="D127" s="42" t="n">
        <f aca="false">datos_base!$C$21*parametros_manuales!B$15</f>
        <v>0.108</v>
      </c>
      <c r="E127" s="42" t="n">
        <f aca="false">datos_base!$C$21*parametros_manuales!C$15</f>
        <v>0.0864</v>
      </c>
      <c r="F127" s="42" t="n">
        <f aca="false">datos_base!$C$21*parametros_manuales!D$15</f>
        <v>0.0918</v>
      </c>
      <c r="G127" s="42" t="n">
        <f aca="false">datos_base!$C$21*parametros_manuales!E$15</f>
        <v>0.0918</v>
      </c>
      <c r="H127" s="42" t="n">
        <f aca="false">datos_base!$C$21*parametros_manuales!F$15</f>
        <v>0.0864</v>
      </c>
      <c r="I127" s="42" t="n">
        <f aca="false">datos_base!$C$21*parametros_manuales!G$15</f>
        <v>0.081</v>
      </c>
      <c r="J127" s="42" t="n">
        <f aca="false">datos_base!$C$21*parametros_manuales!H$15</f>
        <v>0.0864</v>
      </c>
      <c r="K127" s="42" t="n">
        <f aca="false">datos_base!$C$21*parametros_manuales!I$15</f>
        <v>0.0864</v>
      </c>
      <c r="L127" s="42" t="n">
        <f aca="false">datos_base!$C$21*parametros_manuales!J$15</f>
        <v>0.0864</v>
      </c>
      <c r="M127" s="42" t="n">
        <f aca="false">datos_base!$C$21*parametros_manuales!K$15</f>
        <v>0.081</v>
      </c>
      <c r="N127" s="42" t="n">
        <f aca="false">datos_base!$C$21*parametros_manuales!L$15</f>
        <v>0.0756</v>
      </c>
      <c r="O127" s="42" t="n">
        <f aca="false">datos_base!$C$21*parametros_manuales!M$15</f>
        <v>0.1188</v>
      </c>
      <c r="P127" s="9" t="n">
        <f aca="false">SUM(D127:O127)</f>
        <v>1.08</v>
      </c>
    </row>
    <row r="128" customFormat="false" ht="14.25" hidden="false" customHeight="true" outlineLevel="0" collapsed="false">
      <c r="A128" s="41" t="n">
        <v>2027</v>
      </c>
      <c r="B128" s="8" t="s">
        <v>191</v>
      </c>
      <c r="C128" s="8" t="s">
        <v>192</v>
      </c>
      <c r="D128" s="42" t="n">
        <f aca="false">datos_base!$C$23*parametros_manuales!B$12</f>
        <v>0</v>
      </c>
      <c r="E128" s="42" t="n">
        <f aca="false">datos_base!$C$23*parametros_manuales!C$12</f>
        <v>0</v>
      </c>
      <c r="F128" s="42" t="n">
        <f aca="false">datos_base!$C$23*parametros_manuales!D$12</f>
        <v>0</v>
      </c>
      <c r="G128" s="42" t="n">
        <f aca="false">datos_base!$C$23*parametros_manuales!E$12</f>
        <v>0</v>
      </c>
      <c r="H128" s="42" t="n">
        <f aca="false">datos_base!$C$23*parametros_manuales!F$12</f>
        <v>0</v>
      </c>
      <c r="I128" s="42" t="n">
        <f aca="false">datos_base!$C$23*parametros_manuales!G$12</f>
        <v>0</v>
      </c>
      <c r="J128" s="42" t="n">
        <f aca="false">datos_base!$C$23*parametros_manuales!H$12</f>
        <v>0</v>
      </c>
      <c r="K128" s="42" t="n">
        <f aca="false">datos_base!$C$23*parametros_manuales!I$12</f>
        <v>0</v>
      </c>
      <c r="L128" s="42" t="n">
        <f aca="false">datos_base!$C$23*parametros_manuales!J$12</f>
        <v>0</v>
      </c>
      <c r="M128" s="42" t="n">
        <f aca="false">datos_base!$C$23*parametros_manuales!K$12</f>
        <v>0</v>
      </c>
      <c r="N128" s="42" t="n">
        <f aca="false">datos_base!$C$23*parametros_manuales!L$12</f>
        <v>0</v>
      </c>
      <c r="O128" s="42" t="n">
        <f aca="false">datos_base!$C$23*parametros_manuales!M$12</f>
        <v>0</v>
      </c>
      <c r="P128" s="9" t="n">
        <f aca="false">SUM(D128:O128)</f>
        <v>0</v>
      </c>
    </row>
    <row r="129" customFormat="false" ht="14.25" hidden="false" customHeight="true" outlineLevel="0" collapsed="false">
      <c r="A129" s="41" t="n">
        <v>2027</v>
      </c>
      <c r="B129" s="8" t="s">
        <v>193</v>
      </c>
      <c r="C129" s="8" t="s">
        <v>192</v>
      </c>
      <c r="D129" s="42" t="n">
        <f aca="false">datos_base!$C$24*parametros_manuales!B$13</f>
        <v>0.724</v>
      </c>
      <c r="E129" s="42" t="n">
        <f aca="false">datos_base!$C$24*parametros_manuales!C$13</f>
        <v>0.5792</v>
      </c>
      <c r="F129" s="42" t="n">
        <f aca="false">datos_base!$C$24*parametros_manuales!D$13</f>
        <v>0.6154</v>
      </c>
      <c r="G129" s="42" t="n">
        <f aca="false">datos_base!$C$24*parametros_manuales!E$13</f>
        <v>0.6154</v>
      </c>
      <c r="H129" s="42" t="n">
        <f aca="false">datos_base!$C$24*parametros_manuales!F$13</f>
        <v>0.5792</v>
      </c>
      <c r="I129" s="42" t="n">
        <f aca="false">datos_base!$C$24*parametros_manuales!G$13</f>
        <v>0.543</v>
      </c>
      <c r="J129" s="42" t="n">
        <f aca="false">datos_base!$C$24*parametros_manuales!H$13</f>
        <v>0.5792</v>
      </c>
      <c r="K129" s="42" t="n">
        <f aca="false">datos_base!$C$24*parametros_manuales!I$13</f>
        <v>0.5792</v>
      </c>
      <c r="L129" s="42" t="n">
        <f aca="false">datos_base!$C$24*parametros_manuales!J$13</f>
        <v>0.5792</v>
      </c>
      <c r="M129" s="42" t="n">
        <f aca="false">datos_base!$C$24*parametros_manuales!K$13</f>
        <v>0.543</v>
      </c>
      <c r="N129" s="42" t="n">
        <f aca="false">datos_base!$C$24*parametros_manuales!L$13</f>
        <v>0.5068</v>
      </c>
      <c r="O129" s="42" t="n">
        <f aca="false">datos_base!$C$24*parametros_manuales!M$13</f>
        <v>0.7964</v>
      </c>
      <c r="P129" s="9" t="n">
        <f aca="false">SUM(D129:O129)</f>
        <v>7.24</v>
      </c>
    </row>
    <row r="130" customFormat="false" ht="14.25" hidden="false" customHeight="true" outlineLevel="0" collapsed="false">
      <c r="A130" s="41" t="n">
        <v>2027</v>
      </c>
      <c r="B130" s="8" t="s">
        <v>194</v>
      </c>
      <c r="C130" s="8" t="s">
        <v>192</v>
      </c>
      <c r="D130" s="42" t="n">
        <f aca="false">datos_base!$C$25*parametros_manuales!B$14</f>
        <v>4.62</v>
      </c>
      <c r="E130" s="42" t="n">
        <f aca="false">datos_base!$C$25*parametros_manuales!C$14</f>
        <v>3.696</v>
      </c>
      <c r="F130" s="42" t="n">
        <f aca="false">datos_base!$C$25*parametros_manuales!D$14</f>
        <v>3.927</v>
      </c>
      <c r="G130" s="42" t="n">
        <f aca="false">datos_base!$C$25*parametros_manuales!E$14</f>
        <v>3.927</v>
      </c>
      <c r="H130" s="42" t="n">
        <f aca="false">datos_base!$C$25*parametros_manuales!F$14</f>
        <v>3.696</v>
      </c>
      <c r="I130" s="42" t="n">
        <f aca="false">datos_base!$C$25*parametros_manuales!G$14</f>
        <v>3.465</v>
      </c>
      <c r="J130" s="42" t="n">
        <f aca="false">datos_base!$C$25*parametros_manuales!H$14</f>
        <v>3.696</v>
      </c>
      <c r="K130" s="42" t="n">
        <f aca="false">datos_base!$C$25*parametros_manuales!I$14</f>
        <v>3.696</v>
      </c>
      <c r="L130" s="42" t="n">
        <f aca="false">datos_base!$C$25*parametros_manuales!J$14</f>
        <v>3.696</v>
      </c>
      <c r="M130" s="42" t="n">
        <f aca="false">datos_base!$C$25*parametros_manuales!K$14</f>
        <v>3.465</v>
      </c>
      <c r="N130" s="42" t="n">
        <f aca="false">datos_base!$C$25*parametros_manuales!L$14</f>
        <v>3.234</v>
      </c>
      <c r="O130" s="42" t="n">
        <f aca="false">datos_base!$C$25*parametros_manuales!M$14</f>
        <v>5.082</v>
      </c>
      <c r="P130" s="9" t="n">
        <f aca="false">SUM(D130:O130)</f>
        <v>46.2</v>
      </c>
    </row>
    <row r="131" customFormat="false" ht="14.25" hidden="false" customHeight="true" outlineLevel="0" collapsed="false">
      <c r="A131" s="41" t="n">
        <v>2027</v>
      </c>
      <c r="B131" s="8" t="s">
        <v>195</v>
      </c>
      <c r="C131" s="8" t="s">
        <v>192</v>
      </c>
      <c r="D131" s="42" t="n">
        <f aca="false">datos_base!$C$26*parametros_manuales!B$15</f>
        <v>0.308</v>
      </c>
      <c r="E131" s="42" t="n">
        <f aca="false">datos_base!$C$26*parametros_manuales!C$15</f>
        <v>0.2464</v>
      </c>
      <c r="F131" s="42" t="n">
        <f aca="false">datos_base!$C$26*parametros_manuales!D$15</f>
        <v>0.2618</v>
      </c>
      <c r="G131" s="42" t="n">
        <f aca="false">datos_base!$C$26*parametros_manuales!E$15</f>
        <v>0.2618</v>
      </c>
      <c r="H131" s="42" t="n">
        <f aca="false">datos_base!$C$26*parametros_manuales!F$15</f>
        <v>0.2464</v>
      </c>
      <c r="I131" s="42" t="n">
        <f aca="false">datos_base!$C$26*parametros_manuales!G$15</f>
        <v>0.231</v>
      </c>
      <c r="J131" s="42" t="n">
        <f aca="false">datos_base!$C$26*parametros_manuales!H$15</f>
        <v>0.2464</v>
      </c>
      <c r="K131" s="42" t="n">
        <f aca="false">datos_base!$C$26*parametros_manuales!I$15</f>
        <v>0.2464</v>
      </c>
      <c r="L131" s="42" t="n">
        <f aca="false">datos_base!$C$26*parametros_manuales!J$15</f>
        <v>0.2464</v>
      </c>
      <c r="M131" s="42" t="n">
        <f aca="false">datos_base!$C$26*parametros_manuales!K$15</f>
        <v>0.231</v>
      </c>
      <c r="N131" s="42" t="n">
        <f aca="false">datos_base!$C$26*parametros_manuales!L$15</f>
        <v>0.2156</v>
      </c>
      <c r="O131" s="42" t="n">
        <f aca="false">datos_base!$C$26*parametros_manuales!M$15</f>
        <v>0.3388</v>
      </c>
      <c r="P131" s="9" t="n">
        <f aca="false">SUM(D131:O131)</f>
        <v>3.08</v>
      </c>
    </row>
    <row r="132" customFormat="false" ht="14.25" hidden="false" customHeight="true" outlineLevel="0" collapsed="false">
      <c r="B132" s="10" t="s">
        <v>196</v>
      </c>
      <c r="D132" s="11" t="n">
        <f aca="false">SUM(D124:D131)</f>
        <v>8.44</v>
      </c>
      <c r="E132" s="11" t="n">
        <f aca="false">SUM(E124:E131)</f>
        <v>6.752</v>
      </c>
      <c r="F132" s="11" t="n">
        <f aca="false">SUM(F124:F131)</f>
        <v>7.174</v>
      </c>
      <c r="G132" s="11" t="n">
        <f aca="false">SUM(G124:G131)</f>
        <v>7.174</v>
      </c>
      <c r="H132" s="11" t="n">
        <f aca="false">SUM(H124:H131)</f>
        <v>6.752</v>
      </c>
      <c r="I132" s="11" t="n">
        <f aca="false">SUM(I124:I131)</f>
        <v>6.33</v>
      </c>
      <c r="J132" s="11" t="n">
        <f aca="false">SUM(J124:J131)</f>
        <v>6.752</v>
      </c>
      <c r="K132" s="11" t="n">
        <f aca="false">SUM(K124:K131)</f>
        <v>6.752</v>
      </c>
      <c r="L132" s="11" t="n">
        <f aca="false">SUM(L124:L131)</f>
        <v>6.752</v>
      </c>
      <c r="M132" s="11" t="n">
        <f aca="false">SUM(M124:M131)</f>
        <v>6.33</v>
      </c>
      <c r="N132" s="11" t="n">
        <f aca="false">SUM(N124:N131)</f>
        <v>5.908</v>
      </c>
      <c r="O132" s="11" t="n">
        <f aca="false">SUM(O124:O131)</f>
        <v>9.284</v>
      </c>
      <c r="P132" s="11" t="n">
        <f aca="false">SUM(P124:P131)</f>
        <v>84.4</v>
      </c>
    </row>
    <row r="133" customFormat="false" ht="14.25" hidden="false" customHeight="true" outlineLevel="0" collapsed="false"/>
    <row r="134" customFormat="false" ht="14.25" hidden="false" customHeight="true" outlineLevel="0" collapsed="false">
      <c r="A134" s="7" t="n">
        <v>2028</v>
      </c>
      <c r="B134" s="7" t="s">
        <v>179</v>
      </c>
      <c r="C134" s="7" t="s">
        <v>180</v>
      </c>
      <c r="D134" s="7" t="s">
        <v>59</v>
      </c>
      <c r="E134" s="7" t="s">
        <v>60</v>
      </c>
      <c r="F134" s="7" t="s">
        <v>61</v>
      </c>
      <c r="G134" s="7" t="s">
        <v>62</v>
      </c>
      <c r="H134" s="7" t="s">
        <v>63</v>
      </c>
      <c r="I134" s="7" t="s">
        <v>64</v>
      </c>
      <c r="J134" s="7" t="s">
        <v>65</v>
      </c>
      <c r="K134" s="7" t="s">
        <v>66</v>
      </c>
      <c r="L134" s="7" t="s">
        <v>67</v>
      </c>
      <c r="M134" s="7" t="s">
        <v>68</v>
      </c>
      <c r="N134" s="7" t="s">
        <v>69</v>
      </c>
      <c r="O134" s="7" t="s">
        <v>70</v>
      </c>
      <c r="P134" s="7" t="s">
        <v>181</v>
      </c>
    </row>
    <row r="135" customFormat="false" ht="14.25" hidden="false" customHeight="true" outlineLevel="0" collapsed="false">
      <c r="A135" s="41" t="n">
        <v>2028</v>
      </c>
      <c r="B135" s="8" t="s">
        <v>186</v>
      </c>
      <c r="C135" s="8" t="s">
        <v>187</v>
      </c>
      <c r="D135" s="42" t="n">
        <f aca="false">datos_base!$D$18*parametros_manuales!B$12</f>
        <v>0</v>
      </c>
      <c r="E135" s="42" t="n">
        <f aca="false">datos_base!$D$18*parametros_manuales!C$12</f>
        <v>0</v>
      </c>
      <c r="F135" s="42" t="n">
        <f aca="false">datos_base!$D$18*parametros_manuales!D$12</f>
        <v>0</v>
      </c>
      <c r="G135" s="42" t="n">
        <f aca="false">datos_base!$D$18*parametros_manuales!E$12</f>
        <v>0</v>
      </c>
      <c r="H135" s="42" t="n">
        <f aca="false">datos_base!$D$18*parametros_manuales!F$12</f>
        <v>0</v>
      </c>
      <c r="I135" s="42" t="n">
        <f aca="false">datos_base!$D$18*parametros_manuales!G$12</f>
        <v>0</v>
      </c>
      <c r="J135" s="42" t="n">
        <f aca="false">datos_base!$D$18*parametros_manuales!H$12</f>
        <v>0</v>
      </c>
      <c r="K135" s="42" t="n">
        <f aca="false">datos_base!$D$18*parametros_manuales!I$12</f>
        <v>0</v>
      </c>
      <c r="L135" s="42" t="n">
        <f aca="false">datos_base!$D$18*parametros_manuales!J$12</f>
        <v>0</v>
      </c>
      <c r="M135" s="42" t="n">
        <f aca="false">datos_base!$D$18*parametros_manuales!K$12</f>
        <v>0</v>
      </c>
      <c r="N135" s="42" t="n">
        <f aca="false">datos_base!$D$18*parametros_manuales!L$12</f>
        <v>0</v>
      </c>
      <c r="O135" s="42" t="n">
        <f aca="false">datos_base!$D$18*parametros_manuales!M$12</f>
        <v>0</v>
      </c>
      <c r="P135" s="9" t="n">
        <f aca="false">SUM(D135:O135)</f>
        <v>0</v>
      </c>
    </row>
    <row r="136" customFormat="false" ht="14.25" hidden="false" customHeight="true" outlineLevel="0" collapsed="false">
      <c r="A136" s="41" t="n">
        <v>2028</v>
      </c>
      <c r="B136" s="8" t="s">
        <v>188</v>
      </c>
      <c r="C136" s="8" t="s">
        <v>187</v>
      </c>
      <c r="D136" s="42" t="n">
        <f aca="false">datos_base!$D$19*parametros_manuales!B$13</f>
        <v>0.64</v>
      </c>
      <c r="E136" s="42" t="n">
        <f aca="false">datos_base!$D$19*parametros_manuales!C$13</f>
        <v>0.512</v>
      </c>
      <c r="F136" s="42" t="n">
        <f aca="false">datos_base!$D$19*parametros_manuales!D$13</f>
        <v>0.544</v>
      </c>
      <c r="G136" s="42" t="n">
        <f aca="false">datos_base!$D$19*parametros_manuales!E$13</f>
        <v>0.544</v>
      </c>
      <c r="H136" s="42" t="n">
        <f aca="false">datos_base!$D$19*parametros_manuales!F$13</f>
        <v>0.512</v>
      </c>
      <c r="I136" s="42" t="n">
        <f aca="false">datos_base!$D$19*parametros_manuales!G$13</f>
        <v>0.48</v>
      </c>
      <c r="J136" s="42" t="n">
        <f aca="false">datos_base!$D$19*parametros_manuales!H$13</f>
        <v>0.512</v>
      </c>
      <c r="K136" s="42" t="n">
        <f aca="false">datos_base!$D$19*parametros_manuales!I$13</f>
        <v>0.512</v>
      </c>
      <c r="L136" s="42" t="n">
        <f aca="false">datos_base!$D$19*parametros_manuales!J$13</f>
        <v>0.512</v>
      </c>
      <c r="M136" s="42" t="n">
        <f aca="false">datos_base!$D$19*parametros_manuales!K$13</f>
        <v>0.48</v>
      </c>
      <c r="N136" s="42" t="n">
        <f aca="false">datos_base!$D$19*parametros_manuales!L$13</f>
        <v>0.448</v>
      </c>
      <c r="O136" s="42" t="n">
        <f aca="false">datos_base!$D$19*parametros_manuales!M$13</f>
        <v>0.704</v>
      </c>
      <c r="P136" s="9" t="n">
        <f aca="false">SUM(D136:O136)</f>
        <v>6.4</v>
      </c>
    </row>
    <row r="137" customFormat="false" ht="14.25" hidden="false" customHeight="true" outlineLevel="0" collapsed="false">
      <c r="A137" s="41" t="n">
        <v>2028</v>
      </c>
      <c r="B137" s="8" t="s">
        <v>189</v>
      </c>
      <c r="C137" s="8" t="s">
        <v>187</v>
      </c>
      <c r="D137" s="42" t="n">
        <f aca="false">datos_base!$D$20*parametros_manuales!B$14</f>
        <v>4.048</v>
      </c>
      <c r="E137" s="42" t="n">
        <f aca="false">datos_base!$D$20*parametros_manuales!C$14</f>
        <v>3.2384</v>
      </c>
      <c r="F137" s="42" t="n">
        <f aca="false">datos_base!$D$20*parametros_manuales!D$14</f>
        <v>3.4408</v>
      </c>
      <c r="G137" s="42" t="n">
        <f aca="false">datos_base!$D$20*parametros_manuales!E$14</f>
        <v>3.4408</v>
      </c>
      <c r="H137" s="42" t="n">
        <f aca="false">datos_base!$D$20*parametros_manuales!F$14</f>
        <v>3.2384</v>
      </c>
      <c r="I137" s="42" t="n">
        <f aca="false">datos_base!$D$20*parametros_manuales!G$14</f>
        <v>3.036</v>
      </c>
      <c r="J137" s="42" t="n">
        <f aca="false">datos_base!$D$20*parametros_manuales!H$14</f>
        <v>3.2384</v>
      </c>
      <c r="K137" s="42" t="n">
        <f aca="false">datos_base!$D$20*parametros_manuales!I$14</f>
        <v>3.2384</v>
      </c>
      <c r="L137" s="42" t="n">
        <f aca="false">datos_base!$D$20*parametros_manuales!J$14</f>
        <v>3.2384</v>
      </c>
      <c r="M137" s="42" t="n">
        <f aca="false">datos_base!$D$20*parametros_manuales!K$14</f>
        <v>3.036</v>
      </c>
      <c r="N137" s="42" t="n">
        <f aca="false">datos_base!$D$20*parametros_manuales!L$14</f>
        <v>2.8336</v>
      </c>
      <c r="O137" s="42" t="n">
        <f aca="false">datos_base!$D$20*parametros_manuales!M$14</f>
        <v>4.4528</v>
      </c>
      <c r="P137" s="9" t="n">
        <f aca="false">SUM(D137:O137)</f>
        <v>40.48</v>
      </c>
    </row>
    <row r="138" customFormat="false" ht="14.25" hidden="false" customHeight="true" outlineLevel="0" collapsed="false">
      <c r="A138" s="41" t="n">
        <v>2028</v>
      </c>
      <c r="B138" s="8" t="s">
        <v>190</v>
      </c>
      <c r="C138" s="8" t="s">
        <v>187</v>
      </c>
      <c r="D138" s="42" t="n">
        <f aca="false">datos_base!$D$21*parametros_manuales!B$15</f>
        <v>0.216</v>
      </c>
      <c r="E138" s="42" t="n">
        <f aca="false">datos_base!$D$21*parametros_manuales!C$15</f>
        <v>0.1728</v>
      </c>
      <c r="F138" s="42" t="n">
        <f aca="false">datos_base!$D$21*parametros_manuales!D$15</f>
        <v>0.1836</v>
      </c>
      <c r="G138" s="42" t="n">
        <f aca="false">datos_base!$D$21*parametros_manuales!E$15</f>
        <v>0.1836</v>
      </c>
      <c r="H138" s="42" t="n">
        <f aca="false">datos_base!$D$21*parametros_manuales!F$15</f>
        <v>0.1728</v>
      </c>
      <c r="I138" s="42" t="n">
        <f aca="false">datos_base!$D$21*parametros_manuales!G$15</f>
        <v>0.162</v>
      </c>
      <c r="J138" s="42" t="n">
        <f aca="false">datos_base!$D$21*parametros_manuales!H$15</f>
        <v>0.1728</v>
      </c>
      <c r="K138" s="42" t="n">
        <f aca="false">datos_base!$D$21*parametros_manuales!I$15</f>
        <v>0.1728</v>
      </c>
      <c r="L138" s="42" t="n">
        <f aca="false">datos_base!$D$21*parametros_manuales!J$15</f>
        <v>0.1728</v>
      </c>
      <c r="M138" s="42" t="n">
        <f aca="false">datos_base!$D$21*parametros_manuales!K$15</f>
        <v>0.162</v>
      </c>
      <c r="N138" s="42" t="n">
        <f aca="false">datos_base!$D$21*parametros_manuales!L$15</f>
        <v>0.1512</v>
      </c>
      <c r="O138" s="42" t="n">
        <f aca="false">datos_base!$D$21*parametros_manuales!M$15</f>
        <v>0.2376</v>
      </c>
      <c r="P138" s="9" t="n">
        <f aca="false">SUM(D138:O138)</f>
        <v>2.16</v>
      </c>
    </row>
    <row r="139" customFormat="false" ht="14.25" hidden="false" customHeight="true" outlineLevel="0" collapsed="false">
      <c r="A139" s="41" t="n">
        <v>2028</v>
      </c>
      <c r="B139" s="8" t="s">
        <v>191</v>
      </c>
      <c r="C139" s="8" t="s">
        <v>192</v>
      </c>
      <c r="D139" s="42" t="n">
        <f aca="false">datos_base!$D$23*parametros_manuales!B$12</f>
        <v>0</v>
      </c>
      <c r="E139" s="42" t="n">
        <f aca="false">datos_base!$D$23*parametros_manuales!C$12</f>
        <v>0</v>
      </c>
      <c r="F139" s="42" t="n">
        <f aca="false">datos_base!$D$23*parametros_manuales!D$12</f>
        <v>0</v>
      </c>
      <c r="G139" s="42" t="n">
        <f aca="false">datos_base!$D$23*parametros_manuales!E$12</f>
        <v>0</v>
      </c>
      <c r="H139" s="42" t="n">
        <f aca="false">datos_base!$D$23*parametros_manuales!F$12</f>
        <v>0</v>
      </c>
      <c r="I139" s="42" t="n">
        <f aca="false">datos_base!$D$23*parametros_manuales!G$12</f>
        <v>0</v>
      </c>
      <c r="J139" s="42" t="n">
        <f aca="false">datos_base!$D$23*parametros_manuales!H$12</f>
        <v>0</v>
      </c>
      <c r="K139" s="42" t="n">
        <f aca="false">datos_base!$D$23*parametros_manuales!I$12</f>
        <v>0</v>
      </c>
      <c r="L139" s="42" t="n">
        <f aca="false">datos_base!$D$23*parametros_manuales!J$12</f>
        <v>0</v>
      </c>
      <c r="M139" s="42" t="n">
        <f aca="false">datos_base!$D$23*parametros_manuales!K$12</f>
        <v>0</v>
      </c>
      <c r="N139" s="42" t="n">
        <f aca="false">datos_base!$D$23*parametros_manuales!L$12</f>
        <v>0</v>
      </c>
      <c r="O139" s="42" t="n">
        <f aca="false">datos_base!$D$23*parametros_manuales!M$12</f>
        <v>0</v>
      </c>
      <c r="P139" s="9" t="n">
        <f aca="false">SUM(D139:O139)</f>
        <v>0</v>
      </c>
    </row>
    <row r="140" customFormat="false" ht="14.25" hidden="false" customHeight="true" outlineLevel="0" collapsed="false">
      <c r="A140" s="41" t="n">
        <v>2028</v>
      </c>
      <c r="B140" s="8" t="s">
        <v>193</v>
      </c>
      <c r="C140" s="8" t="s">
        <v>192</v>
      </c>
      <c r="D140" s="42" t="n">
        <f aca="false">datos_base!$D$24*parametros_manuales!B$13</f>
        <v>1.18</v>
      </c>
      <c r="E140" s="42" t="n">
        <f aca="false">datos_base!$D$24*parametros_manuales!C$13</f>
        <v>0.944</v>
      </c>
      <c r="F140" s="42" t="n">
        <f aca="false">datos_base!$D$24*parametros_manuales!D$13</f>
        <v>1.003</v>
      </c>
      <c r="G140" s="42" t="n">
        <f aca="false">datos_base!$D$24*parametros_manuales!E$13</f>
        <v>1.003</v>
      </c>
      <c r="H140" s="42" t="n">
        <f aca="false">datos_base!$D$24*parametros_manuales!F$13</f>
        <v>0.944</v>
      </c>
      <c r="I140" s="42" t="n">
        <f aca="false">datos_base!$D$24*parametros_manuales!G$13</f>
        <v>0.885</v>
      </c>
      <c r="J140" s="42" t="n">
        <f aca="false">datos_base!$D$24*parametros_manuales!H$13</f>
        <v>0.944</v>
      </c>
      <c r="K140" s="42" t="n">
        <f aca="false">datos_base!$D$24*parametros_manuales!I$13</f>
        <v>0.944</v>
      </c>
      <c r="L140" s="42" t="n">
        <f aca="false">datos_base!$D$24*parametros_manuales!J$13</f>
        <v>0.944</v>
      </c>
      <c r="M140" s="42" t="n">
        <f aca="false">datos_base!$D$24*parametros_manuales!K$13</f>
        <v>0.885</v>
      </c>
      <c r="N140" s="42" t="n">
        <f aca="false">datos_base!$D$24*parametros_manuales!L$13</f>
        <v>0.826</v>
      </c>
      <c r="O140" s="42" t="n">
        <f aca="false">datos_base!$D$24*parametros_manuales!M$13</f>
        <v>1.298</v>
      </c>
      <c r="P140" s="9" t="n">
        <f aca="false">SUM(D140:O140)</f>
        <v>11.8</v>
      </c>
    </row>
    <row r="141" customFormat="false" ht="14.25" hidden="false" customHeight="true" outlineLevel="0" collapsed="false">
      <c r="A141" s="41" t="n">
        <v>2028</v>
      </c>
      <c r="B141" s="8" t="s">
        <v>194</v>
      </c>
      <c r="C141" s="8" t="s">
        <v>192</v>
      </c>
      <c r="D141" s="42" t="n">
        <f aca="false">datos_base!$D$25*parametros_manuales!B$14</f>
        <v>7.98</v>
      </c>
      <c r="E141" s="42" t="n">
        <f aca="false">datos_base!$D$25*parametros_manuales!C$14</f>
        <v>6.384</v>
      </c>
      <c r="F141" s="42" t="n">
        <f aca="false">datos_base!$D$25*parametros_manuales!D$14</f>
        <v>6.783</v>
      </c>
      <c r="G141" s="42" t="n">
        <f aca="false">datos_base!$D$25*parametros_manuales!E$14</f>
        <v>6.783</v>
      </c>
      <c r="H141" s="42" t="n">
        <f aca="false">datos_base!$D$25*parametros_manuales!F$14</f>
        <v>6.384</v>
      </c>
      <c r="I141" s="42" t="n">
        <f aca="false">datos_base!$D$25*parametros_manuales!G$14</f>
        <v>5.985</v>
      </c>
      <c r="J141" s="42" t="n">
        <f aca="false">datos_base!$D$25*parametros_manuales!H$14</f>
        <v>6.384</v>
      </c>
      <c r="K141" s="42" t="n">
        <f aca="false">datos_base!$D$25*parametros_manuales!I$14</f>
        <v>6.384</v>
      </c>
      <c r="L141" s="42" t="n">
        <f aca="false">datos_base!$D$25*parametros_manuales!J$14</f>
        <v>6.384</v>
      </c>
      <c r="M141" s="42" t="n">
        <f aca="false">datos_base!$D$25*parametros_manuales!K$14</f>
        <v>5.985</v>
      </c>
      <c r="N141" s="42" t="n">
        <f aca="false">datos_base!$D$25*parametros_manuales!L$14</f>
        <v>5.586</v>
      </c>
      <c r="O141" s="42" t="n">
        <f aca="false">datos_base!$D$25*parametros_manuales!M$14</f>
        <v>8.778</v>
      </c>
      <c r="P141" s="9" t="n">
        <f aca="false">SUM(D141:O141)</f>
        <v>79.8</v>
      </c>
    </row>
    <row r="142" customFormat="false" ht="14.25" hidden="false" customHeight="true" outlineLevel="0" collapsed="false">
      <c r="A142" s="41" t="n">
        <v>2028</v>
      </c>
      <c r="B142" s="8" t="s">
        <v>195</v>
      </c>
      <c r="C142" s="8" t="s">
        <v>192</v>
      </c>
      <c r="D142" s="42" t="n">
        <f aca="false">datos_base!$D$26*parametros_manuales!B$15</f>
        <v>0.432</v>
      </c>
      <c r="E142" s="42" t="n">
        <f aca="false">datos_base!$D$26*parametros_manuales!C$15</f>
        <v>0.3456</v>
      </c>
      <c r="F142" s="42" t="n">
        <f aca="false">datos_base!$D$26*parametros_manuales!D$15</f>
        <v>0.3672</v>
      </c>
      <c r="G142" s="42" t="n">
        <f aca="false">datos_base!$D$26*parametros_manuales!E$15</f>
        <v>0.3672</v>
      </c>
      <c r="H142" s="42" t="n">
        <f aca="false">datos_base!$D$26*parametros_manuales!F$15</f>
        <v>0.3456</v>
      </c>
      <c r="I142" s="42" t="n">
        <f aca="false">datos_base!$D$26*parametros_manuales!G$15</f>
        <v>0.324</v>
      </c>
      <c r="J142" s="42" t="n">
        <f aca="false">datos_base!$D$26*parametros_manuales!H$15</f>
        <v>0.3456</v>
      </c>
      <c r="K142" s="42" t="n">
        <f aca="false">datos_base!$D$26*parametros_manuales!I$15</f>
        <v>0.3456</v>
      </c>
      <c r="L142" s="42" t="n">
        <f aca="false">datos_base!$D$26*parametros_manuales!J$15</f>
        <v>0.3456</v>
      </c>
      <c r="M142" s="42" t="n">
        <f aca="false">datos_base!$D$26*parametros_manuales!K$15</f>
        <v>0.324</v>
      </c>
      <c r="N142" s="42" t="n">
        <f aca="false">datos_base!$D$26*parametros_manuales!L$15</f>
        <v>0.3024</v>
      </c>
      <c r="O142" s="42" t="n">
        <f aca="false">datos_base!$D$26*parametros_manuales!M$15</f>
        <v>0.4752</v>
      </c>
      <c r="P142" s="9" t="n">
        <f aca="false">SUM(D142:O142)</f>
        <v>4.32</v>
      </c>
    </row>
    <row r="143" customFormat="false" ht="14.25" hidden="false" customHeight="true" outlineLevel="0" collapsed="false">
      <c r="B143" s="10" t="s">
        <v>196</v>
      </c>
      <c r="D143" s="11" t="n">
        <f aca="false">SUM(D135:D142)</f>
        <v>14.496</v>
      </c>
      <c r="E143" s="11" t="n">
        <f aca="false">SUM(E135:E142)</f>
        <v>11.5968</v>
      </c>
      <c r="F143" s="11" t="n">
        <f aca="false">SUM(F135:F142)</f>
        <v>12.3216</v>
      </c>
      <c r="G143" s="11" t="n">
        <f aca="false">SUM(G135:G142)</f>
        <v>12.3216</v>
      </c>
      <c r="H143" s="11" t="n">
        <f aca="false">SUM(H135:H142)</f>
        <v>11.5968</v>
      </c>
      <c r="I143" s="11" t="n">
        <f aca="false">SUM(I135:I142)</f>
        <v>10.872</v>
      </c>
      <c r="J143" s="11" t="n">
        <f aca="false">SUM(J135:J142)</f>
        <v>11.5968</v>
      </c>
      <c r="K143" s="11" t="n">
        <f aca="false">SUM(K135:K142)</f>
        <v>11.5968</v>
      </c>
      <c r="L143" s="11" t="n">
        <f aca="false">SUM(L135:L142)</f>
        <v>11.5968</v>
      </c>
      <c r="M143" s="11" t="n">
        <f aca="false">SUM(M135:M142)</f>
        <v>10.872</v>
      </c>
      <c r="N143" s="11" t="n">
        <f aca="false">SUM(N135:N142)</f>
        <v>10.1472</v>
      </c>
      <c r="O143" s="11" t="n">
        <f aca="false">SUM(O135:O142)</f>
        <v>15.9456</v>
      </c>
      <c r="P143" s="11" t="n">
        <f aca="false">SUM(P135:P142)</f>
        <v>144.96</v>
      </c>
    </row>
    <row r="144" customFormat="false" ht="14.25" hidden="false" customHeight="true" outlineLevel="0" collapsed="false"/>
    <row r="145" customFormat="false" ht="14.25" hidden="false" customHeight="true" outlineLevel="0" collapsed="false">
      <c r="A145" s="7" t="n">
        <v>2029</v>
      </c>
      <c r="B145" s="7" t="s">
        <v>179</v>
      </c>
      <c r="C145" s="7" t="s">
        <v>180</v>
      </c>
      <c r="D145" s="7" t="s">
        <v>59</v>
      </c>
      <c r="E145" s="7" t="s">
        <v>60</v>
      </c>
      <c r="F145" s="7" t="s">
        <v>61</v>
      </c>
      <c r="G145" s="7" t="s">
        <v>62</v>
      </c>
      <c r="H145" s="7" t="s">
        <v>63</v>
      </c>
      <c r="I145" s="7" t="s">
        <v>64</v>
      </c>
      <c r="J145" s="7" t="s">
        <v>65</v>
      </c>
      <c r="K145" s="7" t="s">
        <v>66</v>
      </c>
      <c r="L145" s="7" t="s">
        <v>67</v>
      </c>
      <c r="M145" s="7" t="s">
        <v>68</v>
      </c>
      <c r="N145" s="7" t="s">
        <v>69</v>
      </c>
      <c r="O145" s="7" t="s">
        <v>70</v>
      </c>
      <c r="P145" s="7" t="s">
        <v>181</v>
      </c>
    </row>
    <row r="146" customFormat="false" ht="14.25" hidden="false" customHeight="true" outlineLevel="0" collapsed="false">
      <c r="A146" s="41" t="n">
        <v>2029</v>
      </c>
      <c r="B146" s="8" t="s">
        <v>186</v>
      </c>
      <c r="C146" s="8" t="s">
        <v>187</v>
      </c>
      <c r="D146" s="42" t="n">
        <f aca="false">datos_base!$E$18*parametros_manuales!B$12</f>
        <v>0</v>
      </c>
      <c r="E146" s="42" t="n">
        <f aca="false">datos_base!$E$18*parametros_manuales!C$12</f>
        <v>0</v>
      </c>
      <c r="F146" s="42" t="n">
        <f aca="false">datos_base!$E$18*parametros_manuales!D$12</f>
        <v>0</v>
      </c>
      <c r="G146" s="42" t="n">
        <f aca="false">datos_base!$E$18*parametros_manuales!E$12</f>
        <v>0</v>
      </c>
      <c r="H146" s="42" t="n">
        <f aca="false">datos_base!$E$18*parametros_manuales!F$12</f>
        <v>0</v>
      </c>
      <c r="I146" s="42" t="n">
        <f aca="false">datos_base!$E$18*parametros_manuales!G$12</f>
        <v>0</v>
      </c>
      <c r="J146" s="42" t="n">
        <f aca="false">datos_base!$E$18*parametros_manuales!H$12</f>
        <v>0</v>
      </c>
      <c r="K146" s="42" t="n">
        <f aca="false">datos_base!$E$18*parametros_manuales!I$12</f>
        <v>0</v>
      </c>
      <c r="L146" s="42" t="n">
        <f aca="false">datos_base!$E$18*parametros_manuales!J$12</f>
        <v>0</v>
      </c>
      <c r="M146" s="42" t="n">
        <f aca="false">datos_base!$E$18*parametros_manuales!K$12</f>
        <v>0</v>
      </c>
      <c r="N146" s="42" t="n">
        <f aca="false">datos_base!$E$18*parametros_manuales!L$12</f>
        <v>0</v>
      </c>
      <c r="O146" s="42" t="n">
        <f aca="false">datos_base!$E$18*parametros_manuales!M$12</f>
        <v>0</v>
      </c>
      <c r="P146" s="9" t="n">
        <f aca="false">SUM(D146:O146)</f>
        <v>0</v>
      </c>
    </row>
    <row r="147" customFormat="false" ht="14.25" hidden="false" customHeight="true" outlineLevel="0" collapsed="false">
      <c r="A147" s="41" t="n">
        <v>2029</v>
      </c>
      <c r="B147" s="8" t="s">
        <v>188</v>
      </c>
      <c r="C147" s="8" t="s">
        <v>187</v>
      </c>
      <c r="D147" s="42" t="n">
        <f aca="false">datos_base!$E$19*parametros_manuales!B$13</f>
        <v>0.988</v>
      </c>
      <c r="E147" s="42" t="n">
        <f aca="false">datos_base!$E$19*parametros_manuales!C$13</f>
        <v>0.7904</v>
      </c>
      <c r="F147" s="42" t="n">
        <f aca="false">datos_base!$E$19*parametros_manuales!D$13</f>
        <v>0.8398</v>
      </c>
      <c r="G147" s="42" t="n">
        <f aca="false">datos_base!$E$19*parametros_manuales!E$13</f>
        <v>0.8398</v>
      </c>
      <c r="H147" s="42" t="n">
        <f aca="false">datos_base!$E$19*parametros_manuales!F$13</f>
        <v>0.7904</v>
      </c>
      <c r="I147" s="42" t="n">
        <f aca="false">datos_base!$E$19*parametros_manuales!G$13</f>
        <v>0.741</v>
      </c>
      <c r="J147" s="42" t="n">
        <f aca="false">datos_base!$E$19*parametros_manuales!H$13</f>
        <v>0.7904</v>
      </c>
      <c r="K147" s="42" t="n">
        <f aca="false">datos_base!$E$19*parametros_manuales!I$13</f>
        <v>0.7904</v>
      </c>
      <c r="L147" s="42" t="n">
        <f aca="false">datos_base!$E$19*parametros_manuales!J$13</f>
        <v>0.7904</v>
      </c>
      <c r="M147" s="42" t="n">
        <f aca="false">datos_base!$E$19*parametros_manuales!K$13</f>
        <v>0.741</v>
      </c>
      <c r="N147" s="42" t="n">
        <f aca="false">datos_base!$E$19*parametros_manuales!L$13</f>
        <v>0.6916</v>
      </c>
      <c r="O147" s="42" t="n">
        <f aca="false">datos_base!$E$19*parametros_manuales!M$13</f>
        <v>1.0868</v>
      </c>
      <c r="P147" s="9" t="n">
        <f aca="false">SUM(D147:O147)</f>
        <v>9.88</v>
      </c>
    </row>
    <row r="148" customFormat="false" ht="14.25" hidden="false" customHeight="true" outlineLevel="0" collapsed="false">
      <c r="A148" s="41" t="n">
        <v>2029</v>
      </c>
      <c r="B148" s="8" t="s">
        <v>189</v>
      </c>
      <c r="C148" s="8" t="s">
        <v>187</v>
      </c>
      <c r="D148" s="42" t="n">
        <f aca="false">datos_base!$E$20*parametros_manuales!B$14</f>
        <v>6.652</v>
      </c>
      <c r="E148" s="42" t="n">
        <f aca="false">datos_base!$E$20*parametros_manuales!C$14</f>
        <v>5.3216</v>
      </c>
      <c r="F148" s="42" t="n">
        <f aca="false">datos_base!$E$20*parametros_manuales!D$14</f>
        <v>5.6542</v>
      </c>
      <c r="G148" s="42" t="n">
        <f aca="false">datos_base!$E$20*parametros_manuales!E$14</f>
        <v>5.6542</v>
      </c>
      <c r="H148" s="42" t="n">
        <f aca="false">datos_base!$E$20*parametros_manuales!F$14</f>
        <v>5.3216</v>
      </c>
      <c r="I148" s="42" t="n">
        <f aca="false">datos_base!$E$20*parametros_manuales!G$14</f>
        <v>4.989</v>
      </c>
      <c r="J148" s="42" t="n">
        <f aca="false">datos_base!$E$20*parametros_manuales!H$14</f>
        <v>5.3216</v>
      </c>
      <c r="K148" s="42" t="n">
        <f aca="false">datos_base!$E$20*parametros_manuales!I$14</f>
        <v>5.3216</v>
      </c>
      <c r="L148" s="42" t="n">
        <f aca="false">datos_base!$E$20*parametros_manuales!J$14</f>
        <v>5.3216</v>
      </c>
      <c r="M148" s="42" t="n">
        <f aca="false">datos_base!$E$20*parametros_manuales!K$14</f>
        <v>4.989</v>
      </c>
      <c r="N148" s="42" t="n">
        <f aca="false">datos_base!$E$20*parametros_manuales!L$14</f>
        <v>4.6564</v>
      </c>
      <c r="O148" s="42" t="n">
        <f aca="false">datos_base!$E$20*parametros_manuales!M$14</f>
        <v>7.3172</v>
      </c>
      <c r="P148" s="9" t="n">
        <f aca="false">SUM(D148:O148)</f>
        <v>66.52</v>
      </c>
    </row>
    <row r="149" customFormat="false" ht="14.25" hidden="false" customHeight="true" outlineLevel="0" collapsed="false">
      <c r="A149" s="41" t="n">
        <v>2029</v>
      </c>
      <c r="B149" s="8" t="s">
        <v>190</v>
      </c>
      <c r="C149" s="8" t="s">
        <v>187</v>
      </c>
      <c r="D149" s="42" t="n">
        <f aca="false">datos_base!$E$21*parametros_manuales!B$15</f>
        <v>0.432</v>
      </c>
      <c r="E149" s="42" t="n">
        <f aca="false">datos_base!$E$21*parametros_manuales!C$15</f>
        <v>0.3456</v>
      </c>
      <c r="F149" s="42" t="n">
        <f aca="false">datos_base!$E$21*parametros_manuales!D$15</f>
        <v>0.3672</v>
      </c>
      <c r="G149" s="42" t="n">
        <f aca="false">datos_base!$E$21*parametros_manuales!E$15</f>
        <v>0.3672</v>
      </c>
      <c r="H149" s="42" t="n">
        <f aca="false">datos_base!$E$21*parametros_manuales!F$15</f>
        <v>0.3456</v>
      </c>
      <c r="I149" s="42" t="n">
        <f aca="false">datos_base!$E$21*parametros_manuales!G$15</f>
        <v>0.324</v>
      </c>
      <c r="J149" s="42" t="n">
        <f aca="false">datos_base!$E$21*parametros_manuales!H$15</f>
        <v>0.3456</v>
      </c>
      <c r="K149" s="42" t="n">
        <f aca="false">datos_base!$E$21*parametros_manuales!I$15</f>
        <v>0.3456</v>
      </c>
      <c r="L149" s="42" t="n">
        <f aca="false">datos_base!$E$21*parametros_manuales!J$15</f>
        <v>0.3456</v>
      </c>
      <c r="M149" s="42" t="n">
        <f aca="false">datos_base!$E$21*parametros_manuales!K$15</f>
        <v>0.324</v>
      </c>
      <c r="N149" s="42" t="n">
        <f aca="false">datos_base!$E$21*parametros_manuales!L$15</f>
        <v>0.3024</v>
      </c>
      <c r="O149" s="42" t="n">
        <f aca="false">datos_base!$E$21*parametros_manuales!M$15</f>
        <v>0.4752</v>
      </c>
      <c r="P149" s="9" t="n">
        <f aca="false">SUM(D149:O149)</f>
        <v>4.32</v>
      </c>
    </row>
    <row r="150" customFormat="false" ht="14.25" hidden="false" customHeight="true" outlineLevel="0" collapsed="false">
      <c r="A150" s="41" t="n">
        <v>2029</v>
      </c>
      <c r="B150" s="8" t="s">
        <v>191</v>
      </c>
      <c r="C150" s="8" t="s">
        <v>192</v>
      </c>
      <c r="D150" s="42" t="n">
        <f aca="false">datos_base!$E$23*parametros_manuales!B$12</f>
        <v>0</v>
      </c>
      <c r="E150" s="42" t="n">
        <f aca="false">datos_base!$E$23*parametros_manuales!C$12</f>
        <v>0</v>
      </c>
      <c r="F150" s="42" t="n">
        <f aca="false">datos_base!$E$23*parametros_manuales!D$12</f>
        <v>0</v>
      </c>
      <c r="G150" s="42" t="n">
        <f aca="false">datos_base!$E$23*parametros_manuales!E$12</f>
        <v>0</v>
      </c>
      <c r="H150" s="42" t="n">
        <f aca="false">datos_base!$E$23*parametros_manuales!F$12</f>
        <v>0</v>
      </c>
      <c r="I150" s="42" t="n">
        <f aca="false">datos_base!$E$23*parametros_manuales!G$12</f>
        <v>0</v>
      </c>
      <c r="J150" s="42" t="n">
        <f aca="false">datos_base!$E$23*parametros_manuales!H$12</f>
        <v>0</v>
      </c>
      <c r="K150" s="42" t="n">
        <f aca="false">datos_base!$E$23*parametros_manuales!I$12</f>
        <v>0</v>
      </c>
      <c r="L150" s="42" t="n">
        <f aca="false">datos_base!$E$23*parametros_manuales!J$12</f>
        <v>0</v>
      </c>
      <c r="M150" s="42" t="n">
        <f aca="false">datos_base!$E$23*parametros_manuales!K$12</f>
        <v>0</v>
      </c>
      <c r="N150" s="42" t="n">
        <f aca="false">datos_base!$E$23*parametros_manuales!L$12</f>
        <v>0</v>
      </c>
      <c r="O150" s="42" t="n">
        <f aca="false">datos_base!$E$23*parametros_manuales!M$12</f>
        <v>0</v>
      </c>
      <c r="P150" s="9" t="n">
        <f aca="false">SUM(D150:O150)</f>
        <v>0</v>
      </c>
    </row>
    <row r="151" customFormat="false" ht="14.25" hidden="false" customHeight="true" outlineLevel="0" collapsed="false">
      <c r="A151" s="41" t="n">
        <v>2029</v>
      </c>
      <c r="B151" s="8" t="s">
        <v>193</v>
      </c>
      <c r="C151" s="8" t="s">
        <v>192</v>
      </c>
      <c r="D151" s="42" t="n">
        <f aca="false">datos_base!$E$24*parametros_manuales!B$13</f>
        <v>1.968</v>
      </c>
      <c r="E151" s="42" t="n">
        <f aca="false">datos_base!$E$24*parametros_manuales!C$13</f>
        <v>1.5744</v>
      </c>
      <c r="F151" s="42" t="n">
        <f aca="false">datos_base!$E$24*parametros_manuales!D$13</f>
        <v>1.6728</v>
      </c>
      <c r="G151" s="42" t="n">
        <f aca="false">datos_base!$E$24*parametros_manuales!E$13</f>
        <v>1.6728</v>
      </c>
      <c r="H151" s="42" t="n">
        <f aca="false">datos_base!$E$24*parametros_manuales!F$13</f>
        <v>1.5744</v>
      </c>
      <c r="I151" s="42" t="n">
        <f aca="false">datos_base!$E$24*parametros_manuales!G$13</f>
        <v>1.476</v>
      </c>
      <c r="J151" s="42" t="n">
        <f aca="false">datos_base!$E$24*parametros_manuales!H$13</f>
        <v>1.5744</v>
      </c>
      <c r="K151" s="42" t="n">
        <f aca="false">datos_base!$E$24*parametros_manuales!I$13</f>
        <v>1.5744</v>
      </c>
      <c r="L151" s="42" t="n">
        <f aca="false">datos_base!$E$24*parametros_manuales!J$13</f>
        <v>1.5744</v>
      </c>
      <c r="M151" s="42" t="n">
        <f aca="false">datos_base!$E$24*parametros_manuales!K$13</f>
        <v>1.476</v>
      </c>
      <c r="N151" s="42" t="n">
        <f aca="false">datos_base!$E$24*parametros_manuales!L$13</f>
        <v>1.3776</v>
      </c>
      <c r="O151" s="42" t="n">
        <f aca="false">datos_base!$E$24*parametros_manuales!M$13</f>
        <v>2.1648</v>
      </c>
      <c r="P151" s="9" t="n">
        <f aca="false">SUM(D151:O151)</f>
        <v>19.68</v>
      </c>
    </row>
    <row r="152" customFormat="false" ht="14.25" hidden="false" customHeight="true" outlineLevel="0" collapsed="false">
      <c r="A152" s="41" t="n">
        <v>2029</v>
      </c>
      <c r="B152" s="8" t="s">
        <v>194</v>
      </c>
      <c r="C152" s="8" t="s">
        <v>192</v>
      </c>
      <c r="D152" s="42" t="n">
        <f aca="false">datos_base!$E$25*parametros_manuales!B$14</f>
        <v>12.98</v>
      </c>
      <c r="E152" s="42" t="n">
        <f aca="false">datos_base!$E$25*parametros_manuales!C$14</f>
        <v>10.384</v>
      </c>
      <c r="F152" s="42" t="n">
        <f aca="false">datos_base!$E$25*parametros_manuales!D$14</f>
        <v>11.033</v>
      </c>
      <c r="G152" s="42" t="n">
        <f aca="false">datos_base!$E$25*parametros_manuales!E$14</f>
        <v>11.033</v>
      </c>
      <c r="H152" s="42" t="n">
        <f aca="false">datos_base!$E$25*parametros_manuales!F$14</f>
        <v>10.384</v>
      </c>
      <c r="I152" s="42" t="n">
        <f aca="false">datos_base!$E$25*parametros_manuales!G$14</f>
        <v>9.735</v>
      </c>
      <c r="J152" s="42" t="n">
        <f aca="false">datos_base!$E$25*parametros_manuales!H$14</f>
        <v>10.384</v>
      </c>
      <c r="K152" s="42" t="n">
        <f aca="false">datos_base!$E$25*parametros_manuales!I$14</f>
        <v>10.384</v>
      </c>
      <c r="L152" s="42" t="n">
        <f aca="false">datos_base!$E$25*parametros_manuales!J$14</f>
        <v>10.384</v>
      </c>
      <c r="M152" s="42" t="n">
        <f aca="false">datos_base!$E$25*parametros_manuales!K$14</f>
        <v>9.735</v>
      </c>
      <c r="N152" s="42" t="n">
        <f aca="false">datos_base!$E$25*parametros_manuales!L$14</f>
        <v>9.086</v>
      </c>
      <c r="O152" s="42" t="n">
        <f aca="false">datos_base!$E$25*parametros_manuales!M$14</f>
        <v>14.278</v>
      </c>
      <c r="P152" s="9" t="n">
        <f aca="false">SUM(D152:O152)</f>
        <v>129.8</v>
      </c>
    </row>
    <row r="153" customFormat="false" ht="14.25" hidden="false" customHeight="true" outlineLevel="0" collapsed="false">
      <c r="A153" s="41" t="n">
        <v>2029</v>
      </c>
      <c r="B153" s="8" t="s">
        <v>195</v>
      </c>
      <c r="C153" s="8" t="s">
        <v>192</v>
      </c>
      <c r="D153" s="42" t="n">
        <f aca="false">datos_base!$E$26*parametros_manuales!B$15</f>
        <v>0.764</v>
      </c>
      <c r="E153" s="42" t="n">
        <f aca="false">datos_base!$E$26*parametros_manuales!C$15</f>
        <v>0.6112</v>
      </c>
      <c r="F153" s="42" t="n">
        <f aca="false">datos_base!$E$26*parametros_manuales!D$15</f>
        <v>0.6494</v>
      </c>
      <c r="G153" s="42" t="n">
        <f aca="false">datos_base!$E$26*parametros_manuales!E$15</f>
        <v>0.6494</v>
      </c>
      <c r="H153" s="42" t="n">
        <f aca="false">datos_base!$E$26*parametros_manuales!F$15</f>
        <v>0.6112</v>
      </c>
      <c r="I153" s="42" t="n">
        <f aca="false">datos_base!$E$26*parametros_manuales!G$15</f>
        <v>0.573</v>
      </c>
      <c r="J153" s="42" t="n">
        <f aca="false">datos_base!$E$26*parametros_manuales!H$15</f>
        <v>0.6112</v>
      </c>
      <c r="K153" s="42" t="n">
        <f aca="false">datos_base!$E$26*parametros_manuales!I$15</f>
        <v>0.6112</v>
      </c>
      <c r="L153" s="42" t="n">
        <f aca="false">datos_base!$E$26*parametros_manuales!J$15</f>
        <v>0.6112</v>
      </c>
      <c r="M153" s="42" t="n">
        <f aca="false">datos_base!$E$26*parametros_manuales!K$15</f>
        <v>0.573</v>
      </c>
      <c r="N153" s="42" t="n">
        <f aca="false">datos_base!$E$26*parametros_manuales!L$15</f>
        <v>0.5348</v>
      </c>
      <c r="O153" s="42" t="n">
        <f aca="false">datos_base!$E$26*parametros_manuales!M$15</f>
        <v>0.8404</v>
      </c>
      <c r="P153" s="9" t="n">
        <f aca="false">SUM(D153:O153)</f>
        <v>7.64</v>
      </c>
    </row>
    <row r="154" customFormat="false" ht="14.25" hidden="false" customHeight="true" outlineLevel="0" collapsed="false">
      <c r="B154" s="10" t="s">
        <v>196</v>
      </c>
      <c r="D154" s="11" t="n">
        <f aca="false">SUM(D146:D153)</f>
        <v>23.784</v>
      </c>
      <c r="E154" s="11" t="n">
        <f aca="false">SUM(E146:E153)</f>
        <v>19.0272</v>
      </c>
      <c r="F154" s="11" t="n">
        <f aca="false">SUM(F146:F153)</f>
        <v>20.2164</v>
      </c>
      <c r="G154" s="11" t="n">
        <f aca="false">SUM(G146:G153)</f>
        <v>20.2164</v>
      </c>
      <c r="H154" s="11" t="n">
        <f aca="false">SUM(H146:H153)</f>
        <v>19.0272</v>
      </c>
      <c r="I154" s="11" t="n">
        <f aca="false">SUM(I146:I153)</f>
        <v>17.838</v>
      </c>
      <c r="J154" s="11" t="n">
        <f aca="false">SUM(J146:J153)</f>
        <v>19.0272</v>
      </c>
      <c r="K154" s="11" t="n">
        <f aca="false">SUM(K146:K153)</f>
        <v>19.0272</v>
      </c>
      <c r="L154" s="11" t="n">
        <f aca="false">SUM(L146:L153)</f>
        <v>19.0272</v>
      </c>
      <c r="M154" s="11" t="n">
        <f aca="false">SUM(M146:M153)</f>
        <v>17.838</v>
      </c>
      <c r="N154" s="11" t="n">
        <f aca="false">SUM(N146:N153)</f>
        <v>16.6488</v>
      </c>
      <c r="O154" s="11" t="n">
        <f aca="false">SUM(O146:O153)</f>
        <v>26.1624</v>
      </c>
      <c r="P154" s="11" t="n">
        <f aca="false">SUM(P146:P153)</f>
        <v>237.84</v>
      </c>
    </row>
    <row r="155" customFormat="false" ht="14.25" hidden="false" customHeight="true" outlineLevel="0" collapsed="false"/>
    <row r="156" customFormat="false" ht="14.25" hidden="false" customHeight="true" outlineLevel="0" collapsed="false">
      <c r="A156" s="7" t="n">
        <v>2030</v>
      </c>
      <c r="B156" s="7" t="s">
        <v>179</v>
      </c>
      <c r="C156" s="7" t="s">
        <v>180</v>
      </c>
      <c r="D156" s="7" t="s">
        <v>59</v>
      </c>
      <c r="E156" s="7" t="s">
        <v>60</v>
      </c>
      <c r="F156" s="7" t="s">
        <v>61</v>
      </c>
      <c r="G156" s="7" t="s">
        <v>62</v>
      </c>
      <c r="H156" s="7" t="s">
        <v>63</v>
      </c>
      <c r="I156" s="7" t="s">
        <v>64</v>
      </c>
      <c r="J156" s="7" t="s">
        <v>65</v>
      </c>
      <c r="K156" s="7" t="s">
        <v>66</v>
      </c>
      <c r="L156" s="7" t="s">
        <v>67</v>
      </c>
      <c r="M156" s="7" t="s">
        <v>68</v>
      </c>
      <c r="N156" s="7" t="s">
        <v>69</v>
      </c>
      <c r="O156" s="7" t="s">
        <v>70</v>
      </c>
      <c r="P156" s="7" t="s">
        <v>181</v>
      </c>
    </row>
    <row r="157" customFormat="false" ht="14.25" hidden="false" customHeight="true" outlineLevel="0" collapsed="false">
      <c r="A157" s="41" t="n">
        <v>2030</v>
      </c>
      <c r="B157" s="8" t="s">
        <v>186</v>
      </c>
      <c r="C157" s="8" t="s">
        <v>187</v>
      </c>
      <c r="D157" s="42" t="n">
        <f aca="false">datos_base!$F$18*parametros_manuales!B$12</f>
        <v>0</v>
      </c>
      <c r="E157" s="42" t="n">
        <f aca="false">datos_base!$F$18*parametros_manuales!C$12</f>
        <v>0</v>
      </c>
      <c r="F157" s="42" t="n">
        <f aca="false">datos_base!$F$18*parametros_manuales!D$12</f>
        <v>0</v>
      </c>
      <c r="G157" s="42" t="n">
        <f aca="false">datos_base!$F$18*parametros_manuales!E$12</f>
        <v>0</v>
      </c>
      <c r="H157" s="42" t="n">
        <f aca="false">datos_base!$F$18*parametros_manuales!F$12</f>
        <v>0</v>
      </c>
      <c r="I157" s="42" t="n">
        <f aca="false">datos_base!$F$18*parametros_manuales!G$12</f>
        <v>0</v>
      </c>
      <c r="J157" s="42" t="n">
        <f aca="false">datos_base!$F$18*parametros_manuales!H$12</f>
        <v>0</v>
      </c>
      <c r="K157" s="42" t="n">
        <f aca="false">datos_base!$F$18*parametros_manuales!I$12</f>
        <v>0</v>
      </c>
      <c r="L157" s="42" t="n">
        <f aca="false">datos_base!$F$18*parametros_manuales!J$12</f>
        <v>0</v>
      </c>
      <c r="M157" s="42" t="n">
        <f aca="false">datos_base!$F$18*parametros_manuales!K$12</f>
        <v>0</v>
      </c>
      <c r="N157" s="42" t="n">
        <f aca="false">datos_base!$F$18*parametros_manuales!L$12</f>
        <v>0</v>
      </c>
      <c r="O157" s="42" t="n">
        <f aca="false">datos_base!$F$18*parametros_manuales!M$12</f>
        <v>0</v>
      </c>
      <c r="P157" s="9" t="n">
        <f aca="false">SUM(D157:O157)</f>
        <v>0</v>
      </c>
    </row>
    <row r="158" customFormat="false" ht="14.25" hidden="false" customHeight="true" outlineLevel="0" collapsed="false">
      <c r="A158" s="41" t="n">
        <v>2030</v>
      </c>
      <c r="B158" s="8" t="s">
        <v>188</v>
      </c>
      <c r="C158" s="8" t="s">
        <v>187</v>
      </c>
      <c r="D158" s="42" t="n">
        <f aca="false">datos_base!$F$19*parametros_manuales!B$13</f>
        <v>1.06</v>
      </c>
      <c r="E158" s="42" t="n">
        <f aca="false">datos_base!$F$19*parametros_manuales!C$13</f>
        <v>0.848</v>
      </c>
      <c r="F158" s="42" t="n">
        <f aca="false">datos_base!$F$19*parametros_manuales!D$13</f>
        <v>0.901</v>
      </c>
      <c r="G158" s="42" t="n">
        <f aca="false">datos_base!$F$19*parametros_manuales!E$13</f>
        <v>0.901</v>
      </c>
      <c r="H158" s="42" t="n">
        <f aca="false">datos_base!$F$19*parametros_manuales!F$13</f>
        <v>0.848</v>
      </c>
      <c r="I158" s="42" t="n">
        <f aca="false">datos_base!$F$19*parametros_manuales!G$13</f>
        <v>0.795</v>
      </c>
      <c r="J158" s="42" t="n">
        <f aca="false">datos_base!$F$19*parametros_manuales!H$13</f>
        <v>0.848</v>
      </c>
      <c r="K158" s="42" t="n">
        <f aca="false">datos_base!$F$19*parametros_manuales!I$13</f>
        <v>0.848</v>
      </c>
      <c r="L158" s="42" t="n">
        <f aca="false">datos_base!$F$19*parametros_manuales!J$13</f>
        <v>0.848</v>
      </c>
      <c r="M158" s="42" t="n">
        <f aca="false">datos_base!$F$19*parametros_manuales!K$13</f>
        <v>0.795</v>
      </c>
      <c r="N158" s="42" t="n">
        <f aca="false">datos_base!$F$19*parametros_manuales!L$13</f>
        <v>0.742</v>
      </c>
      <c r="O158" s="42" t="n">
        <f aca="false">datos_base!$F$19*parametros_manuales!M$13</f>
        <v>1.166</v>
      </c>
      <c r="P158" s="9" t="n">
        <f aca="false">SUM(D158:O158)</f>
        <v>10.6</v>
      </c>
    </row>
    <row r="159" customFormat="false" ht="14.25" hidden="false" customHeight="true" outlineLevel="0" collapsed="false">
      <c r="A159" s="41" t="n">
        <v>2030</v>
      </c>
      <c r="B159" s="8" t="s">
        <v>189</v>
      </c>
      <c r="C159" s="8" t="s">
        <v>187</v>
      </c>
      <c r="D159" s="42" t="n">
        <f aca="false">datos_base!$F$20*parametros_manuales!B$14</f>
        <v>6.84</v>
      </c>
      <c r="E159" s="42" t="n">
        <f aca="false">datos_base!$F$20*parametros_manuales!C$14</f>
        <v>5.472</v>
      </c>
      <c r="F159" s="42" t="n">
        <f aca="false">datos_base!$F$20*parametros_manuales!D$14</f>
        <v>5.814</v>
      </c>
      <c r="G159" s="42" t="n">
        <f aca="false">datos_base!$F$20*parametros_manuales!E$14</f>
        <v>5.814</v>
      </c>
      <c r="H159" s="42" t="n">
        <f aca="false">datos_base!$F$20*parametros_manuales!F$14</f>
        <v>5.472</v>
      </c>
      <c r="I159" s="42" t="n">
        <f aca="false">datos_base!$F$20*parametros_manuales!G$14</f>
        <v>5.13</v>
      </c>
      <c r="J159" s="42" t="n">
        <f aca="false">datos_base!$F$20*parametros_manuales!H$14</f>
        <v>5.472</v>
      </c>
      <c r="K159" s="42" t="n">
        <f aca="false">datos_base!$F$20*parametros_manuales!I$14</f>
        <v>5.472</v>
      </c>
      <c r="L159" s="42" t="n">
        <f aca="false">datos_base!$F$20*parametros_manuales!J$14</f>
        <v>5.472</v>
      </c>
      <c r="M159" s="42" t="n">
        <f aca="false">datos_base!$F$20*parametros_manuales!K$14</f>
        <v>5.13</v>
      </c>
      <c r="N159" s="42" t="n">
        <f aca="false">datos_base!$F$20*parametros_manuales!L$14</f>
        <v>4.788</v>
      </c>
      <c r="O159" s="42" t="n">
        <f aca="false">datos_base!$F$20*parametros_manuales!M$14</f>
        <v>7.524</v>
      </c>
      <c r="P159" s="9" t="n">
        <f aca="false">SUM(D159:O159)</f>
        <v>68.4</v>
      </c>
    </row>
    <row r="160" customFormat="false" ht="14.25" hidden="false" customHeight="true" outlineLevel="0" collapsed="false">
      <c r="A160" s="41" t="n">
        <v>2030</v>
      </c>
      <c r="B160" s="8" t="s">
        <v>190</v>
      </c>
      <c r="C160" s="8" t="s">
        <v>187</v>
      </c>
      <c r="D160" s="42" t="n">
        <f aca="false">datos_base!$F$21*parametros_manuales!B$15</f>
        <v>0.364</v>
      </c>
      <c r="E160" s="42" t="n">
        <f aca="false">datos_base!$F$21*parametros_manuales!C$15</f>
        <v>0.2912</v>
      </c>
      <c r="F160" s="42" t="n">
        <f aca="false">datos_base!$F$21*parametros_manuales!D$15</f>
        <v>0.3094</v>
      </c>
      <c r="G160" s="42" t="n">
        <f aca="false">datos_base!$F$21*parametros_manuales!E$15</f>
        <v>0.3094</v>
      </c>
      <c r="H160" s="42" t="n">
        <f aca="false">datos_base!$F$21*parametros_manuales!F$15</f>
        <v>0.2912</v>
      </c>
      <c r="I160" s="42" t="n">
        <f aca="false">datos_base!$F$21*parametros_manuales!G$15</f>
        <v>0.273</v>
      </c>
      <c r="J160" s="42" t="n">
        <f aca="false">datos_base!$F$21*parametros_manuales!H$15</f>
        <v>0.2912</v>
      </c>
      <c r="K160" s="42" t="n">
        <f aca="false">datos_base!$F$21*parametros_manuales!I$15</f>
        <v>0.2912</v>
      </c>
      <c r="L160" s="42" t="n">
        <f aca="false">datos_base!$F$21*parametros_manuales!J$15</f>
        <v>0.2912</v>
      </c>
      <c r="M160" s="42" t="n">
        <f aca="false">datos_base!$F$21*parametros_manuales!K$15</f>
        <v>0.273</v>
      </c>
      <c r="N160" s="42" t="n">
        <f aca="false">datos_base!$F$21*parametros_manuales!L$15</f>
        <v>0.2548</v>
      </c>
      <c r="O160" s="42" t="n">
        <f aca="false">datos_base!$F$21*parametros_manuales!M$15</f>
        <v>0.4004</v>
      </c>
      <c r="P160" s="9" t="n">
        <f aca="false">SUM(D160:O160)</f>
        <v>3.64</v>
      </c>
    </row>
    <row r="161" customFormat="false" ht="14.25" hidden="false" customHeight="true" outlineLevel="0" collapsed="false">
      <c r="A161" s="41" t="n">
        <v>2030</v>
      </c>
      <c r="B161" s="8" t="s">
        <v>191</v>
      </c>
      <c r="C161" s="8" t="s">
        <v>192</v>
      </c>
      <c r="D161" s="42" t="n">
        <f aca="false">datos_base!$F$23*parametros_manuales!B$12</f>
        <v>0</v>
      </c>
      <c r="E161" s="42" t="n">
        <f aca="false">datos_base!$F$23*parametros_manuales!C$12</f>
        <v>0</v>
      </c>
      <c r="F161" s="42" t="n">
        <f aca="false">datos_base!$F$23*parametros_manuales!D$12</f>
        <v>0</v>
      </c>
      <c r="G161" s="42" t="n">
        <f aca="false">datos_base!$F$23*parametros_manuales!E$12</f>
        <v>0</v>
      </c>
      <c r="H161" s="42" t="n">
        <f aca="false">datos_base!$F$23*parametros_manuales!F$12</f>
        <v>0</v>
      </c>
      <c r="I161" s="42" t="n">
        <f aca="false">datos_base!$F$23*parametros_manuales!G$12</f>
        <v>0</v>
      </c>
      <c r="J161" s="42" t="n">
        <f aca="false">datos_base!$F$23*parametros_manuales!H$12</f>
        <v>0</v>
      </c>
      <c r="K161" s="42" t="n">
        <f aca="false">datos_base!$F$23*parametros_manuales!I$12</f>
        <v>0</v>
      </c>
      <c r="L161" s="42" t="n">
        <f aca="false">datos_base!$F$23*parametros_manuales!J$12</f>
        <v>0</v>
      </c>
      <c r="M161" s="42" t="n">
        <f aca="false">datos_base!$F$23*parametros_manuales!K$12</f>
        <v>0</v>
      </c>
      <c r="N161" s="42" t="n">
        <f aca="false">datos_base!$F$23*parametros_manuales!L$12</f>
        <v>0</v>
      </c>
      <c r="O161" s="42" t="n">
        <f aca="false">datos_base!$F$23*parametros_manuales!M$12</f>
        <v>0</v>
      </c>
      <c r="P161" s="9" t="n">
        <f aca="false">SUM(D161:O161)</f>
        <v>0</v>
      </c>
    </row>
    <row r="162" customFormat="false" ht="14.25" hidden="false" customHeight="true" outlineLevel="0" collapsed="false">
      <c r="A162" s="41" t="n">
        <v>2030</v>
      </c>
      <c r="B162" s="8" t="s">
        <v>193</v>
      </c>
      <c r="C162" s="8" t="s">
        <v>192</v>
      </c>
      <c r="D162" s="42" t="n">
        <f aca="false">datos_base!$F$24*parametros_manuales!B$13</f>
        <v>2.012</v>
      </c>
      <c r="E162" s="42" t="n">
        <f aca="false">datos_base!$F$24*parametros_manuales!C$13</f>
        <v>1.6096</v>
      </c>
      <c r="F162" s="42" t="n">
        <f aca="false">datos_base!$F$24*parametros_manuales!D$13</f>
        <v>1.7102</v>
      </c>
      <c r="G162" s="42" t="n">
        <f aca="false">datos_base!$F$24*parametros_manuales!E$13</f>
        <v>1.7102</v>
      </c>
      <c r="H162" s="42" t="n">
        <f aca="false">datos_base!$F$24*parametros_manuales!F$13</f>
        <v>1.6096</v>
      </c>
      <c r="I162" s="42" t="n">
        <f aca="false">datos_base!$F$24*parametros_manuales!G$13</f>
        <v>1.509</v>
      </c>
      <c r="J162" s="42" t="n">
        <f aca="false">datos_base!$F$24*parametros_manuales!H$13</f>
        <v>1.6096</v>
      </c>
      <c r="K162" s="42" t="n">
        <f aca="false">datos_base!$F$24*parametros_manuales!I$13</f>
        <v>1.6096</v>
      </c>
      <c r="L162" s="42" t="n">
        <f aca="false">datos_base!$F$24*parametros_manuales!J$13</f>
        <v>1.6096</v>
      </c>
      <c r="M162" s="42" t="n">
        <f aca="false">datos_base!$F$24*parametros_manuales!K$13</f>
        <v>1.509</v>
      </c>
      <c r="N162" s="42" t="n">
        <f aca="false">datos_base!$F$24*parametros_manuales!L$13</f>
        <v>1.4084</v>
      </c>
      <c r="O162" s="42" t="n">
        <f aca="false">datos_base!$F$24*parametros_manuales!M$13</f>
        <v>2.2132</v>
      </c>
      <c r="P162" s="9" t="n">
        <f aca="false">SUM(D162:O162)</f>
        <v>20.12</v>
      </c>
    </row>
    <row r="163" customFormat="false" ht="14.25" hidden="false" customHeight="true" outlineLevel="0" collapsed="false">
      <c r="A163" s="41" t="n">
        <v>2030</v>
      </c>
      <c r="B163" s="8" t="s">
        <v>194</v>
      </c>
      <c r="C163" s="8" t="s">
        <v>192</v>
      </c>
      <c r="D163" s="42" t="n">
        <f aca="false">datos_base!$F$25*parametros_manuales!B$14</f>
        <v>13.232</v>
      </c>
      <c r="E163" s="42" t="n">
        <f aca="false">datos_base!$F$25*parametros_manuales!C$14</f>
        <v>10.5856</v>
      </c>
      <c r="F163" s="42" t="n">
        <f aca="false">datos_base!$F$25*parametros_manuales!D$14</f>
        <v>11.2472</v>
      </c>
      <c r="G163" s="42" t="n">
        <f aca="false">datos_base!$F$25*parametros_manuales!E$14</f>
        <v>11.2472</v>
      </c>
      <c r="H163" s="42" t="n">
        <f aca="false">datos_base!$F$25*parametros_manuales!F$14</f>
        <v>10.5856</v>
      </c>
      <c r="I163" s="42" t="n">
        <f aca="false">datos_base!$F$25*parametros_manuales!G$14</f>
        <v>9.924</v>
      </c>
      <c r="J163" s="42" t="n">
        <f aca="false">datos_base!$F$25*parametros_manuales!H$14</f>
        <v>10.5856</v>
      </c>
      <c r="K163" s="42" t="n">
        <f aca="false">datos_base!$F$25*parametros_manuales!I$14</f>
        <v>10.5856</v>
      </c>
      <c r="L163" s="42" t="n">
        <f aca="false">datos_base!$F$25*parametros_manuales!J$14</f>
        <v>10.5856</v>
      </c>
      <c r="M163" s="42" t="n">
        <f aca="false">datos_base!$F$25*parametros_manuales!K$14</f>
        <v>9.924</v>
      </c>
      <c r="N163" s="42" t="n">
        <f aca="false">datos_base!$F$25*parametros_manuales!L$14</f>
        <v>9.2624</v>
      </c>
      <c r="O163" s="42" t="n">
        <f aca="false">datos_base!$F$25*parametros_manuales!M$14</f>
        <v>14.5552</v>
      </c>
      <c r="P163" s="9" t="n">
        <f aca="false">SUM(D163:O163)</f>
        <v>132.32</v>
      </c>
    </row>
    <row r="164" customFormat="false" ht="14.25" hidden="false" customHeight="true" outlineLevel="0" collapsed="false">
      <c r="A164" s="41" t="n">
        <v>2030</v>
      </c>
      <c r="B164" s="8" t="s">
        <v>195</v>
      </c>
      <c r="C164" s="8" t="s">
        <v>192</v>
      </c>
      <c r="D164" s="42" t="n">
        <f aca="false">datos_base!$F$26*parametros_manuales!B$15</f>
        <v>0.72</v>
      </c>
      <c r="E164" s="42" t="n">
        <f aca="false">datos_base!$F$26*parametros_manuales!C$15</f>
        <v>0.576</v>
      </c>
      <c r="F164" s="42" t="n">
        <f aca="false">datos_base!$F$26*parametros_manuales!D$15</f>
        <v>0.612</v>
      </c>
      <c r="G164" s="42" t="n">
        <f aca="false">datos_base!$F$26*parametros_manuales!E$15</f>
        <v>0.612</v>
      </c>
      <c r="H164" s="42" t="n">
        <f aca="false">datos_base!$F$26*parametros_manuales!F$15</f>
        <v>0.576</v>
      </c>
      <c r="I164" s="42" t="n">
        <f aca="false">datos_base!$F$26*parametros_manuales!G$15</f>
        <v>0.54</v>
      </c>
      <c r="J164" s="42" t="n">
        <f aca="false">datos_base!$F$26*parametros_manuales!H$15</f>
        <v>0.576</v>
      </c>
      <c r="K164" s="42" t="n">
        <f aca="false">datos_base!$F$26*parametros_manuales!I$15</f>
        <v>0.576</v>
      </c>
      <c r="L164" s="42" t="n">
        <f aca="false">datos_base!$F$26*parametros_manuales!J$15</f>
        <v>0.576</v>
      </c>
      <c r="M164" s="42" t="n">
        <f aca="false">datos_base!$F$26*parametros_manuales!K$15</f>
        <v>0.54</v>
      </c>
      <c r="N164" s="42" t="n">
        <f aca="false">datos_base!$F$26*parametros_manuales!L$15</f>
        <v>0.504</v>
      </c>
      <c r="O164" s="42" t="n">
        <f aca="false">datos_base!$F$26*parametros_manuales!M$15</f>
        <v>0.792</v>
      </c>
      <c r="P164" s="9" t="n">
        <f aca="false">SUM(D164:O164)</f>
        <v>7.2</v>
      </c>
    </row>
    <row r="165" customFormat="false" ht="14.25" hidden="false" customHeight="true" outlineLevel="0" collapsed="false">
      <c r="B165" s="10" t="s">
        <v>196</v>
      </c>
      <c r="D165" s="11" t="n">
        <f aca="false">SUM(D157:D164)</f>
        <v>24.228</v>
      </c>
      <c r="E165" s="11" t="n">
        <f aca="false">SUM(E157:E164)</f>
        <v>19.3824</v>
      </c>
      <c r="F165" s="11" t="n">
        <f aca="false">SUM(F157:F164)</f>
        <v>20.5938</v>
      </c>
      <c r="G165" s="11" t="n">
        <f aca="false">SUM(G157:G164)</f>
        <v>20.5938</v>
      </c>
      <c r="H165" s="11" t="n">
        <f aca="false">SUM(H157:H164)</f>
        <v>19.3824</v>
      </c>
      <c r="I165" s="11" t="n">
        <f aca="false">SUM(I157:I164)</f>
        <v>18.171</v>
      </c>
      <c r="J165" s="11" t="n">
        <f aca="false">SUM(J157:J164)</f>
        <v>19.3824</v>
      </c>
      <c r="K165" s="11" t="n">
        <f aca="false">SUM(K157:K164)</f>
        <v>19.3824</v>
      </c>
      <c r="L165" s="11" t="n">
        <f aca="false">SUM(L157:L164)</f>
        <v>19.3824</v>
      </c>
      <c r="M165" s="11" t="n">
        <f aca="false">SUM(M157:M164)</f>
        <v>18.171</v>
      </c>
      <c r="N165" s="11" t="n">
        <f aca="false">SUM(N157:N164)</f>
        <v>16.9596</v>
      </c>
      <c r="O165" s="11" t="n">
        <f aca="false">SUM(O157:O164)</f>
        <v>26.6508</v>
      </c>
      <c r="P165" s="11" t="n">
        <f aca="false">SUM(P157:P164)</f>
        <v>242.28</v>
      </c>
    </row>
    <row r="166" customFormat="false" ht="14.25" hidden="false" customHeight="true" outlineLevel="0" collapsed="false"/>
    <row r="167" customFormat="false" ht="14.25" hidden="false" customHeight="true" outlineLevel="0" collapsed="false">
      <c r="A167" s="7" t="n">
        <v>2031</v>
      </c>
      <c r="B167" s="7" t="s">
        <v>179</v>
      </c>
      <c r="C167" s="7" t="s">
        <v>180</v>
      </c>
      <c r="D167" s="7" t="s">
        <v>59</v>
      </c>
      <c r="E167" s="7" t="s">
        <v>60</v>
      </c>
      <c r="F167" s="7" t="s">
        <v>61</v>
      </c>
      <c r="G167" s="7" t="s">
        <v>62</v>
      </c>
      <c r="H167" s="7" t="s">
        <v>63</v>
      </c>
      <c r="I167" s="7" t="s">
        <v>64</v>
      </c>
      <c r="J167" s="7" t="s">
        <v>65</v>
      </c>
      <c r="K167" s="7" t="s">
        <v>66</v>
      </c>
      <c r="L167" s="7" t="s">
        <v>67</v>
      </c>
      <c r="M167" s="7" t="s">
        <v>68</v>
      </c>
      <c r="N167" s="7" t="s">
        <v>69</v>
      </c>
      <c r="O167" s="7" t="s">
        <v>70</v>
      </c>
      <c r="P167" s="7" t="s">
        <v>181</v>
      </c>
    </row>
    <row r="168" customFormat="false" ht="14.25" hidden="false" customHeight="true" outlineLevel="0" collapsed="false">
      <c r="A168" s="41" t="n">
        <v>2031</v>
      </c>
      <c r="B168" s="8" t="s">
        <v>186</v>
      </c>
      <c r="C168" s="8" t="s">
        <v>187</v>
      </c>
      <c r="D168" s="42" t="n">
        <f aca="false">datos_base!$G$18*parametros_manuales!B$12</f>
        <v>0</v>
      </c>
      <c r="E168" s="42" t="n">
        <f aca="false">datos_base!$G$18*parametros_manuales!C$12</f>
        <v>0</v>
      </c>
      <c r="F168" s="42" t="n">
        <f aca="false">datos_base!$G$18*parametros_manuales!D$12</f>
        <v>0</v>
      </c>
      <c r="G168" s="42" t="n">
        <f aca="false">datos_base!$G$18*parametros_manuales!E$12</f>
        <v>0</v>
      </c>
      <c r="H168" s="42" t="n">
        <f aca="false">datos_base!$G$18*parametros_manuales!F$12</f>
        <v>0</v>
      </c>
      <c r="I168" s="42" t="n">
        <f aca="false">datos_base!$G$18*parametros_manuales!G$12</f>
        <v>0</v>
      </c>
      <c r="J168" s="42" t="n">
        <f aca="false">datos_base!$G$18*parametros_manuales!H$12</f>
        <v>0</v>
      </c>
      <c r="K168" s="42" t="n">
        <f aca="false">datos_base!$G$18*parametros_manuales!I$12</f>
        <v>0</v>
      </c>
      <c r="L168" s="42" t="n">
        <f aca="false">datos_base!$G$18*parametros_manuales!J$12</f>
        <v>0</v>
      </c>
      <c r="M168" s="42" t="n">
        <f aca="false">datos_base!$G$18*parametros_manuales!K$12</f>
        <v>0</v>
      </c>
      <c r="N168" s="42" t="n">
        <f aca="false">datos_base!$G$18*parametros_manuales!L$12</f>
        <v>0</v>
      </c>
      <c r="O168" s="42" t="n">
        <f aca="false">datos_base!$G$18*parametros_manuales!M$12</f>
        <v>0</v>
      </c>
      <c r="P168" s="9" t="n">
        <f aca="false">SUM(D168:O168)</f>
        <v>0</v>
      </c>
    </row>
    <row r="169" customFormat="false" ht="14.25" hidden="false" customHeight="true" outlineLevel="0" collapsed="false">
      <c r="A169" s="41" t="n">
        <v>2031</v>
      </c>
      <c r="B169" s="8" t="s">
        <v>188</v>
      </c>
      <c r="C169" s="8" t="s">
        <v>187</v>
      </c>
      <c r="D169" s="42" t="n">
        <f aca="false">datos_base!$G$19*parametros_manuales!B$13</f>
        <v>1.232</v>
      </c>
      <c r="E169" s="42" t="n">
        <f aca="false">datos_base!$G$19*parametros_manuales!C$13</f>
        <v>0.9856</v>
      </c>
      <c r="F169" s="42" t="n">
        <f aca="false">datos_base!$G$19*parametros_manuales!D$13</f>
        <v>1.0472</v>
      </c>
      <c r="G169" s="42" t="n">
        <f aca="false">datos_base!$G$19*parametros_manuales!E$13</f>
        <v>1.0472</v>
      </c>
      <c r="H169" s="42" t="n">
        <f aca="false">datos_base!$G$19*parametros_manuales!F$13</f>
        <v>0.9856</v>
      </c>
      <c r="I169" s="42" t="n">
        <f aca="false">datos_base!$G$19*parametros_manuales!G$13</f>
        <v>0.924</v>
      </c>
      <c r="J169" s="42" t="n">
        <f aca="false">datos_base!$G$19*parametros_manuales!H$13</f>
        <v>0.9856</v>
      </c>
      <c r="K169" s="42" t="n">
        <f aca="false">datos_base!$G$19*parametros_manuales!I$13</f>
        <v>0.9856</v>
      </c>
      <c r="L169" s="42" t="n">
        <f aca="false">datos_base!$G$19*parametros_manuales!J$13</f>
        <v>0.9856</v>
      </c>
      <c r="M169" s="42" t="n">
        <f aca="false">datos_base!$G$19*parametros_manuales!K$13</f>
        <v>0.924</v>
      </c>
      <c r="N169" s="42" t="n">
        <f aca="false">datos_base!$G$19*parametros_manuales!L$13</f>
        <v>0.8624</v>
      </c>
      <c r="O169" s="42" t="n">
        <f aca="false">datos_base!$G$19*parametros_manuales!M$13</f>
        <v>1.3552</v>
      </c>
      <c r="P169" s="9" t="n">
        <f aca="false">SUM(D169:O169)</f>
        <v>12.32</v>
      </c>
    </row>
    <row r="170" customFormat="false" ht="14.25" hidden="false" customHeight="true" outlineLevel="0" collapsed="false">
      <c r="A170" s="41" t="n">
        <v>2031</v>
      </c>
      <c r="B170" s="8" t="s">
        <v>189</v>
      </c>
      <c r="C170" s="8" t="s">
        <v>187</v>
      </c>
      <c r="D170" s="42" t="n">
        <f aca="false">datos_base!$G$20*parametros_manuales!B$14</f>
        <v>7.604</v>
      </c>
      <c r="E170" s="42" t="n">
        <f aca="false">datos_base!$G$20*parametros_manuales!C$14</f>
        <v>6.0832</v>
      </c>
      <c r="F170" s="42" t="n">
        <f aca="false">datos_base!$G$20*parametros_manuales!D$14</f>
        <v>6.4634</v>
      </c>
      <c r="G170" s="42" t="n">
        <f aca="false">datos_base!$G$20*parametros_manuales!E$14</f>
        <v>6.4634</v>
      </c>
      <c r="H170" s="42" t="n">
        <f aca="false">datos_base!$G$20*parametros_manuales!F$14</f>
        <v>6.0832</v>
      </c>
      <c r="I170" s="42" t="n">
        <f aca="false">datos_base!$G$20*parametros_manuales!G$14</f>
        <v>5.703</v>
      </c>
      <c r="J170" s="42" t="n">
        <f aca="false">datos_base!$G$20*parametros_manuales!H$14</f>
        <v>6.0832</v>
      </c>
      <c r="K170" s="42" t="n">
        <f aca="false">datos_base!$G$20*parametros_manuales!I$14</f>
        <v>6.0832</v>
      </c>
      <c r="L170" s="42" t="n">
        <f aca="false">datos_base!$G$20*parametros_manuales!J$14</f>
        <v>6.0832</v>
      </c>
      <c r="M170" s="42" t="n">
        <f aca="false">datos_base!$G$20*parametros_manuales!K$14</f>
        <v>5.703</v>
      </c>
      <c r="N170" s="42" t="n">
        <f aca="false">datos_base!$G$20*parametros_manuales!L$14</f>
        <v>5.3228</v>
      </c>
      <c r="O170" s="42" t="n">
        <f aca="false">datos_base!$G$20*parametros_manuales!M$14</f>
        <v>8.3644</v>
      </c>
      <c r="P170" s="9" t="n">
        <f aca="false">SUM(D170:O170)</f>
        <v>76.04</v>
      </c>
    </row>
    <row r="171" customFormat="false" ht="14.25" hidden="false" customHeight="true" outlineLevel="0" collapsed="false">
      <c r="A171" s="41" t="n">
        <v>2031</v>
      </c>
      <c r="B171" s="8" t="s">
        <v>190</v>
      </c>
      <c r="C171" s="8" t="s">
        <v>187</v>
      </c>
      <c r="D171" s="42" t="n">
        <f aca="false">datos_base!$G$21*parametros_manuales!B$15</f>
        <v>0.488</v>
      </c>
      <c r="E171" s="42" t="n">
        <f aca="false">datos_base!$G$21*parametros_manuales!C$15</f>
        <v>0.3904</v>
      </c>
      <c r="F171" s="42" t="n">
        <f aca="false">datos_base!$G$21*parametros_manuales!D$15</f>
        <v>0.4148</v>
      </c>
      <c r="G171" s="42" t="n">
        <f aca="false">datos_base!$G$21*parametros_manuales!E$15</f>
        <v>0.4148</v>
      </c>
      <c r="H171" s="42" t="n">
        <f aca="false">datos_base!$G$21*parametros_manuales!F$15</f>
        <v>0.3904</v>
      </c>
      <c r="I171" s="42" t="n">
        <f aca="false">datos_base!$G$21*parametros_manuales!G$15</f>
        <v>0.366</v>
      </c>
      <c r="J171" s="42" t="n">
        <f aca="false">datos_base!$G$21*parametros_manuales!H$15</f>
        <v>0.3904</v>
      </c>
      <c r="K171" s="42" t="n">
        <f aca="false">datos_base!$G$21*parametros_manuales!I$15</f>
        <v>0.3904</v>
      </c>
      <c r="L171" s="42" t="n">
        <f aca="false">datos_base!$G$21*parametros_manuales!J$15</f>
        <v>0.3904</v>
      </c>
      <c r="M171" s="42" t="n">
        <f aca="false">datos_base!$G$21*parametros_manuales!K$15</f>
        <v>0.366</v>
      </c>
      <c r="N171" s="42" t="n">
        <f aca="false">datos_base!$G$21*parametros_manuales!L$15</f>
        <v>0.3416</v>
      </c>
      <c r="O171" s="42" t="n">
        <f aca="false">datos_base!$G$21*parametros_manuales!M$15</f>
        <v>0.5368</v>
      </c>
      <c r="P171" s="9" t="n">
        <f aca="false">SUM(D171:O171)</f>
        <v>4.88</v>
      </c>
    </row>
    <row r="172" customFormat="false" ht="14.25" hidden="false" customHeight="true" outlineLevel="0" collapsed="false">
      <c r="A172" s="41" t="n">
        <v>2031</v>
      </c>
      <c r="B172" s="8" t="s">
        <v>191</v>
      </c>
      <c r="C172" s="8" t="s">
        <v>192</v>
      </c>
      <c r="D172" s="42" t="n">
        <f aca="false">datos_base!$G$23*parametros_manuales!B$12</f>
        <v>0</v>
      </c>
      <c r="E172" s="42" t="n">
        <f aca="false">datos_base!$G$23*parametros_manuales!C$12</f>
        <v>0</v>
      </c>
      <c r="F172" s="42" t="n">
        <f aca="false">datos_base!$G$23*parametros_manuales!D$12</f>
        <v>0</v>
      </c>
      <c r="G172" s="42" t="n">
        <f aca="false">datos_base!$G$23*parametros_manuales!E$12</f>
        <v>0</v>
      </c>
      <c r="H172" s="42" t="n">
        <f aca="false">datos_base!$G$23*parametros_manuales!F$12</f>
        <v>0</v>
      </c>
      <c r="I172" s="42" t="n">
        <f aca="false">datos_base!$G$23*parametros_manuales!G$12</f>
        <v>0</v>
      </c>
      <c r="J172" s="42" t="n">
        <f aca="false">datos_base!$G$23*parametros_manuales!H$12</f>
        <v>0</v>
      </c>
      <c r="K172" s="42" t="n">
        <f aca="false">datos_base!$G$23*parametros_manuales!I$12</f>
        <v>0</v>
      </c>
      <c r="L172" s="42" t="n">
        <f aca="false">datos_base!$G$23*parametros_manuales!J$12</f>
        <v>0</v>
      </c>
      <c r="M172" s="42" t="n">
        <f aca="false">datos_base!$G$23*parametros_manuales!K$12</f>
        <v>0</v>
      </c>
      <c r="N172" s="42" t="n">
        <f aca="false">datos_base!$G$23*parametros_manuales!L$12</f>
        <v>0</v>
      </c>
      <c r="O172" s="42" t="n">
        <f aca="false">datos_base!$G$23*parametros_manuales!M$12</f>
        <v>0</v>
      </c>
      <c r="P172" s="9" t="n">
        <f aca="false">SUM(D172:O172)</f>
        <v>0</v>
      </c>
    </row>
    <row r="173" customFormat="false" ht="14.25" hidden="false" customHeight="true" outlineLevel="0" collapsed="false">
      <c r="A173" s="41" t="n">
        <v>2031</v>
      </c>
      <c r="B173" s="8" t="s">
        <v>193</v>
      </c>
      <c r="C173" s="8" t="s">
        <v>192</v>
      </c>
      <c r="D173" s="42" t="n">
        <f aca="false">datos_base!$G$24*parametros_manuales!B$13</f>
        <v>2.248</v>
      </c>
      <c r="E173" s="42" t="n">
        <f aca="false">datos_base!$G$24*parametros_manuales!C$13</f>
        <v>1.7984</v>
      </c>
      <c r="F173" s="42" t="n">
        <f aca="false">datos_base!$G$24*parametros_manuales!D$13</f>
        <v>1.9108</v>
      </c>
      <c r="G173" s="42" t="n">
        <f aca="false">datos_base!$G$24*parametros_manuales!E$13</f>
        <v>1.9108</v>
      </c>
      <c r="H173" s="42" t="n">
        <f aca="false">datos_base!$G$24*parametros_manuales!F$13</f>
        <v>1.7984</v>
      </c>
      <c r="I173" s="42" t="n">
        <f aca="false">datos_base!$G$24*parametros_manuales!G$13</f>
        <v>1.686</v>
      </c>
      <c r="J173" s="42" t="n">
        <f aca="false">datos_base!$G$24*parametros_manuales!H$13</f>
        <v>1.7984</v>
      </c>
      <c r="K173" s="42" t="n">
        <f aca="false">datos_base!$G$24*parametros_manuales!I$13</f>
        <v>1.7984</v>
      </c>
      <c r="L173" s="42" t="n">
        <f aca="false">datos_base!$G$24*parametros_manuales!J$13</f>
        <v>1.7984</v>
      </c>
      <c r="M173" s="42" t="n">
        <f aca="false">datos_base!$G$24*parametros_manuales!K$13</f>
        <v>1.686</v>
      </c>
      <c r="N173" s="42" t="n">
        <f aca="false">datos_base!$G$24*parametros_manuales!L$13</f>
        <v>1.5736</v>
      </c>
      <c r="O173" s="42" t="n">
        <f aca="false">datos_base!$G$24*parametros_manuales!M$13</f>
        <v>2.4728</v>
      </c>
      <c r="P173" s="9" t="n">
        <f aca="false">SUM(D173:O173)</f>
        <v>22.48</v>
      </c>
    </row>
    <row r="174" customFormat="false" ht="14.25" hidden="false" customHeight="true" outlineLevel="0" collapsed="false">
      <c r="A174" s="41" t="n">
        <v>2031</v>
      </c>
      <c r="B174" s="8" t="s">
        <v>194</v>
      </c>
      <c r="C174" s="8" t="s">
        <v>192</v>
      </c>
      <c r="D174" s="42" t="n">
        <f aca="false">datos_base!$G$25*parametros_manuales!B$14</f>
        <v>14.928</v>
      </c>
      <c r="E174" s="42" t="n">
        <f aca="false">datos_base!$G$25*parametros_manuales!C$14</f>
        <v>11.9424</v>
      </c>
      <c r="F174" s="42" t="n">
        <f aca="false">datos_base!$G$25*parametros_manuales!D$14</f>
        <v>12.6888</v>
      </c>
      <c r="G174" s="42" t="n">
        <f aca="false">datos_base!$G$25*parametros_manuales!E$14</f>
        <v>12.6888</v>
      </c>
      <c r="H174" s="42" t="n">
        <f aca="false">datos_base!$G$25*parametros_manuales!F$14</f>
        <v>11.9424</v>
      </c>
      <c r="I174" s="42" t="n">
        <f aca="false">datos_base!$G$25*parametros_manuales!G$14</f>
        <v>11.196</v>
      </c>
      <c r="J174" s="42" t="n">
        <f aca="false">datos_base!$G$25*parametros_manuales!H$14</f>
        <v>11.9424</v>
      </c>
      <c r="K174" s="42" t="n">
        <f aca="false">datos_base!$G$25*parametros_manuales!I$14</f>
        <v>11.9424</v>
      </c>
      <c r="L174" s="42" t="n">
        <f aca="false">datos_base!$G$25*parametros_manuales!J$14</f>
        <v>11.9424</v>
      </c>
      <c r="M174" s="42" t="n">
        <f aca="false">datos_base!$G$25*parametros_manuales!K$14</f>
        <v>11.196</v>
      </c>
      <c r="N174" s="42" t="n">
        <f aca="false">datos_base!$G$25*parametros_manuales!L$14</f>
        <v>10.4496</v>
      </c>
      <c r="O174" s="42" t="n">
        <f aca="false">datos_base!$G$25*parametros_manuales!M$14</f>
        <v>16.4208</v>
      </c>
      <c r="P174" s="9" t="n">
        <f aca="false">SUM(D174:O174)</f>
        <v>149.28</v>
      </c>
    </row>
    <row r="175" customFormat="false" ht="14.25" hidden="false" customHeight="true" outlineLevel="0" collapsed="false">
      <c r="A175" s="41" t="n">
        <v>2031</v>
      </c>
      <c r="B175" s="8" t="s">
        <v>195</v>
      </c>
      <c r="C175" s="8" t="s">
        <v>192</v>
      </c>
      <c r="D175" s="42" t="n">
        <f aca="false">datos_base!$G$26*parametros_manuales!B$15</f>
        <v>0.868</v>
      </c>
      <c r="E175" s="42" t="n">
        <f aca="false">datos_base!$G$26*parametros_manuales!C$15</f>
        <v>0.6944</v>
      </c>
      <c r="F175" s="42" t="n">
        <f aca="false">datos_base!$G$26*parametros_manuales!D$15</f>
        <v>0.7378</v>
      </c>
      <c r="G175" s="42" t="n">
        <f aca="false">datos_base!$G$26*parametros_manuales!E$15</f>
        <v>0.7378</v>
      </c>
      <c r="H175" s="42" t="n">
        <f aca="false">datos_base!$G$26*parametros_manuales!F$15</f>
        <v>0.6944</v>
      </c>
      <c r="I175" s="42" t="n">
        <f aca="false">datos_base!$G$26*parametros_manuales!G$15</f>
        <v>0.651</v>
      </c>
      <c r="J175" s="42" t="n">
        <f aca="false">datos_base!$G$26*parametros_manuales!H$15</f>
        <v>0.6944</v>
      </c>
      <c r="K175" s="42" t="n">
        <f aca="false">datos_base!$G$26*parametros_manuales!I$15</f>
        <v>0.6944</v>
      </c>
      <c r="L175" s="42" t="n">
        <f aca="false">datos_base!$G$26*parametros_manuales!J$15</f>
        <v>0.6944</v>
      </c>
      <c r="M175" s="42" t="n">
        <f aca="false">datos_base!$G$26*parametros_manuales!K$15</f>
        <v>0.651</v>
      </c>
      <c r="N175" s="42" t="n">
        <f aca="false">datos_base!$G$26*parametros_manuales!L$15</f>
        <v>0.6076</v>
      </c>
      <c r="O175" s="42" t="n">
        <f aca="false">datos_base!$G$26*parametros_manuales!M$15</f>
        <v>0.9548</v>
      </c>
      <c r="P175" s="9" t="n">
        <f aca="false">SUM(D175:O175)</f>
        <v>8.68</v>
      </c>
    </row>
    <row r="176" customFormat="false" ht="14.25" hidden="false" customHeight="true" outlineLevel="0" collapsed="false">
      <c r="B176" s="10" t="s">
        <v>196</v>
      </c>
      <c r="D176" s="11" t="n">
        <f aca="false">SUM(D168:D175)</f>
        <v>27.368</v>
      </c>
      <c r="E176" s="11" t="n">
        <f aca="false">SUM(E168:E175)</f>
        <v>21.8944</v>
      </c>
      <c r="F176" s="11" t="n">
        <f aca="false">SUM(F168:F175)</f>
        <v>23.2628</v>
      </c>
      <c r="G176" s="11" t="n">
        <f aca="false">SUM(G168:G175)</f>
        <v>23.2628</v>
      </c>
      <c r="H176" s="11" t="n">
        <f aca="false">SUM(H168:H175)</f>
        <v>21.8944</v>
      </c>
      <c r="I176" s="11" t="n">
        <f aca="false">SUM(I168:I175)</f>
        <v>20.526</v>
      </c>
      <c r="J176" s="11" t="n">
        <f aca="false">SUM(J168:J175)</f>
        <v>21.8944</v>
      </c>
      <c r="K176" s="11" t="n">
        <f aca="false">SUM(K168:K175)</f>
        <v>21.8944</v>
      </c>
      <c r="L176" s="11" t="n">
        <f aca="false">SUM(L168:L175)</f>
        <v>21.8944</v>
      </c>
      <c r="M176" s="11" t="n">
        <f aca="false">SUM(M168:M175)</f>
        <v>20.526</v>
      </c>
      <c r="N176" s="11" t="n">
        <f aca="false">SUM(N168:N175)</f>
        <v>19.1576</v>
      </c>
      <c r="O176" s="11" t="n">
        <f aca="false">SUM(O168:O175)</f>
        <v>30.1048</v>
      </c>
      <c r="P176" s="11" t="n">
        <f aca="false">SUM(P168:P175)</f>
        <v>273.68</v>
      </c>
    </row>
    <row r="177" customFormat="false" ht="14.25" hidden="false" customHeight="true" outlineLevel="0" collapsed="false"/>
    <row r="178" customFormat="false" ht="14.25" hidden="false" customHeight="true" outlineLevel="0" collapsed="false">
      <c r="A178" s="7" t="n">
        <v>2032</v>
      </c>
      <c r="B178" s="7" t="s">
        <v>179</v>
      </c>
      <c r="C178" s="7" t="s">
        <v>180</v>
      </c>
      <c r="D178" s="7" t="s">
        <v>59</v>
      </c>
      <c r="E178" s="7" t="s">
        <v>60</v>
      </c>
      <c r="F178" s="7" t="s">
        <v>61</v>
      </c>
      <c r="G178" s="7" t="s">
        <v>62</v>
      </c>
      <c r="H178" s="7" t="s">
        <v>63</v>
      </c>
      <c r="I178" s="7" t="s">
        <v>64</v>
      </c>
      <c r="J178" s="7" t="s">
        <v>65</v>
      </c>
      <c r="K178" s="7" t="s">
        <v>66</v>
      </c>
      <c r="L178" s="7" t="s">
        <v>67</v>
      </c>
      <c r="M178" s="7" t="s">
        <v>68</v>
      </c>
      <c r="N178" s="7" t="s">
        <v>69</v>
      </c>
      <c r="O178" s="7" t="s">
        <v>70</v>
      </c>
      <c r="P178" s="7" t="s">
        <v>181</v>
      </c>
    </row>
    <row r="179" customFormat="false" ht="14.25" hidden="false" customHeight="true" outlineLevel="0" collapsed="false">
      <c r="A179" s="41" t="n">
        <v>2032</v>
      </c>
      <c r="B179" s="8" t="s">
        <v>186</v>
      </c>
      <c r="C179" s="8" t="s">
        <v>187</v>
      </c>
      <c r="D179" s="42" t="n">
        <f aca="false">datos_base!$H$18*parametros_manuales!B$12</f>
        <v>0</v>
      </c>
      <c r="E179" s="42" t="n">
        <f aca="false">datos_base!$H$18*parametros_manuales!C$12</f>
        <v>0</v>
      </c>
      <c r="F179" s="42" t="n">
        <f aca="false">datos_base!$H$18*parametros_manuales!D$12</f>
        <v>0</v>
      </c>
      <c r="G179" s="42" t="n">
        <f aca="false">datos_base!$H$18*parametros_manuales!E$12</f>
        <v>0</v>
      </c>
      <c r="H179" s="42" t="n">
        <f aca="false">datos_base!$H$18*parametros_manuales!F$12</f>
        <v>0</v>
      </c>
      <c r="I179" s="42" t="n">
        <f aca="false">datos_base!$H$18*parametros_manuales!G$12</f>
        <v>0</v>
      </c>
      <c r="J179" s="42" t="n">
        <f aca="false">datos_base!$H$18*parametros_manuales!H$12</f>
        <v>0</v>
      </c>
      <c r="K179" s="42" t="n">
        <f aca="false">datos_base!$H$18*parametros_manuales!I$12</f>
        <v>0</v>
      </c>
      <c r="L179" s="42" t="n">
        <f aca="false">datos_base!$H$18*parametros_manuales!J$12</f>
        <v>0</v>
      </c>
      <c r="M179" s="42" t="n">
        <f aca="false">datos_base!$H$18*parametros_manuales!K$12</f>
        <v>0</v>
      </c>
      <c r="N179" s="42" t="n">
        <f aca="false">datos_base!$H$18*parametros_manuales!L$12</f>
        <v>0</v>
      </c>
      <c r="O179" s="42" t="n">
        <f aca="false">datos_base!$H$18*parametros_manuales!M$12</f>
        <v>0</v>
      </c>
      <c r="P179" s="9" t="n">
        <f aca="false">SUM(D179:O179)</f>
        <v>0</v>
      </c>
    </row>
    <row r="180" customFormat="false" ht="14.25" hidden="false" customHeight="true" outlineLevel="0" collapsed="false">
      <c r="A180" s="41" t="n">
        <v>2032</v>
      </c>
      <c r="B180" s="8" t="s">
        <v>188</v>
      </c>
      <c r="C180" s="8" t="s">
        <v>187</v>
      </c>
      <c r="D180" s="42" t="n">
        <f aca="false">datos_base!$H$19*parametros_manuales!B$13</f>
        <v>1.112</v>
      </c>
      <c r="E180" s="42" t="n">
        <f aca="false">datos_base!$H$19*parametros_manuales!C$13</f>
        <v>0.8896</v>
      </c>
      <c r="F180" s="42" t="n">
        <f aca="false">datos_base!$H$19*parametros_manuales!D$13</f>
        <v>0.9452</v>
      </c>
      <c r="G180" s="42" t="n">
        <f aca="false">datos_base!$H$19*parametros_manuales!E$13</f>
        <v>0.9452</v>
      </c>
      <c r="H180" s="42" t="n">
        <f aca="false">datos_base!$H$19*parametros_manuales!F$13</f>
        <v>0.8896</v>
      </c>
      <c r="I180" s="42" t="n">
        <f aca="false">datos_base!$H$19*parametros_manuales!G$13</f>
        <v>0.834</v>
      </c>
      <c r="J180" s="42" t="n">
        <f aca="false">datos_base!$H$19*parametros_manuales!H$13</f>
        <v>0.8896</v>
      </c>
      <c r="K180" s="42" t="n">
        <f aca="false">datos_base!$H$19*parametros_manuales!I$13</f>
        <v>0.8896</v>
      </c>
      <c r="L180" s="42" t="n">
        <f aca="false">datos_base!$H$19*parametros_manuales!J$13</f>
        <v>0.8896</v>
      </c>
      <c r="M180" s="42" t="n">
        <f aca="false">datos_base!$H$19*parametros_manuales!K$13</f>
        <v>0.834</v>
      </c>
      <c r="N180" s="42" t="n">
        <f aca="false">datos_base!$H$19*parametros_manuales!L$13</f>
        <v>0.7784</v>
      </c>
      <c r="O180" s="42" t="n">
        <f aca="false">datos_base!$H$19*parametros_manuales!M$13</f>
        <v>1.2232</v>
      </c>
      <c r="P180" s="9" t="n">
        <f aca="false">SUM(D180:O180)</f>
        <v>11.12</v>
      </c>
    </row>
    <row r="181" customFormat="false" ht="14.25" hidden="false" customHeight="true" outlineLevel="0" collapsed="false">
      <c r="A181" s="41" t="n">
        <v>2032</v>
      </c>
      <c r="B181" s="8" t="s">
        <v>189</v>
      </c>
      <c r="C181" s="8" t="s">
        <v>187</v>
      </c>
      <c r="D181" s="42" t="n">
        <f aca="false">datos_base!$H$20*parametros_manuales!B$14</f>
        <v>6.292</v>
      </c>
      <c r="E181" s="42" t="n">
        <f aca="false">datos_base!$H$20*parametros_manuales!C$14</f>
        <v>5.0336</v>
      </c>
      <c r="F181" s="42" t="n">
        <f aca="false">datos_base!$H$20*parametros_manuales!D$14</f>
        <v>5.3482</v>
      </c>
      <c r="G181" s="42" t="n">
        <f aca="false">datos_base!$H$20*parametros_manuales!E$14</f>
        <v>5.3482</v>
      </c>
      <c r="H181" s="42" t="n">
        <f aca="false">datos_base!$H$20*parametros_manuales!F$14</f>
        <v>5.0336</v>
      </c>
      <c r="I181" s="42" t="n">
        <f aca="false">datos_base!$H$20*parametros_manuales!G$14</f>
        <v>4.719</v>
      </c>
      <c r="J181" s="42" t="n">
        <f aca="false">datos_base!$H$20*parametros_manuales!H$14</f>
        <v>5.0336</v>
      </c>
      <c r="K181" s="42" t="n">
        <f aca="false">datos_base!$H$20*parametros_manuales!I$14</f>
        <v>5.0336</v>
      </c>
      <c r="L181" s="42" t="n">
        <f aca="false">datos_base!$H$20*parametros_manuales!J$14</f>
        <v>5.0336</v>
      </c>
      <c r="M181" s="42" t="n">
        <f aca="false">datos_base!$H$20*parametros_manuales!K$14</f>
        <v>4.719</v>
      </c>
      <c r="N181" s="42" t="n">
        <f aca="false">datos_base!$H$20*parametros_manuales!L$14</f>
        <v>4.4044</v>
      </c>
      <c r="O181" s="42" t="n">
        <f aca="false">datos_base!$H$20*parametros_manuales!M$14</f>
        <v>6.9212</v>
      </c>
      <c r="P181" s="9" t="n">
        <f aca="false">SUM(D181:O181)</f>
        <v>62.92</v>
      </c>
    </row>
    <row r="182" customFormat="false" ht="14.25" hidden="false" customHeight="true" outlineLevel="0" collapsed="false">
      <c r="A182" s="41" t="n">
        <v>2032</v>
      </c>
      <c r="B182" s="8" t="s">
        <v>190</v>
      </c>
      <c r="C182" s="8" t="s">
        <v>187</v>
      </c>
      <c r="D182" s="42" t="n">
        <f aca="false">datos_base!$H$21*parametros_manuales!B$15</f>
        <v>0.32</v>
      </c>
      <c r="E182" s="42" t="n">
        <f aca="false">datos_base!$H$21*parametros_manuales!C$15</f>
        <v>0.256</v>
      </c>
      <c r="F182" s="42" t="n">
        <f aca="false">datos_base!$H$21*parametros_manuales!D$15</f>
        <v>0.272</v>
      </c>
      <c r="G182" s="42" t="n">
        <f aca="false">datos_base!$H$21*parametros_manuales!E$15</f>
        <v>0.272</v>
      </c>
      <c r="H182" s="42" t="n">
        <f aca="false">datos_base!$H$21*parametros_manuales!F$15</f>
        <v>0.256</v>
      </c>
      <c r="I182" s="42" t="n">
        <f aca="false">datos_base!$H$21*parametros_manuales!G$15</f>
        <v>0.24</v>
      </c>
      <c r="J182" s="42" t="n">
        <f aca="false">datos_base!$H$21*parametros_manuales!H$15</f>
        <v>0.256</v>
      </c>
      <c r="K182" s="42" t="n">
        <f aca="false">datos_base!$H$21*parametros_manuales!I$15</f>
        <v>0.256</v>
      </c>
      <c r="L182" s="42" t="n">
        <f aca="false">datos_base!$H$21*parametros_manuales!J$15</f>
        <v>0.256</v>
      </c>
      <c r="M182" s="42" t="n">
        <f aca="false">datos_base!$H$21*parametros_manuales!K$15</f>
        <v>0.24</v>
      </c>
      <c r="N182" s="42" t="n">
        <f aca="false">datos_base!$H$21*parametros_manuales!L$15</f>
        <v>0.224</v>
      </c>
      <c r="O182" s="42" t="n">
        <f aca="false">datos_base!$H$21*parametros_manuales!M$15</f>
        <v>0.352</v>
      </c>
      <c r="P182" s="9" t="n">
        <f aca="false">SUM(D182:O182)</f>
        <v>3.2</v>
      </c>
    </row>
    <row r="183" customFormat="false" ht="14.25" hidden="false" customHeight="true" outlineLevel="0" collapsed="false">
      <c r="A183" s="41" t="n">
        <v>2032</v>
      </c>
      <c r="B183" s="8" t="s">
        <v>191</v>
      </c>
      <c r="C183" s="8" t="s">
        <v>192</v>
      </c>
      <c r="D183" s="42" t="n">
        <f aca="false">datos_base!$H$23*parametros_manuales!B$12</f>
        <v>0</v>
      </c>
      <c r="E183" s="42" t="n">
        <f aca="false">datos_base!$H$23*parametros_manuales!C$12</f>
        <v>0</v>
      </c>
      <c r="F183" s="42" t="n">
        <f aca="false">datos_base!$H$23*parametros_manuales!D$12</f>
        <v>0</v>
      </c>
      <c r="G183" s="42" t="n">
        <f aca="false">datos_base!$H$23*parametros_manuales!E$12</f>
        <v>0</v>
      </c>
      <c r="H183" s="42" t="n">
        <f aca="false">datos_base!$H$23*parametros_manuales!F$12</f>
        <v>0</v>
      </c>
      <c r="I183" s="42" t="n">
        <f aca="false">datos_base!$H$23*parametros_manuales!G$12</f>
        <v>0</v>
      </c>
      <c r="J183" s="42" t="n">
        <f aca="false">datos_base!$H$23*parametros_manuales!H$12</f>
        <v>0</v>
      </c>
      <c r="K183" s="42" t="n">
        <f aca="false">datos_base!$H$23*parametros_manuales!I$12</f>
        <v>0</v>
      </c>
      <c r="L183" s="42" t="n">
        <f aca="false">datos_base!$H$23*parametros_manuales!J$12</f>
        <v>0</v>
      </c>
      <c r="M183" s="42" t="n">
        <f aca="false">datos_base!$H$23*parametros_manuales!K$12</f>
        <v>0</v>
      </c>
      <c r="N183" s="42" t="n">
        <f aca="false">datos_base!$H$23*parametros_manuales!L$12</f>
        <v>0</v>
      </c>
      <c r="O183" s="42" t="n">
        <f aca="false">datos_base!$H$23*parametros_manuales!M$12</f>
        <v>0</v>
      </c>
      <c r="P183" s="9" t="n">
        <f aca="false">SUM(D183:O183)</f>
        <v>0</v>
      </c>
    </row>
    <row r="184" customFormat="false" ht="14.25" hidden="false" customHeight="true" outlineLevel="0" collapsed="false">
      <c r="A184" s="41" t="n">
        <v>2032</v>
      </c>
      <c r="B184" s="8" t="s">
        <v>193</v>
      </c>
      <c r="C184" s="8" t="s">
        <v>192</v>
      </c>
      <c r="D184" s="42" t="n">
        <f aca="false">datos_base!$H$24*parametros_manuales!B$13</f>
        <v>2.092</v>
      </c>
      <c r="E184" s="42" t="n">
        <f aca="false">datos_base!$H$24*parametros_manuales!C$13</f>
        <v>1.6736</v>
      </c>
      <c r="F184" s="42" t="n">
        <f aca="false">datos_base!$H$24*parametros_manuales!D$13</f>
        <v>1.7782</v>
      </c>
      <c r="G184" s="42" t="n">
        <f aca="false">datos_base!$H$24*parametros_manuales!E$13</f>
        <v>1.7782</v>
      </c>
      <c r="H184" s="42" t="n">
        <f aca="false">datos_base!$H$24*parametros_manuales!F$13</f>
        <v>1.6736</v>
      </c>
      <c r="I184" s="42" t="n">
        <f aca="false">datos_base!$H$24*parametros_manuales!G$13</f>
        <v>1.569</v>
      </c>
      <c r="J184" s="42" t="n">
        <f aca="false">datos_base!$H$24*parametros_manuales!H$13</f>
        <v>1.6736</v>
      </c>
      <c r="K184" s="42" t="n">
        <f aca="false">datos_base!$H$24*parametros_manuales!I$13</f>
        <v>1.6736</v>
      </c>
      <c r="L184" s="42" t="n">
        <f aca="false">datos_base!$H$24*parametros_manuales!J$13</f>
        <v>1.6736</v>
      </c>
      <c r="M184" s="42" t="n">
        <f aca="false">datos_base!$H$24*parametros_manuales!K$13</f>
        <v>1.569</v>
      </c>
      <c r="N184" s="42" t="n">
        <f aca="false">datos_base!$H$24*parametros_manuales!L$13</f>
        <v>1.4644</v>
      </c>
      <c r="O184" s="42" t="n">
        <f aca="false">datos_base!$H$24*parametros_manuales!M$13</f>
        <v>2.3012</v>
      </c>
      <c r="P184" s="9" t="n">
        <f aca="false">SUM(D184:O184)</f>
        <v>20.92</v>
      </c>
    </row>
    <row r="185" customFormat="false" ht="14.25" hidden="false" customHeight="true" outlineLevel="0" collapsed="false">
      <c r="A185" s="41" t="n">
        <v>2032</v>
      </c>
      <c r="B185" s="8" t="s">
        <v>194</v>
      </c>
      <c r="C185" s="8" t="s">
        <v>192</v>
      </c>
      <c r="D185" s="42" t="n">
        <f aca="false">datos_base!$H$25*parametros_manuales!B$14</f>
        <v>11.888</v>
      </c>
      <c r="E185" s="42" t="n">
        <f aca="false">datos_base!$H$25*parametros_manuales!C$14</f>
        <v>9.5104</v>
      </c>
      <c r="F185" s="42" t="n">
        <f aca="false">datos_base!$H$25*parametros_manuales!D$14</f>
        <v>10.1048</v>
      </c>
      <c r="G185" s="42" t="n">
        <f aca="false">datos_base!$H$25*parametros_manuales!E$14</f>
        <v>10.1048</v>
      </c>
      <c r="H185" s="42" t="n">
        <f aca="false">datos_base!$H$25*parametros_manuales!F$14</f>
        <v>9.5104</v>
      </c>
      <c r="I185" s="42" t="n">
        <f aca="false">datos_base!$H$25*parametros_manuales!G$14</f>
        <v>8.916</v>
      </c>
      <c r="J185" s="42" t="n">
        <f aca="false">datos_base!$H$25*parametros_manuales!H$14</f>
        <v>9.5104</v>
      </c>
      <c r="K185" s="42" t="n">
        <f aca="false">datos_base!$H$25*parametros_manuales!I$14</f>
        <v>9.5104</v>
      </c>
      <c r="L185" s="42" t="n">
        <f aca="false">datos_base!$H$25*parametros_manuales!J$14</f>
        <v>9.5104</v>
      </c>
      <c r="M185" s="42" t="n">
        <f aca="false">datos_base!$H$25*parametros_manuales!K$14</f>
        <v>8.916</v>
      </c>
      <c r="N185" s="42" t="n">
        <f aca="false">datos_base!$H$25*parametros_manuales!L$14</f>
        <v>8.3216</v>
      </c>
      <c r="O185" s="42" t="n">
        <f aca="false">datos_base!$H$25*parametros_manuales!M$14</f>
        <v>13.0768</v>
      </c>
      <c r="P185" s="9" t="n">
        <f aca="false">SUM(D185:O185)</f>
        <v>118.88</v>
      </c>
    </row>
    <row r="186" customFormat="false" ht="14.25" hidden="false" customHeight="true" outlineLevel="0" collapsed="false">
      <c r="A186" s="41" t="n">
        <v>2032</v>
      </c>
      <c r="B186" s="8" t="s">
        <v>195</v>
      </c>
      <c r="C186" s="8" t="s">
        <v>192</v>
      </c>
      <c r="D186" s="42" t="n">
        <f aca="false">datos_base!$H$26*parametros_manuales!B$15</f>
        <v>0.724</v>
      </c>
      <c r="E186" s="42" t="n">
        <f aca="false">datos_base!$H$26*parametros_manuales!C$15</f>
        <v>0.5792</v>
      </c>
      <c r="F186" s="42" t="n">
        <f aca="false">datos_base!$H$26*parametros_manuales!D$15</f>
        <v>0.6154</v>
      </c>
      <c r="G186" s="42" t="n">
        <f aca="false">datos_base!$H$26*parametros_manuales!E$15</f>
        <v>0.6154</v>
      </c>
      <c r="H186" s="42" t="n">
        <f aca="false">datos_base!$H$26*parametros_manuales!F$15</f>
        <v>0.5792</v>
      </c>
      <c r="I186" s="42" t="n">
        <f aca="false">datos_base!$H$26*parametros_manuales!G$15</f>
        <v>0.543</v>
      </c>
      <c r="J186" s="42" t="n">
        <f aca="false">datos_base!$H$26*parametros_manuales!H$15</f>
        <v>0.5792</v>
      </c>
      <c r="K186" s="42" t="n">
        <f aca="false">datos_base!$H$26*parametros_manuales!I$15</f>
        <v>0.5792</v>
      </c>
      <c r="L186" s="42" t="n">
        <f aca="false">datos_base!$H$26*parametros_manuales!J$15</f>
        <v>0.5792</v>
      </c>
      <c r="M186" s="42" t="n">
        <f aca="false">datos_base!$H$26*parametros_manuales!K$15</f>
        <v>0.543</v>
      </c>
      <c r="N186" s="42" t="n">
        <f aca="false">datos_base!$H$26*parametros_manuales!L$15</f>
        <v>0.5068</v>
      </c>
      <c r="O186" s="42" t="n">
        <f aca="false">datos_base!$H$26*parametros_manuales!M$15</f>
        <v>0.7964</v>
      </c>
      <c r="P186" s="9" t="n">
        <f aca="false">SUM(D186:O186)</f>
        <v>7.24</v>
      </c>
    </row>
    <row r="187" customFormat="false" ht="14.25" hidden="false" customHeight="true" outlineLevel="0" collapsed="false">
      <c r="B187" s="10" t="s">
        <v>196</v>
      </c>
      <c r="D187" s="11" t="n">
        <f aca="false">SUM(D179:D186)</f>
        <v>22.428</v>
      </c>
      <c r="E187" s="11" t="n">
        <f aca="false">SUM(E179:E186)</f>
        <v>17.9424</v>
      </c>
      <c r="F187" s="11" t="n">
        <f aca="false">SUM(F179:F186)</f>
        <v>19.0638</v>
      </c>
      <c r="G187" s="11" t="n">
        <f aca="false">SUM(G179:G186)</f>
        <v>19.0638</v>
      </c>
      <c r="H187" s="11" t="n">
        <f aca="false">SUM(H179:H186)</f>
        <v>17.9424</v>
      </c>
      <c r="I187" s="11" t="n">
        <f aca="false">SUM(I179:I186)</f>
        <v>16.821</v>
      </c>
      <c r="J187" s="11" t="n">
        <f aca="false">SUM(J179:J186)</f>
        <v>17.9424</v>
      </c>
      <c r="K187" s="11" t="n">
        <f aca="false">SUM(K179:K186)</f>
        <v>17.9424</v>
      </c>
      <c r="L187" s="11" t="n">
        <f aca="false">SUM(L179:L186)</f>
        <v>17.9424</v>
      </c>
      <c r="M187" s="11" t="n">
        <f aca="false">SUM(M179:M186)</f>
        <v>16.821</v>
      </c>
      <c r="N187" s="11" t="n">
        <f aca="false">SUM(N179:N186)</f>
        <v>15.6996</v>
      </c>
      <c r="O187" s="11" t="n">
        <f aca="false">SUM(O179:O186)</f>
        <v>24.6708</v>
      </c>
      <c r="P187" s="11" t="n">
        <f aca="false">SUM(P179:P186)</f>
        <v>224.28</v>
      </c>
    </row>
    <row r="188" customFormat="false" ht="14.25" hidden="false" customHeight="true" outlineLevel="0" collapsed="false"/>
    <row r="189" customFormat="false" ht="14.25" hidden="false" customHeight="true" outlineLevel="0" collapsed="false">
      <c r="A189" s="7" t="n">
        <v>2033</v>
      </c>
      <c r="B189" s="7" t="s">
        <v>179</v>
      </c>
      <c r="C189" s="7" t="s">
        <v>180</v>
      </c>
      <c r="D189" s="7" t="s">
        <v>59</v>
      </c>
      <c r="E189" s="7" t="s">
        <v>60</v>
      </c>
      <c r="F189" s="7" t="s">
        <v>61</v>
      </c>
      <c r="G189" s="7" t="s">
        <v>62</v>
      </c>
      <c r="H189" s="7" t="s">
        <v>63</v>
      </c>
      <c r="I189" s="7" t="s">
        <v>64</v>
      </c>
      <c r="J189" s="7" t="s">
        <v>65</v>
      </c>
      <c r="K189" s="7" t="s">
        <v>66</v>
      </c>
      <c r="L189" s="7" t="s">
        <v>67</v>
      </c>
      <c r="M189" s="7" t="s">
        <v>68</v>
      </c>
      <c r="N189" s="7" t="s">
        <v>69</v>
      </c>
      <c r="O189" s="7" t="s">
        <v>70</v>
      </c>
      <c r="P189" s="7" t="s">
        <v>181</v>
      </c>
    </row>
    <row r="190" customFormat="false" ht="14.25" hidden="false" customHeight="true" outlineLevel="0" collapsed="false">
      <c r="A190" s="41" t="n">
        <v>2033</v>
      </c>
      <c r="B190" s="8" t="s">
        <v>186</v>
      </c>
      <c r="C190" s="8" t="s">
        <v>187</v>
      </c>
      <c r="D190" s="42" t="n">
        <f aca="false">datos_base!$I$18*parametros_manuales!B$12</f>
        <v>0</v>
      </c>
      <c r="E190" s="42" t="n">
        <f aca="false">datos_base!$I$18*parametros_manuales!C$12</f>
        <v>0</v>
      </c>
      <c r="F190" s="42" t="n">
        <f aca="false">datos_base!$I$18*parametros_manuales!D$12</f>
        <v>0</v>
      </c>
      <c r="G190" s="42" t="n">
        <f aca="false">datos_base!$I$18*parametros_manuales!E$12</f>
        <v>0</v>
      </c>
      <c r="H190" s="42" t="n">
        <f aca="false">datos_base!$I$18*parametros_manuales!F$12</f>
        <v>0</v>
      </c>
      <c r="I190" s="42" t="n">
        <f aca="false">datos_base!$I$18*parametros_manuales!G$12</f>
        <v>0</v>
      </c>
      <c r="J190" s="42" t="n">
        <f aca="false">datos_base!$I$18*parametros_manuales!H$12</f>
        <v>0</v>
      </c>
      <c r="K190" s="42" t="n">
        <f aca="false">datos_base!$I$18*parametros_manuales!I$12</f>
        <v>0</v>
      </c>
      <c r="L190" s="42" t="n">
        <f aca="false">datos_base!$I$18*parametros_manuales!J$12</f>
        <v>0</v>
      </c>
      <c r="M190" s="42" t="n">
        <f aca="false">datos_base!$I$18*parametros_manuales!K$12</f>
        <v>0</v>
      </c>
      <c r="N190" s="42" t="n">
        <f aca="false">datos_base!$I$18*parametros_manuales!L$12</f>
        <v>0</v>
      </c>
      <c r="O190" s="42" t="n">
        <f aca="false">datos_base!$I$18*parametros_manuales!M$12</f>
        <v>0</v>
      </c>
      <c r="P190" s="9" t="n">
        <f aca="false">SUM(D190:O190)</f>
        <v>0</v>
      </c>
    </row>
    <row r="191" customFormat="false" ht="14.25" hidden="false" customHeight="true" outlineLevel="0" collapsed="false">
      <c r="A191" s="41" t="n">
        <v>2033</v>
      </c>
      <c r="B191" s="8" t="s">
        <v>188</v>
      </c>
      <c r="C191" s="8" t="s">
        <v>187</v>
      </c>
      <c r="D191" s="42" t="n">
        <f aca="false">datos_base!$I$19*parametros_manuales!B$13</f>
        <v>0.876</v>
      </c>
      <c r="E191" s="42" t="n">
        <f aca="false">datos_base!$I$19*parametros_manuales!C$13</f>
        <v>0.7008</v>
      </c>
      <c r="F191" s="42" t="n">
        <f aca="false">datos_base!$I$19*parametros_manuales!D$13</f>
        <v>0.7446</v>
      </c>
      <c r="G191" s="42" t="n">
        <f aca="false">datos_base!$I$19*parametros_manuales!E$13</f>
        <v>0.7446</v>
      </c>
      <c r="H191" s="42" t="n">
        <f aca="false">datos_base!$I$19*parametros_manuales!F$13</f>
        <v>0.7008</v>
      </c>
      <c r="I191" s="42" t="n">
        <f aca="false">datos_base!$I$19*parametros_manuales!G$13</f>
        <v>0.657</v>
      </c>
      <c r="J191" s="42" t="n">
        <f aca="false">datos_base!$I$19*parametros_manuales!H$13</f>
        <v>0.7008</v>
      </c>
      <c r="K191" s="42" t="n">
        <f aca="false">datos_base!$I$19*parametros_manuales!I$13</f>
        <v>0.7008</v>
      </c>
      <c r="L191" s="42" t="n">
        <f aca="false">datos_base!$I$19*parametros_manuales!J$13</f>
        <v>0.7008</v>
      </c>
      <c r="M191" s="42" t="n">
        <f aca="false">datos_base!$I$19*parametros_manuales!K$13</f>
        <v>0.657</v>
      </c>
      <c r="N191" s="42" t="n">
        <f aca="false">datos_base!$I$19*parametros_manuales!L$13</f>
        <v>0.6132</v>
      </c>
      <c r="O191" s="42" t="n">
        <f aca="false">datos_base!$I$19*parametros_manuales!M$13</f>
        <v>0.9636</v>
      </c>
      <c r="P191" s="9" t="n">
        <f aca="false">SUM(D191:O191)</f>
        <v>8.76</v>
      </c>
    </row>
    <row r="192" customFormat="false" ht="14.25" hidden="false" customHeight="true" outlineLevel="0" collapsed="false">
      <c r="A192" s="41" t="n">
        <v>2033</v>
      </c>
      <c r="B192" s="8" t="s">
        <v>189</v>
      </c>
      <c r="C192" s="8" t="s">
        <v>187</v>
      </c>
      <c r="D192" s="42" t="n">
        <f aca="false">datos_base!$I$20*parametros_manuales!B$14</f>
        <v>5.536</v>
      </c>
      <c r="E192" s="42" t="n">
        <f aca="false">datos_base!$I$20*parametros_manuales!C$14</f>
        <v>4.4288</v>
      </c>
      <c r="F192" s="42" t="n">
        <f aca="false">datos_base!$I$20*parametros_manuales!D$14</f>
        <v>4.7056</v>
      </c>
      <c r="G192" s="42" t="n">
        <f aca="false">datos_base!$I$20*parametros_manuales!E$14</f>
        <v>4.7056</v>
      </c>
      <c r="H192" s="42" t="n">
        <f aca="false">datos_base!$I$20*parametros_manuales!F$14</f>
        <v>4.4288</v>
      </c>
      <c r="I192" s="42" t="n">
        <f aca="false">datos_base!$I$20*parametros_manuales!G$14</f>
        <v>4.152</v>
      </c>
      <c r="J192" s="42" t="n">
        <f aca="false">datos_base!$I$20*parametros_manuales!H$14</f>
        <v>4.4288</v>
      </c>
      <c r="K192" s="42" t="n">
        <f aca="false">datos_base!$I$20*parametros_manuales!I$14</f>
        <v>4.4288</v>
      </c>
      <c r="L192" s="42" t="n">
        <f aca="false">datos_base!$I$20*parametros_manuales!J$14</f>
        <v>4.4288</v>
      </c>
      <c r="M192" s="42" t="n">
        <f aca="false">datos_base!$I$20*parametros_manuales!K$14</f>
        <v>4.152</v>
      </c>
      <c r="N192" s="42" t="n">
        <f aca="false">datos_base!$I$20*parametros_manuales!L$14</f>
        <v>3.8752</v>
      </c>
      <c r="O192" s="42" t="n">
        <f aca="false">datos_base!$I$20*parametros_manuales!M$14</f>
        <v>6.0896</v>
      </c>
      <c r="P192" s="9" t="n">
        <f aca="false">SUM(D192:O192)</f>
        <v>55.36</v>
      </c>
    </row>
    <row r="193" customFormat="false" ht="14.25" hidden="false" customHeight="true" outlineLevel="0" collapsed="false">
      <c r="A193" s="41" t="n">
        <v>2033</v>
      </c>
      <c r="B193" s="8" t="s">
        <v>190</v>
      </c>
      <c r="C193" s="8" t="s">
        <v>187</v>
      </c>
      <c r="D193" s="42" t="n">
        <f aca="false">datos_base!$I$21*parametros_manuales!B$15</f>
        <v>0.336</v>
      </c>
      <c r="E193" s="42" t="n">
        <f aca="false">datos_base!$I$21*parametros_manuales!C$15</f>
        <v>0.2688</v>
      </c>
      <c r="F193" s="42" t="n">
        <f aca="false">datos_base!$I$21*parametros_manuales!D$15</f>
        <v>0.2856</v>
      </c>
      <c r="G193" s="42" t="n">
        <f aca="false">datos_base!$I$21*parametros_manuales!E$15</f>
        <v>0.2856</v>
      </c>
      <c r="H193" s="42" t="n">
        <f aca="false">datos_base!$I$21*parametros_manuales!F$15</f>
        <v>0.2688</v>
      </c>
      <c r="I193" s="42" t="n">
        <f aca="false">datos_base!$I$21*parametros_manuales!G$15</f>
        <v>0.252</v>
      </c>
      <c r="J193" s="42" t="n">
        <f aca="false">datos_base!$I$21*parametros_manuales!H$15</f>
        <v>0.2688</v>
      </c>
      <c r="K193" s="42" t="n">
        <f aca="false">datos_base!$I$21*parametros_manuales!I$15</f>
        <v>0.2688</v>
      </c>
      <c r="L193" s="42" t="n">
        <f aca="false">datos_base!$I$21*parametros_manuales!J$15</f>
        <v>0.2688</v>
      </c>
      <c r="M193" s="42" t="n">
        <f aca="false">datos_base!$I$21*parametros_manuales!K$15</f>
        <v>0.252</v>
      </c>
      <c r="N193" s="42" t="n">
        <f aca="false">datos_base!$I$21*parametros_manuales!L$15</f>
        <v>0.2352</v>
      </c>
      <c r="O193" s="42" t="n">
        <f aca="false">datos_base!$I$21*parametros_manuales!M$15</f>
        <v>0.3696</v>
      </c>
      <c r="P193" s="9" t="n">
        <f aca="false">SUM(D193:O193)</f>
        <v>3.36</v>
      </c>
    </row>
    <row r="194" customFormat="false" ht="14.25" hidden="false" customHeight="true" outlineLevel="0" collapsed="false">
      <c r="A194" s="41" t="n">
        <v>2033</v>
      </c>
      <c r="B194" s="8" t="s">
        <v>191</v>
      </c>
      <c r="C194" s="8" t="s">
        <v>192</v>
      </c>
      <c r="D194" s="42" t="n">
        <f aca="false">datos_base!$I$23*parametros_manuales!B$12</f>
        <v>0</v>
      </c>
      <c r="E194" s="42" t="n">
        <f aca="false">datos_base!$I$23*parametros_manuales!C$12</f>
        <v>0</v>
      </c>
      <c r="F194" s="42" t="n">
        <f aca="false">datos_base!$I$23*parametros_manuales!D$12</f>
        <v>0</v>
      </c>
      <c r="G194" s="42" t="n">
        <f aca="false">datos_base!$I$23*parametros_manuales!E$12</f>
        <v>0</v>
      </c>
      <c r="H194" s="42" t="n">
        <f aca="false">datos_base!$I$23*parametros_manuales!F$12</f>
        <v>0</v>
      </c>
      <c r="I194" s="42" t="n">
        <f aca="false">datos_base!$I$23*parametros_manuales!G$12</f>
        <v>0</v>
      </c>
      <c r="J194" s="42" t="n">
        <f aca="false">datos_base!$I$23*parametros_manuales!H$12</f>
        <v>0</v>
      </c>
      <c r="K194" s="42" t="n">
        <f aca="false">datos_base!$I$23*parametros_manuales!I$12</f>
        <v>0</v>
      </c>
      <c r="L194" s="42" t="n">
        <f aca="false">datos_base!$I$23*parametros_manuales!J$12</f>
        <v>0</v>
      </c>
      <c r="M194" s="42" t="n">
        <f aca="false">datos_base!$I$23*parametros_manuales!K$12</f>
        <v>0</v>
      </c>
      <c r="N194" s="42" t="n">
        <f aca="false">datos_base!$I$23*parametros_manuales!L$12</f>
        <v>0</v>
      </c>
      <c r="O194" s="42" t="n">
        <f aca="false">datos_base!$I$23*parametros_manuales!M$12</f>
        <v>0</v>
      </c>
      <c r="P194" s="9" t="n">
        <f aca="false">SUM(D194:O194)</f>
        <v>0</v>
      </c>
    </row>
    <row r="195" customFormat="false" ht="14.25" hidden="false" customHeight="true" outlineLevel="0" collapsed="false">
      <c r="A195" s="41" t="n">
        <v>2033</v>
      </c>
      <c r="B195" s="8" t="s">
        <v>193</v>
      </c>
      <c r="C195" s="8" t="s">
        <v>192</v>
      </c>
      <c r="D195" s="42" t="n">
        <f aca="false">datos_base!$I$24*parametros_manuales!B$13</f>
        <v>1.712</v>
      </c>
      <c r="E195" s="42" t="n">
        <f aca="false">datos_base!$I$24*parametros_manuales!C$13</f>
        <v>1.3696</v>
      </c>
      <c r="F195" s="42" t="n">
        <f aca="false">datos_base!$I$24*parametros_manuales!D$13</f>
        <v>1.4552</v>
      </c>
      <c r="G195" s="42" t="n">
        <f aca="false">datos_base!$I$24*parametros_manuales!E$13</f>
        <v>1.4552</v>
      </c>
      <c r="H195" s="42" t="n">
        <f aca="false">datos_base!$I$24*parametros_manuales!F$13</f>
        <v>1.3696</v>
      </c>
      <c r="I195" s="42" t="n">
        <f aca="false">datos_base!$I$24*parametros_manuales!G$13</f>
        <v>1.284</v>
      </c>
      <c r="J195" s="42" t="n">
        <f aca="false">datos_base!$I$24*parametros_manuales!H$13</f>
        <v>1.3696</v>
      </c>
      <c r="K195" s="42" t="n">
        <f aca="false">datos_base!$I$24*parametros_manuales!I$13</f>
        <v>1.3696</v>
      </c>
      <c r="L195" s="42" t="n">
        <f aca="false">datos_base!$I$24*parametros_manuales!J$13</f>
        <v>1.3696</v>
      </c>
      <c r="M195" s="42" t="n">
        <f aca="false">datos_base!$I$24*parametros_manuales!K$13</f>
        <v>1.284</v>
      </c>
      <c r="N195" s="42" t="n">
        <f aca="false">datos_base!$I$24*parametros_manuales!L$13</f>
        <v>1.1984</v>
      </c>
      <c r="O195" s="42" t="n">
        <f aca="false">datos_base!$I$24*parametros_manuales!M$13</f>
        <v>1.8832</v>
      </c>
      <c r="P195" s="9" t="n">
        <f aca="false">SUM(D195:O195)</f>
        <v>17.12</v>
      </c>
    </row>
    <row r="196" customFormat="false" ht="14.25" hidden="false" customHeight="true" outlineLevel="0" collapsed="false">
      <c r="A196" s="41" t="n">
        <v>2033</v>
      </c>
      <c r="B196" s="8" t="s">
        <v>194</v>
      </c>
      <c r="C196" s="8" t="s">
        <v>192</v>
      </c>
      <c r="D196" s="42" t="n">
        <f aca="false">datos_base!$I$25*parametros_manuales!B$14</f>
        <v>10.628</v>
      </c>
      <c r="E196" s="42" t="n">
        <f aca="false">datos_base!$I$25*parametros_manuales!C$14</f>
        <v>8.5024</v>
      </c>
      <c r="F196" s="42" t="n">
        <f aca="false">datos_base!$I$25*parametros_manuales!D$14</f>
        <v>9.0338</v>
      </c>
      <c r="G196" s="42" t="n">
        <f aca="false">datos_base!$I$25*parametros_manuales!E$14</f>
        <v>9.0338</v>
      </c>
      <c r="H196" s="42" t="n">
        <f aca="false">datos_base!$I$25*parametros_manuales!F$14</f>
        <v>8.5024</v>
      </c>
      <c r="I196" s="42" t="n">
        <f aca="false">datos_base!$I$25*parametros_manuales!G$14</f>
        <v>7.971</v>
      </c>
      <c r="J196" s="42" t="n">
        <f aca="false">datos_base!$I$25*parametros_manuales!H$14</f>
        <v>8.5024</v>
      </c>
      <c r="K196" s="42" t="n">
        <f aca="false">datos_base!$I$25*parametros_manuales!I$14</f>
        <v>8.5024</v>
      </c>
      <c r="L196" s="42" t="n">
        <f aca="false">datos_base!$I$25*parametros_manuales!J$14</f>
        <v>8.5024</v>
      </c>
      <c r="M196" s="42" t="n">
        <f aca="false">datos_base!$I$25*parametros_manuales!K$14</f>
        <v>7.971</v>
      </c>
      <c r="N196" s="42" t="n">
        <f aca="false">datos_base!$I$25*parametros_manuales!L$14</f>
        <v>7.4396</v>
      </c>
      <c r="O196" s="42" t="n">
        <f aca="false">datos_base!$I$25*parametros_manuales!M$14</f>
        <v>11.6908</v>
      </c>
      <c r="P196" s="9" t="n">
        <f aca="false">SUM(D196:O196)</f>
        <v>106.28</v>
      </c>
    </row>
    <row r="197" customFormat="false" ht="14.25" hidden="false" customHeight="true" outlineLevel="0" collapsed="false">
      <c r="A197" s="41" t="n">
        <v>2033</v>
      </c>
      <c r="B197" s="8" t="s">
        <v>195</v>
      </c>
      <c r="C197" s="8" t="s">
        <v>192</v>
      </c>
      <c r="D197" s="42" t="n">
        <f aca="false">datos_base!$I$26*parametros_manuales!B$15</f>
        <v>0.564</v>
      </c>
      <c r="E197" s="42" t="n">
        <f aca="false">datos_base!$I$26*parametros_manuales!C$15</f>
        <v>0.4512</v>
      </c>
      <c r="F197" s="42" t="n">
        <f aca="false">datos_base!$I$26*parametros_manuales!D$15</f>
        <v>0.4794</v>
      </c>
      <c r="G197" s="42" t="n">
        <f aca="false">datos_base!$I$26*parametros_manuales!E$15</f>
        <v>0.4794</v>
      </c>
      <c r="H197" s="42" t="n">
        <f aca="false">datos_base!$I$26*parametros_manuales!F$15</f>
        <v>0.4512</v>
      </c>
      <c r="I197" s="42" t="n">
        <f aca="false">datos_base!$I$26*parametros_manuales!G$15</f>
        <v>0.423</v>
      </c>
      <c r="J197" s="42" t="n">
        <f aca="false">datos_base!$I$26*parametros_manuales!H$15</f>
        <v>0.4512</v>
      </c>
      <c r="K197" s="42" t="n">
        <f aca="false">datos_base!$I$26*parametros_manuales!I$15</f>
        <v>0.4512</v>
      </c>
      <c r="L197" s="42" t="n">
        <f aca="false">datos_base!$I$26*parametros_manuales!J$15</f>
        <v>0.4512</v>
      </c>
      <c r="M197" s="42" t="n">
        <f aca="false">datos_base!$I$26*parametros_manuales!K$15</f>
        <v>0.423</v>
      </c>
      <c r="N197" s="42" t="n">
        <f aca="false">datos_base!$I$26*parametros_manuales!L$15</f>
        <v>0.3948</v>
      </c>
      <c r="O197" s="42" t="n">
        <f aca="false">datos_base!$I$26*parametros_manuales!M$15</f>
        <v>0.6204</v>
      </c>
      <c r="P197" s="9" t="n">
        <f aca="false">SUM(D197:O197)</f>
        <v>5.64</v>
      </c>
    </row>
    <row r="198" customFormat="false" ht="14.25" hidden="false" customHeight="true" outlineLevel="0" collapsed="false">
      <c r="B198" s="10" t="s">
        <v>196</v>
      </c>
      <c r="D198" s="11" t="n">
        <f aca="false">SUM(D190:D197)</f>
        <v>19.652</v>
      </c>
      <c r="E198" s="11" t="n">
        <f aca="false">SUM(E190:E197)</f>
        <v>15.7216</v>
      </c>
      <c r="F198" s="11" t="n">
        <f aca="false">SUM(F190:F197)</f>
        <v>16.7042</v>
      </c>
      <c r="G198" s="11" t="n">
        <f aca="false">SUM(G190:G197)</f>
        <v>16.7042</v>
      </c>
      <c r="H198" s="11" t="n">
        <f aca="false">SUM(H190:H197)</f>
        <v>15.7216</v>
      </c>
      <c r="I198" s="11" t="n">
        <f aca="false">SUM(I190:I197)</f>
        <v>14.739</v>
      </c>
      <c r="J198" s="11" t="n">
        <f aca="false">SUM(J190:J197)</f>
        <v>15.7216</v>
      </c>
      <c r="K198" s="11" t="n">
        <f aca="false">SUM(K190:K197)</f>
        <v>15.7216</v>
      </c>
      <c r="L198" s="11" t="n">
        <f aca="false">SUM(L190:L197)</f>
        <v>15.7216</v>
      </c>
      <c r="M198" s="11" t="n">
        <f aca="false">SUM(M190:M197)</f>
        <v>14.739</v>
      </c>
      <c r="N198" s="11" t="n">
        <f aca="false">SUM(N190:N197)</f>
        <v>13.7564</v>
      </c>
      <c r="O198" s="11" t="n">
        <f aca="false">SUM(O190:O197)</f>
        <v>21.6172</v>
      </c>
      <c r="P198" s="11" t="n">
        <f aca="false">SUM(P190:P197)</f>
        <v>196.52</v>
      </c>
    </row>
    <row r="199" customFormat="false" ht="14.25" hidden="false" customHeight="true" outlineLevel="0" collapsed="false"/>
    <row r="200" customFormat="false" ht="14.25" hidden="false" customHeight="true" outlineLevel="0" collapsed="false">
      <c r="A200" s="7" t="n">
        <v>2034</v>
      </c>
      <c r="B200" s="7" t="s">
        <v>179</v>
      </c>
      <c r="C200" s="7" t="s">
        <v>180</v>
      </c>
      <c r="D200" s="7" t="s">
        <v>59</v>
      </c>
      <c r="E200" s="7" t="s">
        <v>60</v>
      </c>
      <c r="F200" s="7" t="s">
        <v>61</v>
      </c>
      <c r="G200" s="7" t="s">
        <v>62</v>
      </c>
      <c r="H200" s="7" t="s">
        <v>63</v>
      </c>
      <c r="I200" s="7" t="s">
        <v>64</v>
      </c>
      <c r="J200" s="7" t="s">
        <v>65</v>
      </c>
      <c r="K200" s="7" t="s">
        <v>66</v>
      </c>
      <c r="L200" s="7" t="s">
        <v>67</v>
      </c>
      <c r="M200" s="7" t="s">
        <v>68</v>
      </c>
      <c r="N200" s="7" t="s">
        <v>69</v>
      </c>
      <c r="O200" s="7" t="s">
        <v>70</v>
      </c>
      <c r="P200" s="7" t="s">
        <v>181</v>
      </c>
    </row>
    <row r="201" customFormat="false" ht="14.25" hidden="false" customHeight="true" outlineLevel="0" collapsed="false">
      <c r="A201" s="41" t="n">
        <v>2034</v>
      </c>
      <c r="B201" s="8" t="s">
        <v>186</v>
      </c>
      <c r="C201" s="8" t="s">
        <v>187</v>
      </c>
      <c r="D201" s="42" t="n">
        <f aca="false">datos_base!$J$18*parametros_manuales!B$12</f>
        <v>0</v>
      </c>
      <c r="E201" s="42" t="n">
        <f aca="false">datos_base!$J$18*parametros_manuales!C$12</f>
        <v>0</v>
      </c>
      <c r="F201" s="42" t="n">
        <f aca="false">datos_base!$J$18*parametros_manuales!D$12</f>
        <v>0</v>
      </c>
      <c r="G201" s="42" t="n">
        <f aca="false">datos_base!$J$18*parametros_manuales!E$12</f>
        <v>0</v>
      </c>
      <c r="H201" s="42" t="n">
        <f aca="false">datos_base!$J$18*parametros_manuales!F$12</f>
        <v>0</v>
      </c>
      <c r="I201" s="42" t="n">
        <f aca="false">datos_base!$J$18*parametros_manuales!G$12</f>
        <v>0</v>
      </c>
      <c r="J201" s="42" t="n">
        <f aca="false">datos_base!$J$18*parametros_manuales!H$12</f>
        <v>0</v>
      </c>
      <c r="K201" s="42" t="n">
        <f aca="false">datos_base!$J$18*parametros_manuales!I$12</f>
        <v>0</v>
      </c>
      <c r="L201" s="42" t="n">
        <f aca="false">datos_base!$J$18*parametros_manuales!J$12</f>
        <v>0</v>
      </c>
      <c r="M201" s="42" t="n">
        <f aca="false">datos_base!$J$18*parametros_manuales!K$12</f>
        <v>0</v>
      </c>
      <c r="N201" s="42" t="n">
        <f aca="false">datos_base!$J$18*parametros_manuales!L$12</f>
        <v>0</v>
      </c>
      <c r="O201" s="42" t="n">
        <f aca="false">datos_base!$J$18*parametros_manuales!M$12</f>
        <v>0</v>
      </c>
      <c r="P201" s="9" t="n">
        <f aca="false">SUM(D201:O201)</f>
        <v>0</v>
      </c>
    </row>
    <row r="202" customFormat="false" ht="14.25" hidden="false" customHeight="true" outlineLevel="0" collapsed="false">
      <c r="A202" s="41" t="n">
        <v>2034</v>
      </c>
      <c r="B202" s="8" t="s">
        <v>188</v>
      </c>
      <c r="C202" s="8" t="s">
        <v>187</v>
      </c>
      <c r="D202" s="42" t="n">
        <f aca="false">datos_base!$J$19*parametros_manuales!B$13</f>
        <v>0.816</v>
      </c>
      <c r="E202" s="42" t="n">
        <f aca="false">datos_base!$J$19*parametros_manuales!C$13</f>
        <v>0.6528</v>
      </c>
      <c r="F202" s="42" t="n">
        <f aca="false">datos_base!$J$19*parametros_manuales!D$13</f>
        <v>0.6936</v>
      </c>
      <c r="G202" s="42" t="n">
        <f aca="false">datos_base!$J$19*parametros_manuales!E$13</f>
        <v>0.6936</v>
      </c>
      <c r="H202" s="42" t="n">
        <f aca="false">datos_base!$J$19*parametros_manuales!F$13</f>
        <v>0.6528</v>
      </c>
      <c r="I202" s="42" t="n">
        <f aca="false">datos_base!$J$19*parametros_manuales!G$13</f>
        <v>0.612</v>
      </c>
      <c r="J202" s="42" t="n">
        <f aca="false">datos_base!$J$19*parametros_manuales!H$13</f>
        <v>0.6528</v>
      </c>
      <c r="K202" s="42" t="n">
        <f aca="false">datos_base!$J$19*parametros_manuales!I$13</f>
        <v>0.6528</v>
      </c>
      <c r="L202" s="42" t="n">
        <f aca="false">datos_base!$J$19*parametros_manuales!J$13</f>
        <v>0.6528</v>
      </c>
      <c r="M202" s="42" t="n">
        <f aca="false">datos_base!$J$19*parametros_manuales!K$13</f>
        <v>0.612</v>
      </c>
      <c r="N202" s="42" t="n">
        <f aca="false">datos_base!$J$19*parametros_manuales!L$13</f>
        <v>0.5712</v>
      </c>
      <c r="O202" s="42" t="n">
        <f aca="false">datos_base!$J$19*parametros_manuales!M$13</f>
        <v>0.8976</v>
      </c>
      <c r="P202" s="9" t="n">
        <f aca="false">SUM(D202:O202)</f>
        <v>8.16</v>
      </c>
    </row>
    <row r="203" customFormat="false" ht="14.25" hidden="false" customHeight="true" outlineLevel="0" collapsed="false">
      <c r="A203" s="41" t="n">
        <v>2034</v>
      </c>
      <c r="B203" s="8" t="s">
        <v>189</v>
      </c>
      <c r="C203" s="8" t="s">
        <v>187</v>
      </c>
      <c r="D203" s="42" t="n">
        <f aca="false">datos_base!$J$20*parametros_manuales!B$14</f>
        <v>5.092</v>
      </c>
      <c r="E203" s="42" t="n">
        <f aca="false">datos_base!$J$20*parametros_manuales!C$14</f>
        <v>4.0736</v>
      </c>
      <c r="F203" s="42" t="n">
        <f aca="false">datos_base!$J$20*parametros_manuales!D$14</f>
        <v>4.3282</v>
      </c>
      <c r="G203" s="42" t="n">
        <f aca="false">datos_base!$J$20*parametros_manuales!E$14</f>
        <v>4.3282</v>
      </c>
      <c r="H203" s="42" t="n">
        <f aca="false">datos_base!$J$20*parametros_manuales!F$14</f>
        <v>4.0736</v>
      </c>
      <c r="I203" s="42" t="n">
        <f aca="false">datos_base!$J$20*parametros_manuales!G$14</f>
        <v>3.819</v>
      </c>
      <c r="J203" s="42" t="n">
        <f aca="false">datos_base!$J$20*parametros_manuales!H$14</f>
        <v>4.0736</v>
      </c>
      <c r="K203" s="42" t="n">
        <f aca="false">datos_base!$J$20*parametros_manuales!I$14</f>
        <v>4.0736</v>
      </c>
      <c r="L203" s="42" t="n">
        <f aca="false">datos_base!$J$20*parametros_manuales!J$14</f>
        <v>4.0736</v>
      </c>
      <c r="M203" s="42" t="n">
        <f aca="false">datos_base!$J$20*parametros_manuales!K$14</f>
        <v>3.819</v>
      </c>
      <c r="N203" s="42" t="n">
        <f aca="false">datos_base!$J$20*parametros_manuales!L$14</f>
        <v>3.5644</v>
      </c>
      <c r="O203" s="42" t="n">
        <f aca="false">datos_base!$J$20*parametros_manuales!M$14</f>
        <v>5.6012</v>
      </c>
      <c r="P203" s="9" t="n">
        <f aca="false">SUM(D203:O203)</f>
        <v>50.92</v>
      </c>
    </row>
    <row r="204" customFormat="false" ht="14.25" hidden="false" customHeight="true" outlineLevel="0" collapsed="false">
      <c r="A204" s="41" t="n">
        <v>2034</v>
      </c>
      <c r="B204" s="8" t="s">
        <v>190</v>
      </c>
      <c r="C204" s="8" t="s">
        <v>187</v>
      </c>
      <c r="D204" s="42" t="n">
        <f aca="false">datos_base!$J$21*parametros_manuales!B$15</f>
        <v>0.352</v>
      </c>
      <c r="E204" s="42" t="n">
        <f aca="false">datos_base!$J$21*parametros_manuales!C$15</f>
        <v>0.2816</v>
      </c>
      <c r="F204" s="42" t="n">
        <f aca="false">datos_base!$J$21*parametros_manuales!D$15</f>
        <v>0.2992</v>
      </c>
      <c r="G204" s="42" t="n">
        <f aca="false">datos_base!$J$21*parametros_manuales!E$15</f>
        <v>0.2992</v>
      </c>
      <c r="H204" s="42" t="n">
        <f aca="false">datos_base!$J$21*parametros_manuales!F$15</f>
        <v>0.2816</v>
      </c>
      <c r="I204" s="42" t="n">
        <f aca="false">datos_base!$J$21*parametros_manuales!G$15</f>
        <v>0.264</v>
      </c>
      <c r="J204" s="42" t="n">
        <f aca="false">datos_base!$J$21*parametros_manuales!H$15</f>
        <v>0.2816</v>
      </c>
      <c r="K204" s="42" t="n">
        <f aca="false">datos_base!$J$21*parametros_manuales!I$15</f>
        <v>0.2816</v>
      </c>
      <c r="L204" s="42" t="n">
        <f aca="false">datos_base!$J$21*parametros_manuales!J$15</f>
        <v>0.2816</v>
      </c>
      <c r="M204" s="42" t="n">
        <f aca="false">datos_base!$J$21*parametros_manuales!K$15</f>
        <v>0.264</v>
      </c>
      <c r="N204" s="42" t="n">
        <f aca="false">datos_base!$J$21*parametros_manuales!L$15</f>
        <v>0.2464</v>
      </c>
      <c r="O204" s="42" t="n">
        <f aca="false">datos_base!$J$21*parametros_manuales!M$15</f>
        <v>0.3872</v>
      </c>
      <c r="P204" s="9" t="n">
        <f aca="false">SUM(D204:O204)</f>
        <v>3.52</v>
      </c>
    </row>
    <row r="205" customFormat="false" ht="14.25" hidden="false" customHeight="true" outlineLevel="0" collapsed="false">
      <c r="A205" s="41" t="n">
        <v>2034</v>
      </c>
      <c r="B205" s="8" t="s">
        <v>191</v>
      </c>
      <c r="C205" s="8" t="s">
        <v>192</v>
      </c>
      <c r="D205" s="42" t="n">
        <f aca="false">datos_base!$J$23*parametros_manuales!B$12</f>
        <v>0</v>
      </c>
      <c r="E205" s="42" t="n">
        <f aca="false">datos_base!$J$23*parametros_manuales!C$12</f>
        <v>0</v>
      </c>
      <c r="F205" s="42" t="n">
        <f aca="false">datos_base!$J$23*parametros_manuales!D$12</f>
        <v>0</v>
      </c>
      <c r="G205" s="42" t="n">
        <f aca="false">datos_base!$J$23*parametros_manuales!E$12</f>
        <v>0</v>
      </c>
      <c r="H205" s="42" t="n">
        <f aca="false">datos_base!$J$23*parametros_manuales!F$12</f>
        <v>0</v>
      </c>
      <c r="I205" s="42" t="n">
        <f aca="false">datos_base!$J$23*parametros_manuales!G$12</f>
        <v>0</v>
      </c>
      <c r="J205" s="42" t="n">
        <f aca="false">datos_base!$J$23*parametros_manuales!H$12</f>
        <v>0</v>
      </c>
      <c r="K205" s="42" t="n">
        <f aca="false">datos_base!$J$23*parametros_manuales!I$12</f>
        <v>0</v>
      </c>
      <c r="L205" s="42" t="n">
        <f aca="false">datos_base!$J$23*parametros_manuales!J$12</f>
        <v>0</v>
      </c>
      <c r="M205" s="42" t="n">
        <f aca="false">datos_base!$J$23*parametros_manuales!K$12</f>
        <v>0</v>
      </c>
      <c r="N205" s="42" t="n">
        <f aca="false">datos_base!$J$23*parametros_manuales!L$12</f>
        <v>0</v>
      </c>
      <c r="O205" s="42" t="n">
        <f aca="false">datos_base!$J$23*parametros_manuales!M$12</f>
        <v>0</v>
      </c>
      <c r="P205" s="9" t="n">
        <f aca="false">SUM(D205:O205)</f>
        <v>0</v>
      </c>
    </row>
    <row r="206" customFormat="false" ht="14.25" hidden="false" customHeight="true" outlineLevel="0" collapsed="false">
      <c r="A206" s="41" t="n">
        <v>2034</v>
      </c>
      <c r="B206" s="8" t="s">
        <v>193</v>
      </c>
      <c r="C206" s="8" t="s">
        <v>192</v>
      </c>
      <c r="D206" s="42" t="n">
        <f aca="false">datos_base!$J$24*parametros_manuales!B$13</f>
        <v>1.592</v>
      </c>
      <c r="E206" s="42" t="n">
        <f aca="false">datos_base!$J$24*parametros_manuales!C$13</f>
        <v>1.2736</v>
      </c>
      <c r="F206" s="42" t="n">
        <f aca="false">datos_base!$J$24*parametros_manuales!D$13</f>
        <v>1.3532</v>
      </c>
      <c r="G206" s="42" t="n">
        <f aca="false">datos_base!$J$24*parametros_manuales!E$13</f>
        <v>1.3532</v>
      </c>
      <c r="H206" s="42" t="n">
        <f aca="false">datos_base!$J$24*parametros_manuales!F$13</f>
        <v>1.2736</v>
      </c>
      <c r="I206" s="42" t="n">
        <f aca="false">datos_base!$J$24*parametros_manuales!G$13</f>
        <v>1.194</v>
      </c>
      <c r="J206" s="42" t="n">
        <f aca="false">datos_base!$J$24*parametros_manuales!H$13</f>
        <v>1.2736</v>
      </c>
      <c r="K206" s="42" t="n">
        <f aca="false">datos_base!$J$24*parametros_manuales!I$13</f>
        <v>1.2736</v>
      </c>
      <c r="L206" s="42" t="n">
        <f aca="false">datos_base!$J$24*parametros_manuales!J$13</f>
        <v>1.2736</v>
      </c>
      <c r="M206" s="42" t="n">
        <f aca="false">datos_base!$J$24*parametros_manuales!K$13</f>
        <v>1.194</v>
      </c>
      <c r="N206" s="42" t="n">
        <f aca="false">datos_base!$J$24*parametros_manuales!L$13</f>
        <v>1.1144</v>
      </c>
      <c r="O206" s="42" t="n">
        <f aca="false">datos_base!$J$24*parametros_manuales!M$13</f>
        <v>1.7512</v>
      </c>
      <c r="P206" s="9" t="n">
        <f aca="false">SUM(D206:O206)</f>
        <v>15.92</v>
      </c>
    </row>
    <row r="207" customFormat="false" ht="14.25" hidden="false" customHeight="true" outlineLevel="0" collapsed="false">
      <c r="A207" s="41" t="n">
        <v>2034</v>
      </c>
      <c r="B207" s="8" t="s">
        <v>194</v>
      </c>
      <c r="C207" s="8" t="s">
        <v>192</v>
      </c>
      <c r="D207" s="42" t="n">
        <f aca="false">datos_base!$J$25*parametros_manuales!B$14</f>
        <v>10.016</v>
      </c>
      <c r="E207" s="42" t="n">
        <f aca="false">datos_base!$J$25*parametros_manuales!C$14</f>
        <v>8.0128</v>
      </c>
      <c r="F207" s="42" t="n">
        <f aca="false">datos_base!$J$25*parametros_manuales!D$14</f>
        <v>8.5136</v>
      </c>
      <c r="G207" s="42" t="n">
        <f aca="false">datos_base!$J$25*parametros_manuales!E$14</f>
        <v>8.5136</v>
      </c>
      <c r="H207" s="42" t="n">
        <f aca="false">datos_base!$J$25*parametros_manuales!F$14</f>
        <v>8.0128</v>
      </c>
      <c r="I207" s="42" t="n">
        <f aca="false">datos_base!$J$25*parametros_manuales!G$14</f>
        <v>7.512</v>
      </c>
      <c r="J207" s="42" t="n">
        <f aca="false">datos_base!$J$25*parametros_manuales!H$14</f>
        <v>8.0128</v>
      </c>
      <c r="K207" s="42" t="n">
        <f aca="false">datos_base!$J$25*parametros_manuales!I$14</f>
        <v>8.0128</v>
      </c>
      <c r="L207" s="42" t="n">
        <f aca="false">datos_base!$J$25*parametros_manuales!J$14</f>
        <v>8.0128</v>
      </c>
      <c r="M207" s="42" t="n">
        <f aca="false">datos_base!$J$25*parametros_manuales!K$14</f>
        <v>7.512</v>
      </c>
      <c r="N207" s="42" t="n">
        <f aca="false">datos_base!$J$25*parametros_manuales!L$14</f>
        <v>7.0112</v>
      </c>
      <c r="O207" s="42" t="n">
        <f aca="false">datos_base!$J$25*parametros_manuales!M$14</f>
        <v>11.0176</v>
      </c>
      <c r="P207" s="9" t="n">
        <f aca="false">SUM(D207:O207)</f>
        <v>100.16</v>
      </c>
    </row>
    <row r="208" customFormat="false" ht="14.25" hidden="false" customHeight="true" outlineLevel="0" collapsed="false">
      <c r="A208" s="41" t="n">
        <v>2034</v>
      </c>
      <c r="B208" s="8" t="s">
        <v>195</v>
      </c>
      <c r="C208" s="8" t="s">
        <v>192</v>
      </c>
      <c r="D208" s="42" t="n">
        <f aca="false">datos_base!$J$26*parametros_manuales!B$15</f>
        <v>0.588</v>
      </c>
      <c r="E208" s="42" t="n">
        <f aca="false">datos_base!$J$26*parametros_manuales!C$15</f>
        <v>0.4704</v>
      </c>
      <c r="F208" s="42" t="n">
        <f aca="false">datos_base!$J$26*parametros_manuales!D$15</f>
        <v>0.4998</v>
      </c>
      <c r="G208" s="42" t="n">
        <f aca="false">datos_base!$J$26*parametros_manuales!E$15</f>
        <v>0.4998</v>
      </c>
      <c r="H208" s="42" t="n">
        <f aca="false">datos_base!$J$26*parametros_manuales!F$15</f>
        <v>0.4704</v>
      </c>
      <c r="I208" s="42" t="n">
        <f aca="false">datos_base!$J$26*parametros_manuales!G$15</f>
        <v>0.441</v>
      </c>
      <c r="J208" s="42" t="n">
        <f aca="false">datos_base!$J$26*parametros_manuales!H$15</f>
        <v>0.4704</v>
      </c>
      <c r="K208" s="42" t="n">
        <f aca="false">datos_base!$J$26*parametros_manuales!I$15</f>
        <v>0.4704</v>
      </c>
      <c r="L208" s="42" t="n">
        <f aca="false">datos_base!$J$26*parametros_manuales!J$15</f>
        <v>0.4704</v>
      </c>
      <c r="M208" s="42" t="n">
        <f aca="false">datos_base!$J$26*parametros_manuales!K$15</f>
        <v>0.441</v>
      </c>
      <c r="N208" s="42" t="n">
        <f aca="false">datos_base!$J$26*parametros_manuales!L$15</f>
        <v>0.4116</v>
      </c>
      <c r="O208" s="42" t="n">
        <f aca="false">datos_base!$J$26*parametros_manuales!M$15</f>
        <v>0.6468</v>
      </c>
      <c r="P208" s="9" t="n">
        <f aca="false">SUM(D208:O208)</f>
        <v>5.88</v>
      </c>
    </row>
    <row r="209" customFormat="false" ht="14.25" hidden="false" customHeight="true" outlineLevel="0" collapsed="false">
      <c r="B209" s="10" t="s">
        <v>196</v>
      </c>
      <c r="D209" s="11" t="n">
        <f aca="false">SUM(D201:D208)</f>
        <v>18.456</v>
      </c>
      <c r="E209" s="11" t="n">
        <f aca="false">SUM(E201:E208)</f>
        <v>14.7648</v>
      </c>
      <c r="F209" s="11" t="n">
        <f aca="false">SUM(F201:F208)</f>
        <v>15.6876</v>
      </c>
      <c r="G209" s="11" t="n">
        <f aca="false">SUM(G201:G208)</f>
        <v>15.6876</v>
      </c>
      <c r="H209" s="11" t="n">
        <f aca="false">SUM(H201:H208)</f>
        <v>14.7648</v>
      </c>
      <c r="I209" s="11" t="n">
        <f aca="false">SUM(I201:I208)</f>
        <v>13.842</v>
      </c>
      <c r="J209" s="11" t="n">
        <f aca="false">SUM(J201:J208)</f>
        <v>14.7648</v>
      </c>
      <c r="K209" s="11" t="n">
        <f aca="false">SUM(K201:K208)</f>
        <v>14.7648</v>
      </c>
      <c r="L209" s="11" t="n">
        <f aca="false">SUM(L201:L208)</f>
        <v>14.7648</v>
      </c>
      <c r="M209" s="11" t="n">
        <f aca="false">SUM(M201:M208)</f>
        <v>13.842</v>
      </c>
      <c r="N209" s="11" t="n">
        <f aca="false">SUM(N201:N208)</f>
        <v>12.9192</v>
      </c>
      <c r="O209" s="11" t="n">
        <f aca="false">SUM(O201:O208)</f>
        <v>20.3016</v>
      </c>
      <c r="P209" s="11" t="n">
        <f aca="false">SUM(P201:P208)</f>
        <v>184.56</v>
      </c>
    </row>
    <row r="210" customFormat="false" ht="14.25" hidden="false" customHeight="true" outlineLevel="0" collapsed="false"/>
    <row r="211" customFormat="false" ht="14.25" hidden="false" customHeight="true" outlineLevel="0" collapsed="false">
      <c r="A211" s="7" t="n">
        <v>2035</v>
      </c>
      <c r="B211" s="7" t="s">
        <v>179</v>
      </c>
      <c r="C211" s="7" t="s">
        <v>180</v>
      </c>
      <c r="D211" s="7" t="s">
        <v>59</v>
      </c>
      <c r="E211" s="7" t="s">
        <v>60</v>
      </c>
      <c r="F211" s="7" t="s">
        <v>61</v>
      </c>
      <c r="G211" s="7" t="s">
        <v>62</v>
      </c>
      <c r="H211" s="7" t="s">
        <v>63</v>
      </c>
      <c r="I211" s="7" t="s">
        <v>64</v>
      </c>
      <c r="J211" s="7" t="s">
        <v>65</v>
      </c>
      <c r="K211" s="7" t="s">
        <v>66</v>
      </c>
      <c r="L211" s="7" t="s">
        <v>67</v>
      </c>
      <c r="M211" s="7" t="s">
        <v>68</v>
      </c>
      <c r="N211" s="7" t="s">
        <v>69</v>
      </c>
      <c r="O211" s="7" t="s">
        <v>70</v>
      </c>
      <c r="P211" s="7" t="s">
        <v>181</v>
      </c>
    </row>
    <row r="212" customFormat="false" ht="14.25" hidden="false" customHeight="true" outlineLevel="0" collapsed="false">
      <c r="A212" s="41" t="n">
        <v>2035</v>
      </c>
      <c r="B212" s="8" t="s">
        <v>186</v>
      </c>
      <c r="C212" s="8" t="s">
        <v>187</v>
      </c>
      <c r="D212" s="42" t="n">
        <f aca="false">datos_base!$K$18*parametros_manuales!B$12</f>
        <v>0</v>
      </c>
      <c r="E212" s="42" t="n">
        <f aca="false">datos_base!$K$18*parametros_manuales!C$12</f>
        <v>0</v>
      </c>
      <c r="F212" s="42" t="n">
        <f aca="false">datos_base!$K$18*parametros_manuales!D$12</f>
        <v>0</v>
      </c>
      <c r="G212" s="42" t="n">
        <f aca="false">datos_base!$K$18*parametros_manuales!E$12</f>
        <v>0</v>
      </c>
      <c r="H212" s="42" t="n">
        <f aca="false">datos_base!$K$18*parametros_manuales!F$12</f>
        <v>0</v>
      </c>
      <c r="I212" s="42" t="n">
        <f aca="false">datos_base!$K$18*parametros_manuales!G$12</f>
        <v>0</v>
      </c>
      <c r="J212" s="42" t="n">
        <f aca="false">datos_base!$K$18*parametros_manuales!H$12</f>
        <v>0</v>
      </c>
      <c r="K212" s="42" t="n">
        <f aca="false">datos_base!$K$18*parametros_manuales!I$12</f>
        <v>0</v>
      </c>
      <c r="L212" s="42" t="n">
        <f aca="false">datos_base!$K$18*parametros_manuales!J$12</f>
        <v>0</v>
      </c>
      <c r="M212" s="42" t="n">
        <f aca="false">datos_base!$K$18*parametros_manuales!K$12</f>
        <v>0</v>
      </c>
      <c r="N212" s="42" t="n">
        <f aca="false">datos_base!$K$18*parametros_manuales!L$12</f>
        <v>0</v>
      </c>
      <c r="O212" s="42" t="n">
        <f aca="false">datos_base!$K$18*parametros_manuales!M$12</f>
        <v>0</v>
      </c>
      <c r="P212" s="9" t="n">
        <f aca="false">SUM(D212:O212)</f>
        <v>0</v>
      </c>
    </row>
    <row r="213" customFormat="false" ht="14.25" hidden="false" customHeight="true" outlineLevel="0" collapsed="false">
      <c r="A213" s="41" t="n">
        <v>2035</v>
      </c>
      <c r="B213" s="8" t="s">
        <v>188</v>
      </c>
      <c r="C213" s="8" t="s">
        <v>187</v>
      </c>
      <c r="D213" s="42" t="n">
        <f aca="false">datos_base!$K$19*parametros_manuales!B$13</f>
        <v>0.848</v>
      </c>
      <c r="E213" s="42" t="n">
        <f aca="false">datos_base!$K$19*parametros_manuales!C$13</f>
        <v>0.6784</v>
      </c>
      <c r="F213" s="42" t="n">
        <f aca="false">datos_base!$K$19*parametros_manuales!D$13</f>
        <v>0.7208</v>
      </c>
      <c r="G213" s="42" t="n">
        <f aca="false">datos_base!$K$19*parametros_manuales!E$13</f>
        <v>0.7208</v>
      </c>
      <c r="H213" s="42" t="n">
        <f aca="false">datos_base!$K$19*parametros_manuales!F$13</f>
        <v>0.6784</v>
      </c>
      <c r="I213" s="42" t="n">
        <f aca="false">datos_base!$K$19*parametros_manuales!G$13</f>
        <v>0.636</v>
      </c>
      <c r="J213" s="42" t="n">
        <f aca="false">datos_base!$K$19*parametros_manuales!H$13</f>
        <v>0.6784</v>
      </c>
      <c r="K213" s="42" t="n">
        <f aca="false">datos_base!$K$19*parametros_manuales!I$13</f>
        <v>0.6784</v>
      </c>
      <c r="L213" s="42" t="n">
        <f aca="false">datos_base!$K$19*parametros_manuales!J$13</f>
        <v>0.6784</v>
      </c>
      <c r="M213" s="42" t="n">
        <f aca="false">datos_base!$K$19*parametros_manuales!K$13</f>
        <v>0.636</v>
      </c>
      <c r="N213" s="42" t="n">
        <f aca="false">datos_base!$K$19*parametros_manuales!L$13</f>
        <v>0.5936</v>
      </c>
      <c r="O213" s="42" t="n">
        <f aca="false">datos_base!$K$19*parametros_manuales!M$13</f>
        <v>0.9328</v>
      </c>
      <c r="P213" s="9" t="n">
        <f aca="false">SUM(D213:O213)</f>
        <v>8.48</v>
      </c>
    </row>
    <row r="214" customFormat="false" ht="14.25" hidden="false" customHeight="true" outlineLevel="0" collapsed="false">
      <c r="A214" s="41" t="n">
        <v>2035</v>
      </c>
      <c r="B214" s="8" t="s">
        <v>189</v>
      </c>
      <c r="C214" s="8" t="s">
        <v>187</v>
      </c>
      <c r="D214" s="42" t="n">
        <f aca="false">datos_base!$K$20*parametros_manuales!B$14</f>
        <v>5.392</v>
      </c>
      <c r="E214" s="42" t="n">
        <f aca="false">datos_base!$K$20*parametros_manuales!C$14</f>
        <v>4.3136</v>
      </c>
      <c r="F214" s="42" t="n">
        <f aca="false">datos_base!$K$20*parametros_manuales!D$14</f>
        <v>4.5832</v>
      </c>
      <c r="G214" s="42" t="n">
        <f aca="false">datos_base!$K$20*parametros_manuales!E$14</f>
        <v>4.5832</v>
      </c>
      <c r="H214" s="42" t="n">
        <f aca="false">datos_base!$K$20*parametros_manuales!F$14</f>
        <v>4.3136</v>
      </c>
      <c r="I214" s="42" t="n">
        <f aca="false">datos_base!$K$20*parametros_manuales!G$14</f>
        <v>4.044</v>
      </c>
      <c r="J214" s="42" t="n">
        <f aca="false">datos_base!$K$20*parametros_manuales!H$14</f>
        <v>4.3136</v>
      </c>
      <c r="K214" s="42" t="n">
        <f aca="false">datos_base!$K$20*parametros_manuales!I$14</f>
        <v>4.3136</v>
      </c>
      <c r="L214" s="42" t="n">
        <f aca="false">datos_base!$K$20*parametros_manuales!J$14</f>
        <v>4.3136</v>
      </c>
      <c r="M214" s="42" t="n">
        <f aca="false">datos_base!$K$20*parametros_manuales!K$14</f>
        <v>4.044</v>
      </c>
      <c r="N214" s="42" t="n">
        <f aca="false">datos_base!$K$20*parametros_manuales!L$14</f>
        <v>3.7744</v>
      </c>
      <c r="O214" s="42" t="n">
        <f aca="false">datos_base!$K$20*parametros_manuales!M$14</f>
        <v>5.9312</v>
      </c>
      <c r="P214" s="9" t="n">
        <f aca="false">SUM(D214:O214)</f>
        <v>53.92</v>
      </c>
    </row>
    <row r="215" customFormat="false" ht="14.25" hidden="false" customHeight="true" outlineLevel="0" collapsed="false">
      <c r="A215" s="41" t="n">
        <v>2035</v>
      </c>
      <c r="B215" s="8" t="s">
        <v>190</v>
      </c>
      <c r="C215" s="8" t="s">
        <v>187</v>
      </c>
      <c r="D215" s="42" t="n">
        <f aca="false">datos_base!$K$21*parametros_manuales!B$15</f>
        <v>0.268</v>
      </c>
      <c r="E215" s="42" t="n">
        <f aca="false">datos_base!$K$21*parametros_manuales!C$15</f>
        <v>0.2144</v>
      </c>
      <c r="F215" s="42" t="n">
        <f aca="false">datos_base!$K$21*parametros_manuales!D$15</f>
        <v>0.2278</v>
      </c>
      <c r="G215" s="42" t="n">
        <f aca="false">datos_base!$K$21*parametros_manuales!E$15</f>
        <v>0.2278</v>
      </c>
      <c r="H215" s="42" t="n">
        <f aca="false">datos_base!$K$21*parametros_manuales!F$15</f>
        <v>0.2144</v>
      </c>
      <c r="I215" s="42" t="n">
        <f aca="false">datos_base!$K$21*parametros_manuales!G$15</f>
        <v>0.201</v>
      </c>
      <c r="J215" s="42" t="n">
        <f aca="false">datos_base!$K$21*parametros_manuales!H$15</f>
        <v>0.2144</v>
      </c>
      <c r="K215" s="42" t="n">
        <f aca="false">datos_base!$K$21*parametros_manuales!I$15</f>
        <v>0.2144</v>
      </c>
      <c r="L215" s="42" t="n">
        <f aca="false">datos_base!$K$21*parametros_manuales!J$15</f>
        <v>0.2144</v>
      </c>
      <c r="M215" s="42" t="n">
        <f aca="false">datos_base!$K$21*parametros_manuales!K$15</f>
        <v>0.201</v>
      </c>
      <c r="N215" s="42" t="n">
        <f aca="false">datos_base!$K$21*parametros_manuales!L$15</f>
        <v>0.1876</v>
      </c>
      <c r="O215" s="42" t="n">
        <f aca="false">datos_base!$K$21*parametros_manuales!M$15</f>
        <v>0.2948</v>
      </c>
      <c r="P215" s="9" t="n">
        <f aca="false">SUM(D215:O215)</f>
        <v>2.68</v>
      </c>
    </row>
    <row r="216" customFormat="false" ht="14.25" hidden="false" customHeight="true" outlineLevel="0" collapsed="false">
      <c r="A216" s="41" t="n">
        <v>2035</v>
      </c>
      <c r="B216" s="8" t="s">
        <v>191</v>
      </c>
      <c r="C216" s="8" t="s">
        <v>192</v>
      </c>
      <c r="D216" s="42" t="n">
        <f aca="false">datos_base!$K$23*parametros_manuales!B$12</f>
        <v>0</v>
      </c>
      <c r="E216" s="42" t="n">
        <f aca="false">datos_base!$K$23*parametros_manuales!C$12</f>
        <v>0</v>
      </c>
      <c r="F216" s="42" t="n">
        <f aca="false">datos_base!$K$23*parametros_manuales!D$12</f>
        <v>0</v>
      </c>
      <c r="G216" s="42" t="n">
        <f aca="false">datos_base!$K$23*parametros_manuales!E$12</f>
        <v>0</v>
      </c>
      <c r="H216" s="42" t="n">
        <f aca="false">datos_base!$K$23*parametros_manuales!F$12</f>
        <v>0</v>
      </c>
      <c r="I216" s="42" t="n">
        <f aca="false">datos_base!$K$23*parametros_manuales!G$12</f>
        <v>0</v>
      </c>
      <c r="J216" s="42" t="n">
        <f aca="false">datos_base!$K$23*parametros_manuales!H$12</f>
        <v>0</v>
      </c>
      <c r="K216" s="42" t="n">
        <f aca="false">datos_base!$K$23*parametros_manuales!I$12</f>
        <v>0</v>
      </c>
      <c r="L216" s="42" t="n">
        <f aca="false">datos_base!$K$23*parametros_manuales!J$12</f>
        <v>0</v>
      </c>
      <c r="M216" s="42" t="n">
        <f aca="false">datos_base!$K$23*parametros_manuales!K$12</f>
        <v>0</v>
      </c>
      <c r="N216" s="42" t="n">
        <f aca="false">datos_base!$K$23*parametros_manuales!L$12</f>
        <v>0</v>
      </c>
      <c r="O216" s="42" t="n">
        <f aca="false">datos_base!$K$23*parametros_manuales!M$12</f>
        <v>0</v>
      </c>
      <c r="P216" s="9" t="n">
        <f aca="false">SUM(D216:O216)</f>
        <v>0</v>
      </c>
    </row>
    <row r="217" customFormat="false" ht="14.25" hidden="false" customHeight="true" outlineLevel="0" collapsed="false">
      <c r="A217" s="41" t="n">
        <v>2035</v>
      </c>
      <c r="B217" s="8" t="s">
        <v>193</v>
      </c>
      <c r="C217" s="8" t="s">
        <v>192</v>
      </c>
      <c r="D217" s="42" t="n">
        <f aca="false">datos_base!$K$24*parametros_manuales!B$13</f>
        <v>1.756</v>
      </c>
      <c r="E217" s="42" t="n">
        <f aca="false">datos_base!$K$24*parametros_manuales!C$13</f>
        <v>1.4048</v>
      </c>
      <c r="F217" s="42" t="n">
        <f aca="false">datos_base!$K$24*parametros_manuales!D$13</f>
        <v>1.4926</v>
      </c>
      <c r="G217" s="42" t="n">
        <f aca="false">datos_base!$K$24*parametros_manuales!E$13</f>
        <v>1.4926</v>
      </c>
      <c r="H217" s="42" t="n">
        <f aca="false">datos_base!$K$24*parametros_manuales!F$13</f>
        <v>1.4048</v>
      </c>
      <c r="I217" s="42" t="n">
        <f aca="false">datos_base!$K$24*parametros_manuales!G$13</f>
        <v>1.317</v>
      </c>
      <c r="J217" s="42" t="n">
        <f aca="false">datos_base!$K$24*parametros_manuales!H$13</f>
        <v>1.4048</v>
      </c>
      <c r="K217" s="42" t="n">
        <f aca="false">datos_base!$K$24*parametros_manuales!I$13</f>
        <v>1.4048</v>
      </c>
      <c r="L217" s="42" t="n">
        <f aca="false">datos_base!$K$24*parametros_manuales!J$13</f>
        <v>1.4048</v>
      </c>
      <c r="M217" s="42" t="n">
        <f aca="false">datos_base!$K$24*parametros_manuales!K$13</f>
        <v>1.317</v>
      </c>
      <c r="N217" s="42" t="n">
        <f aca="false">datos_base!$K$24*parametros_manuales!L$13</f>
        <v>1.2292</v>
      </c>
      <c r="O217" s="42" t="n">
        <f aca="false">datos_base!$K$24*parametros_manuales!M$13</f>
        <v>1.9316</v>
      </c>
      <c r="P217" s="9" t="n">
        <f aca="false">SUM(D217:O217)</f>
        <v>17.56</v>
      </c>
    </row>
    <row r="218" customFormat="false" ht="14.25" hidden="false" customHeight="true" outlineLevel="0" collapsed="false">
      <c r="A218" s="41" t="n">
        <v>2035</v>
      </c>
      <c r="B218" s="8" t="s">
        <v>194</v>
      </c>
      <c r="C218" s="8" t="s">
        <v>192</v>
      </c>
      <c r="D218" s="42" t="n">
        <f aca="false">datos_base!$K$25*parametros_manuales!B$14</f>
        <v>10.416</v>
      </c>
      <c r="E218" s="42" t="n">
        <f aca="false">datos_base!$K$25*parametros_manuales!C$14</f>
        <v>8.3328</v>
      </c>
      <c r="F218" s="42" t="n">
        <f aca="false">datos_base!$K$25*parametros_manuales!D$14</f>
        <v>8.8536</v>
      </c>
      <c r="G218" s="42" t="n">
        <f aca="false">datos_base!$K$25*parametros_manuales!E$14</f>
        <v>8.8536</v>
      </c>
      <c r="H218" s="42" t="n">
        <f aca="false">datos_base!$K$25*parametros_manuales!F$14</f>
        <v>8.3328</v>
      </c>
      <c r="I218" s="42" t="n">
        <f aca="false">datos_base!$K$25*parametros_manuales!G$14</f>
        <v>7.812</v>
      </c>
      <c r="J218" s="42" t="n">
        <f aca="false">datos_base!$K$25*parametros_manuales!H$14</f>
        <v>8.3328</v>
      </c>
      <c r="K218" s="42" t="n">
        <f aca="false">datos_base!$K$25*parametros_manuales!I$14</f>
        <v>8.3328</v>
      </c>
      <c r="L218" s="42" t="n">
        <f aca="false">datos_base!$K$25*parametros_manuales!J$14</f>
        <v>8.3328</v>
      </c>
      <c r="M218" s="42" t="n">
        <f aca="false">datos_base!$K$25*parametros_manuales!K$14</f>
        <v>7.812</v>
      </c>
      <c r="N218" s="42" t="n">
        <f aca="false">datos_base!$K$25*parametros_manuales!L$14</f>
        <v>7.2912</v>
      </c>
      <c r="O218" s="42" t="n">
        <f aca="false">datos_base!$K$25*parametros_manuales!M$14</f>
        <v>11.4576</v>
      </c>
      <c r="P218" s="9" t="n">
        <f aca="false">SUM(D218:O218)</f>
        <v>104.16</v>
      </c>
    </row>
    <row r="219" customFormat="false" ht="14.25" hidden="false" customHeight="true" outlineLevel="0" collapsed="false">
      <c r="A219" s="41" t="n">
        <v>2035</v>
      </c>
      <c r="B219" s="8" t="s">
        <v>195</v>
      </c>
      <c r="C219" s="8" t="s">
        <v>192</v>
      </c>
      <c r="D219" s="42" t="n">
        <f aca="false">datos_base!$K$26*parametros_manuales!B$15</f>
        <v>0.612</v>
      </c>
      <c r="E219" s="42" t="n">
        <f aca="false">datos_base!$K$26*parametros_manuales!C$15</f>
        <v>0.4896</v>
      </c>
      <c r="F219" s="42" t="n">
        <f aca="false">datos_base!$K$26*parametros_manuales!D$15</f>
        <v>0.5202</v>
      </c>
      <c r="G219" s="42" t="n">
        <f aca="false">datos_base!$K$26*parametros_manuales!E$15</f>
        <v>0.5202</v>
      </c>
      <c r="H219" s="42" t="n">
        <f aca="false">datos_base!$K$26*parametros_manuales!F$15</f>
        <v>0.4896</v>
      </c>
      <c r="I219" s="42" t="n">
        <f aca="false">datos_base!$K$26*parametros_manuales!G$15</f>
        <v>0.459</v>
      </c>
      <c r="J219" s="42" t="n">
        <f aca="false">datos_base!$K$26*parametros_manuales!H$15</f>
        <v>0.4896</v>
      </c>
      <c r="K219" s="42" t="n">
        <f aca="false">datos_base!$K$26*parametros_manuales!I$15</f>
        <v>0.4896</v>
      </c>
      <c r="L219" s="42" t="n">
        <f aca="false">datos_base!$K$26*parametros_manuales!J$15</f>
        <v>0.4896</v>
      </c>
      <c r="M219" s="42" t="n">
        <f aca="false">datos_base!$K$26*parametros_manuales!K$15</f>
        <v>0.459</v>
      </c>
      <c r="N219" s="42" t="n">
        <f aca="false">datos_base!$K$26*parametros_manuales!L$15</f>
        <v>0.4284</v>
      </c>
      <c r="O219" s="42" t="n">
        <f aca="false">datos_base!$K$26*parametros_manuales!M$15</f>
        <v>0.6732</v>
      </c>
      <c r="P219" s="9" t="n">
        <f aca="false">SUM(D219:O219)</f>
        <v>6.12</v>
      </c>
    </row>
    <row r="220" customFormat="false" ht="14.25" hidden="false" customHeight="true" outlineLevel="0" collapsed="false">
      <c r="B220" s="10" t="s">
        <v>196</v>
      </c>
      <c r="D220" s="11" t="n">
        <f aca="false">SUM(D212:D219)</f>
        <v>19.292</v>
      </c>
      <c r="E220" s="11" t="n">
        <f aca="false">SUM(E212:E219)</f>
        <v>15.4336</v>
      </c>
      <c r="F220" s="11" t="n">
        <f aca="false">SUM(F212:F219)</f>
        <v>16.3982</v>
      </c>
      <c r="G220" s="11" t="n">
        <f aca="false">SUM(G212:G219)</f>
        <v>16.3982</v>
      </c>
      <c r="H220" s="11" t="n">
        <f aca="false">SUM(H212:H219)</f>
        <v>15.4336</v>
      </c>
      <c r="I220" s="11" t="n">
        <f aca="false">SUM(I212:I219)</f>
        <v>14.469</v>
      </c>
      <c r="J220" s="11" t="n">
        <f aca="false">SUM(J212:J219)</f>
        <v>15.4336</v>
      </c>
      <c r="K220" s="11" t="n">
        <f aca="false">SUM(K212:K219)</f>
        <v>15.4336</v>
      </c>
      <c r="L220" s="11" t="n">
        <f aca="false">SUM(L212:L219)</f>
        <v>15.4336</v>
      </c>
      <c r="M220" s="11" t="n">
        <f aca="false">SUM(M212:M219)</f>
        <v>14.469</v>
      </c>
      <c r="N220" s="11" t="n">
        <f aca="false">SUM(N212:N219)</f>
        <v>13.5044</v>
      </c>
      <c r="O220" s="11" t="n">
        <f aca="false">SUM(O212:O219)</f>
        <v>21.2212</v>
      </c>
      <c r="P220" s="11" t="n">
        <f aca="false">SUM(P212:P219)</f>
        <v>192.92</v>
      </c>
    </row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</cols>
  <sheetData>
    <row r="1" customFormat="false" ht="14.25" hidden="false" customHeight="true" outlineLevel="0" collapsed="false">
      <c r="A1" s="7" t="s">
        <v>197</v>
      </c>
      <c r="B1" s="7" t="s">
        <v>59</v>
      </c>
      <c r="C1" s="7" t="s">
        <v>60</v>
      </c>
      <c r="D1" s="7" t="s">
        <v>61</v>
      </c>
      <c r="E1" s="7" t="s">
        <v>62</v>
      </c>
      <c r="F1" s="7" t="s">
        <v>63</v>
      </c>
      <c r="G1" s="7" t="s">
        <v>64</v>
      </c>
      <c r="H1" s="7" t="s">
        <v>65</v>
      </c>
      <c r="I1" s="7" t="s">
        <v>66</v>
      </c>
      <c r="J1" s="7" t="s">
        <v>67</v>
      </c>
      <c r="K1" s="7" t="s">
        <v>68</v>
      </c>
      <c r="L1" s="7" t="s">
        <v>69</v>
      </c>
      <c r="M1" s="7" t="s">
        <v>70</v>
      </c>
      <c r="N1" s="7" t="s">
        <v>181</v>
      </c>
      <c r="O1" s="7" t="s">
        <v>198</v>
      </c>
      <c r="P1" s="7" t="s">
        <v>199</v>
      </c>
      <c r="Q1" s="7" t="s">
        <v>200</v>
      </c>
    </row>
    <row r="2" customFormat="false" ht="14.25" hidden="false" customHeight="true" outlineLevel="0" collapsed="false">
      <c r="A2" s="8" t="str">
        <f aca="false">parametros_manuales!$B$19</f>
        <v>Recepción de materia prima</v>
      </c>
      <c r="B2" s="9" t="n">
        <f aca="false">(parametros_manuales!$D$19*('Plan mensual'!D2+'Plan mensual'!D113+IF(parametros_manuales!$H$19="Todos",'Plan mensual'!D6+'Plan mensual'!D117,0))+parametros_manuales!$E$19*('Plan mensual'!D3+'Plan mensual'!D114+IF(parametros_manuales!$H$19="Todos",'Plan mensual'!D7+'Plan mensual'!D118,0))+parametros_manuales!$F$19*('Plan mensual'!D4+'Plan mensual'!D115+IF(parametros_manuales!$H$19="Todos",'Plan mensual'!D8+'Plan mensual'!D119,0))+parametros_manuales!$G$19*('Plan mensual'!D5+'Plan mensual'!D116+IF(parametros_manuales!$H$19="Todos",'Plan mensual'!D9+'Plan mensual'!D120,0)))*parametros_manuales!$I$19*parametros_manuales!$J$19</f>
        <v>768.712041533</v>
      </c>
      <c r="C2" s="9" t="n">
        <f aca="false">(parametros_manuales!$D$19*('Plan mensual'!E2+'Plan mensual'!E113+IF(parametros_manuales!$H$19="Todos",'Plan mensual'!E6+'Plan mensual'!E117,0))+parametros_manuales!$E$19*('Plan mensual'!E3+'Plan mensual'!E114+IF(parametros_manuales!$H$19="Todos",'Plan mensual'!E7+'Plan mensual'!E118,0))+parametros_manuales!$F$19*('Plan mensual'!E4+'Plan mensual'!E115+IF(parametros_manuales!$H$19="Todos",'Plan mensual'!E8+'Plan mensual'!E119,0))+parametros_manuales!$G$19*('Plan mensual'!E5+'Plan mensual'!E116+IF(parametros_manuales!$H$19="Todos",'Plan mensual'!E9+'Plan mensual'!E120,0)))*parametros_manuales!$I$19*parametros_manuales!$J$19</f>
        <v>589.8972139684</v>
      </c>
      <c r="D2" s="9" t="n">
        <f aca="false">(parametros_manuales!$D$19*('Plan mensual'!F2+'Plan mensual'!F113+IF(parametros_manuales!$H$19="Todos",'Plan mensual'!F6+'Plan mensual'!F117,0))+parametros_manuales!$E$19*('Plan mensual'!F3+'Plan mensual'!F114+IF(parametros_manuales!$H$19="Todos",'Plan mensual'!F7+'Plan mensual'!F118,0))+parametros_manuales!$F$19*('Plan mensual'!F4+'Plan mensual'!F115+IF(parametros_manuales!$H$19="Todos",'Plan mensual'!F8+'Plan mensual'!F119,0))+parametros_manuales!$G$19*('Plan mensual'!F5+'Plan mensual'!F116+IF(parametros_manuales!$H$19="Todos",'Plan mensual'!F9+'Plan mensual'!F120,0)))*parametros_manuales!$I$19*parametros_manuales!$J$19</f>
        <v>561.47303135705</v>
      </c>
      <c r="E2" s="9" t="n">
        <f aca="false">(parametros_manuales!$D$19*('Plan mensual'!G2+'Plan mensual'!G113+IF(parametros_manuales!$H$19="Todos",'Plan mensual'!G6+'Plan mensual'!G117,0))+parametros_manuales!$E$19*('Plan mensual'!G3+'Plan mensual'!G114+IF(parametros_manuales!$H$19="Todos",'Plan mensual'!G7+'Plan mensual'!G118,0))+parametros_manuales!$F$19*('Plan mensual'!G4+'Plan mensual'!G115+IF(parametros_manuales!$H$19="Todos",'Plan mensual'!G8+'Plan mensual'!G119,0))+parametros_manuales!$G$19*('Plan mensual'!G5+'Plan mensual'!G116+IF(parametros_manuales!$H$19="Todos",'Plan mensual'!G9+'Plan mensual'!G120,0)))*parametros_manuales!$I$19*parametros_manuales!$J$19</f>
        <v>540.57934864205</v>
      </c>
      <c r="F2" s="9" t="n">
        <f aca="false">(parametros_manuales!$D$19*('Plan mensual'!H2+'Plan mensual'!H113+IF(parametros_manuales!$H$19="Todos",'Plan mensual'!H6+'Plan mensual'!H117,0))+parametros_manuales!$E$19*('Plan mensual'!H3+'Plan mensual'!H114+IF(parametros_manuales!$H$19="Todos",'Plan mensual'!H7+'Plan mensual'!H118,0))+parametros_manuales!$F$19*('Plan mensual'!H4+'Plan mensual'!H115+IF(parametros_manuales!$H$19="Todos",'Plan mensual'!H8+'Plan mensual'!H119,0))+parametros_manuales!$G$19*('Plan mensual'!H5+'Plan mensual'!H116+IF(parametros_manuales!$H$19="Todos",'Plan mensual'!H9+'Plan mensual'!H120,0)))*parametros_manuales!$I$19*parametros_manuales!$J$19</f>
        <v>506.3224831084</v>
      </c>
      <c r="G2" s="9" t="n">
        <f aca="false">(parametros_manuales!$D$19*('Plan mensual'!I2+'Plan mensual'!I113+IF(parametros_manuales!$H$19="Todos",'Plan mensual'!I6+'Plan mensual'!I117,0))+parametros_manuales!$E$19*('Plan mensual'!I3+'Plan mensual'!I114+IF(parametros_manuales!$H$19="Todos",'Plan mensual'!I7+'Plan mensual'!I118,0))+parametros_manuales!$F$19*('Plan mensual'!I4+'Plan mensual'!I115+IF(parametros_manuales!$H$19="Todos",'Plan mensual'!I8+'Plan mensual'!I119,0))+parametros_manuales!$G$19*('Plan mensual'!I5+'Plan mensual'!I116+IF(parametros_manuales!$H$19="Todos",'Plan mensual'!I9+'Plan mensual'!I120,0)))*parametros_manuales!$I$19*parametros_manuales!$J$19</f>
        <v>492.95930028975</v>
      </c>
      <c r="H2" s="9" t="n">
        <f aca="false">(parametros_manuales!$D$19*('Plan mensual'!J2+'Plan mensual'!J113+IF(parametros_manuales!$H$19="Todos",'Plan mensual'!J6+'Plan mensual'!J117,0))+parametros_manuales!$E$19*('Plan mensual'!J3+'Plan mensual'!J114+IF(parametros_manuales!$H$19="Todos",'Plan mensual'!J7+'Plan mensual'!J118,0))+parametros_manuales!$F$19*('Plan mensual'!J4+'Plan mensual'!J115+IF(parametros_manuales!$H$19="Todos",'Plan mensual'!J8+'Plan mensual'!J119,0))+parametros_manuales!$G$19*('Plan mensual'!J5+'Plan mensual'!J116+IF(parametros_manuales!$H$19="Todos",'Plan mensual'!J9+'Plan mensual'!J120,0)))*parametros_manuales!$I$19*parametros_manuales!$J$19</f>
        <v>527.2161658234</v>
      </c>
      <c r="I2" s="9" t="n">
        <f aca="false">(parametros_manuales!$D$19*('Plan mensual'!K2+'Plan mensual'!K113+IF(parametros_manuales!$H$19="Todos",'Plan mensual'!K6+'Plan mensual'!K117,0))+parametros_manuales!$E$19*('Plan mensual'!K3+'Plan mensual'!K114+IF(parametros_manuales!$H$19="Todos",'Plan mensual'!K7+'Plan mensual'!K118,0))+parametros_manuales!$F$19*('Plan mensual'!K4+'Plan mensual'!K115+IF(parametros_manuales!$H$19="Todos",'Plan mensual'!K8+'Plan mensual'!K119,0))+parametros_manuales!$G$19*('Plan mensual'!K5+'Plan mensual'!K116+IF(parametros_manuales!$H$19="Todos",'Plan mensual'!K9+'Plan mensual'!K120,0)))*parametros_manuales!$I$19*parametros_manuales!$J$19</f>
        <v>527.2161658234</v>
      </c>
      <c r="J2" s="9" t="n">
        <f aca="false">(parametros_manuales!$D$19*('Plan mensual'!L2+'Plan mensual'!L113+IF(parametros_manuales!$H$19="Todos",'Plan mensual'!L6+'Plan mensual'!L117,0))+parametros_manuales!$E$19*('Plan mensual'!L3+'Plan mensual'!L114+IF(parametros_manuales!$H$19="Todos",'Plan mensual'!L7+'Plan mensual'!L118,0))+parametros_manuales!$F$19*('Plan mensual'!L4+'Plan mensual'!L115+IF(parametros_manuales!$H$19="Todos",'Plan mensual'!L8+'Plan mensual'!L119,0))+parametros_manuales!$G$19*('Plan mensual'!L5+'Plan mensual'!L116+IF(parametros_manuales!$H$19="Todos",'Plan mensual'!L9+'Plan mensual'!L120,0)))*parametros_manuales!$I$19*parametros_manuales!$J$19</f>
        <v>527.2161658234</v>
      </c>
      <c r="K2" s="9" t="n">
        <f aca="false">(parametros_manuales!$D$19*('Plan mensual'!M2+'Plan mensual'!M113+IF(parametros_manuales!$H$19="Todos",'Plan mensual'!M6+'Plan mensual'!M117,0))+parametros_manuales!$E$19*('Plan mensual'!M3+'Plan mensual'!M114+IF(parametros_manuales!$H$19="Todos",'Plan mensual'!M7+'Plan mensual'!M118,0))+parametros_manuales!$F$19*('Plan mensual'!M4+'Plan mensual'!M115+IF(parametros_manuales!$H$19="Todos",'Plan mensual'!M8+'Plan mensual'!M119,0))+parametros_manuales!$G$19*('Plan mensual'!M5+'Plan mensual'!M116+IF(parametros_manuales!$H$19="Todos",'Plan mensual'!M9+'Plan mensual'!M120,0)))*parametros_manuales!$I$19*parametros_manuales!$J$19</f>
        <v>513.85298300475</v>
      </c>
      <c r="L2" s="9" t="n">
        <f aca="false">(parametros_manuales!$D$19*('Plan mensual'!N2+'Plan mensual'!N113+IF(parametros_manuales!$H$19="Todos",'Plan mensual'!N6+'Plan mensual'!N117,0))+parametros_manuales!$E$19*('Plan mensual'!N3+'Plan mensual'!N114+IF(parametros_manuales!$H$19="Todos",'Plan mensual'!N7+'Plan mensual'!N118,0))+parametros_manuales!$F$19*('Plan mensual'!N4+'Plan mensual'!N115+IF(parametros_manuales!$H$19="Todos",'Plan mensual'!N8+'Plan mensual'!N119,0))+parametros_manuales!$G$19*('Plan mensual'!N5+'Plan mensual'!N116+IF(parametros_manuales!$H$19="Todos",'Plan mensual'!N9+'Plan mensual'!N120,0)))*parametros_manuales!$I$19*parametros_manuales!$J$19</f>
        <v>500.4898001861</v>
      </c>
      <c r="M2" s="9" t="n">
        <f aca="false">(parametros_manuales!$D$19*('Plan mensual'!O2+'Plan mensual'!O113+IF(parametros_manuales!$H$19="Todos",'Plan mensual'!O6+'Plan mensual'!O117,0))+parametros_manuales!$E$19*('Plan mensual'!O3+'Plan mensual'!O114+IF(parametros_manuales!$H$19="Todos",'Plan mensual'!O7+'Plan mensual'!O118,0))+parametros_manuales!$F$19*('Plan mensual'!O4+'Plan mensual'!O115+IF(parametros_manuales!$H$19="Todos",'Plan mensual'!O8+'Plan mensual'!O119,0))+parametros_manuales!$G$19*('Plan mensual'!O5+'Plan mensual'!O116+IF(parametros_manuales!$H$19="Todos",'Plan mensual'!O9+'Plan mensual'!O120,0)))*parametros_manuales!$I$19*parametros_manuales!$J$19</f>
        <v>795.4384071703</v>
      </c>
      <c r="N2" s="9" t="n">
        <f aca="false">SUM(B2:M2)</f>
        <v>6851.37310673</v>
      </c>
      <c r="O2" s="9" t="n">
        <f aca="false">MAX(B2:M2)</f>
        <v>795.4384071703</v>
      </c>
      <c r="P2" s="44" t="n">
        <f aca="false">O2/(parametros_manuales!$B$7)</f>
        <v>5.30292271446867</v>
      </c>
      <c r="Q2" s="8" t="str">
        <f aca="false">IF(O2=0,"-",INDEX($B$1:$M$1,MATCH(O2,B2:M2,0)))</f>
        <v>Dic</v>
      </c>
    </row>
    <row r="3" customFormat="false" ht="14.25" hidden="false" customHeight="true" outlineLevel="0" collapsed="false">
      <c r="A3" s="8" t="str">
        <f aca="false">parametros_manuales!$B$20</f>
        <v>Corte de chapa (guillotina) — 2,5 a 10 kg</v>
      </c>
      <c r="B3" s="9" t="n">
        <f aca="false">(parametros_manuales!$D$20*('Plan mensual'!D2+'Plan mensual'!D113+IF(parametros_manuales!$H$20="Todos",'Plan mensual'!D6+'Plan mensual'!D117,0))+parametros_manuales!$E$20*('Plan mensual'!D3+'Plan mensual'!D114+IF(parametros_manuales!$H$20="Todos",'Plan mensual'!D7+'Plan mensual'!D118,0))+parametros_manuales!$F$20*('Plan mensual'!D4+'Plan mensual'!D115+IF(parametros_manuales!$H$20="Todos",'Plan mensual'!D8+'Plan mensual'!D119,0))+parametros_manuales!$G$20*('Plan mensual'!D5+'Plan mensual'!D116+IF(parametros_manuales!$H$20="Todos",'Plan mensual'!D9+'Plan mensual'!D120,0)))*parametros_manuales!$I$20*parametros_manuales!$J$20</f>
        <v>267.263656373</v>
      </c>
      <c r="C3" s="9" t="n">
        <f aca="false">(parametros_manuales!$D$20*('Plan mensual'!E2+'Plan mensual'!E113+IF(parametros_manuales!$H$20="Todos",'Plan mensual'!E6+'Plan mensual'!E117,0))+parametros_manuales!$E$20*('Plan mensual'!E3+'Plan mensual'!E114+IF(parametros_manuales!$H$20="Todos",'Plan mensual'!E7+'Plan mensual'!E118,0))+parametros_manuales!$F$20*('Plan mensual'!E4+'Plan mensual'!E115+IF(parametros_manuales!$H$20="Todos",'Plan mensual'!E8+'Plan mensual'!E119,0))+parametros_manuales!$G$20*('Plan mensual'!E5+'Plan mensual'!E116+IF(parametros_manuales!$H$20="Todos",'Plan mensual'!E9+'Plan mensual'!E120,0)))*parametros_manuales!$I$20*parametros_manuales!$J$20</f>
        <v>213.8109250984</v>
      </c>
      <c r="D3" s="9" t="n">
        <f aca="false">(parametros_manuales!$D$20*('Plan mensual'!F2+'Plan mensual'!F113+IF(parametros_manuales!$H$20="Todos",'Plan mensual'!F6+'Plan mensual'!F117,0))+parametros_manuales!$E$20*('Plan mensual'!F3+'Plan mensual'!F114+IF(parametros_manuales!$H$20="Todos",'Plan mensual'!F7+'Plan mensual'!F118,0))+parametros_manuales!$F$20*('Plan mensual'!F4+'Plan mensual'!F115+IF(parametros_manuales!$H$20="Todos",'Plan mensual'!F8+'Plan mensual'!F119,0))+parametros_manuales!$G$20*('Plan mensual'!F5+'Plan mensual'!F116+IF(parametros_manuales!$H$20="Todos",'Plan mensual'!F9+'Plan mensual'!F120,0)))*parametros_manuales!$I$20*parametros_manuales!$J$20</f>
        <v>227.17410791705</v>
      </c>
      <c r="E3" s="9" t="n">
        <f aca="false">(parametros_manuales!$D$20*('Plan mensual'!G2+'Plan mensual'!G113+IF(parametros_manuales!$H$20="Todos",'Plan mensual'!G6+'Plan mensual'!G117,0))+parametros_manuales!$E$20*('Plan mensual'!G3+'Plan mensual'!G114+IF(parametros_manuales!$H$20="Todos",'Plan mensual'!G7+'Plan mensual'!G118,0))+parametros_manuales!$F$20*('Plan mensual'!G4+'Plan mensual'!G115+IF(parametros_manuales!$H$20="Todos",'Plan mensual'!G8+'Plan mensual'!G119,0))+parametros_manuales!$G$20*('Plan mensual'!G5+'Plan mensual'!G116+IF(parametros_manuales!$H$20="Todos",'Plan mensual'!G9+'Plan mensual'!G120,0)))*parametros_manuales!$I$20*parametros_manuales!$J$20</f>
        <v>227.17410791705</v>
      </c>
      <c r="F3" s="9" t="n">
        <f aca="false">(parametros_manuales!$D$20*('Plan mensual'!H2+'Plan mensual'!H113+IF(parametros_manuales!$H$20="Todos",'Plan mensual'!H6+'Plan mensual'!H117,0))+parametros_manuales!$E$20*('Plan mensual'!H3+'Plan mensual'!H114+IF(parametros_manuales!$H$20="Todos",'Plan mensual'!H7+'Plan mensual'!H118,0))+parametros_manuales!$F$20*('Plan mensual'!H4+'Plan mensual'!H115+IF(parametros_manuales!$H$20="Todos",'Plan mensual'!H8+'Plan mensual'!H119,0))+parametros_manuales!$G$20*('Plan mensual'!H5+'Plan mensual'!H116+IF(parametros_manuales!$H$20="Todos",'Plan mensual'!H9+'Plan mensual'!H120,0)))*parametros_manuales!$I$20*parametros_manuales!$J$20</f>
        <v>213.8109250984</v>
      </c>
      <c r="G3" s="9" t="n">
        <f aca="false">(parametros_manuales!$D$20*('Plan mensual'!I2+'Plan mensual'!I113+IF(parametros_manuales!$H$20="Todos",'Plan mensual'!I6+'Plan mensual'!I117,0))+parametros_manuales!$E$20*('Plan mensual'!I3+'Plan mensual'!I114+IF(parametros_manuales!$H$20="Todos",'Plan mensual'!I7+'Plan mensual'!I118,0))+parametros_manuales!$F$20*('Plan mensual'!I4+'Plan mensual'!I115+IF(parametros_manuales!$H$20="Todos",'Plan mensual'!I8+'Plan mensual'!I119,0))+parametros_manuales!$G$20*('Plan mensual'!I5+'Plan mensual'!I116+IF(parametros_manuales!$H$20="Todos",'Plan mensual'!I9+'Plan mensual'!I120,0)))*parametros_manuales!$I$20*parametros_manuales!$J$20</f>
        <v>200.44774227975</v>
      </c>
      <c r="H3" s="9" t="n">
        <f aca="false">(parametros_manuales!$D$20*('Plan mensual'!J2+'Plan mensual'!J113+IF(parametros_manuales!$H$20="Todos",'Plan mensual'!J6+'Plan mensual'!J117,0))+parametros_manuales!$E$20*('Plan mensual'!J3+'Plan mensual'!J114+IF(parametros_manuales!$H$20="Todos",'Plan mensual'!J7+'Plan mensual'!J118,0))+parametros_manuales!$F$20*('Plan mensual'!J4+'Plan mensual'!J115+IF(parametros_manuales!$H$20="Todos",'Plan mensual'!J8+'Plan mensual'!J119,0))+parametros_manuales!$G$20*('Plan mensual'!J5+'Plan mensual'!J116+IF(parametros_manuales!$H$20="Todos",'Plan mensual'!J9+'Plan mensual'!J120,0)))*parametros_manuales!$I$20*parametros_manuales!$J$20</f>
        <v>213.8109250984</v>
      </c>
      <c r="I3" s="9" t="n">
        <f aca="false">(parametros_manuales!$D$20*('Plan mensual'!K2+'Plan mensual'!K113+IF(parametros_manuales!$H$20="Todos",'Plan mensual'!K6+'Plan mensual'!K117,0))+parametros_manuales!$E$20*('Plan mensual'!K3+'Plan mensual'!K114+IF(parametros_manuales!$H$20="Todos",'Plan mensual'!K7+'Plan mensual'!K118,0))+parametros_manuales!$F$20*('Plan mensual'!K4+'Plan mensual'!K115+IF(parametros_manuales!$H$20="Todos",'Plan mensual'!K8+'Plan mensual'!K119,0))+parametros_manuales!$G$20*('Plan mensual'!K5+'Plan mensual'!K116+IF(parametros_manuales!$H$20="Todos",'Plan mensual'!K9+'Plan mensual'!K120,0)))*parametros_manuales!$I$20*parametros_manuales!$J$20</f>
        <v>213.8109250984</v>
      </c>
      <c r="J3" s="9" t="n">
        <f aca="false">(parametros_manuales!$D$20*('Plan mensual'!L2+'Plan mensual'!L113+IF(parametros_manuales!$H$20="Todos",'Plan mensual'!L6+'Plan mensual'!L117,0))+parametros_manuales!$E$20*('Plan mensual'!L3+'Plan mensual'!L114+IF(parametros_manuales!$H$20="Todos",'Plan mensual'!L7+'Plan mensual'!L118,0))+parametros_manuales!$F$20*('Plan mensual'!L4+'Plan mensual'!L115+IF(parametros_manuales!$H$20="Todos",'Plan mensual'!L8+'Plan mensual'!L119,0))+parametros_manuales!$G$20*('Plan mensual'!L5+'Plan mensual'!L116+IF(parametros_manuales!$H$20="Todos",'Plan mensual'!L9+'Plan mensual'!L120,0)))*parametros_manuales!$I$20*parametros_manuales!$J$20</f>
        <v>213.8109250984</v>
      </c>
      <c r="K3" s="9" t="n">
        <f aca="false">(parametros_manuales!$D$20*('Plan mensual'!M2+'Plan mensual'!M113+IF(parametros_manuales!$H$20="Todos",'Plan mensual'!M6+'Plan mensual'!M117,0))+parametros_manuales!$E$20*('Plan mensual'!M3+'Plan mensual'!M114+IF(parametros_manuales!$H$20="Todos",'Plan mensual'!M7+'Plan mensual'!M118,0))+parametros_manuales!$F$20*('Plan mensual'!M4+'Plan mensual'!M115+IF(parametros_manuales!$H$20="Todos",'Plan mensual'!M8+'Plan mensual'!M119,0))+parametros_manuales!$G$20*('Plan mensual'!M5+'Plan mensual'!M116+IF(parametros_manuales!$H$20="Todos",'Plan mensual'!M9+'Plan mensual'!M120,0)))*parametros_manuales!$I$20*parametros_manuales!$J$20</f>
        <v>200.44774227975</v>
      </c>
      <c r="L3" s="9" t="n">
        <f aca="false">(parametros_manuales!$D$20*('Plan mensual'!N2+'Plan mensual'!N113+IF(parametros_manuales!$H$20="Todos",'Plan mensual'!N6+'Plan mensual'!N117,0))+parametros_manuales!$E$20*('Plan mensual'!N3+'Plan mensual'!N114+IF(parametros_manuales!$H$20="Todos",'Plan mensual'!N7+'Plan mensual'!N118,0))+parametros_manuales!$F$20*('Plan mensual'!N4+'Plan mensual'!N115+IF(parametros_manuales!$H$20="Todos",'Plan mensual'!N8+'Plan mensual'!N119,0))+parametros_manuales!$G$20*('Plan mensual'!N5+'Plan mensual'!N116+IF(parametros_manuales!$H$20="Todos",'Plan mensual'!N9+'Plan mensual'!N120,0)))*parametros_manuales!$I$20*parametros_manuales!$J$20</f>
        <v>187.0845594611</v>
      </c>
      <c r="M3" s="9" t="n">
        <f aca="false">(parametros_manuales!$D$20*('Plan mensual'!O2+'Plan mensual'!O113+IF(parametros_manuales!$H$20="Todos",'Plan mensual'!O6+'Plan mensual'!O117,0))+parametros_manuales!$E$20*('Plan mensual'!O3+'Plan mensual'!O114+IF(parametros_manuales!$H$20="Todos",'Plan mensual'!O7+'Plan mensual'!O118,0))+parametros_manuales!$F$20*('Plan mensual'!O4+'Plan mensual'!O115+IF(parametros_manuales!$H$20="Todos",'Plan mensual'!O8+'Plan mensual'!O119,0))+parametros_manuales!$G$20*('Plan mensual'!O5+'Plan mensual'!O116+IF(parametros_manuales!$H$20="Todos",'Plan mensual'!O9+'Plan mensual'!O120,0)))*parametros_manuales!$I$20*parametros_manuales!$J$20</f>
        <v>293.9900220103</v>
      </c>
      <c r="N3" s="9" t="n">
        <f aca="false">SUM(B3:M3)</f>
        <v>2672.63656373</v>
      </c>
      <c r="O3" s="9" t="n">
        <f aca="false">MAX(B3:M3)</f>
        <v>293.9900220103</v>
      </c>
      <c r="P3" s="44" t="n">
        <f aca="false">O3/(parametros_manuales!$B$7)</f>
        <v>1.95993348006867</v>
      </c>
      <c r="Q3" s="8" t="str">
        <f aca="false">IF(O3=0,"-",INDEX($B$1:$M$1,MATCH(O3,B3:M3,0)))</f>
        <v>Dic</v>
      </c>
    </row>
    <row r="4" customFormat="false" ht="14.25" hidden="false" customHeight="true" outlineLevel="0" collapsed="false">
      <c r="A4" s="8" t="str">
        <f aca="false">parametros_manuales!$B$21</f>
        <v>Corte de tubo — 1 kg</v>
      </c>
      <c r="B4" s="9" t="n">
        <f aca="false">(parametros_manuales!$D$21*('Plan mensual'!D2+'Plan mensual'!D113+IF(parametros_manuales!$H$21="Todos",'Plan mensual'!D6+'Plan mensual'!D117,0))+parametros_manuales!$E$21*('Plan mensual'!D3+'Plan mensual'!D114+IF(parametros_manuales!$H$21="Todos",'Plan mensual'!D7+'Plan mensual'!D118,0))+parametros_manuales!$F$21*('Plan mensual'!D4+'Plan mensual'!D115+IF(parametros_manuales!$H$21="Todos",'Plan mensual'!D8+'Plan mensual'!D119,0))+parametros_manuales!$G$21*('Plan mensual'!D5+'Plan mensual'!D116+IF(parametros_manuales!$H$21="Todos",'Plan mensual'!D9+'Plan mensual'!D120,0)))*parametros_manuales!$I$21*parametros_manuales!$J$21</f>
        <v>501.44838516</v>
      </c>
      <c r="C4" s="9" t="n">
        <f aca="false">(parametros_manuales!$D$21*('Plan mensual'!E2+'Plan mensual'!E113+IF(parametros_manuales!$H$21="Todos",'Plan mensual'!E6+'Plan mensual'!E117,0))+parametros_manuales!$E$21*('Plan mensual'!E3+'Plan mensual'!E114+IF(parametros_manuales!$H$21="Todos",'Plan mensual'!E7+'Plan mensual'!E118,0))+parametros_manuales!$F$21*('Plan mensual'!E4+'Plan mensual'!E115+IF(parametros_manuales!$H$21="Todos",'Plan mensual'!E8+'Plan mensual'!E119,0))+parametros_manuales!$G$21*('Plan mensual'!E5+'Plan mensual'!E116+IF(parametros_manuales!$H$21="Todos",'Plan mensual'!E9+'Plan mensual'!E120,0)))*parametros_manuales!$I$21*parametros_manuales!$J$21</f>
        <v>376.08628887</v>
      </c>
      <c r="D4" s="9" t="n">
        <f aca="false">(parametros_manuales!$D$21*('Plan mensual'!F2+'Plan mensual'!F113+IF(parametros_manuales!$H$21="Todos",'Plan mensual'!F6+'Plan mensual'!F117,0))+parametros_manuales!$E$21*('Plan mensual'!F3+'Plan mensual'!F114+IF(parametros_manuales!$H$21="Todos",'Plan mensual'!F7+'Plan mensual'!F118,0))+parametros_manuales!$F$21*('Plan mensual'!F4+'Plan mensual'!F115+IF(parametros_manuales!$H$21="Todos",'Plan mensual'!F8+'Plan mensual'!F119,0))+parametros_manuales!$G$21*('Plan mensual'!F5+'Plan mensual'!F116+IF(parametros_manuales!$H$21="Todos",'Plan mensual'!F9+'Plan mensual'!F120,0)))*parametros_manuales!$I$21*parametros_manuales!$J$21</f>
        <v>334.29892344</v>
      </c>
      <c r="E4" s="9" t="n">
        <f aca="false">(parametros_manuales!$D$21*('Plan mensual'!G2+'Plan mensual'!G113+IF(parametros_manuales!$H$21="Todos",'Plan mensual'!G6+'Plan mensual'!G117,0))+parametros_manuales!$E$21*('Plan mensual'!G3+'Plan mensual'!G114+IF(parametros_manuales!$H$21="Todos",'Plan mensual'!G7+'Plan mensual'!G118,0))+parametros_manuales!$F$21*('Plan mensual'!G4+'Plan mensual'!G115+IF(parametros_manuales!$H$21="Todos",'Plan mensual'!G8+'Plan mensual'!G119,0))+parametros_manuales!$G$21*('Plan mensual'!G5+'Plan mensual'!G116+IF(parametros_manuales!$H$21="Todos",'Plan mensual'!G9+'Plan mensual'!G120,0)))*parametros_manuales!$I$21*parametros_manuales!$J$21</f>
        <v>313.405240725</v>
      </c>
      <c r="F4" s="9" t="n">
        <f aca="false">(parametros_manuales!$D$21*('Plan mensual'!H2+'Plan mensual'!H113+IF(parametros_manuales!$H$21="Todos",'Plan mensual'!H6+'Plan mensual'!H117,0))+parametros_manuales!$E$21*('Plan mensual'!H3+'Plan mensual'!H114+IF(parametros_manuales!$H$21="Todos",'Plan mensual'!H7+'Plan mensual'!H118,0))+parametros_manuales!$F$21*('Plan mensual'!H4+'Plan mensual'!H115+IF(parametros_manuales!$H$21="Todos",'Plan mensual'!H8+'Plan mensual'!H119,0))+parametros_manuales!$G$21*('Plan mensual'!H5+'Plan mensual'!H116+IF(parametros_manuales!$H$21="Todos",'Plan mensual'!H9+'Plan mensual'!H120,0)))*parametros_manuales!$I$21*parametros_manuales!$J$21</f>
        <v>292.51155801</v>
      </c>
      <c r="G4" s="9" t="n">
        <f aca="false">(parametros_manuales!$D$21*('Plan mensual'!I2+'Plan mensual'!I113+IF(parametros_manuales!$H$21="Todos",'Plan mensual'!I6+'Plan mensual'!I117,0))+parametros_manuales!$E$21*('Plan mensual'!I3+'Plan mensual'!I114+IF(parametros_manuales!$H$21="Todos",'Plan mensual'!I7+'Plan mensual'!I118,0))+parametros_manuales!$F$21*('Plan mensual'!I4+'Plan mensual'!I115+IF(parametros_manuales!$H$21="Todos",'Plan mensual'!I8+'Plan mensual'!I119,0))+parametros_manuales!$G$21*('Plan mensual'!I5+'Plan mensual'!I116+IF(parametros_manuales!$H$21="Todos",'Plan mensual'!I9+'Plan mensual'!I120,0)))*parametros_manuales!$I$21*parametros_manuales!$J$21</f>
        <v>292.51155801</v>
      </c>
      <c r="H4" s="9" t="n">
        <f aca="false">(parametros_manuales!$D$21*('Plan mensual'!J2+'Plan mensual'!J113+IF(parametros_manuales!$H$21="Todos",'Plan mensual'!J6+'Plan mensual'!J117,0))+parametros_manuales!$E$21*('Plan mensual'!J3+'Plan mensual'!J114+IF(parametros_manuales!$H$21="Todos",'Plan mensual'!J7+'Plan mensual'!J118,0))+parametros_manuales!$F$21*('Plan mensual'!J4+'Plan mensual'!J115+IF(parametros_manuales!$H$21="Todos",'Plan mensual'!J8+'Plan mensual'!J119,0))+parametros_manuales!$G$21*('Plan mensual'!J5+'Plan mensual'!J116+IF(parametros_manuales!$H$21="Todos",'Plan mensual'!J9+'Plan mensual'!J120,0)))*parametros_manuales!$I$21*parametros_manuales!$J$21</f>
        <v>313.405240725</v>
      </c>
      <c r="I4" s="9" t="n">
        <f aca="false">(parametros_manuales!$D$21*('Plan mensual'!K2+'Plan mensual'!K113+IF(parametros_manuales!$H$21="Todos",'Plan mensual'!K6+'Plan mensual'!K117,0))+parametros_manuales!$E$21*('Plan mensual'!K3+'Plan mensual'!K114+IF(parametros_manuales!$H$21="Todos",'Plan mensual'!K7+'Plan mensual'!K118,0))+parametros_manuales!$F$21*('Plan mensual'!K4+'Plan mensual'!K115+IF(parametros_manuales!$H$21="Todos",'Plan mensual'!K8+'Plan mensual'!K119,0))+parametros_manuales!$G$21*('Plan mensual'!K5+'Plan mensual'!K116+IF(parametros_manuales!$H$21="Todos",'Plan mensual'!K9+'Plan mensual'!K120,0)))*parametros_manuales!$I$21*parametros_manuales!$J$21</f>
        <v>313.405240725</v>
      </c>
      <c r="J4" s="9" t="n">
        <f aca="false">(parametros_manuales!$D$21*('Plan mensual'!L2+'Plan mensual'!L113+IF(parametros_manuales!$H$21="Todos",'Plan mensual'!L6+'Plan mensual'!L117,0))+parametros_manuales!$E$21*('Plan mensual'!L3+'Plan mensual'!L114+IF(parametros_manuales!$H$21="Todos",'Plan mensual'!L7+'Plan mensual'!L118,0))+parametros_manuales!$F$21*('Plan mensual'!L4+'Plan mensual'!L115+IF(parametros_manuales!$H$21="Todos",'Plan mensual'!L8+'Plan mensual'!L119,0))+parametros_manuales!$G$21*('Plan mensual'!L5+'Plan mensual'!L116+IF(parametros_manuales!$H$21="Todos",'Plan mensual'!L9+'Plan mensual'!L120,0)))*parametros_manuales!$I$21*parametros_manuales!$J$21</f>
        <v>313.405240725</v>
      </c>
      <c r="K4" s="9" t="n">
        <f aca="false">(parametros_manuales!$D$21*('Plan mensual'!M2+'Plan mensual'!M113+IF(parametros_manuales!$H$21="Todos",'Plan mensual'!M6+'Plan mensual'!M117,0))+parametros_manuales!$E$21*('Plan mensual'!M3+'Plan mensual'!M114+IF(parametros_manuales!$H$21="Todos",'Plan mensual'!M7+'Plan mensual'!M118,0))+parametros_manuales!$F$21*('Plan mensual'!M4+'Plan mensual'!M115+IF(parametros_manuales!$H$21="Todos",'Plan mensual'!M8+'Plan mensual'!M119,0))+parametros_manuales!$G$21*('Plan mensual'!M5+'Plan mensual'!M116+IF(parametros_manuales!$H$21="Todos",'Plan mensual'!M9+'Plan mensual'!M120,0)))*parametros_manuales!$I$21*parametros_manuales!$J$21</f>
        <v>313.405240725</v>
      </c>
      <c r="L4" s="9" t="n">
        <f aca="false">(parametros_manuales!$D$21*('Plan mensual'!N2+'Plan mensual'!N113+IF(parametros_manuales!$H$21="Todos",'Plan mensual'!N6+'Plan mensual'!N117,0))+parametros_manuales!$E$21*('Plan mensual'!N3+'Plan mensual'!N114+IF(parametros_manuales!$H$21="Todos",'Plan mensual'!N7+'Plan mensual'!N118,0))+parametros_manuales!$F$21*('Plan mensual'!N4+'Plan mensual'!N115+IF(parametros_manuales!$H$21="Todos",'Plan mensual'!N8+'Plan mensual'!N119,0))+parametros_manuales!$G$21*('Plan mensual'!N5+'Plan mensual'!N116+IF(parametros_manuales!$H$21="Todos",'Plan mensual'!N9+'Plan mensual'!N120,0)))*parametros_manuales!$I$21*parametros_manuales!$J$21</f>
        <v>313.405240725</v>
      </c>
      <c r="M4" s="9" t="n">
        <f aca="false">(parametros_manuales!$D$21*('Plan mensual'!O2+'Plan mensual'!O113+IF(parametros_manuales!$H$21="Todos",'Plan mensual'!O6+'Plan mensual'!O117,0))+parametros_manuales!$E$21*('Plan mensual'!O3+'Plan mensual'!O114+IF(parametros_manuales!$H$21="Todos",'Plan mensual'!O7+'Plan mensual'!O118,0))+parametros_manuales!$F$21*('Plan mensual'!O4+'Plan mensual'!O115+IF(parametros_manuales!$H$21="Todos",'Plan mensual'!O8+'Plan mensual'!O119,0))+parametros_manuales!$G$21*('Plan mensual'!O5+'Plan mensual'!O116+IF(parametros_manuales!$H$21="Todos",'Plan mensual'!O9+'Plan mensual'!O120,0)))*parametros_manuales!$I$21*parametros_manuales!$J$21</f>
        <v>501.44838516</v>
      </c>
      <c r="N4" s="9" t="n">
        <f aca="false">SUM(B4:M4)</f>
        <v>4178.736543</v>
      </c>
      <c r="O4" s="9" t="n">
        <f aca="false">MAX(B4:M4)</f>
        <v>501.44838516</v>
      </c>
      <c r="P4" s="44" t="n">
        <f aca="false">O4/(parametros_manuales!$B$7)</f>
        <v>3.3429892344</v>
      </c>
      <c r="Q4" s="8" t="str">
        <f aca="false">IF(O4=0,"-",INDEX($B$1:$M$1,MATCH(O4,B4:M4,0)))</f>
        <v>Ene</v>
      </c>
    </row>
    <row r="5" customFormat="false" ht="14.25" hidden="false" customHeight="true" outlineLevel="0" collapsed="false">
      <c r="A5" s="8" t="str">
        <f aca="false">parametros_manuales!$B$22</f>
        <v>Corte de disco y embutido (cúpula y fondo)</v>
      </c>
      <c r="B5" s="9" t="n">
        <f aca="false">(parametros_manuales!$D$22*('Plan mensual'!D2+'Plan mensual'!D113+IF(parametros_manuales!$H$22="Todos",'Plan mensual'!D6+'Plan mensual'!D117,0))+parametros_manuales!$E$22*('Plan mensual'!D3+'Plan mensual'!D114+IF(parametros_manuales!$H$22="Todos",'Plan mensual'!D7+'Plan mensual'!D118,0))+parametros_manuales!$F$22*('Plan mensual'!D4+'Plan mensual'!D115+IF(parametros_manuales!$H$22="Todos",'Plan mensual'!D8+'Plan mensual'!D119,0))+parametros_manuales!$G$22*('Plan mensual'!D5+'Plan mensual'!D116+IF(parametros_manuales!$H$22="Todos",'Plan mensual'!D9+'Plan mensual'!D120,0)))*parametros_manuales!$I$22*parametros_manuales!$J$22</f>
        <v>1537.424083066</v>
      </c>
      <c r="C5" s="9" t="n">
        <f aca="false">(parametros_manuales!$D$22*('Plan mensual'!E2+'Plan mensual'!E113+IF(parametros_manuales!$H$22="Todos",'Plan mensual'!E6+'Plan mensual'!E117,0))+parametros_manuales!$E$22*('Plan mensual'!E3+'Plan mensual'!E114+IF(parametros_manuales!$H$22="Todos",'Plan mensual'!E7+'Plan mensual'!E118,0))+parametros_manuales!$F$22*('Plan mensual'!E4+'Plan mensual'!E115+IF(parametros_manuales!$H$22="Todos",'Plan mensual'!E8+'Plan mensual'!E119,0))+parametros_manuales!$G$22*('Plan mensual'!E5+'Plan mensual'!E116+IF(parametros_manuales!$H$22="Todos",'Plan mensual'!E9+'Plan mensual'!E120,0)))*parametros_manuales!$I$22*parametros_manuales!$J$22</f>
        <v>1179.7944279368</v>
      </c>
      <c r="D5" s="9" t="n">
        <f aca="false">(parametros_manuales!$D$22*('Plan mensual'!F2+'Plan mensual'!F113+IF(parametros_manuales!$H$22="Todos",'Plan mensual'!F6+'Plan mensual'!F117,0))+parametros_manuales!$E$22*('Plan mensual'!F3+'Plan mensual'!F114+IF(parametros_manuales!$H$22="Todos",'Plan mensual'!F7+'Plan mensual'!F118,0))+parametros_manuales!$F$22*('Plan mensual'!F4+'Plan mensual'!F115+IF(parametros_manuales!$H$22="Todos",'Plan mensual'!F8+'Plan mensual'!F119,0))+parametros_manuales!$G$22*('Plan mensual'!F5+'Plan mensual'!F116+IF(parametros_manuales!$H$22="Todos",'Plan mensual'!F9+'Plan mensual'!F120,0)))*parametros_manuales!$I$22*parametros_manuales!$J$22</f>
        <v>1122.9460627141</v>
      </c>
      <c r="E5" s="9" t="n">
        <f aca="false">(parametros_manuales!$D$22*('Plan mensual'!G2+'Plan mensual'!G113+IF(parametros_manuales!$H$22="Todos",'Plan mensual'!G6+'Plan mensual'!G117,0))+parametros_manuales!$E$22*('Plan mensual'!G3+'Plan mensual'!G114+IF(parametros_manuales!$H$22="Todos",'Plan mensual'!G7+'Plan mensual'!G118,0))+parametros_manuales!$F$22*('Plan mensual'!G4+'Plan mensual'!G115+IF(parametros_manuales!$H$22="Todos",'Plan mensual'!G8+'Plan mensual'!G119,0))+parametros_manuales!$G$22*('Plan mensual'!G5+'Plan mensual'!G116+IF(parametros_manuales!$H$22="Todos",'Plan mensual'!G9+'Plan mensual'!G120,0)))*parametros_manuales!$I$22*parametros_manuales!$J$22</f>
        <v>1081.1586972841</v>
      </c>
      <c r="F5" s="9" t="n">
        <f aca="false">(parametros_manuales!$D$22*('Plan mensual'!H2+'Plan mensual'!H113+IF(parametros_manuales!$H$22="Todos",'Plan mensual'!H6+'Plan mensual'!H117,0))+parametros_manuales!$E$22*('Plan mensual'!H3+'Plan mensual'!H114+IF(parametros_manuales!$H$22="Todos",'Plan mensual'!H7+'Plan mensual'!H118,0))+parametros_manuales!$F$22*('Plan mensual'!H4+'Plan mensual'!H115+IF(parametros_manuales!$H$22="Todos",'Plan mensual'!H8+'Plan mensual'!H119,0))+parametros_manuales!$G$22*('Plan mensual'!H5+'Plan mensual'!H116+IF(parametros_manuales!$H$22="Todos",'Plan mensual'!H9+'Plan mensual'!H120,0)))*parametros_manuales!$I$22*parametros_manuales!$J$22</f>
        <v>1012.6449662168</v>
      </c>
      <c r="G5" s="9" t="n">
        <f aca="false">(parametros_manuales!$D$22*('Plan mensual'!I2+'Plan mensual'!I113+IF(parametros_manuales!$H$22="Todos",'Plan mensual'!I6+'Plan mensual'!I117,0))+parametros_manuales!$E$22*('Plan mensual'!I3+'Plan mensual'!I114+IF(parametros_manuales!$H$22="Todos",'Plan mensual'!I7+'Plan mensual'!I118,0))+parametros_manuales!$F$22*('Plan mensual'!I4+'Plan mensual'!I115+IF(parametros_manuales!$H$22="Todos",'Plan mensual'!I8+'Plan mensual'!I119,0))+parametros_manuales!$G$22*('Plan mensual'!I5+'Plan mensual'!I116+IF(parametros_manuales!$H$22="Todos",'Plan mensual'!I9+'Plan mensual'!I120,0)))*parametros_manuales!$I$22*parametros_manuales!$J$22</f>
        <v>985.9186005795</v>
      </c>
      <c r="H5" s="9" t="n">
        <f aca="false">(parametros_manuales!$D$22*('Plan mensual'!J2+'Plan mensual'!J113+IF(parametros_manuales!$H$22="Todos",'Plan mensual'!J6+'Plan mensual'!J117,0))+parametros_manuales!$E$22*('Plan mensual'!J3+'Plan mensual'!J114+IF(parametros_manuales!$H$22="Todos",'Plan mensual'!J7+'Plan mensual'!J118,0))+parametros_manuales!$F$22*('Plan mensual'!J4+'Plan mensual'!J115+IF(parametros_manuales!$H$22="Todos",'Plan mensual'!J8+'Plan mensual'!J119,0))+parametros_manuales!$G$22*('Plan mensual'!J5+'Plan mensual'!J116+IF(parametros_manuales!$H$22="Todos",'Plan mensual'!J9+'Plan mensual'!J120,0)))*parametros_manuales!$I$22*parametros_manuales!$J$22</f>
        <v>1054.4323316468</v>
      </c>
      <c r="I5" s="9" t="n">
        <f aca="false">(parametros_manuales!$D$22*('Plan mensual'!K2+'Plan mensual'!K113+IF(parametros_manuales!$H$22="Todos",'Plan mensual'!K6+'Plan mensual'!K117,0))+parametros_manuales!$E$22*('Plan mensual'!K3+'Plan mensual'!K114+IF(parametros_manuales!$H$22="Todos",'Plan mensual'!K7+'Plan mensual'!K118,0))+parametros_manuales!$F$22*('Plan mensual'!K4+'Plan mensual'!K115+IF(parametros_manuales!$H$22="Todos",'Plan mensual'!K8+'Plan mensual'!K119,0))+parametros_manuales!$G$22*('Plan mensual'!K5+'Plan mensual'!K116+IF(parametros_manuales!$H$22="Todos",'Plan mensual'!K9+'Plan mensual'!K120,0)))*parametros_manuales!$I$22*parametros_manuales!$J$22</f>
        <v>1054.4323316468</v>
      </c>
      <c r="J5" s="9" t="n">
        <f aca="false">(parametros_manuales!$D$22*('Plan mensual'!L2+'Plan mensual'!L113+IF(parametros_manuales!$H$22="Todos",'Plan mensual'!L6+'Plan mensual'!L117,0))+parametros_manuales!$E$22*('Plan mensual'!L3+'Plan mensual'!L114+IF(parametros_manuales!$H$22="Todos",'Plan mensual'!L7+'Plan mensual'!L118,0))+parametros_manuales!$F$22*('Plan mensual'!L4+'Plan mensual'!L115+IF(parametros_manuales!$H$22="Todos",'Plan mensual'!L8+'Plan mensual'!L119,0))+parametros_manuales!$G$22*('Plan mensual'!L5+'Plan mensual'!L116+IF(parametros_manuales!$H$22="Todos",'Plan mensual'!L9+'Plan mensual'!L120,0)))*parametros_manuales!$I$22*parametros_manuales!$J$22</f>
        <v>1054.4323316468</v>
      </c>
      <c r="K5" s="9" t="n">
        <f aca="false">(parametros_manuales!$D$22*('Plan mensual'!M2+'Plan mensual'!M113+IF(parametros_manuales!$H$22="Todos",'Plan mensual'!M6+'Plan mensual'!M117,0))+parametros_manuales!$E$22*('Plan mensual'!M3+'Plan mensual'!M114+IF(parametros_manuales!$H$22="Todos",'Plan mensual'!M7+'Plan mensual'!M118,0))+parametros_manuales!$F$22*('Plan mensual'!M4+'Plan mensual'!M115+IF(parametros_manuales!$H$22="Todos",'Plan mensual'!M8+'Plan mensual'!M119,0))+parametros_manuales!$G$22*('Plan mensual'!M5+'Plan mensual'!M116+IF(parametros_manuales!$H$22="Todos",'Plan mensual'!M9+'Plan mensual'!M120,0)))*parametros_manuales!$I$22*parametros_manuales!$J$22</f>
        <v>1027.7059660095</v>
      </c>
      <c r="L5" s="9" t="n">
        <f aca="false">(parametros_manuales!$D$22*('Plan mensual'!N2+'Plan mensual'!N113+IF(parametros_manuales!$H$22="Todos",'Plan mensual'!N6+'Plan mensual'!N117,0))+parametros_manuales!$E$22*('Plan mensual'!N3+'Plan mensual'!N114+IF(parametros_manuales!$H$22="Todos",'Plan mensual'!N7+'Plan mensual'!N118,0))+parametros_manuales!$F$22*('Plan mensual'!N4+'Plan mensual'!N115+IF(parametros_manuales!$H$22="Todos",'Plan mensual'!N8+'Plan mensual'!N119,0))+parametros_manuales!$G$22*('Plan mensual'!N5+'Plan mensual'!N116+IF(parametros_manuales!$H$22="Todos",'Plan mensual'!N9+'Plan mensual'!N120,0)))*parametros_manuales!$I$22*parametros_manuales!$J$22</f>
        <v>1000.9796003722</v>
      </c>
      <c r="M5" s="9" t="n">
        <f aca="false">(parametros_manuales!$D$22*('Plan mensual'!O2+'Plan mensual'!O113+IF(parametros_manuales!$H$22="Todos",'Plan mensual'!O6+'Plan mensual'!O117,0))+parametros_manuales!$E$22*('Plan mensual'!O3+'Plan mensual'!O114+IF(parametros_manuales!$H$22="Todos",'Plan mensual'!O7+'Plan mensual'!O118,0))+parametros_manuales!$F$22*('Plan mensual'!O4+'Plan mensual'!O115+IF(parametros_manuales!$H$22="Todos",'Plan mensual'!O8+'Plan mensual'!O119,0))+parametros_manuales!$G$22*('Plan mensual'!O5+'Plan mensual'!O116+IF(parametros_manuales!$H$22="Todos",'Plan mensual'!O9+'Plan mensual'!O120,0)))*parametros_manuales!$I$22*parametros_manuales!$J$22</f>
        <v>1590.8768143406</v>
      </c>
      <c r="N5" s="9" t="n">
        <f aca="false">SUM(B5:M5)</f>
        <v>13702.74621346</v>
      </c>
      <c r="O5" s="9" t="n">
        <f aca="false">MAX(B5:M5)</f>
        <v>1590.8768143406</v>
      </c>
      <c r="P5" s="44" t="n">
        <f aca="false">O5/(parametros_manuales!$B$7)</f>
        <v>10.6058454289373</v>
      </c>
      <c r="Q5" s="8" t="str">
        <f aca="false">IF(O5=0,"-",INDEX($B$1:$M$1,MATCH(O5,B5:M5,0)))</f>
        <v>Dic</v>
      </c>
    </row>
    <row r="6" customFormat="false" ht="14.25" hidden="false" customHeight="true" outlineLevel="0" collapsed="false">
      <c r="A6" s="8" t="str">
        <f aca="false">parametros_manuales!$B$23</f>
        <v>Preparación de cuello</v>
      </c>
      <c r="B6" s="9" t="n">
        <f aca="false">(parametros_manuales!$D$23*('Plan mensual'!D2+'Plan mensual'!D113+IF(parametros_manuales!$H$23="Todos",'Plan mensual'!D6+'Plan mensual'!D117,0))+parametros_manuales!$E$23*('Plan mensual'!D3+'Plan mensual'!D114+IF(parametros_manuales!$H$23="Todos",'Plan mensual'!D7+'Plan mensual'!D118,0))+parametros_manuales!$F$23*('Plan mensual'!D4+'Plan mensual'!D115+IF(parametros_manuales!$H$23="Todos",'Plan mensual'!D8+'Plan mensual'!D119,0))+parametros_manuales!$G$23*('Plan mensual'!D5+'Plan mensual'!D116+IF(parametros_manuales!$H$23="Todos",'Plan mensual'!D9+'Plan mensual'!D120,0)))*parametros_manuales!$I$23*parametros_manuales!$J$23</f>
        <v>768.712041533</v>
      </c>
      <c r="C6" s="9" t="n">
        <f aca="false">(parametros_manuales!$D$23*('Plan mensual'!E2+'Plan mensual'!E113+IF(parametros_manuales!$H$23="Todos",'Plan mensual'!E6+'Plan mensual'!E117,0))+parametros_manuales!$E$23*('Plan mensual'!E3+'Plan mensual'!E114+IF(parametros_manuales!$H$23="Todos",'Plan mensual'!E7+'Plan mensual'!E118,0))+parametros_manuales!$F$23*('Plan mensual'!E4+'Plan mensual'!E115+IF(parametros_manuales!$H$23="Todos",'Plan mensual'!E8+'Plan mensual'!E119,0))+parametros_manuales!$G$23*('Plan mensual'!E5+'Plan mensual'!E116+IF(parametros_manuales!$H$23="Todos",'Plan mensual'!E9+'Plan mensual'!E120,0)))*parametros_manuales!$I$23*parametros_manuales!$J$23</f>
        <v>589.8972139684</v>
      </c>
      <c r="D6" s="9" t="n">
        <f aca="false">(parametros_manuales!$D$23*('Plan mensual'!F2+'Plan mensual'!F113+IF(parametros_manuales!$H$23="Todos",'Plan mensual'!F6+'Plan mensual'!F117,0))+parametros_manuales!$E$23*('Plan mensual'!F3+'Plan mensual'!F114+IF(parametros_manuales!$H$23="Todos",'Plan mensual'!F7+'Plan mensual'!F118,0))+parametros_manuales!$F$23*('Plan mensual'!F4+'Plan mensual'!F115+IF(parametros_manuales!$H$23="Todos",'Plan mensual'!F8+'Plan mensual'!F119,0))+parametros_manuales!$G$23*('Plan mensual'!F5+'Plan mensual'!F116+IF(parametros_manuales!$H$23="Todos",'Plan mensual'!F9+'Plan mensual'!F120,0)))*parametros_manuales!$I$23*parametros_manuales!$J$23</f>
        <v>561.47303135705</v>
      </c>
      <c r="E6" s="9" t="n">
        <f aca="false">(parametros_manuales!$D$23*('Plan mensual'!G2+'Plan mensual'!G113+IF(parametros_manuales!$H$23="Todos",'Plan mensual'!G6+'Plan mensual'!G117,0))+parametros_manuales!$E$23*('Plan mensual'!G3+'Plan mensual'!G114+IF(parametros_manuales!$H$23="Todos",'Plan mensual'!G7+'Plan mensual'!G118,0))+parametros_manuales!$F$23*('Plan mensual'!G4+'Plan mensual'!G115+IF(parametros_manuales!$H$23="Todos",'Plan mensual'!G8+'Plan mensual'!G119,0))+parametros_manuales!$G$23*('Plan mensual'!G5+'Plan mensual'!G116+IF(parametros_manuales!$H$23="Todos",'Plan mensual'!G9+'Plan mensual'!G120,0)))*parametros_manuales!$I$23*parametros_manuales!$J$23</f>
        <v>540.57934864205</v>
      </c>
      <c r="F6" s="9" t="n">
        <f aca="false">(parametros_manuales!$D$23*('Plan mensual'!H2+'Plan mensual'!H113+IF(parametros_manuales!$H$23="Todos",'Plan mensual'!H6+'Plan mensual'!H117,0))+parametros_manuales!$E$23*('Plan mensual'!H3+'Plan mensual'!H114+IF(parametros_manuales!$H$23="Todos",'Plan mensual'!H7+'Plan mensual'!H118,0))+parametros_manuales!$F$23*('Plan mensual'!H4+'Plan mensual'!H115+IF(parametros_manuales!$H$23="Todos",'Plan mensual'!H8+'Plan mensual'!H119,0))+parametros_manuales!$G$23*('Plan mensual'!H5+'Plan mensual'!H116+IF(parametros_manuales!$H$23="Todos",'Plan mensual'!H9+'Plan mensual'!H120,0)))*parametros_manuales!$I$23*parametros_manuales!$J$23</f>
        <v>506.3224831084</v>
      </c>
      <c r="G6" s="9" t="n">
        <f aca="false">(parametros_manuales!$D$23*('Plan mensual'!I2+'Plan mensual'!I113+IF(parametros_manuales!$H$23="Todos",'Plan mensual'!I6+'Plan mensual'!I117,0))+parametros_manuales!$E$23*('Plan mensual'!I3+'Plan mensual'!I114+IF(parametros_manuales!$H$23="Todos",'Plan mensual'!I7+'Plan mensual'!I118,0))+parametros_manuales!$F$23*('Plan mensual'!I4+'Plan mensual'!I115+IF(parametros_manuales!$H$23="Todos",'Plan mensual'!I8+'Plan mensual'!I119,0))+parametros_manuales!$G$23*('Plan mensual'!I5+'Plan mensual'!I116+IF(parametros_manuales!$H$23="Todos",'Plan mensual'!I9+'Plan mensual'!I120,0)))*parametros_manuales!$I$23*parametros_manuales!$J$23</f>
        <v>492.95930028975</v>
      </c>
      <c r="H6" s="9" t="n">
        <f aca="false">(parametros_manuales!$D$23*('Plan mensual'!J2+'Plan mensual'!J113+IF(parametros_manuales!$H$23="Todos",'Plan mensual'!J6+'Plan mensual'!J117,0))+parametros_manuales!$E$23*('Plan mensual'!J3+'Plan mensual'!J114+IF(parametros_manuales!$H$23="Todos",'Plan mensual'!J7+'Plan mensual'!J118,0))+parametros_manuales!$F$23*('Plan mensual'!J4+'Plan mensual'!J115+IF(parametros_manuales!$H$23="Todos",'Plan mensual'!J8+'Plan mensual'!J119,0))+parametros_manuales!$G$23*('Plan mensual'!J5+'Plan mensual'!J116+IF(parametros_manuales!$H$23="Todos",'Plan mensual'!J9+'Plan mensual'!J120,0)))*parametros_manuales!$I$23*parametros_manuales!$J$23</f>
        <v>527.2161658234</v>
      </c>
      <c r="I6" s="9" t="n">
        <f aca="false">(parametros_manuales!$D$23*('Plan mensual'!K2+'Plan mensual'!K113+IF(parametros_manuales!$H$23="Todos",'Plan mensual'!K6+'Plan mensual'!K117,0))+parametros_manuales!$E$23*('Plan mensual'!K3+'Plan mensual'!K114+IF(parametros_manuales!$H$23="Todos",'Plan mensual'!K7+'Plan mensual'!K118,0))+parametros_manuales!$F$23*('Plan mensual'!K4+'Plan mensual'!K115+IF(parametros_manuales!$H$23="Todos",'Plan mensual'!K8+'Plan mensual'!K119,0))+parametros_manuales!$G$23*('Plan mensual'!K5+'Plan mensual'!K116+IF(parametros_manuales!$H$23="Todos",'Plan mensual'!K9+'Plan mensual'!K120,0)))*parametros_manuales!$I$23*parametros_manuales!$J$23</f>
        <v>527.2161658234</v>
      </c>
      <c r="J6" s="9" t="n">
        <f aca="false">(parametros_manuales!$D$23*('Plan mensual'!L2+'Plan mensual'!L113+IF(parametros_manuales!$H$23="Todos",'Plan mensual'!L6+'Plan mensual'!L117,0))+parametros_manuales!$E$23*('Plan mensual'!L3+'Plan mensual'!L114+IF(parametros_manuales!$H$23="Todos",'Plan mensual'!L7+'Plan mensual'!L118,0))+parametros_manuales!$F$23*('Plan mensual'!L4+'Plan mensual'!L115+IF(parametros_manuales!$H$23="Todos",'Plan mensual'!L8+'Plan mensual'!L119,0))+parametros_manuales!$G$23*('Plan mensual'!L5+'Plan mensual'!L116+IF(parametros_manuales!$H$23="Todos",'Plan mensual'!L9+'Plan mensual'!L120,0)))*parametros_manuales!$I$23*parametros_manuales!$J$23</f>
        <v>527.2161658234</v>
      </c>
      <c r="K6" s="9" t="n">
        <f aca="false">(parametros_manuales!$D$23*('Plan mensual'!M2+'Plan mensual'!M113+IF(parametros_manuales!$H$23="Todos",'Plan mensual'!M6+'Plan mensual'!M117,0))+parametros_manuales!$E$23*('Plan mensual'!M3+'Plan mensual'!M114+IF(parametros_manuales!$H$23="Todos",'Plan mensual'!M7+'Plan mensual'!M118,0))+parametros_manuales!$F$23*('Plan mensual'!M4+'Plan mensual'!M115+IF(parametros_manuales!$H$23="Todos",'Plan mensual'!M8+'Plan mensual'!M119,0))+parametros_manuales!$G$23*('Plan mensual'!M5+'Plan mensual'!M116+IF(parametros_manuales!$H$23="Todos",'Plan mensual'!M9+'Plan mensual'!M120,0)))*parametros_manuales!$I$23*parametros_manuales!$J$23</f>
        <v>513.85298300475</v>
      </c>
      <c r="L6" s="9" t="n">
        <f aca="false">(parametros_manuales!$D$23*('Plan mensual'!N2+'Plan mensual'!N113+IF(parametros_manuales!$H$23="Todos",'Plan mensual'!N6+'Plan mensual'!N117,0))+parametros_manuales!$E$23*('Plan mensual'!N3+'Plan mensual'!N114+IF(parametros_manuales!$H$23="Todos",'Plan mensual'!N7+'Plan mensual'!N118,0))+parametros_manuales!$F$23*('Plan mensual'!N4+'Plan mensual'!N115+IF(parametros_manuales!$H$23="Todos",'Plan mensual'!N8+'Plan mensual'!N119,0))+parametros_manuales!$G$23*('Plan mensual'!N5+'Plan mensual'!N116+IF(parametros_manuales!$H$23="Todos",'Plan mensual'!N9+'Plan mensual'!N120,0)))*parametros_manuales!$I$23*parametros_manuales!$J$23</f>
        <v>500.4898001861</v>
      </c>
      <c r="M6" s="9" t="n">
        <f aca="false">(parametros_manuales!$D$23*('Plan mensual'!O2+'Plan mensual'!O113+IF(parametros_manuales!$H$23="Todos",'Plan mensual'!O6+'Plan mensual'!O117,0))+parametros_manuales!$E$23*('Plan mensual'!O3+'Plan mensual'!O114+IF(parametros_manuales!$H$23="Todos",'Plan mensual'!O7+'Plan mensual'!O118,0))+parametros_manuales!$F$23*('Plan mensual'!O4+'Plan mensual'!O115+IF(parametros_manuales!$H$23="Todos",'Plan mensual'!O8+'Plan mensual'!O119,0))+parametros_manuales!$G$23*('Plan mensual'!O5+'Plan mensual'!O116+IF(parametros_manuales!$H$23="Todos",'Plan mensual'!O9+'Plan mensual'!O120,0)))*parametros_manuales!$I$23*parametros_manuales!$J$23</f>
        <v>795.4384071703</v>
      </c>
      <c r="N6" s="9" t="n">
        <f aca="false">SUM(B6:M6)</f>
        <v>6851.37310673</v>
      </c>
      <c r="O6" s="9" t="n">
        <f aca="false">MAX(B6:M6)</f>
        <v>795.4384071703</v>
      </c>
      <c r="P6" s="44" t="n">
        <f aca="false">O6/(parametros_manuales!$B$7)</f>
        <v>5.30292271446867</v>
      </c>
      <c r="Q6" s="8" t="str">
        <f aca="false">IF(O6=0,"-",INDEX($B$1:$M$1,MATCH(O6,B6:M6,0)))</f>
        <v>Dic</v>
      </c>
    </row>
    <row r="7" customFormat="false" ht="14.25" hidden="false" customHeight="true" outlineLevel="0" collapsed="false">
      <c r="A7" s="8" t="str">
        <f aca="false">parametros_manuales!$B$24</f>
        <v>Numerado de cúpula</v>
      </c>
      <c r="B7" s="9" t="n">
        <f aca="false">(parametros_manuales!$D$24*('Plan mensual'!D2+'Plan mensual'!D113+IF(parametros_manuales!$H$24="Todos",'Plan mensual'!D6+'Plan mensual'!D117,0))+parametros_manuales!$E$24*('Plan mensual'!D3+'Plan mensual'!D114+IF(parametros_manuales!$H$24="Todos",'Plan mensual'!D7+'Plan mensual'!D118,0))+parametros_manuales!$F$24*('Plan mensual'!D4+'Plan mensual'!D115+IF(parametros_manuales!$H$24="Todos",'Plan mensual'!D8+'Plan mensual'!D119,0))+parametros_manuales!$G$24*('Plan mensual'!D5+'Plan mensual'!D116+IF(parametros_manuales!$H$24="Todos",'Plan mensual'!D9+'Plan mensual'!D120,0)))*parametros_manuales!$I$24*parametros_manuales!$J$24</f>
        <v>768.712041533</v>
      </c>
      <c r="C7" s="9" t="n">
        <f aca="false">(parametros_manuales!$D$24*('Plan mensual'!E2+'Plan mensual'!E113+IF(parametros_manuales!$H$24="Todos",'Plan mensual'!E6+'Plan mensual'!E117,0))+parametros_manuales!$E$24*('Plan mensual'!E3+'Plan mensual'!E114+IF(parametros_manuales!$H$24="Todos",'Plan mensual'!E7+'Plan mensual'!E118,0))+parametros_manuales!$F$24*('Plan mensual'!E4+'Plan mensual'!E115+IF(parametros_manuales!$H$24="Todos",'Plan mensual'!E8+'Plan mensual'!E119,0))+parametros_manuales!$G$24*('Plan mensual'!E5+'Plan mensual'!E116+IF(parametros_manuales!$H$24="Todos",'Plan mensual'!E9+'Plan mensual'!E120,0)))*parametros_manuales!$I$24*parametros_manuales!$J$24</f>
        <v>589.8972139684</v>
      </c>
      <c r="D7" s="9" t="n">
        <f aca="false">(parametros_manuales!$D$24*('Plan mensual'!F2+'Plan mensual'!F113+IF(parametros_manuales!$H$24="Todos",'Plan mensual'!F6+'Plan mensual'!F117,0))+parametros_manuales!$E$24*('Plan mensual'!F3+'Plan mensual'!F114+IF(parametros_manuales!$H$24="Todos",'Plan mensual'!F7+'Plan mensual'!F118,0))+parametros_manuales!$F$24*('Plan mensual'!F4+'Plan mensual'!F115+IF(parametros_manuales!$H$24="Todos",'Plan mensual'!F8+'Plan mensual'!F119,0))+parametros_manuales!$G$24*('Plan mensual'!F5+'Plan mensual'!F116+IF(parametros_manuales!$H$24="Todos",'Plan mensual'!F9+'Plan mensual'!F120,0)))*parametros_manuales!$I$24*parametros_manuales!$J$24</f>
        <v>561.47303135705</v>
      </c>
      <c r="E7" s="9" t="n">
        <f aca="false">(parametros_manuales!$D$24*('Plan mensual'!G2+'Plan mensual'!G113+IF(parametros_manuales!$H$24="Todos",'Plan mensual'!G6+'Plan mensual'!G117,0))+parametros_manuales!$E$24*('Plan mensual'!G3+'Plan mensual'!G114+IF(parametros_manuales!$H$24="Todos",'Plan mensual'!G7+'Plan mensual'!G118,0))+parametros_manuales!$F$24*('Plan mensual'!G4+'Plan mensual'!G115+IF(parametros_manuales!$H$24="Todos",'Plan mensual'!G8+'Plan mensual'!G119,0))+parametros_manuales!$G$24*('Plan mensual'!G5+'Plan mensual'!G116+IF(parametros_manuales!$H$24="Todos",'Plan mensual'!G9+'Plan mensual'!G120,0)))*parametros_manuales!$I$24*parametros_manuales!$J$24</f>
        <v>540.57934864205</v>
      </c>
      <c r="F7" s="9" t="n">
        <f aca="false">(parametros_manuales!$D$24*('Plan mensual'!H2+'Plan mensual'!H113+IF(parametros_manuales!$H$24="Todos",'Plan mensual'!H6+'Plan mensual'!H117,0))+parametros_manuales!$E$24*('Plan mensual'!H3+'Plan mensual'!H114+IF(parametros_manuales!$H$24="Todos",'Plan mensual'!H7+'Plan mensual'!H118,0))+parametros_manuales!$F$24*('Plan mensual'!H4+'Plan mensual'!H115+IF(parametros_manuales!$H$24="Todos",'Plan mensual'!H8+'Plan mensual'!H119,0))+parametros_manuales!$G$24*('Plan mensual'!H5+'Plan mensual'!H116+IF(parametros_manuales!$H$24="Todos",'Plan mensual'!H9+'Plan mensual'!H120,0)))*parametros_manuales!$I$24*parametros_manuales!$J$24</f>
        <v>506.3224831084</v>
      </c>
      <c r="G7" s="9" t="n">
        <f aca="false">(parametros_manuales!$D$24*('Plan mensual'!I2+'Plan mensual'!I113+IF(parametros_manuales!$H$24="Todos",'Plan mensual'!I6+'Plan mensual'!I117,0))+parametros_manuales!$E$24*('Plan mensual'!I3+'Plan mensual'!I114+IF(parametros_manuales!$H$24="Todos",'Plan mensual'!I7+'Plan mensual'!I118,0))+parametros_manuales!$F$24*('Plan mensual'!I4+'Plan mensual'!I115+IF(parametros_manuales!$H$24="Todos",'Plan mensual'!I8+'Plan mensual'!I119,0))+parametros_manuales!$G$24*('Plan mensual'!I5+'Plan mensual'!I116+IF(parametros_manuales!$H$24="Todos",'Plan mensual'!I9+'Plan mensual'!I120,0)))*parametros_manuales!$I$24*parametros_manuales!$J$24</f>
        <v>492.95930028975</v>
      </c>
      <c r="H7" s="9" t="n">
        <f aca="false">(parametros_manuales!$D$24*('Plan mensual'!J2+'Plan mensual'!J113+IF(parametros_manuales!$H$24="Todos",'Plan mensual'!J6+'Plan mensual'!J117,0))+parametros_manuales!$E$24*('Plan mensual'!J3+'Plan mensual'!J114+IF(parametros_manuales!$H$24="Todos",'Plan mensual'!J7+'Plan mensual'!J118,0))+parametros_manuales!$F$24*('Plan mensual'!J4+'Plan mensual'!J115+IF(parametros_manuales!$H$24="Todos",'Plan mensual'!J8+'Plan mensual'!J119,0))+parametros_manuales!$G$24*('Plan mensual'!J5+'Plan mensual'!J116+IF(parametros_manuales!$H$24="Todos",'Plan mensual'!J9+'Plan mensual'!J120,0)))*parametros_manuales!$I$24*parametros_manuales!$J$24</f>
        <v>527.2161658234</v>
      </c>
      <c r="I7" s="9" t="n">
        <f aca="false">(parametros_manuales!$D$24*('Plan mensual'!K2+'Plan mensual'!K113+IF(parametros_manuales!$H$24="Todos",'Plan mensual'!K6+'Plan mensual'!K117,0))+parametros_manuales!$E$24*('Plan mensual'!K3+'Plan mensual'!K114+IF(parametros_manuales!$H$24="Todos",'Plan mensual'!K7+'Plan mensual'!K118,0))+parametros_manuales!$F$24*('Plan mensual'!K4+'Plan mensual'!K115+IF(parametros_manuales!$H$24="Todos",'Plan mensual'!K8+'Plan mensual'!K119,0))+parametros_manuales!$G$24*('Plan mensual'!K5+'Plan mensual'!K116+IF(parametros_manuales!$H$24="Todos",'Plan mensual'!K9+'Plan mensual'!K120,0)))*parametros_manuales!$I$24*parametros_manuales!$J$24</f>
        <v>527.2161658234</v>
      </c>
      <c r="J7" s="9" t="n">
        <f aca="false">(parametros_manuales!$D$24*('Plan mensual'!L2+'Plan mensual'!L113+IF(parametros_manuales!$H$24="Todos",'Plan mensual'!L6+'Plan mensual'!L117,0))+parametros_manuales!$E$24*('Plan mensual'!L3+'Plan mensual'!L114+IF(parametros_manuales!$H$24="Todos",'Plan mensual'!L7+'Plan mensual'!L118,0))+parametros_manuales!$F$24*('Plan mensual'!L4+'Plan mensual'!L115+IF(parametros_manuales!$H$24="Todos",'Plan mensual'!L8+'Plan mensual'!L119,0))+parametros_manuales!$G$24*('Plan mensual'!L5+'Plan mensual'!L116+IF(parametros_manuales!$H$24="Todos",'Plan mensual'!L9+'Plan mensual'!L120,0)))*parametros_manuales!$I$24*parametros_manuales!$J$24</f>
        <v>527.2161658234</v>
      </c>
      <c r="K7" s="9" t="n">
        <f aca="false">(parametros_manuales!$D$24*('Plan mensual'!M2+'Plan mensual'!M113+IF(parametros_manuales!$H$24="Todos",'Plan mensual'!M6+'Plan mensual'!M117,0))+parametros_manuales!$E$24*('Plan mensual'!M3+'Plan mensual'!M114+IF(parametros_manuales!$H$24="Todos",'Plan mensual'!M7+'Plan mensual'!M118,0))+parametros_manuales!$F$24*('Plan mensual'!M4+'Plan mensual'!M115+IF(parametros_manuales!$H$24="Todos",'Plan mensual'!M8+'Plan mensual'!M119,0))+parametros_manuales!$G$24*('Plan mensual'!M5+'Plan mensual'!M116+IF(parametros_manuales!$H$24="Todos",'Plan mensual'!M9+'Plan mensual'!M120,0)))*parametros_manuales!$I$24*parametros_manuales!$J$24</f>
        <v>513.85298300475</v>
      </c>
      <c r="L7" s="9" t="n">
        <f aca="false">(parametros_manuales!$D$24*('Plan mensual'!N2+'Plan mensual'!N113+IF(parametros_manuales!$H$24="Todos",'Plan mensual'!N6+'Plan mensual'!N117,0))+parametros_manuales!$E$24*('Plan mensual'!N3+'Plan mensual'!N114+IF(parametros_manuales!$H$24="Todos",'Plan mensual'!N7+'Plan mensual'!N118,0))+parametros_manuales!$F$24*('Plan mensual'!N4+'Plan mensual'!N115+IF(parametros_manuales!$H$24="Todos",'Plan mensual'!N8+'Plan mensual'!N119,0))+parametros_manuales!$G$24*('Plan mensual'!N5+'Plan mensual'!N116+IF(parametros_manuales!$H$24="Todos",'Plan mensual'!N9+'Plan mensual'!N120,0)))*parametros_manuales!$I$24*parametros_manuales!$J$24</f>
        <v>500.4898001861</v>
      </c>
      <c r="M7" s="9" t="n">
        <f aca="false">(parametros_manuales!$D$24*('Plan mensual'!O2+'Plan mensual'!O113+IF(parametros_manuales!$H$24="Todos",'Plan mensual'!O6+'Plan mensual'!O117,0))+parametros_manuales!$E$24*('Plan mensual'!O3+'Plan mensual'!O114+IF(parametros_manuales!$H$24="Todos",'Plan mensual'!O7+'Plan mensual'!O118,0))+parametros_manuales!$F$24*('Plan mensual'!O4+'Plan mensual'!O115+IF(parametros_manuales!$H$24="Todos",'Plan mensual'!O8+'Plan mensual'!O119,0))+parametros_manuales!$G$24*('Plan mensual'!O5+'Plan mensual'!O116+IF(parametros_manuales!$H$24="Todos",'Plan mensual'!O9+'Plan mensual'!O120,0)))*parametros_manuales!$I$24*parametros_manuales!$J$24</f>
        <v>795.4384071703</v>
      </c>
      <c r="N7" s="9" t="n">
        <f aca="false">SUM(B7:M7)</f>
        <v>6851.37310673</v>
      </c>
      <c r="O7" s="9" t="n">
        <f aca="false">MAX(B7:M7)</f>
        <v>795.4384071703</v>
      </c>
      <c r="P7" s="44" t="n">
        <f aca="false">O7/(parametros_manuales!$B$7)</f>
        <v>5.30292271446867</v>
      </c>
      <c r="Q7" s="8" t="str">
        <f aca="false">IF(O7=0,"-",INDEX($B$1:$M$1,MATCH(O7,B7:M7,0)))</f>
        <v>Dic</v>
      </c>
    </row>
    <row r="8" customFormat="false" ht="14.25" hidden="false" customHeight="true" outlineLevel="0" collapsed="false">
      <c r="A8" s="8" t="str">
        <f aca="false">parametros_manuales!$B$25</f>
        <v>Soldadura del cuello a la cúpula</v>
      </c>
      <c r="B8" s="9" t="n">
        <f aca="false">(parametros_manuales!$D$25*('Plan mensual'!D2+'Plan mensual'!D113+IF(parametros_manuales!$H$25="Todos",'Plan mensual'!D6+'Plan mensual'!D117,0))+parametros_manuales!$E$25*('Plan mensual'!D3+'Plan mensual'!D114+IF(parametros_manuales!$H$25="Todos",'Plan mensual'!D7+'Plan mensual'!D118,0))+parametros_manuales!$F$25*('Plan mensual'!D4+'Plan mensual'!D115+IF(parametros_manuales!$H$25="Todos",'Plan mensual'!D8+'Plan mensual'!D119,0))+parametros_manuales!$G$25*('Plan mensual'!D5+'Plan mensual'!D116+IF(parametros_manuales!$H$25="Todos",'Plan mensual'!D9+'Plan mensual'!D120,0)))*parametros_manuales!$I$25*parametros_manuales!$J$25</f>
        <v>768.712041533</v>
      </c>
      <c r="C8" s="9" t="n">
        <f aca="false">(parametros_manuales!$D$25*('Plan mensual'!E2+'Plan mensual'!E113+IF(parametros_manuales!$H$25="Todos",'Plan mensual'!E6+'Plan mensual'!E117,0))+parametros_manuales!$E$25*('Plan mensual'!E3+'Plan mensual'!E114+IF(parametros_manuales!$H$25="Todos",'Plan mensual'!E7+'Plan mensual'!E118,0))+parametros_manuales!$F$25*('Plan mensual'!E4+'Plan mensual'!E115+IF(parametros_manuales!$H$25="Todos",'Plan mensual'!E8+'Plan mensual'!E119,0))+parametros_manuales!$G$25*('Plan mensual'!E5+'Plan mensual'!E116+IF(parametros_manuales!$H$25="Todos",'Plan mensual'!E9+'Plan mensual'!E120,0)))*parametros_manuales!$I$25*parametros_manuales!$J$25</f>
        <v>589.8972139684</v>
      </c>
      <c r="D8" s="9" t="n">
        <f aca="false">(parametros_manuales!$D$25*('Plan mensual'!F2+'Plan mensual'!F113+IF(parametros_manuales!$H$25="Todos",'Plan mensual'!F6+'Plan mensual'!F117,0))+parametros_manuales!$E$25*('Plan mensual'!F3+'Plan mensual'!F114+IF(parametros_manuales!$H$25="Todos",'Plan mensual'!F7+'Plan mensual'!F118,0))+parametros_manuales!$F$25*('Plan mensual'!F4+'Plan mensual'!F115+IF(parametros_manuales!$H$25="Todos",'Plan mensual'!F8+'Plan mensual'!F119,0))+parametros_manuales!$G$25*('Plan mensual'!F5+'Plan mensual'!F116+IF(parametros_manuales!$H$25="Todos",'Plan mensual'!F9+'Plan mensual'!F120,0)))*parametros_manuales!$I$25*parametros_manuales!$J$25</f>
        <v>561.47303135705</v>
      </c>
      <c r="E8" s="9" t="n">
        <f aca="false">(parametros_manuales!$D$25*('Plan mensual'!G2+'Plan mensual'!G113+IF(parametros_manuales!$H$25="Todos",'Plan mensual'!G6+'Plan mensual'!G117,0))+parametros_manuales!$E$25*('Plan mensual'!G3+'Plan mensual'!G114+IF(parametros_manuales!$H$25="Todos",'Plan mensual'!G7+'Plan mensual'!G118,0))+parametros_manuales!$F$25*('Plan mensual'!G4+'Plan mensual'!G115+IF(parametros_manuales!$H$25="Todos",'Plan mensual'!G8+'Plan mensual'!G119,0))+parametros_manuales!$G$25*('Plan mensual'!G5+'Plan mensual'!G116+IF(parametros_manuales!$H$25="Todos",'Plan mensual'!G9+'Plan mensual'!G120,0)))*parametros_manuales!$I$25*parametros_manuales!$J$25</f>
        <v>540.57934864205</v>
      </c>
      <c r="F8" s="9" t="n">
        <f aca="false">(parametros_manuales!$D$25*('Plan mensual'!H2+'Plan mensual'!H113+IF(parametros_manuales!$H$25="Todos",'Plan mensual'!H6+'Plan mensual'!H117,0))+parametros_manuales!$E$25*('Plan mensual'!H3+'Plan mensual'!H114+IF(parametros_manuales!$H$25="Todos",'Plan mensual'!H7+'Plan mensual'!H118,0))+parametros_manuales!$F$25*('Plan mensual'!H4+'Plan mensual'!H115+IF(parametros_manuales!$H$25="Todos",'Plan mensual'!H8+'Plan mensual'!H119,0))+parametros_manuales!$G$25*('Plan mensual'!H5+'Plan mensual'!H116+IF(parametros_manuales!$H$25="Todos",'Plan mensual'!H9+'Plan mensual'!H120,0)))*parametros_manuales!$I$25*parametros_manuales!$J$25</f>
        <v>506.3224831084</v>
      </c>
      <c r="G8" s="9" t="n">
        <f aca="false">(parametros_manuales!$D$25*('Plan mensual'!I2+'Plan mensual'!I113+IF(parametros_manuales!$H$25="Todos",'Plan mensual'!I6+'Plan mensual'!I117,0))+parametros_manuales!$E$25*('Plan mensual'!I3+'Plan mensual'!I114+IF(parametros_manuales!$H$25="Todos",'Plan mensual'!I7+'Plan mensual'!I118,0))+parametros_manuales!$F$25*('Plan mensual'!I4+'Plan mensual'!I115+IF(parametros_manuales!$H$25="Todos",'Plan mensual'!I8+'Plan mensual'!I119,0))+parametros_manuales!$G$25*('Plan mensual'!I5+'Plan mensual'!I116+IF(parametros_manuales!$H$25="Todos",'Plan mensual'!I9+'Plan mensual'!I120,0)))*parametros_manuales!$I$25*parametros_manuales!$J$25</f>
        <v>492.95930028975</v>
      </c>
      <c r="H8" s="9" t="n">
        <f aca="false">(parametros_manuales!$D$25*('Plan mensual'!J2+'Plan mensual'!J113+IF(parametros_manuales!$H$25="Todos",'Plan mensual'!J6+'Plan mensual'!J117,0))+parametros_manuales!$E$25*('Plan mensual'!J3+'Plan mensual'!J114+IF(parametros_manuales!$H$25="Todos",'Plan mensual'!J7+'Plan mensual'!J118,0))+parametros_manuales!$F$25*('Plan mensual'!J4+'Plan mensual'!J115+IF(parametros_manuales!$H$25="Todos",'Plan mensual'!J8+'Plan mensual'!J119,0))+parametros_manuales!$G$25*('Plan mensual'!J5+'Plan mensual'!J116+IF(parametros_manuales!$H$25="Todos",'Plan mensual'!J9+'Plan mensual'!J120,0)))*parametros_manuales!$I$25*parametros_manuales!$J$25</f>
        <v>527.2161658234</v>
      </c>
      <c r="I8" s="9" t="n">
        <f aca="false">(parametros_manuales!$D$25*('Plan mensual'!K2+'Plan mensual'!K113+IF(parametros_manuales!$H$25="Todos",'Plan mensual'!K6+'Plan mensual'!K117,0))+parametros_manuales!$E$25*('Plan mensual'!K3+'Plan mensual'!K114+IF(parametros_manuales!$H$25="Todos",'Plan mensual'!K7+'Plan mensual'!K118,0))+parametros_manuales!$F$25*('Plan mensual'!K4+'Plan mensual'!K115+IF(parametros_manuales!$H$25="Todos",'Plan mensual'!K8+'Plan mensual'!K119,0))+parametros_manuales!$G$25*('Plan mensual'!K5+'Plan mensual'!K116+IF(parametros_manuales!$H$25="Todos",'Plan mensual'!K9+'Plan mensual'!K120,0)))*parametros_manuales!$I$25*parametros_manuales!$J$25</f>
        <v>527.2161658234</v>
      </c>
      <c r="J8" s="9" t="n">
        <f aca="false">(parametros_manuales!$D$25*('Plan mensual'!L2+'Plan mensual'!L113+IF(parametros_manuales!$H$25="Todos",'Plan mensual'!L6+'Plan mensual'!L117,0))+parametros_manuales!$E$25*('Plan mensual'!L3+'Plan mensual'!L114+IF(parametros_manuales!$H$25="Todos",'Plan mensual'!L7+'Plan mensual'!L118,0))+parametros_manuales!$F$25*('Plan mensual'!L4+'Plan mensual'!L115+IF(parametros_manuales!$H$25="Todos",'Plan mensual'!L8+'Plan mensual'!L119,0))+parametros_manuales!$G$25*('Plan mensual'!L5+'Plan mensual'!L116+IF(parametros_manuales!$H$25="Todos",'Plan mensual'!L9+'Plan mensual'!L120,0)))*parametros_manuales!$I$25*parametros_manuales!$J$25</f>
        <v>527.2161658234</v>
      </c>
      <c r="K8" s="9" t="n">
        <f aca="false">(parametros_manuales!$D$25*('Plan mensual'!M2+'Plan mensual'!M113+IF(parametros_manuales!$H$25="Todos",'Plan mensual'!M6+'Plan mensual'!M117,0))+parametros_manuales!$E$25*('Plan mensual'!M3+'Plan mensual'!M114+IF(parametros_manuales!$H$25="Todos",'Plan mensual'!M7+'Plan mensual'!M118,0))+parametros_manuales!$F$25*('Plan mensual'!M4+'Plan mensual'!M115+IF(parametros_manuales!$H$25="Todos",'Plan mensual'!M8+'Plan mensual'!M119,0))+parametros_manuales!$G$25*('Plan mensual'!M5+'Plan mensual'!M116+IF(parametros_manuales!$H$25="Todos",'Plan mensual'!M9+'Plan mensual'!M120,0)))*parametros_manuales!$I$25*parametros_manuales!$J$25</f>
        <v>513.85298300475</v>
      </c>
      <c r="L8" s="9" t="n">
        <f aca="false">(parametros_manuales!$D$25*('Plan mensual'!N2+'Plan mensual'!N113+IF(parametros_manuales!$H$25="Todos",'Plan mensual'!N6+'Plan mensual'!N117,0))+parametros_manuales!$E$25*('Plan mensual'!N3+'Plan mensual'!N114+IF(parametros_manuales!$H$25="Todos",'Plan mensual'!N7+'Plan mensual'!N118,0))+parametros_manuales!$F$25*('Plan mensual'!N4+'Plan mensual'!N115+IF(parametros_manuales!$H$25="Todos",'Plan mensual'!N8+'Plan mensual'!N119,0))+parametros_manuales!$G$25*('Plan mensual'!N5+'Plan mensual'!N116+IF(parametros_manuales!$H$25="Todos",'Plan mensual'!N9+'Plan mensual'!N120,0)))*parametros_manuales!$I$25*parametros_manuales!$J$25</f>
        <v>500.4898001861</v>
      </c>
      <c r="M8" s="9" t="n">
        <f aca="false">(parametros_manuales!$D$25*('Plan mensual'!O2+'Plan mensual'!O113+IF(parametros_manuales!$H$25="Todos",'Plan mensual'!O6+'Plan mensual'!O117,0))+parametros_manuales!$E$25*('Plan mensual'!O3+'Plan mensual'!O114+IF(parametros_manuales!$H$25="Todos",'Plan mensual'!O7+'Plan mensual'!O118,0))+parametros_manuales!$F$25*('Plan mensual'!O4+'Plan mensual'!O115+IF(parametros_manuales!$H$25="Todos",'Plan mensual'!O8+'Plan mensual'!O119,0))+parametros_manuales!$G$25*('Plan mensual'!O5+'Plan mensual'!O116+IF(parametros_manuales!$H$25="Todos",'Plan mensual'!O9+'Plan mensual'!O120,0)))*parametros_manuales!$I$25*parametros_manuales!$J$25</f>
        <v>795.4384071703</v>
      </c>
      <c r="N8" s="9" t="n">
        <f aca="false">SUM(B8:M8)</f>
        <v>6851.37310673</v>
      </c>
      <c r="O8" s="9" t="n">
        <f aca="false">MAX(B8:M8)</f>
        <v>795.4384071703</v>
      </c>
      <c r="P8" s="44" t="n">
        <f aca="false">O8/(parametros_manuales!$B$7)</f>
        <v>5.30292271446867</v>
      </c>
      <c r="Q8" s="8" t="str">
        <f aca="false">IF(O8=0,"-",INDEX($B$1:$M$1,MATCH(O8,B8:M8,0)))</f>
        <v>Dic</v>
      </c>
    </row>
    <row r="9" customFormat="false" ht="14.25" hidden="false" customHeight="true" outlineLevel="0" collapsed="false">
      <c r="A9" s="8" t="str">
        <f aca="false">parametros_manuales!$B$26</f>
        <v>Cilindrado</v>
      </c>
      <c r="B9" s="9" t="n">
        <f aca="false">(parametros_manuales!$D$26*('Plan mensual'!D2+'Plan mensual'!D113+IF(parametros_manuales!$H$26="Todos",'Plan mensual'!D6+'Plan mensual'!D117,0))+parametros_manuales!$E$26*('Plan mensual'!D3+'Plan mensual'!D114+IF(parametros_manuales!$H$26="Todos",'Plan mensual'!D7+'Plan mensual'!D118,0))+parametros_manuales!$F$26*('Plan mensual'!D4+'Plan mensual'!D115+IF(parametros_manuales!$H$26="Todos",'Plan mensual'!D8+'Plan mensual'!D119,0))+parametros_manuales!$G$26*('Plan mensual'!D5+'Plan mensual'!D116+IF(parametros_manuales!$H$26="Todos",'Plan mensual'!D9+'Plan mensual'!D120,0)))*parametros_manuales!$I$26*parametros_manuales!$J$26</f>
        <v>267.263656373</v>
      </c>
      <c r="C9" s="9" t="n">
        <f aca="false">(parametros_manuales!$D$26*('Plan mensual'!E2+'Plan mensual'!E113+IF(parametros_manuales!$H$26="Todos",'Plan mensual'!E6+'Plan mensual'!E117,0))+parametros_manuales!$E$26*('Plan mensual'!E3+'Plan mensual'!E114+IF(parametros_manuales!$H$26="Todos",'Plan mensual'!E7+'Plan mensual'!E118,0))+parametros_manuales!$F$26*('Plan mensual'!E4+'Plan mensual'!E115+IF(parametros_manuales!$H$26="Todos",'Plan mensual'!E8+'Plan mensual'!E119,0))+parametros_manuales!$G$26*('Plan mensual'!E5+'Plan mensual'!E116+IF(parametros_manuales!$H$26="Todos",'Plan mensual'!E9+'Plan mensual'!E120,0)))*parametros_manuales!$I$26*parametros_manuales!$J$26</f>
        <v>213.8109250984</v>
      </c>
      <c r="D9" s="9" t="n">
        <f aca="false">(parametros_manuales!$D$26*('Plan mensual'!F2+'Plan mensual'!F113+IF(parametros_manuales!$H$26="Todos",'Plan mensual'!F6+'Plan mensual'!F117,0))+parametros_manuales!$E$26*('Plan mensual'!F3+'Plan mensual'!F114+IF(parametros_manuales!$H$26="Todos",'Plan mensual'!F7+'Plan mensual'!F118,0))+parametros_manuales!$F$26*('Plan mensual'!F4+'Plan mensual'!F115+IF(parametros_manuales!$H$26="Todos",'Plan mensual'!F8+'Plan mensual'!F119,0))+parametros_manuales!$G$26*('Plan mensual'!F5+'Plan mensual'!F116+IF(parametros_manuales!$H$26="Todos",'Plan mensual'!F9+'Plan mensual'!F120,0)))*parametros_manuales!$I$26*parametros_manuales!$J$26</f>
        <v>227.17410791705</v>
      </c>
      <c r="E9" s="9" t="n">
        <f aca="false">(parametros_manuales!$D$26*('Plan mensual'!G2+'Plan mensual'!G113+IF(parametros_manuales!$H$26="Todos",'Plan mensual'!G6+'Plan mensual'!G117,0))+parametros_manuales!$E$26*('Plan mensual'!G3+'Plan mensual'!G114+IF(parametros_manuales!$H$26="Todos",'Plan mensual'!G7+'Plan mensual'!G118,0))+parametros_manuales!$F$26*('Plan mensual'!G4+'Plan mensual'!G115+IF(parametros_manuales!$H$26="Todos",'Plan mensual'!G8+'Plan mensual'!G119,0))+parametros_manuales!$G$26*('Plan mensual'!G5+'Plan mensual'!G116+IF(parametros_manuales!$H$26="Todos",'Plan mensual'!G9+'Plan mensual'!G120,0)))*parametros_manuales!$I$26*parametros_manuales!$J$26</f>
        <v>227.17410791705</v>
      </c>
      <c r="F9" s="9" t="n">
        <f aca="false">(parametros_manuales!$D$26*('Plan mensual'!H2+'Plan mensual'!H113+IF(parametros_manuales!$H$26="Todos",'Plan mensual'!H6+'Plan mensual'!H117,0))+parametros_manuales!$E$26*('Plan mensual'!H3+'Plan mensual'!H114+IF(parametros_manuales!$H$26="Todos",'Plan mensual'!H7+'Plan mensual'!H118,0))+parametros_manuales!$F$26*('Plan mensual'!H4+'Plan mensual'!H115+IF(parametros_manuales!$H$26="Todos",'Plan mensual'!H8+'Plan mensual'!H119,0))+parametros_manuales!$G$26*('Plan mensual'!H5+'Plan mensual'!H116+IF(parametros_manuales!$H$26="Todos",'Plan mensual'!H9+'Plan mensual'!H120,0)))*parametros_manuales!$I$26*parametros_manuales!$J$26</f>
        <v>213.8109250984</v>
      </c>
      <c r="G9" s="9" t="n">
        <f aca="false">(parametros_manuales!$D$26*('Plan mensual'!I2+'Plan mensual'!I113+IF(parametros_manuales!$H$26="Todos",'Plan mensual'!I6+'Plan mensual'!I117,0))+parametros_manuales!$E$26*('Plan mensual'!I3+'Plan mensual'!I114+IF(parametros_manuales!$H$26="Todos",'Plan mensual'!I7+'Plan mensual'!I118,0))+parametros_manuales!$F$26*('Plan mensual'!I4+'Plan mensual'!I115+IF(parametros_manuales!$H$26="Todos",'Plan mensual'!I8+'Plan mensual'!I119,0))+parametros_manuales!$G$26*('Plan mensual'!I5+'Plan mensual'!I116+IF(parametros_manuales!$H$26="Todos",'Plan mensual'!I9+'Plan mensual'!I120,0)))*parametros_manuales!$I$26*parametros_manuales!$J$26</f>
        <v>200.44774227975</v>
      </c>
      <c r="H9" s="9" t="n">
        <f aca="false">(parametros_manuales!$D$26*('Plan mensual'!J2+'Plan mensual'!J113+IF(parametros_manuales!$H$26="Todos",'Plan mensual'!J6+'Plan mensual'!J117,0))+parametros_manuales!$E$26*('Plan mensual'!J3+'Plan mensual'!J114+IF(parametros_manuales!$H$26="Todos",'Plan mensual'!J7+'Plan mensual'!J118,0))+parametros_manuales!$F$26*('Plan mensual'!J4+'Plan mensual'!J115+IF(parametros_manuales!$H$26="Todos",'Plan mensual'!J8+'Plan mensual'!J119,0))+parametros_manuales!$G$26*('Plan mensual'!J5+'Plan mensual'!J116+IF(parametros_manuales!$H$26="Todos",'Plan mensual'!J9+'Plan mensual'!J120,0)))*parametros_manuales!$I$26*parametros_manuales!$J$26</f>
        <v>213.8109250984</v>
      </c>
      <c r="I9" s="9" t="n">
        <f aca="false">(parametros_manuales!$D$26*('Plan mensual'!K2+'Plan mensual'!K113+IF(parametros_manuales!$H$26="Todos",'Plan mensual'!K6+'Plan mensual'!K117,0))+parametros_manuales!$E$26*('Plan mensual'!K3+'Plan mensual'!K114+IF(parametros_manuales!$H$26="Todos",'Plan mensual'!K7+'Plan mensual'!K118,0))+parametros_manuales!$F$26*('Plan mensual'!K4+'Plan mensual'!K115+IF(parametros_manuales!$H$26="Todos",'Plan mensual'!K8+'Plan mensual'!K119,0))+parametros_manuales!$G$26*('Plan mensual'!K5+'Plan mensual'!K116+IF(parametros_manuales!$H$26="Todos",'Plan mensual'!K9+'Plan mensual'!K120,0)))*parametros_manuales!$I$26*parametros_manuales!$J$26</f>
        <v>213.8109250984</v>
      </c>
      <c r="J9" s="9" t="n">
        <f aca="false">(parametros_manuales!$D$26*('Plan mensual'!L2+'Plan mensual'!L113+IF(parametros_manuales!$H$26="Todos",'Plan mensual'!L6+'Plan mensual'!L117,0))+parametros_manuales!$E$26*('Plan mensual'!L3+'Plan mensual'!L114+IF(parametros_manuales!$H$26="Todos",'Plan mensual'!L7+'Plan mensual'!L118,0))+parametros_manuales!$F$26*('Plan mensual'!L4+'Plan mensual'!L115+IF(parametros_manuales!$H$26="Todos",'Plan mensual'!L8+'Plan mensual'!L119,0))+parametros_manuales!$G$26*('Plan mensual'!L5+'Plan mensual'!L116+IF(parametros_manuales!$H$26="Todos",'Plan mensual'!L9+'Plan mensual'!L120,0)))*parametros_manuales!$I$26*parametros_manuales!$J$26</f>
        <v>213.8109250984</v>
      </c>
      <c r="K9" s="9" t="n">
        <f aca="false">(parametros_manuales!$D$26*('Plan mensual'!M2+'Plan mensual'!M113+IF(parametros_manuales!$H$26="Todos",'Plan mensual'!M6+'Plan mensual'!M117,0))+parametros_manuales!$E$26*('Plan mensual'!M3+'Plan mensual'!M114+IF(parametros_manuales!$H$26="Todos",'Plan mensual'!M7+'Plan mensual'!M118,0))+parametros_manuales!$F$26*('Plan mensual'!M4+'Plan mensual'!M115+IF(parametros_manuales!$H$26="Todos",'Plan mensual'!M8+'Plan mensual'!M119,0))+parametros_manuales!$G$26*('Plan mensual'!M5+'Plan mensual'!M116+IF(parametros_manuales!$H$26="Todos",'Plan mensual'!M9+'Plan mensual'!M120,0)))*parametros_manuales!$I$26*parametros_manuales!$J$26</f>
        <v>200.44774227975</v>
      </c>
      <c r="L9" s="9" t="n">
        <f aca="false">(parametros_manuales!$D$26*('Plan mensual'!N2+'Plan mensual'!N113+IF(parametros_manuales!$H$26="Todos",'Plan mensual'!N6+'Plan mensual'!N117,0))+parametros_manuales!$E$26*('Plan mensual'!N3+'Plan mensual'!N114+IF(parametros_manuales!$H$26="Todos",'Plan mensual'!N7+'Plan mensual'!N118,0))+parametros_manuales!$F$26*('Plan mensual'!N4+'Plan mensual'!N115+IF(parametros_manuales!$H$26="Todos",'Plan mensual'!N8+'Plan mensual'!N119,0))+parametros_manuales!$G$26*('Plan mensual'!N5+'Plan mensual'!N116+IF(parametros_manuales!$H$26="Todos",'Plan mensual'!N9+'Plan mensual'!N120,0)))*parametros_manuales!$I$26*parametros_manuales!$J$26</f>
        <v>187.0845594611</v>
      </c>
      <c r="M9" s="9" t="n">
        <f aca="false">(parametros_manuales!$D$26*('Plan mensual'!O2+'Plan mensual'!O113+IF(parametros_manuales!$H$26="Todos",'Plan mensual'!O6+'Plan mensual'!O117,0))+parametros_manuales!$E$26*('Plan mensual'!O3+'Plan mensual'!O114+IF(parametros_manuales!$H$26="Todos",'Plan mensual'!O7+'Plan mensual'!O118,0))+parametros_manuales!$F$26*('Plan mensual'!O4+'Plan mensual'!O115+IF(parametros_manuales!$H$26="Todos",'Plan mensual'!O8+'Plan mensual'!O119,0))+parametros_manuales!$G$26*('Plan mensual'!O5+'Plan mensual'!O116+IF(parametros_manuales!$H$26="Todos",'Plan mensual'!O9+'Plan mensual'!O120,0)))*parametros_manuales!$I$26*parametros_manuales!$J$26</f>
        <v>293.9900220103</v>
      </c>
      <c r="N9" s="9" t="n">
        <f aca="false">SUM(B9:M9)</f>
        <v>2672.63656373</v>
      </c>
      <c r="O9" s="9" t="n">
        <f aca="false">MAX(B9:M9)</f>
        <v>293.9900220103</v>
      </c>
      <c r="P9" s="44" t="n">
        <f aca="false">O9/(parametros_manuales!$B$7)</f>
        <v>1.95993348006867</v>
      </c>
      <c r="Q9" s="8" t="str">
        <f aca="false">IF(O9=0,"-",INDEX($B$1:$M$1,MATCH(O9,B9:M9,0)))</f>
        <v>Dic</v>
      </c>
    </row>
    <row r="10" customFormat="false" ht="14.25" hidden="false" customHeight="true" outlineLevel="0" collapsed="false">
      <c r="A10" s="8" t="str">
        <f aca="false">parametros_manuales!$B$27</f>
        <v>Soldadura longitudinal</v>
      </c>
      <c r="B10" s="9" t="n">
        <f aca="false">(parametros_manuales!$D$27*('Plan mensual'!D2+'Plan mensual'!D113+IF(parametros_manuales!$H$27="Todos",'Plan mensual'!D6+'Plan mensual'!D117,0))+parametros_manuales!$E$27*('Plan mensual'!D3+'Plan mensual'!D114+IF(parametros_manuales!$H$27="Todos",'Plan mensual'!D7+'Plan mensual'!D118,0))+parametros_manuales!$F$27*('Plan mensual'!D4+'Plan mensual'!D115+IF(parametros_manuales!$H$27="Todos",'Plan mensual'!D8+'Plan mensual'!D119,0))+parametros_manuales!$G$27*('Plan mensual'!D5+'Plan mensual'!D116+IF(parametros_manuales!$H$27="Todos",'Plan mensual'!D9+'Plan mensual'!D120,0)))*parametros_manuales!$I$27*parametros_manuales!$J$27</f>
        <v>267.263656373</v>
      </c>
      <c r="C10" s="9" t="n">
        <f aca="false">(parametros_manuales!$D$27*('Plan mensual'!E2+'Plan mensual'!E113+IF(parametros_manuales!$H$27="Todos",'Plan mensual'!E6+'Plan mensual'!E117,0))+parametros_manuales!$E$27*('Plan mensual'!E3+'Plan mensual'!E114+IF(parametros_manuales!$H$27="Todos",'Plan mensual'!E7+'Plan mensual'!E118,0))+parametros_manuales!$F$27*('Plan mensual'!E4+'Plan mensual'!E115+IF(parametros_manuales!$H$27="Todos",'Plan mensual'!E8+'Plan mensual'!E119,0))+parametros_manuales!$G$27*('Plan mensual'!E5+'Plan mensual'!E116+IF(parametros_manuales!$H$27="Todos",'Plan mensual'!E9+'Plan mensual'!E120,0)))*parametros_manuales!$I$27*parametros_manuales!$J$27</f>
        <v>213.8109250984</v>
      </c>
      <c r="D10" s="9" t="n">
        <f aca="false">(parametros_manuales!$D$27*('Plan mensual'!F2+'Plan mensual'!F113+IF(parametros_manuales!$H$27="Todos",'Plan mensual'!F6+'Plan mensual'!F117,0))+parametros_manuales!$E$27*('Plan mensual'!F3+'Plan mensual'!F114+IF(parametros_manuales!$H$27="Todos",'Plan mensual'!F7+'Plan mensual'!F118,0))+parametros_manuales!$F$27*('Plan mensual'!F4+'Plan mensual'!F115+IF(parametros_manuales!$H$27="Todos",'Plan mensual'!F8+'Plan mensual'!F119,0))+parametros_manuales!$G$27*('Plan mensual'!F5+'Plan mensual'!F116+IF(parametros_manuales!$H$27="Todos",'Plan mensual'!F9+'Plan mensual'!F120,0)))*parametros_manuales!$I$27*parametros_manuales!$J$27</f>
        <v>227.17410791705</v>
      </c>
      <c r="E10" s="9" t="n">
        <f aca="false">(parametros_manuales!$D$27*('Plan mensual'!G2+'Plan mensual'!G113+IF(parametros_manuales!$H$27="Todos",'Plan mensual'!G6+'Plan mensual'!G117,0))+parametros_manuales!$E$27*('Plan mensual'!G3+'Plan mensual'!G114+IF(parametros_manuales!$H$27="Todos",'Plan mensual'!G7+'Plan mensual'!G118,0))+parametros_manuales!$F$27*('Plan mensual'!G4+'Plan mensual'!G115+IF(parametros_manuales!$H$27="Todos",'Plan mensual'!G8+'Plan mensual'!G119,0))+parametros_manuales!$G$27*('Plan mensual'!G5+'Plan mensual'!G116+IF(parametros_manuales!$H$27="Todos",'Plan mensual'!G9+'Plan mensual'!G120,0)))*parametros_manuales!$I$27*parametros_manuales!$J$27</f>
        <v>227.17410791705</v>
      </c>
      <c r="F10" s="9" t="n">
        <f aca="false">(parametros_manuales!$D$27*('Plan mensual'!H2+'Plan mensual'!H113+IF(parametros_manuales!$H$27="Todos",'Plan mensual'!H6+'Plan mensual'!H117,0))+parametros_manuales!$E$27*('Plan mensual'!H3+'Plan mensual'!H114+IF(parametros_manuales!$H$27="Todos",'Plan mensual'!H7+'Plan mensual'!H118,0))+parametros_manuales!$F$27*('Plan mensual'!H4+'Plan mensual'!H115+IF(parametros_manuales!$H$27="Todos",'Plan mensual'!H8+'Plan mensual'!H119,0))+parametros_manuales!$G$27*('Plan mensual'!H5+'Plan mensual'!H116+IF(parametros_manuales!$H$27="Todos",'Plan mensual'!H9+'Plan mensual'!H120,0)))*parametros_manuales!$I$27*parametros_manuales!$J$27</f>
        <v>213.8109250984</v>
      </c>
      <c r="G10" s="9" t="n">
        <f aca="false">(parametros_manuales!$D$27*('Plan mensual'!I2+'Plan mensual'!I113+IF(parametros_manuales!$H$27="Todos",'Plan mensual'!I6+'Plan mensual'!I117,0))+parametros_manuales!$E$27*('Plan mensual'!I3+'Plan mensual'!I114+IF(parametros_manuales!$H$27="Todos",'Plan mensual'!I7+'Plan mensual'!I118,0))+parametros_manuales!$F$27*('Plan mensual'!I4+'Plan mensual'!I115+IF(parametros_manuales!$H$27="Todos",'Plan mensual'!I8+'Plan mensual'!I119,0))+parametros_manuales!$G$27*('Plan mensual'!I5+'Plan mensual'!I116+IF(parametros_manuales!$H$27="Todos",'Plan mensual'!I9+'Plan mensual'!I120,0)))*parametros_manuales!$I$27*parametros_manuales!$J$27</f>
        <v>200.44774227975</v>
      </c>
      <c r="H10" s="9" t="n">
        <f aca="false">(parametros_manuales!$D$27*('Plan mensual'!J2+'Plan mensual'!J113+IF(parametros_manuales!$H$27="Todos",'Plan mensual'!J6+'Plan mensual'!J117,0))+parametros_manuales!$E$27*('Plan mensual'!J3+'Plan mensual'!J114+IF(parametros_manuales!$H$27="Todos",'Plan mensual'!J7+'Plan mensual'!J118,0))+parametros_manuales!$F$27*('Plan mensual'!J4+'Plan mensual'!J115+IF(parametros_manuales!$H$27="Todos",'Plan mensual'!J8+'Plan mensual'!J119,0))+parametros_manuales!$G$27*('Plan mensual'!J5+'Plan mensual'!J116+IF(parametros_manuales!$H$27="Todos",'Plan mensual'!J9+'Plan mensual'!J120,0)))*parametros_manuales!$I$27*parametros_manuales!$J$27</f>
        <v>213.8109250984</v>
      </c>
      <c r="I10" s="9" t="n">
        <f aca="false">(parametros_manuales!$D$27*('Plan mensual'!K2+'Plan mensual'!K113+IF(parametros_manuales!$H$27="Todos",'Plan mensual'!K6+'Plan mensual'!K117,0))+parametros_manuales!$E$27*('Plan mensual'!K3+'Plan mensual'!K114+IF(parametros_manuales!$H$27="Todos",'Plan mensual'!K7+'Plan mensual'!K118,0))+parametros_manuales!$F$27*('Plan mensual'!K4+'Plan mensual'!K115+IF(parametros_manuales!$H$27="Todos",'Plan mensual'!K8+'Plan mensual'!K119,0))+parametros_manuales!$G$27*('Plan mensual'!K5+'Plan mensual'!K116+IF(parametros_manuales!$H$27="Todos",'Plan mensual'!K9+'Plan mensual'!K120,0)))*parametros_manuales!$I$27*parametros_manuales!$J$27</f>
        <v>213.8109250984</v>
      </c>
      <c r="J10" s="9" t="n">
        <f aca="false">(parametros_manuales!$D$27*('Plan mensual'!L2+'Plan mensual'!L113+IF(parametros_manuales!$H$27="Todos",'Plan mensual'!L6+'Plan mensual'!L117,0))+parametros_manuales!$E$27*('Plan mensual'!L3+'Plan mensual'!L114+IF(parametros_manuales!$H$27="Todos",'Plan mensual'!L7+'Plan mensual'!L118,0))+parametros_manuales!$F$27*('Plan mensual'!L4+'Plan mensual'!L115+IF(parametros_manuales!$H$27="Todos",'Plan mensual'!L8+'Plan mensual'!L119,0))+parametros_manuales!$G$27*('Plan mensual'!L5+'Plan mensual'!L116+IF(parametros_manuales!$H$27="Todos",'Plan mensual'!L9+'Plan mensual'!L120,0)))*parametros_manuales!$I$27*parametros_manuales!$J$27</f>
        <v>213.8109250984</v>
      </c>
      <c r="K10" s="9" t="n">
        <f aca="false">(parametros_manuales!$D$27*('Plan mensual'!M2+'Plan mensual'!M113+IF(parametros_manuales!$H$27="Todos",'Plan mensual'!M6+'Plan mensual'!M117,0))+parametros_manuales!$E$27*('Plan mensual'!M3+'Plan mensual'!M114+IF(parametros_manuales!$H$27="Todos",'Plan mensual'!M7+'Plan mensual'!M118,0))+parametros_manuales!$F$27*('Plan mensual'!M4+'Plan mensual'!M115+IF(parametros_manuales!$H$27="Todos",'Plan mensual'!M8+'Plan mensual'!M119,0))+parametros_manuales!$G$27*('Plan mensual'!M5+'Plan mensual'!M116+IF(parametros_manuales!$H$27="Todos",'Plan mensual'!M9+'Plan mensual'!M120,0)))*parametros_manuales!$I$27*parametros_manuales!$J$27</f>
        <v>200.44774227975</v>
      </c>
      <c r="L10" s="9" t="n">
        <f aca="false">(parametros_manuales!$D$27*('Plan mensual'!N2+'Plan mensual'!N113+IF(parametros_manuales!$H$27="Todos",'Plan mensual'!N6+'Plan mensual'!N117,0))+parametros_manuales!$E$27*('Plan mensual'!N3+'Plan mensual'!N114+IF(parametros_manuales!$H$27="Todos",'Plan mensual'!N7+'Plan mensual'!N118,0))+parametros_manuales!$F$27*('Plan mensual'!N4+'Plan mensual'!N115+IF(parametros_manuales!$H$27="Todos",'Plan mensual'!N8+'Plan mensual'!N119,0))+parametros_manuales!$G$27*('Plan mensual'!N5+'Plan mensual'!N116+IF(parametros_manuales!$H$27="Todos",'Plan mensual'!N9+'Plan mensual'!N120,0)))*parametros_manuales!$I$27*parametros_manuales!$J$27</f>
        <v>187.0845594611</v>
      </c>
      <c r="M10" s="9" t="n">
        <f aca="false">(parametros_manuales!$D$27*('Plan mensual'!O2+'Plan mensual'!O113+IF(parametros_manuales!$H$27="Todos",'Plan mensual'!O6+'Plan mensual'!O117,0))+parametros_manuales!$E$27*('Plan mensual'!O3+'Plan mensual'!O114+IF(parametros_manuales!$H$27="Todos",'Plan mensual'!O7+'Plan mensual'!O118,0))+parametros_manuales!$F$27*('Plan mensual'!O4+'Plan mensual'!O115+IF(parametros_manuales!$H$27="Todos",'Plan mensual'!O8+'Plan mensual'!O119,0))+parametros_manuales!$G$27*('Plan mensual'!O5+'Plan mensual'!O116+IF(parametros_manuales!$H$27="Todos",'Plan mensual'!O9+'Plan mensual'!O120,0)))*parametros_manuales!$I$27*parametros_manuales!$J$27</f>
        <v>293.9900220103</v>
      </c>
      <c r="N10" s="9" t="n">
        <f aca="false">SUM(B10:M10)</f>
        <v>2672.63656373</v>
      </c>
      <c r="O10" s="9" t="n">
        <f aca="false">MAX(B10:M10)</f>
        <v>293.9900220103</v>
      </c>
      <c r="P10" s="44" t="n">
        <f aca="false">O10/(parametros_manuales!$B$7)</f>
        <v>1.95993348006867</v>
      </c>
      <c r="Q10" s="8" t="str">
        <f aca="false">IF(O10=0,"-",INDEX($B$1:$M$1,MATCH(O10,B10:M10,0)))</f>
        <v>Dic</v>
      </c>
    </row>
    <row r="11" customFormat="false" ht="14.25" hidden="false" customHeight="true" outlineLevel="0" collapsed="false">
      <c r="A11" s="8" t="str">
        <f aca="false">parametros_manuales!$B$28</f>
        <v>Encastre de fondo</v>
      </c>
      <c r="B11" s="9" t="n">
        <f aca="false">(parametros_manuales!$D$28*('Plan mensual'!D2+'Plan mensual'!D113+IF(parametros_manuales!$H$28="Todos",'Plan mensual'!D6+'Plan mensual'!D117,0))+parametros_manuales!$E$28*('Plan mensual'!D3+'Plan mensual'!D114+IF(parametros_manuales!$H$28="Todos",'Plan mensual'!D7+'Plan mensual'!D118,0))+parametros_manuales!$F$28*('Plan mensual'!D4+'Plan mensual'!D115+IF(parametros_manuales!$H$28="Todos",'Plan mensual'!D8+'Plan mensual'!D119,0))+parametros_manuales!$G$28*('Plan mensual'!D5+'Plan mensual'!D116+IF(parametros_manuales!$H$28="Todos",'Plan mensual'!D9+'Plan mensual'!D120,0)))*parametros_manuales!$I$28*parametros_manuales!$J$28</f>
        <v>768.712041533</v>
      </c>
      <c r="C11" s="9" t="n">
        <f aca="false">(parametros_manuales!$D$28*('Plan mensual'!E2+'Plan mensual'!E113+IF(parametros_manuales!$H$28="Todos",'Plan mensual'!E6+'Plan mensual'!E117,0))+parametros_manuales!$E$28*('Plan mensual'!E3+'Plan mensual'!E114+IF(parametros_manuales!$H$28="Todos",'Plan mensual'!E7+'Plan mensual'!E118,0))+parametros_manuales!$F$28*('Plan mensual'!E4+'Plan mensual'!E115+IF(parametros_manuales!$H$28="Todos",'Plan mensual'!E8+'Plan mensual'!E119,0))+parametros_manuales!$G$28*('Plan mensual'!E5+'Plan mensual'!E116+IF(parametros_manuales!$H$28="Todos",'Plan mensual'!E9+'Plan mensual'!E120,0)))*parametros_manuales!$I$28*parametros_manuales!$J$28</f>
        <v>589.8972139684</v>
      </c>
      <c r="D11" s="9" t="n">
        <f aca="false">(parametros_manuales!$D$28*('Plan mensual'!F2+'Plan mensual'!F113+IF(parametros_manuales!$H$28="Todos",'Plan mensual'!F6+'Plan mensual'!F117,0))+parametros_manuales!$E$28*('Plan mensual'!F3+'Plan mensual'!F114+IF(parametros_manuales!$H$28="Todos",'Plan mensual'!F7+'Plan mensual'!F118,0))+parametros_manuales!$F$28*('Plan mensual'!F4+'Plan mensual'!F115+IF(parametros_manuales!$H$28="Todos",'Plan mensual'!F8+'Plan mensual'!F119,0))+parametros_manuales!$G$28*('Plan mensual'!F5+'Plan mensual'!F116+IF(parametros_manuales!$H$28="Todos",'Plan mensual'!F9+'Plan mensual'!F120,0)))*parametros_manuales!$I$28*parametros_manuales!$J$28</f>
        <v>561.47303135705</v>
      </c>
      <c r="E11" s="9" t="n">
        <f aca="false">(parametros_manuales!$D$28*('Plan mensual'!G2+'Plan mensual'!G113+IF(parametros_manuales!$H$28="Todos",'Plan mensual'!G6+'Plan mensual'!G117,0))+parametros_manuales!$E$28*('Plan mensual'!G3+'Plan mensual'!G114+IF(parametros_manuales!$H$28="Todos",'Plan mensual'!G7+'Plan mensual'!G118,0))+parametros_manuales!$F$28*('Plan mensual'!G4+'Plan mensual'!G115+IF(parametros_manuales!$H$28="Todos",'Plan mensual'!G8+'Plan mensual'!G119,0))+parametros_manuales!$G$28*('Plan mensual'!G5+'Plan mensual'!G116+IF(parametros_manuales!$H$28="Todos",'Plan mensual'!G9+'Plan mensual'!G120,0)))*parametros_manuales!$I$28*parametros_manuales!$J$28</f>
        <v>540.57934864205</v>
      </c>
      <c r="F11" s="9" t="n">
        <f aca="false">(parametros_manuales!$D$28*('Plan mensual'!H2+'Plan mensual'!H113+IF(parametros_manuales!$H$28="Todos",'Plan mensual'!H6+'Plan mensual'!H117,0))+parametros_manuales!$E$28*('Plan mensual'!H3+'Plan mensual'!H114+IF(parametros_manuales!$H$28="Todos",'Plan mensual'!H7+'Plan mensual'!H118,0))+parametros_manuales!$F$28*('Plan mensual'!H4+'Plan mensual'!H115+IF(parametros_manuales!$H$28="Todos",'Plan mensual'!H8+'Plan mensual'!H119,0))+parametros_manuales!$G$28*('Plan mensual'!H5+'Plan mensual'!H116+IF(parametros_manuales!$H$28="Todos",'Plan mensual'!H9+'Plan mensual'!H120,0)))*parametros_manuales!$I$28*parametros_manuales!$J$28</f>
        <v>506.3224831084</v>
      </c>
      <c r="G11" s="9" t="n">
        <f aca="false">(parametros_manuales!$D$28*('Plan mensual'!I2+'Plan mensual'!I113+IF(parametros_manuales!$H$28="Todos",'Plan mensual'!I6+'Plan mensual'!I117,0))+parametros_manuales!$E$28*('Plan mensual'!I3+'Plan mensual'!I114+IF(parametros_manuales!$H$28="Todos",'Plan mensual'!I7+'Plan mensual'!I118,0))+parametros_manuales!$F$28*('Plan mensual'!I4+'Plan mensual'!I115+IF(parametros_manuales!$H$28="Todos",'Plan mensual'!I8+'Plan mensual'!I119,0))+parametros_manuales!$G$28*('Plan mensual'!I5+'Plan mensual'!I116+IF(parametros_manuales!$H$28="Todos",'Plan mensual'!I9+'Plan mensual'!I120,0)))*parametros_manuales!$I$28*parametros_manuales!$J$28</f>
        <v>492.95930028975</v>
      </c>
      <c r="H11" s="9" t="n">
        <f aca="false">(parametros_manuales!$D$28*('Plan mensual'!J2+'Plan mensual'!J113+IF(parametros_manuales!$H$28="Todos",'Plan mensual'!J6+'Plan mensual'!J117,0))+parametros_manuales!$E$28*('Plan mensual'!J3+'Plan mensual'!J114+IF(parametros_manuales!$H$28="Todos",'Plan mensual'!J7+'Plan mensual'!J118,0))+parametros_manuales!$F$28*('Plan mensual'!J4+'Plan mensual'!J115+IF(parametros_manuales!$H$28="Todos",'Plan mensual'!J8+'Plan mensual'!J119,0))+parametros_manuales!$G$28*('Plan mensual'!J5+'Plan mensual'!J116+IF(parametros_manuales!$H$28="Todos",'Plan mensual'!J9+'Plan mensual'!J120,0)))*parametros_manuales!$I$28*parametros_manuales!$J$28</f>
        <v>527.2161658234</v>
      </c>
      <c r="I11" s="9" t="n">
        <f aca="false">(parametros_manuales!$D$28*('Plan mensual'!K2+'Plan mensual'!K113+IF(parametros_manuales!$H$28="Todos",'Plan mensual'!K6+'Plan mensual'!K117,0))+parametros_manuales!$E$28*('Plan mensual'!K3+'Plan mensual'!K114+IF(parametros_manuales!$H$28="Todos",'Plan mensual'!K7+'Plan mensual'!K118,0))+parametros_manuales!$F$28*('Plan mensual'!K4+'Plan mensual'!K115+IF(parametros_manuales!$H$28="Todos",'Plan mensual'!K8+'Plan mensual'!K119,0))+parametros_manuales!$G$28*('Plan mensual'!K5+'Plan mensual'!K116+IF(parametros_manuales!$H$28="Todos",'Plan mensual'!K9+'Plan mensual'!K120,0)))*parametros_manuales!$I$28*parametros_manuales!$J$28</f>
        <v>527.2161658234</v>
      </c>
      <c r="J11" s="9" t="n">
        <f aca="false">(parametros_manuales!$D$28*('Plan mensual'!L2+'Plan mensual'!L113+IF(parametros_manuales!$H$28="Todos",'Plan mensual'!L6+'Plan mensual'!L117,0))+parametros_manuales!$E$28*('Plan mensual'!L3+'Plan mensual'!L114+IF(parametros_manuales!$H$28="Todos",'Plan mensual'!L7+'Plan mensual'!L118,0))+parametros_manuales!$F$28*('Plan mensual'!L4+'Plan mensual'!L115+IF(parametros_manuales!$H$28="Todos",'Plan mensual'!L8+'Plan mensual'!L119,0))+parametros_manuales!$G$28*('Plan mensual'!L5+'Plan mensual'!L116+IF(parametros_manuales!$H$28="Todos",'Plan mensual'!L9+'Plan mensual'!L120,0)))*parametros_manuales!$I$28*parametros_manuales!$J$28</f>
        <v>527.2161658234</v>
      </c>
      <c r="K11" s="9" t="n">
        <f aca="false">(parametros_manuales!$D$28*('Plan mensual'!M2+'Plan mensual'!M113+IF(parametros_manuales!$H$28="Todos",'Plan mensual'!M6+'Plan mensual'!M117,0))+parametros_manuales!$E$28*('Plan mensual'!M3+'Plan mensual'!M114+IF(parametros_manuales!$H$28="Todos",'Plan mensual'!M7+'Plan mensual'!M118,0))+parametros_manuales!$F$28*('Plan mensual'!M4+'Plan mensual'!M115+IF(parametros_manuales!$H$28="Todos",'Plan mensual'!M8+'Plan mensual'!M119,0))+parametros_manuales!$G$28*('Plan mensual'!M5+'Plan mensual'!M116+IF(parametros_manuales!$H$28="Todos",'Plan mensual'!M9+'Plan mensual'!M120,0)))*parametros_manuales!$I$28*parametros_manuales!$J$28</f>
        <v>513.85298300475</v>
      </c>
      <c r="L11" s="9" t="n">
        <f aca="false">(parametros_manuales!$D$28*('Plan mensual'!N2+'Plan mensual'!N113+IF(parametros_manuales!$H$28="Todos",'Plan mensual'!N6+'Plan mensual'!N117,0))+parametros_manuales!$E$28*('Plan mensual'!N3+'Plan mensual'!N114+IF(parametros_manuales!$H$28="Todos",'Plan mensual'!N7+'Plan mensual'!N118,0))+parametros_manuales!$F$28*('Plan mensual'!N4+'Plan mensual'!N115+IF(parametros_manuales!$H$28="Todos",'Plan mensual'!N8+'Plan mensual'!N119,0))+parametros_manuales!$G$28*('Plan mensual'!N5+'Plan mensual'!N116+IF(parametros_manuales!$H$28="Todos",'Plan mensual'!N9+'Plan mensual'!N120,0)))*parametros_manuales!$I$28*parametros_manuales!$J$28</f>
        <v>500.4898001861</v>
      </c>
      <c r="M11" s="9" t="n">
        <f aca="false">(parametros_manuales!$D$28*('Plan mensual'!O2+'Plan mensual'!O113+IF(parametros_manuales!$H$28="Todos",'Plan mensual'!O6+'Plan mensual'!O117,0))+parametros_manuales!$E$28*('Plan mensual'!O3+'Plan mensual'!O114+IF(parametros_manuales!$H$28="Todos",'Plan mensual'!O7+'Plan mensual'!O118,0))+parametros_manuales!$F$28*('Plan mensual'!O4+'Plan mensual'!O115+IF(parametros_manuales!$H$28="Todos",'Plan mensual'!O8+'Plan mensual'!O119,0))+parametros_manuales!$G$28*('Plan mensual'!O5+'Plan mensual'!O116+IF(parametros_manuales!$H$28="Todos",'Plan mensual'!O9+'Plan mensual'!O120,0)))*parametros_manuales!$I$28*parametros_manuales!$J$28</f>
        <v>795.4384071703</v>
      </c>
      <c r="N11" s="9" t="n">
        <f aca="false">SUM(B11:M11)</f>
        <v>6851.37310673</v>
      </c>
      <c r="O11" s="9" t="n">
        <f aca="false">MAX(B11:M11)</f>
        <v>795.4384071703</v>
      </c>
      <c r="P11" s="44" t="n">
        <f aca="false">O11/(parametros_manuales!$B$7)</f>
        <v>5.30292271446867</v>
      </c>
      <c r="Q11" s="8" t="str">
        <f aca="false">IF(O11=0,"-",INDEX($B$1:$M$1,MATCH(O11,B11:M11,0)))</f>
        <v>Dic</v>
      </c>
    </row>
    <row r="12" customFormat="false" ht="14.25" hidden="false" customHeight="true" outlineLevel="0" collapsed="false">
      <c r="A12" s="8" t="str">
        <f aca="false">parametros_manuales!$B$29</f>
        <v>Bordoneado</v>
      </c>
      <c r="B12" s="9" t="n">
        <f aca="false">(parametros_manuales!$D$29*('Plan mensual'!D2+'Plan mensual'!D113+IF(parametros_manuales!$H$29="Todos",'Plan mensual'!D6+'Plan mensual'!D117,0))+parametros_manuales!$E$29*('Plan mensual'!D3+'Plan mensual'!D114+IF(parametros_manuales!$H$29="Todos",'Plan mensual'!D7+'Plan mensual'!D118,0))+parametros_manuales!$F$29*('Plan mensual'!D4+'Plan mensual'!D115+IF(parametros_manuales!$H$29="Todos",'Plan mensual'!D8+'Plan mensual'!D119,0))+parametros_manuales!$G$29*('Plan mensual'!D5+'Plan mensual'!D116+IF(parametros_manuales!$H$29="Todos",'Plan mensual'!D9+'Plan mensual'!D120,0)))*parametros_manuales!$I$29*parametros_manuales!$J$29</f>
        <v>768.712041533</v>
      </c>
      <c r="C12" s="9" t="n">
        <f aca="false">(parametros_manuales!$D$29*('Plan mensual'!E2+'Plan mensual'!E113+IF(parametros_manuales!$H$29="Todos",'Plan mensual'!E6+'Plan mensual'!E117,0))+parametros_manuales!$E$29*('Plan mensual'!E3+'Plan mensual'!E114+IF(parametros_manuales!$H$29="Todos",'Plan mensual'!E7+'Plan mensual'!E118,0))+parametros_manuales!$F$29*('Plan mensual'!E4+'Plan mensual'!E115+IF(parametros_manuales!$H$29="Todos",'Plan mensual'!E8+'Plan mensual'!E119,0))+parametros_manuales!$G$29*('Plan mensual'!E5+'Plan mensual'!E116+IF(parametros_manuales!$H$29="Todos",'Plan mensual'!E9+'Plan mensual'!E120,0)))*parametros_manuales!$I$29*parametros_manuales!$J$29</f>
        <v>589.8972139684</v>
      </c>
      <c r="D12" s="9" t="n">
        <f aca="false">(parametros_manuales!$D$29*('Plan mensual'!F2+'Plan mensual'!F113+IF(parametros_manuales!$H$29="Todos",'Plan mensual'!F6+'Plan mensual'!F117,0))+parametros_manuales!$E$29*('Plan mensual'!F3+'Plan mensual'!F114+IF(parametros_manuales!$H$29="Todos",'Plan mensual'!F7+'Plan mensual'!F118,0))+parametros_manuales!$F$29*('Plan mensual'!F4+'Plan mensual'!F115+IF(parametros_manuales!$H$29="Todos",'Plan mensual'!F8+'Plan mensual'!F119,0))+parametros_manuales!$G$29*('Plan mensual'!F5+'Plan mensual'!F116+IF(parametros_manuales!$H$29="Todos",'Plan mensual'!F9+'Plan mensual'!F120,0)))*parametros_manuales!$I$29*parametros_manuales!$J$29</f>
        <v>561.47303135705</v>
      </c>
      <c r="E12" s="9" t="n">
        <f aca="false">(parametros_manuales!$D$29*('Plan mensual'!G2+'Plan mensual'!G113+IF(parametros_manuales!$H$29="Todos",'Plan mensual'!G6+'Plan mensual'!G117,0))+parametros_manuales!$E$29*('Plan mensual'!G3+'Plan mensual'!G114+IF(parametros_manuales!$H$29="Todos",'Plan mensual'!G7+'Plan mensual'!G118,0))+parametros_manuales!$F$29*('Plan mensual'!G4+'Plan mensual'!G115+IF(parametros_manuales!$H$29="Todos",'Plan mensual'!G8+'Plan mensual'!G119,0))+parametros_manuales!$G$29*('Plan mensual'!G5+'Plan mensual'!G116+IF(parametros_manuales!$H$29="Todos",'Plan mensual'!G9+'Plan mensual'!G120,0)))*parametros_manuales!$I$29*parametros_manuales!$J$29</f>
        <v>540.57934864205</v>
      </c>
      <c r="F12" s="9" t="n">
        <f aca="false">(parametros_manuales!$D$29*('Plan mensual'!H2+'Plan mensual'!H113+IF(parametros_manuales!$H$29="Todos",'Plan mensual'!H6+'Plan mensual'!H117,0))+parametros_manuales!$E$29*('Plan mensual'!H3+'Plan mensual'!H114+IF(parametros_manuales!$H$29="Todos",'Plan mensual'!H7+'Plan mensual'!H118,0))+parametros_manuales!$F$29*('Plan mensual'!H4+'Plan mensual'!H115+IF(parametros_manuales!$H$29="Todos",'Plan mensual'!H8+'Plan mensual'!H119,0))+parametros_manuales!$G$29*('Plan mensual'!H5+'Plan mensual'!H116+IF(parametros_manuales!$H$29="Todos",'Plan mensual'!H9+'Plan mensual'!H120,0)))*parametros_manuales!$I$29*parametros_manuales!$J$29</f>
        <v>506.3224831084</v>
      </c>
      <c r="G12" s="9" t="n">
        <f aca="false">(parametros_manuales!$D$29*('Plan mensual'!I2+'Plan mensual'!I113+IF(parametros_manuales!$H$29="Todos",'Plan mensual'!I6+'Plan mensual'!I117,0))+parametros_manuales!$E$29*('Plan mensual'!I3+'Plan mensual'!I114+IF(parametros_manuales!$H$29="Todos",'Plan mensual'!I7+'Plan mensual'!I118,0))+parametros_manuales!$F$29*('Plan mensual'!I4+'Plan mensual'!I115+IF(parametros_manuales!$H$29="Todos",'Plan mensual'!I8+'Plan mensual'!I119,0))+parametros_manuales!$G$29*('Plan mensual'!I5+'Plan mensual'!I116+IF(parametros_manuales!$H$29="Todos",'Plan mensual'!I9+'Plan mensual'!I120,0)))*parametros_manuales!$I$29*parametros_manuales!$J$29</f>
        <v>492.95930028975</v>
      </c>
      <c r="H12" s="9" t="n">
        <f aca="false">(parametros_manuales!$D$29*('Plan mensual'!J2+'Plan mensual'!J113+IF(parametros_manuales!$H$29="Todos",'Plan mensual'!J6+'Plan mensual'!J117,0))+parametros_manuales!$E$29*('Plan mensual'!J3+'Plan mensual'!J114+IF(parametros_manuales!$H$29="Todos",'Plan mensual'!J7+'Plan mensual'!J118,0))+parametros_manuales!$F$29*('Plan mensual'!J4+'Plan mensual'!J115+IF(parametros_manuales!$H$29="Todos",'Plan mensual'!J8+'Plan mensual'!J119,0))+parametros_manuales!$G$29*('Plan mensual'!J5+'Plan mensual'!J116+IF(parametros_manuales!$H$29="Todos",'Plan mensual'!J9+'Plan mensual'!J120,0)))*parametros_manuales!$I$29*parametros_manuales!$J$29</f>
        <v>527.2161658234</v>
      </c>
      <c r="I12" s="9" t="n">
        <f aca="false">(parametros_manuales!$D$29*('Plan mensual'!K2+'Plan mensual'!K113+IF(parametros_manuales!$H$29="Todos",'Plan mensual'!K6+'Plan mensual'!K117,0))+parametros_manuales!$E$29*('Plan mensual'!K3+'Plan mensual'!K114+IF(parametros_manuales!$H$29="Todos",'Plan mensual'!K7+'Plan mensual'!K118,0))+parametros_manuales!$F$29*('Plan mensual'!K4+'Plan mensual'!K115+IF(parametros_manuales!$H$29="Todos",'Plan mensual'!K8+'Plan mensual'!K119,0))+parametros_manuales!$G$29*('Plan mensual'!K5+'Plan mensual'!K116+IF(parametros_manuales!$H$29="Todos",'Plan mensual'!K9+'Plan mensual'!K120,0)))*parametros_manuales!$I$29*parametros_manuales!$J$29</f>
        <v>527.2161658234</v>
      </c>
      <c r="J12" s="9" t="n">
        <f aca="false">(parametros_manuales!$D$29*('Plan mensual'!L2+'Plan mensual'!L113+IF(parametros_manuales!$H$29="Todos",'Plan mensual'!L6+'Plan mensual'!L117,0))+parametros_manuales!$E$29*('Plan mensual'!L3+'Plan mensual'!L114+IF(parametros_manuales!$H$29="Todos",'Plan mensual'!L7+'Plan mensual'!L118,0))+parametros_manuales!$F$29*('Plan mensual'!L4+'Plan mensual'!L115+IF(parametros_manuales!$H$29="Todos",'Plan mensual'!L8+'Plan mensual'!L119,0))+parametros_manuales!$G$29*('Plan mensual'!L5+'Plan mensual'!L116+IF(parametros_manuales!$H$29="Todos",'Plan mensual'!L9+'Plan mensual'!L120,0)))*parametros_manuales!$I$29*parametros_manuales!$J$29</f>
        <v>527.2161658234</v>
      </c>
      <c r="K12" s="9" t="n">
        <f aca="false">(parametros_manuales!$D$29*('Plan mensual'!M2+'Plan mensual'!M113+IF(parametros_manuales!$H$29="Todos",'Plan mensual'!M6+'Plan mensual'!M117,0))+parametros_manuales!$E$29*('Plan mensual'!M3+'Plan mensual'!M114+IF(parametros_manuales!$H$29="Todos",'Plan mensual'!M7+'Plan mensual'!M118,0))+parametros_manuales!$F$29*('Plan mensual'!M4+'Plan mensual'!M115+IF(parametros_manuales!$H$29="Todos",'Plan mensual'!M8+'Plan mensual'!M119,0))+parametros_manuales!$G$29*('Plan mensual'!M5+'Plan mensual'!M116+IF(parametros_manuales!$H$29="Todos",'Plan mensual'!M9+'Plan mensual'!M120,0)))*parametros_manuales!$I$29*parametros_manuales!$J$29</f>
        <v>513.85298300475</v>
      </c>
      <c r="L12" s="9" t="n">
        <f aca="false">(parametros_manuales!$D$29*('Plan mensual'!N2+'Plan mensual'!N113+IF(parametros_manuales!$H$29="Todos",'Plan mensual'!N6+'Plan mensual'!N117,0))+parametros_manuales!$E$29*('Plan mensual'!N3+'Plan mensual'!N114+IF(parametros_manuales!$H$29="Todos",'Plan mensual'!N7+'Plan mensual'!N118,0))+parametros_manuales!$F$29*('Plan mensual'!N4+'Plan mensual'!N115+IF(parametros_manuales!$H$29="Todos",'Plan mensual'!N8+'Plan mensual'!N119,0))+parametros_manuales!$G$29*('Plan mensual'!N5+'Plan mensual'!N116+IF(parametros_manuales!$H$29="Todos",'Plan mensual'!N9+'Plan mensual'!N120,0)))*parametros_manuales!$I$29*parametros_manuales!$J$29</f>
        <v>500.4898001861</v>
      </c>
      <c r="M12" s="9" t="n">
        <f aca="false">(parametros_manuales!$D$29*('Plan mensual'!O2+'Plan mensual'!O113+IF(parametros_manuales!$H$29="Todos",'Plan mensual'!O6+'Plan mensual'!O117,0))+parametros_manuales!$E$29*('Plan mensual'!O3+'Plan mensual'!O114+IF(parametros_manuales!$H$29="Todos",'Plan mensual'!O7+'Plan mensual'!O118,0))+parametros_manuales!$F$29*('Plan mensual'!O4+'Plan mensual'!O115+IF(parametros_manuales!$H$29="Todos",'Plan mensual'!O8+'Plan mensual'!O119,0))+parametros_manuales!$G$29*('Plan mensual'!O5+'Plan mensual'!O116+IF(parametros_manuales!$H$29="Todos",'Plan mensual'!O9+'Plan mensual'!O120,0)))*parametros_manuales!$I$29*parametros_manuales!$J$29</f>
        <v>795.4384071703</v>
      </c>
      <c r="N12" s="9" t="n">
        <f aca="false">SUM(B12:M12)</f>
        <v>6851.37310673</v>
      </c>
      <c r="O12" s="9" t="n">
        <f aca="false">MAX(B12:M12)</f>
        <v>795.4384071703</v>
      </c>
      <c r="P12" s="44" t="n">
        <f aca="false">O12/(parametros_manuales!$B$7)</f>
        <v>5.30292271446867</v>
      </c>
      <c r="Q12" s="8" t="str">
        <f aca="false">IF(O12=0,"-",INDEX($B$1:$M$1,MATCH(O12,B12:M12,0)))</f>
        <v>Dic</v>
      </c>
    </row>
    <row r="13" customFormat="false" ht="14.25" hidden="false" customHeight="true" outlineLevel="0" collapsed="false">
      <c r="A13" s="8" t="str">
        <f aca="false">parametros_manuales!$B$30</f>
        <v>Soldadura circunferencial de cúpula y fondo</v>
      </c>
      <c r="B13" s="9" t="n">
        <f aca="false">(parametros_manuales!$D$30*('Plan mensual'!D2+'Plan mensual'!D113+IF(parametros_manuales!$H$30="Todos",'Plan mensual'!D6+'Plan mensual'!D117,0))+parametros_manuales!$E$30*('Plan mensual'!D3+'Plan mensual'!D114+IF(parametros_manuales!$H$30="Todos",'Plan mensual'!D7+'Plan mensual'!D118,0))+parametros_manuales!$F$30*('Plan mensual'!D4+'Plan mensual'!D115+IF(parametros_manuales!$H$30="Todos",'Plan mensual'!D8+'Plan mensual'!D119,0))+parametros_manuales!$G$30*('Plan mensual'!D5+'Plan mensual'!D116+IF(parametros_manuales!$H$30="Todos",'Plan mensual'!D9+'Plan mensual'!D120,0)))*parametros_manuales!$I$30*parametros_manuales!$J$30</f>
        <v>768.712041533</v>
      </c>
      <c r="C13" s="9" t="n">
        <f aca="false">(parametros_manuales!$D$30*('Plan mensual'!E2+'Plan mensual'!E113+IF(parametros_manuales!$H$30="Todos",'Plan mensual'!E6+'Plan mensual'!E117,0))+parametros_manuales!$E$30*('Plan mensual'!E3+'Plan mensual'!E114+IF(parametros_manuales!$H$30="Todos",'Plan mensual'!E7+'Plan mensual'!E118,0))+parametros_manuales!$F$30*('Plan mensual'!E4+'Plan mensual'!E115+IF(parametros_manuales!$H$30="Todos",'Plan mensual'!E8+'Plan mensual'!E119,0))+parametros_manuales!$G$30*('Plan mensual'!E5+'Plan mensual'!E116+IF(parametros_manuales!$H$30="Todos",'Plan mensual'!E9+'Plan mensual'!E120,0)))*parametros_manuales!$I$30*parametros_manuales!$J$30</f>
        <v>589.8972139684</v>
      </c>
      <c r="D13" s="9" t="n">
        <f aca="false">(parametros_manuales!$D$30*('Plan mensual'!F2+'Plan mensual'!F113+IF(parametros_manuales!$H$30="Todos",'Plan mensual'!F6+'Plan mensual'!F117,0))+parametros_manuales!$E$30*('Plan mensual'!F3+'Plan mensual'!F114+IF(parametros_manuales!$H$30="Todos",'Plan mensual'!F7+'Plan mensual'!F118,0))+parametros_manuales!$F$30*('Plan mensual'!F4+'Plan mensual'!F115+IF(parametros_manuales!$H$30="Todos",'Plan mensual'!F8+'Plan mensual'!F119,0))+parametros_manuales!$G$30*('Plan mensual'!F5+'Plan mensual'!F116+IF(parametros_manuales!$H$30="Todos",'Plan mensual'!F9+'Plan mensual'!F120,0)))*parametros_manuales!$I$30*parametros_manuales!$J$30</f>
        <v>561.47303135705</v>
      </c>
      <c r="E13" s="9" t="n">
        <f aca="false">(parametros_manuales!$D$30*('Plan mensual'!G2+'Plan mensual'!G113+IF(parametros_manuales!$H$30="Todos",'Plan mensual'!G6+'Plan mensual'!G117,0))+parametros_manuales!$E$30*('Plan mensual'!G3+'Plan mensual'!G114+IF(parametros_manuales!$H$30="Todos",'Plan mensual'!G7+'Plan mensual'!G118,0))+parametros_manuales!$F$30*('Plan mensual'!G4+'Plan mensual'!G115+IF(parametros_manuales!$H$30="Todos",'Plan mensual'!G8+'Plan mensual'!G119,0))+parametros_manuales!$G$30*('Plan mensual'!G5+'Plan mensual'!G116+IF(parametros_manuales!$H$30="Todos",'Plan mensual'!G9+'Plan mensual'!G120,0)))*parametros_manuales!$I$30*parametros_manuales!$J$30</f>
        <v>540.57934864205</v>
      </c>
      <c r="F13" s="9" t="n">
        <f aca="false">(parametros_manuales!$D$30*('Plan mensual'!H2+'Plan mensual'!H113+IF(parametros_manuales!$H$30="Todos",'Plan mensual'!H6+'Plan mensual'!H117,0))+parametros_manuales!$E$30*('Plan mensual'!H3+'Plan mensual'!H114+IF(parametros_manuales!$H$30="Todos",'Plan mensual'!H7+'Plan mensual'!H118,0))+parametros_manuales!$F$30*('Plan mensual'!H4+'Plan mensual'!H115+IF(parametros_manuales!$H$30="Todos",'Plan mensual'!H8+'Plan mensual'!H119,0))+parametros_manuales!$G$30*('Plan mensual'!H5+'Plan mensual'!H116+IF(parametros_manuales!$H$30="Todos",'Plan mensual'!H9+'Plan mensual'!H120,0)))*parametros_manuales!$I$30*parametros_manuales!$J$30</f>
        <v>506.3224831084</v>
      </c>
      <c r="G13" s="9" t="n">
        <f aca="false">(parametros_manuales!$D$30*('Plan mensual'!I2+'Plan mensual'!I113+IF(parametros_manuales!$H$30="Todos",'Plan mensual'!I6+'Plan mensual'!I117,0))+parametros_manuales!$E$30*('Plan mensual'!I3+'Plan mensual'!I114+IF(parametros_manuales!$H$30="Todos",'Plan mensual'!I7+'Plan mensual'!I118,0))+parametros_manuales!$F$30*('Plan mensual'!I4+'Plan mensual'!I115+IF(parametros_manuales!$H$30="Todos",'Plan mensual'!I8+'Plan mensual'!I119,0))+parametros_manuales!$G$30*('Plan mensual'!I5+'Plan mensual'!I116+IF(parametros_manuales!$H$30="Todos",'Plan mensual'!I9+'Plan mensual'!I120,0)))*parametros_manuales!$I$30*parametros_manuales!$J$30</f>
        <v>492.95930028975</v>
      </c>
      <c r="H13" s="9" t="n">
        <f aca="false">(parametros_manuales!$D$30*('Plan mensual'!J2+'Plan mensual'!J113+IF(parametros_manuales!$H$30="Todos",'Plan mensual'!J6+'Plan mensual'!J117,0))+parametros_manuales!$E$30*('Plan mensual'!J3+'Plan mensual'!J114+IF(parametros_manuales!$H$30="Todos",'Plan mensual'!J7+'Plan mensual'!J118,0))+parametros_manuales!$F$30*('Plan mensual'!J4+'Plan mensual'!J115+IF(parametros_manuales!$H$30="Todos",'Plan mensual'!J8+'Plan mensual'!J119,0))+parametros_manuales!$G$30*('Plan mensual'!J5+'Plan mensual'!J116+IF(parametros_manuales!$H$30="Todos",'Plan mensual'!J9+'Plan mensual'!J120,0)))*parametros_manuales!$I$30*parametros_manuales!$J$30</f>
        <v>527.2161658234</v>
      </c>
      <c r="I13" s="9" t="n">
        <f aca="false">(parametros_manuales!$D$30*('Plan mensual'!K2+'Plan mensual'!K113+IF(parametros_manuales!$H$30="Todos",'Plan mensual'!K6+'Plan mensual'!K117,0))+parametros_manuales!$E$30*('Plan mensual'!K3+'Plan mensual'!K114+IF(parametros_manuales!$H$30="Todos",'Plan mensual'!K7+'Plan mensual'!K118,0))+parametros_manuales!$F$30*('Plan mensual'!K4+'Plan mensual'!K115+IF(parametros_manuales!$H$30="Todos",'Plan mensual'!K8+'Plan mensual'!K119,0))+parametros_manuales!$G$30*('Plan mensual'!K5+'Plan mensual'!K116+IF(parametros_manuales!$H$30="Todos",'Plan mensual'!K9+'Plan mensual'!K120,0)))*parametros_manuales!$I$30*parametros_manuales!$J$30</f>
        <v>527.2161658234</v>
      </c>
      <c r="J13" s="9" t="n">
        <f aca="false">(parametros_manuales!$D$30*('Plan mensual'!L2+'Plan mensual'!L113+IF(parametros_manuales!$H$30="Todos",'Plan mensual'!L6+'Plan mensual'!L117,0))+parametros_manuales!$E$30*('Plan mensual'!L3+'Plan mensual'!L114+IF(parametros_manuales!$H$30="Todos",'Plan mensual'!L7+'Plan mensual'!L118,0))+parametros_manuales!$F$30*('Plan mensual'!L4+'Plan mensual'!L115+IF(parametros_manuales!$H$30="Todos",'Plan mensual'!L8+'Plan mensual'!L119,0))+parametros_manuales!$G$30*('Plan mensual'!L5+'Plan mensual'!L116+IF(parametros_manuales!$H$30="Todos",'Plan mensual'!L9+'Plan mensual'!L120,0)))*parametros_manuales!$I$30*parametros_manuales!$J$30</f>
        <v>527.2161658234</v>
      </c>
      <c r="K13" s="9" t="n">
        <f aca="false">(parametros_manuales!$D$30*('Plan mensual'!M2+'Plan mensual'!M113+IF(parametros_manuales!$H$30="Todos",'Plan mensual'!M6+'Plan mensual'!M117,0))+parametros_manuales!$E$30*('Plan mensual'!M3+'Plan mensual'!M114+IF(parametros_manuales!$H$30="Todos",'Plan mensual'!M7+'Plan mensual'!M118,0))+parametros_manuales!$F$30*('Plan mensual'!M4+'Plan mensual'!M115+IF(parametros_manuales!$H$30="Todos",'Plan mensual'!M8+'Plan mensual'!M119,0))+parametros_manuales!$G$30*('Plan mensual'!M5+'Plan mensual'!M116+IF(parametros_manuales!$H$30="Todos",'Plan mensual'!M9+'Plan mensual'!M120,0)))*parametros_manuales!$I$30*parametros_manuales!$J$30</f>
        <v>513.85298300475</v>
      </c>
      <c r="L13" s="9" t="n">
        <f aca="false">(parametros_manuales!$D$30*('Plan mensual'!N2+'Plan mensual'!N113+IF(parametros_manuales!$H$30="Todos",'Plan mensual'!N6+'Plan mensual'!N117,0))+parametros_manuales!$E$30*('Plan mensual'!N3+'Plan mensual'!N114+IF(parametros_manuales!$H$30="Todos",'Plan mensual'!N7+'Plan mensual'!N118,0))+parametros_manuales!$F$30*('Plan mensual'!N4+'Plan mensual'!N115+IF(parametros_manuales!$H$30="Todos",'Plan mensual'!N8+'Plan mensual'!N119,0))+parametros_manuales!$G$30*('Plan mensual'!N5+'Plan mensual'!N116+IF(parametros_manuales!$H$30="Todos",'Plan mensual'!N9+'Plan mensual'!N120,0)))*parametros_manuales!$I$30*parametros_manuales!$J$30</f>
        <v>500.4898001861</v>
      </c>
      <c r="M13" s="9" t="n">
        <f aca="false">(parametros_manuales!$D$30*('Plan mensual'!O2+'Plan mensual'!O113+IF(parametros_manuales!$H$30="Todos",'Plan mensual'!O6+'Plan mensual'!O117,0))+parametros_manuales!$E$30*('Plan mensual'!O3+'Plan mensual'!O114+IF(parametros_manuales!$H$30="Todos",'Plan mensual'!O7+'Plan mensual'!O118,0))+parametros_manuales!$F$30*('Plan mensual'!O4+'Plan mensual'!O115+IF(parametros_manuales!$H$30="Todos",'Plan mensual'!O8+'Plan mensual'!O119,0))+parametros_manuales!$G$30*('Plan mensual'!O5+'Plan mensual'!O116+IF(parametros_manuales!$H$30="Todos",'Plan mensual'!O9+'Plan mensual'!O120,0)))*parametros_manuales!$I$30*parametros_manuales!$J$30</f>
        <v>795.4384071703</v>
      </c>
      <c r="N13" s="9" t="n">
        <f aca="false">SUM(B13:M13)</f>
        <v>6851.37310673</v>
      </c>
      <c r="O13" s="9" t="n">
        <f aca="false">MAX(B13:M13)</f>
        <v>795.4384071703</v>
      </c>
      <c r="P13" s="44" t="n">
        <f aca="false">O13/(parametros_manuales!$B$7)</f>
        <v>5.30292271446867</v>
      </c>
      <c r="Q13" s="8" t="str">
        <f aca="false">IF(O13=0,"-",INDEX($B$1:$M$1,MATCH(O13,B13:M13,0)))</f>
        <v>Dic</v>
      </c>
    </row>
    <row r="14" customFormat="false" ht="14.25" hidden="false" customHeight="true" outlineLevel="0" collapsed="false">
      <c r="A14" s="8" t="str">
        <f aca="false">parametros_manuales!$B$31</f>
        <v>Control de calidad — Espesor</v>
      </c>
      <c r="B14" s="9" t="n">
        <f aca="false">(parametros_manuales!$D$31*('Plan mensual'!D2+'Plan mensual'!D113+IF(parametros_manuales!$H$31="Todos",'Plan mensual'!D6+'Plan mensual'!D117,0))+parametros_manuales!$E$31*('Plan mensual'!D3+'Plan mensual'!D114+IF(parametros_manuales!$H$31="Todos",'Plan mensual'!D7+'Plan mensual'!D118,0))+parametros_manuales!$F$31*('Plan mensual'!D4+'Plan mensual'!D115+IF(parametros_manuales!$H$31="Todos",'Plan mensual'!D8+'Plan mensual'!D119,0))+parametros_manuales!$G$31*('Plan mensual'!D5+'Plan mensual'!D116+IF(parametros_manuales!$H$31="Todos",'Plan mensual'!D9+'Plan mensual'!D120,0)))*parametros_manuales!$I$31*parametros_manuales!$J$31</f>
        <v>15.37424083066</v>
      </c>
      <c r="C14" s="9" t="n">
        <f aca="false">(parametros_manuales!$D$31*('Plan mensual'!E2+'Plan mensual'!E113+IF(parametros_manuales!$H$31="Todos",'Plan mensual'!E6+'Plan mensual'!E117,0))+parametros_manuales!$E$31*('Plan mensual'!E3+'Plan mensual'!E114+IF(parametros_manuales!$H$31="Todos",'Plan mensual'!E7+'Plan mensual'!E118,0))+parametros_manuales!$F$31*('Plan mensual'!E4+'Plan mensual'!E115+IF(parametros_manuales!$H$31="Todos",'Plan mensual'!E8+'Plan mensual'!E119,0))+parametros_manuales!$G$31*('Plan mensual'!E5+'Plan mensual'!E116+IF(parametros_manuales!$H$31="Todos",'Plan mensual'!E9+'Plan mensual'!E120,0)))*parametros_manuales!$I$31*parametros_manuales!$J$31</f>
        <v>11.797944279368</v>
      </c>
      <c r="D14" s="9" t="n">
        <f aca="false">(parametros_manuales!$D$31*('Plan mensual'!F2+'Plan mensual'!F113+IF(parametros_manuales!$H$31="Todos",'Plan mensual'!F6+'Plan mensual'!F117,0))+parametros_manuales!$E$31*('Plan mensual'!F3+'Plan mensual'!F114+IF(parametros_manuales!$H$31="Todos",'Plan mensual'!F7+'Plan mensual'!F118,0))+parametros_manuales!$F$31*('Plan mensual'!F4+'Plan mensual'!F115+IF(parametros_manuales!$H$31="Todos",'Plan mensual'!F8+'Plan mensual'!F119,0))+parametros_manuales!$G$31*('Plan mensual'!F5+'Plan mensual'!F116+IF(parametros_manuales!$H$31="Todos",'Plan mensual'!F9+'Plan mensual'!F120,0)))*parametros_manuales!$I$31*parametros_manuales!$J$31</f>
        <v>11.229460627141</v>
      </c>
      <c r="E14" s="9" t="n">
        <f aca="false">(parametros_manuales!$D$31*('Plan mensual'!G2+'Plan mensual'!G113+IF(parametros_manuales!$H$31="Todos",'Plan mensual'!G6+'Plan mensual'!G117,0))+parametros_manuales!$E$31*('Plan mensual'!G3+'Plan mensual'!G114+IF(parametros_manuales!$H$31="Todos",'Plan mensual'!G7+'Plan mensual'!G118,0))+parametros_manuales!$F$31*('Plan mensual'!G4+'Plan mensual'!G115+IF(parametros_manuales!$H$31="Todos",'Plan mensual'!G8+'Plan mensual'!G119,0))+parametros_manuales!$G$31*('Plan mensual'!G5+'Plan mensual'!G116+IF(parametros_manuales!$H$31="Todos",'Plan mensual'!G9+'Plan mensual'!G120,0)))*parametros_manuales!$I$31*parametros_manuales!$J$31</f>
        <v>10.811586972841</v>
      </c>
      <c r="F14" s="9" t="n">
        <f aca="false">(parametros_manuales!$D$31*('Plan mensual'!H2+'Plan mensual'!H113+IF(parametros_manuales!$H$31="Todos",'Plan mensual'!H6+'Plan mensual'!H117,0))+parametros_manuales!$E$31*('Plan mensual'!H3+'Plan mensual'!H114+IF(parametros_manuales!$H$31="Todos",'Plan mensual'!H7+'Plan mensual'!H118,0))+parametros_manuales!$F$31*('Plan mensual'!H4+'Plan mensual'!H115+IF(parametros_manuales!$H$31="Todos",'Plan mensual'!H8+'Plan mensual'!H119,0))+parametros_manuales!$G$31*('Plan mensual'!H5+'Plan mensual'!H116+IF(parametros_manuales!$H$31="Todos",'Plan mensual'!H9+'Plan mensual'!H120,0)))*parametros_manuales!$I$31*parametros_manuales!$J$31</f>
        <v>10.126449662168</v>
      </c>
      <c r="G14" s="9" t="n">
        <f aca="false">(parametros_manuales!$D$31*('Plan mensual'!I2+'Plan mensual'!I113+IF(parametros_manuales!$H$31="Todos",'Plan mensual'!I6+'Plan mensual'!I117,0))+parametros_manuales!$E$31*('Plan mensual'!I3+'Plan mensual'!I114+IF(parametros_manuales!$H$31="Todos",'Plan mensual'!I7+'Plan mensual'!I118,0))+parametros_manuales!$F$31*('Plan mensual'!I4+'Plan mensual'!I115+IF(parametros_manuales!$H$31="Todos",'Plan mensual'!I8+'Plan mensual'!I119,0))+parametros_manuales!$G$31*('Plan mensual'!I5+'Plan mensual'!I116+IF(parametros_manuales!$H$31="Todos",'Plan mensual'!I9+'Plan mensual'!I120,0)))*parametros_manuales!$I$31*parametros_manuales!$J$31</f>
        <v>9.859186005795</v>
      </c>
      <c r="H14" s="9" t="n">
        <f aca="false">(parametros_manuales!$D$31*('Plan mensual'!J2+'Plan mensual'!J113+IF(parametros_manuales!$H$31="Todos",'Plan mensual'!J6+'Plan mensual'!J117,0))+parametros_manuales!$E$31*('Plan mensual'!J3+'Plan mensual'!J114+IF(parametros_manuales!$H$31="Todos",'Plan mensual'!J7+'Plan mensual'!J118,0))+parametros_manuales!$F$31*('Plan mensual'!J4+'Plan mensual'!J115+IF(parametros_manuales!$H$31="Todos",'Plan mensual'!J8+'Plan mensual'!J119,0))+parametros_manuales!$G$31*('Plan mensual'!J5+'Plan mensual'!J116+IF(parametros_manuales!$H$31="Todos",'Plan mensual'!J9+'Plan mensual'!J120,0)))*parametros_manuales!$I$31*parametros_manuales!$J$31</f>
        <v>10.544323316468</v>
      </c>
      <c r="I14" s="9" t="n">
        <f aca="false">(parametros_manuales!$D$31*('Plan mensual'!K2+'Plan mensual'!K113+IF(parametros_manuales!$H$31="Todos",'Plan mensual'!K6+'Plan mensual'!K117,0))+parametros_manuales!$E$31*('Plan mensual'!K3+'Plan mensual'!K114+IF(parametros_manuales!$H$31="Todos",'Plan mensual'!K7+'Plan mensual'!K118,0))+parametros_manuales!$F$31*('Plan mensual'!K4+'Plan mensual'!K115+IF(parametros_manuales!$H$31="Todos",'Plan mensual'!K8+'Plan mensual'!K119,0))+parametros_manuales!$G$31*('Plan mensual'!K5+'Plan mensual'!K116+IF(parametros_manuales!$H$31="Todos",'Plan mensual'!K9+'Plan mensual'!K120,0)))*parametros_manuales!$I$31*parametros_manuales!$J$31</f>
        <v>10.544323316468</v>
      </c>
      <c r="J14" s="9" t="n">
        <f aca="false">(parametros_manuales!$D$31*('Plan mensual'!L2+'Plan mensual'!L113+IF(parametros_manuales!$H$31="Todos",'Plan mensual'!L6+'Plan mensual'!L117,0))+parametros_manuales!$E$31*('Plan mensual'!L3+'Plan mensual'!L114+IF(parametros_manuales!$H$31="Todos",'Plan mensual'!L7+'Plan mensual'!L118,0))+parametros_manuales!$F$31*('Plan mensual'!L4+'Plan mensual'!L115+IF(parametros_manuales!$H$31="Todos",'Plan mensual'!L8+'Plan mensual'!L119,0))+parametros_manuales!$G$31*('Plan mensual'!L5+'Plan mensual'!L116+IF(parametros_manuales!$H$31="Todos",'Plan mensual'!L9+'Plan mensual'!L120,0)))*parametros_manuales!$I$31*parametros_manuales!$J$31</f>
        <v>10.544323316468</v>
      </c>
      <c r="K14" s="9" t="n">
        <f aca="false">(parametros_manuales!$D$31*('Plan mensual'!M2+'Plan mensual'!M113+IF(parametros_manuales!$H$31="Todos",'Plan mensual'!M6+'Plan mensual'!M117,0))+parametros_manuales!$E$31*('Plan mensual'!M3+'Plan mensual'!M114+IF(parametros_manuales!$H$31="Todos",'Plan mensual'!M7+'Plan mensual'!M118,0))+parametros_manuales!$F$31*('Plan mensual'!M4+'Plan mensual'!M115+IF(parametros_manuales!$H$31="Todos",'Plan mensual'!M8+'Plan mensual'!M119,0))+parametros_manuales!$G$31*('Plan mensual'!M5+'Plan mensual'!M116+IF(parametros_manuales!$H$31="Todos",'Plan mensual'!M9+'Plan mensual'!M120,0)))*parametros_manuales!$I$31*parametros_manuales!$J$31</f>
        <v>10.277059660095</v>
      </c>
      <c r="L14" s="9" t="n">
        <f aca="false">(parametros_manuales!$D$31*('Plan mensual'!N2+'Plan mensual'!N113+IF(parametros_manuales!$H$31="Todos",'Plan mensual'!N6+'Plan mensual'!N117,0))+parametros_manuales!$E$31*('Plan mensual'!N3+'Plan mensual'!N114+IF(parametros_manuales!$H$31="Todos",'Plan mensual'!N7+'Plan mensual'!N118,0))+parametros_manuales!$F$31*('Plan mensual'!N4+'Plan mensual'!N115+IF(parametros_manuales!$H$31="Todos",'Plan mensual'!N8+'Plan mensual'!N119,0))+parametros_manuales!$G$31*('Plan mensual'!N5+'Plan mensual'!N116+IF(parametros_manuales!$H$31="Todos",'Plan mensual'!N9+'Plan mensual'!N120,0)))*parametros_manuales!$I$31*parametros_manuales!$J$31</f>
        <v>10.009796003722</v>
      </c>
      <c r="M14" s="9" t="n">
        <f aca="false">(parametros_manuales!$D$31*('Plan mensual'!O2+'Plan mensual'!O113+IF(parametros_manuales!$H$31="Todos",'Plan mensual'!O6+'Plan mensual'!O117,0))+parametros_manuales!$E$31*('Plan mensual'!O3+'Plan mensual'!O114+IF(parametros_manuales!$H$31="Todos",'Plan mensual'!O7+'Plan mensual'!O118,0))+parametros_manuales!$F$31*('Plan mensual'!O4+'Plan mensual'!O115+IF(parametros_manuales!$H$31="Todos",'Plan mensual'!O8+'Plan mensual'!O119,0))+parametros_manuales!$G$31*('Plan mensual'!O5+'Plan mensual'!O116+IF(parametros_manuales!$H$31="Todos",'Plan mensual'!O9+'Plan mensual'!O120,0)))*parametros_manuales!$I$31*parametros_manuales!$J$31</f>
        <v>15.908768143406</v>
      </c>
      <c r="N14" s="9" t="n">
        <f aca="false">SUM(B14:M14)</f>
        <v>137.0274621346</v>
      </c>
      <c r="O14" s="9" t="n">
        <f aca="false">MAX(B14:M14)</f>
        <v>15.908768143406</v>
      </c>
      <c r="P14" s="44" t="n">
        <f aca="false">O14/(parametros_manuales!$B$7)</f>
        <v>0.106058454289373</v>
      </c>
      <c r="Q14" s="8" t="str">
        <f aca="false">IF(O14=0,"-",INDEX($B$1:$M$1,MATCH(O14,B14:M14,0)))</f>
        <v>Dic</v>
      </c>
    </row>
    <row r="15" customFormat="false" ht="14.25" hidden="false" customHeight="true" outlineLevel="0" collapsed="false">
      <c r="A15" s="8" t="str">
        <f aca="false">parametros_manuales!$B$32</f>
        <v>Prueba hidráulica</v>
      </c>
      <c r="B15" s="9" t="n">
        <f aca="false">(parametros_manuales!$D$32*('Plan mensual'!D2+'Plan mensual'!D113+IF(parametros_manuales!$H$32="Todos",'Plan mensual'!D6+'Plan mensual'!D117,0))+parametros_manuales!$E$32*('Plan mensual'!D3+'Plan mensual'!D114+IF(parametros_manuales!$H$32="Todos",'Plan mensual'!D7+'Plan mensual'!D118,0))+parametros_manuales!$F$32*('Plan mensual'!D4+'Plan mensual'!D115+IF(parametros_manuales!$H$32="Todos",'Plan mensual'!D8+'Plan mensual'!D119,0))+parametros_manuales!$G$32*('Plan mensual'!D5+'Plan mensual'!D116+IF(parametros_manuales!$H$32="Todos",'Plan mensual'!D9+'Plan mensual'!D120,0)))*parametros_manuales!$I$32*parametros_manuales!$J$32</f>
        <v>768.712041533</v>
      </c>
      <c r="C15" s="9" t="n">
        <f aca="false">(parametros_manuales!$D$32*('Plan mensual'!E2+'Plan mensual'!E113+IF(parametros_manuales!$H$32="Todos",'Plan mensual'!E6+'Plan mensual'!E117,0))+parametros_manuales!$E$32*('Plan mensual'!E3+'Plan mensual'!E114+IF(parametros_manuales!$H$32="Todos",'Plan mensual'!E7+'Plan mensual'!E118,0))+parametros_manuales!$F$32*('Plan mensual'!E4+'Plan mensual'!E115+IF(parametros_manuales!$H$32="Todos",'Plan mensual'!E8+'Plan mensual'!E119,0))+parametros_manuales!$G$32*('Plan mensual'!E5+'Plan mensual'!E116+IF(parametros_manuales!$H$32="Todos",'Plan mensual'!E9+'Plan mensual'!E120,0)))*parametros_manuales!$I$32*parametros_manuales!$J$32</f>
        <v>589.8972139684</v>
      </c>
      <c r="D15" s="9" t="n">
        <f aca="false">(parametros_manuales!$D$32*('Plan mensual'!F2+'Plan mensual'!F113+IF(parametros_manuales!$H$32="Todos",'Plan mensual'!F6+'Plan mensual'!F117,0))+parametros_manuales!$E$32*('Plan mensual'!F3+'Plan mensual'!F114+IF(parametros_manuales!$H$32="Todos",'Plan mensual'!F7+'Plan mensual'!F118,0))+parametros_manuales!$F$32*('Plan mensual'!F4+'Plan mensual'!F115+IF(parametros_manuales!$H$32="Todos",'Plan mensual'!F8+'Plan mensual'!F119,0))+parametros_manuales!$G$32*('Plan mensual'!F5+'Plan mensual'!F116+IF(parametros_manuales!$H$32="Todos",'Plan mensual'!F9+'Plan mensual'!F120,0)))*parametros_manuales!$I$32*parametros_manuales!$J$32</f>
        <v>561.47303135705</v>
      </c>
      <c r="E15" s="9" t="n">
        <f aca="false">(parametros_manuales!$D$32*('Plan mensual'!G2+'Plan mensual'!G113+IF(parametros_manuales!$H$32="Todos",'Plan mensual'!G6+'Plan mensual'!G117,0))+parametros_manuales!$E$32*('Plan mensual'!G3+'Plan mensual'!G114+IF(parametros_manuales!$H$32="Todos",'Plan mensual'!G7+'Plan mensual'!G118,0))+parametros_manuales!$F$32*('Plan mensual'!G4+'Plan mensual'!G115+IF(parametros_manuales!$H$32="Todos",'Plan mensual'!G8+'Plan mensual'!G119,0))+parametros_manuales!$G$32*('Plan mensual'!G5+'Plan mensual'!G116+IF(parametros_manuales!$H$32="Todos",'Plan mensual'!G9+'Plan mensual'!G120,0)))*parametros_manuales!$I$32*parametros_manuales!$J$32</f>
        <v>540.57934864205</v>
      </c>
      <c r="F15" s="9" t="n">
        <f aca="false">(parametros_manuales!$D$32*('Plan mensual'!H2+'Plan mensual'!H113+IF(parametros_manuales!$H$32="Todos",'Plan mensual'!H6+'Plan mensual'!H117,0))+parametros_manuales!$E$32*('Plan mensual'!H3+'Plan mensual'!H114+IF(parametros_manuales!$H$32="Todos",'Plan mensual'!H7+'Plan mensual'!H118,0))+parametros_manuales!$F$32*('Plan mensual'!H4+'Plan mensual'!H115+IF(parametros_manuales!$H$32="Todos",'Plan mensual'!H8+'Plan mensual'!H119,0))+parametros_manuales!$G$32*('Plan mensual'!H5+'Plan mensual'!H116+IF(parametros_manuales!$H$32="Todos",'Plan mensual'!H9+'Plan mensual'!H120,0)))*parametros_manuales!$I$32*parametros_manuales!$J$32</f>
        <v>506.3224831084</v>
      </c>
      <c r="G15" s="9" t="n">
        <f aca="false">(parametros_manuales!$D$32*('Plan mensual'!I2+'Plan mensual'!I113+IF(parametros_manuales!$H$32="Todos",'Plan mensual'!I6+'Plan mensual'!I117,0))+parametros_manuales!$E$32*('Plan mensual'!I3+'Plan mensual'!I114+IF(parametros_manuales!$H$32="Todos",'Plan mensual'!I7+'Plan mensual'!I118,0))+parametros_manuales!$F$32*('Plan mensual'!I4+'Plan mensual'!I115+IF(parametros_manuales!$H$32="Todos",'Plan mensual'!I8+'Plan mensual'!I119,0))+parametros_manuales!$G$32*('Plan mensual'!I5+'Plan mensual'!I116+IF(parametros_manuales!$H$32="Todos",'Plan mensual'!I9+'Plan mensual'!I120,0)))*parametros_manuales!$I$32*parametros_manuales!$J$32</f>
        <v>492.95930028975</v>
      </c>
      <c r="H15" s="9" t="n">
        <f aca="false">(parametros_manuales!$D$32*('Plan mensual'!J2+'Plan mensual'!J113+IF(parametros_manuales!$H$32="Todos",'Plan mensual'!J6+'Plan mensual'!J117,0))+parametros_manuales!$E$32*('Plan mensual'!J3+'Plan mensual'!J114+IF(parametros_manuales!$H$32="Todos",'Plan mensual'!J7+'Plan mensual'!J118,0))+parametros_manuales!$F$32*('Plan mensual'!J4+'Plan mensual'!J115+IF(parametros_manuales!$H$32="Todos",'Plan mensual'!J8+'Plan mensual'!J119,0))+parametros_manuales!$G$32*('Plan mensual'!J5+'Plan mensual'!J116+IF(parametros_manuales!$H$32="Todos",'Plan mensual'!J9+'Plan mensual'!J120,0)))*parametros_manuales!$I$32*parametros_manuales!$J$32</f>
        <v>527.2161658234</v>
      </c>
      <c r="I15" s="9" t="n">
        <f aca="false">(parametros_manuales!$D$32*('Plan mensual'!K2+'Plan mensual'!K113+IF(parametros_manuales!$H$32="Todos",'Plan mensual'!K6+'Plan mensual'!K117,0))+parametros_manuales!$E$32*('Plan mensual'!K3+'Plan mensual'!K114+IF(parametros_manuales!$H$32="Todos",'Plan mensual'!K7+'Plan mensual'!K118,0))+parametros_manuales!$F$32*('Plan mensual'!K4+'Plan mensual'!K115+IF(parametros_manuales!$H$32="Todos",'Plan mensual'!K8+'Plan mensual'!K119,0))+parametros_manuales!$G$32*('Plan mensual'!K5+'Plan mensual'!K116+IF(parametros_manuales!$H$32="Todos",'Plan mensual'!K9+'Plan mensual'!K120,0)))*parametros_manuales!$I$32*parametros_manuales!$J$32</f>
        <v>527.2161658234</v>
      </c>
      <c r="J15" s="9" t="n">
        <f aca="false">(parametros_manuales!$D$32*('Plan mensual'!L2+'Plan mensual'!L113+IF(parametros_manuales!$H$32="Todos",'Plan mensual'!L6+'Plan mensual'!L117,0))+parametros_manuales!$E$32*('Plan mensual'!L3+'Plan mensual'!L114+IF(parametros_manuales!$H$32="Todos",'Plan mensual'!L7+'Plan mensual'!L118,0))+parametros_manuales!$F$32*('Plan mensual'!L4+'Plan mensual'!L115+IF(parametros_manuales!$H$32="Todos",'Plan mensual'!L8+'Plan mensual'!L119,0))+parametros_manuales!$G$32*('Plan mensual'!L5+'Plan mensual'!L116+IF(parametros_manuales!$H$32="Todos",'Plan mensual'!L9+'Plan mensual'!L120,0)))*parametros_manuales!$I$32*parametros_manuales!$J$32</f>
        <v>527.2161658234</v>
      </c>
      <c r="K15" s="9" t="n">
        <f aca="false">(parametros_manuales!$D$32*('Plan mensual'!M2+'Plan mensual'!M113+IF(parametros_manuales!$H$32="Todos",'Plan mensual'!M6+'Plan mensual'!M117,0))+parametros_manuales!$E$32*('Plan mensual'!M3+'Plan mensual'!M114+IF(parametros_manuales!$H$32="Todos",'Plan mensual'!M7+'Plan mensual'!M118,0))+parametros_manuales!$F$32*('Plan mensual'!M4+'Plan mensual'!M115+IF(parametros_manuales!$H$32="Todos",'Plan mensual'!M8+'Plan mensual'!M119,0))+parametros_manuales!$G$32*('Plan mensual'!M5+'Plan mensual'!M116+IF(parametros_manuales!$H$32="Todos",'Plan mensual'!M9+'Plan mensual'!M120,0)))*parametros_manuales!$I$32*parametros_manuales!$J$32</f>
        <v>513.85298300475</v>
      </c>
      <c r="L15" s="9" t="n">
        <f aca="false">(parametros_manuales!$D$32*('Plan mensual'!N2+'Plan mensual'!N113+IF(parametros_manuales!$H$32="Todos",'Plan mensual'!N6+'Plan mensual'!N117,0))+parametros_manuales!$E$32*('Plan mensual'!N3+'Plan mensual'!N114+IF(parametros_manuales!$H$32="Todos",'Plan mensual'!N7+'Plan mensual'!N118,0))+parametros_manuales!$F$32*('Plan mensual'!N4+'Plan mensual'!N115+IF(parametros_manuales!$H$32="Todos",'Plan mensual'!N8+'Plan mensual'!N119,0))+parametros_manuales!$G$32*('Plan mensual'!N5+'Plan mensual'!N116+IF(parametros_manuales!$H$32="Todos",'Plan mensual'!N9+'Plan mensual'!N120,0)))*parametros_manuales!$I$32*parametros_manuales!$J$32</f>
        <v>500.4898001861</v>
      </c>
      <c r="M15" s="9" t="n">
        <f aca="false">(parametros_manuales!$D$32*('Plan mensual'!O2+'Plan mensual'!O113+IF(parametros_manuales!$H$32="Todos",'Plan mensual'!O6+'Plan mensual'!O117,0))+parametros_manuales!$E$32*('Plan mensual'!O3+'Plan mensual'!O114+IF(parametros_manuales!$H$32="Todos",'Plan mensual'!O7+'Plan mensual'!O118,0))+parametros_manuales!$F$32*('Plan mensual'!O4+'Plan mensual'!O115+IF(parametros_manuales!$H$32="Todos",'Plan mensual'!O8+'Plan mensual'!O119,0))+parametros_manuales!$G$32*('Plan mensual'!O5+'Plan mensual'!O116+IF(parametros_manuales!$H$32="Todos",'Plan mensual'!O9+'Plan mensual'!O120,0)))*parametros_manuales!$I$32*parametros_manuales!$J$32</f>
        <v>795.4384071703</v>
      </c>
      <c r="N15" s="9" t="n">
        <f aca="false">SUM(B15:M15)</f>
        <v>6851.37310673</v>
      </c>
      <c r="O15" s="9" t="n">
        <f aca="false">MAX(B15:M15)</f>
        <v>795.4384071703</v>
      </c>
      <c r="P15" s="44" t="n">
        <f aca="false">O15/(parametros_manuales!$B$7)</f>
        <v>5.30292271446867</v>
      </c>
      <c r="Q15" s="8" t="str">
        <f aca="false">IF(O15=0,"-",INDEX($B$1:$M$1,MATCH(O15,B15:M15,0)))</f>
        <v>Dic</v>
      </c>
    </row>
    <row r="16" customFormat="false" ht="14.25" hidden="false" customHeight="true" outlineLevel="0" collapsed="false">
      <c r="A16" s="8" t="str">
        <f aca="false">parametros_manuales!$B$33</f>
        <v>Secado</v>
      </c>
      <c r="B16" s="9" t="n">
        <f aca="false">(parametros_manuales!$D$33*('Plan mensual'!D2+'Plan mensual'!D113+IF(parametros_manuales!$H$33="Todos",'Plan mensual'!D6+'Plan mensual'!D117,0))+parametros_manuales!$E$33*('Plan mensual'!D3+'Plan mensual'!D114+IF(parametros_manuales!$H$33="Todos",'Plan mensual'!D7+'Plan mensual'!D118,0))+parametros_manuales!$F$33*('Plan mensual'!D4+'Plan mensual'!D115+IF(parametros_manuales!$H$33="Todos",'Plan mensual'!D8+'Plan mensual'!D119,0))+parametros_manuales!$G$33*('Plan mensual'!D5+'Plan mensual'!D116+IF(parametros_manuales!$H$33="Todos",'Plan mensual'!D9+'Plan mensual'!D120,0)))*parametros_manuales!$I$33*parametros_manuales!$J$33</f>
        <v>768.712041533</v>
      </c>
      <c r="C16" s="9" t="n">
        <f aca="false">(parametros_manuales!$D$33*('Plan mensual'!E2+'Plan mensual'!E113+IF(parametros_manuales!$H$33="Todos",'Plan mensual'!E6+'Plan mensual'!E117,0))+parametros_manuales!$E$33*('Plan mensual'!E3+'Plan mensual'!E114+IF(parametros_manuales!$H$33="Todos",'Plan mensual'!E7+'Plan mensual'!E118,0))+parametros_manuales!$F$33*('Plan mensual'!E4+'Plan mensual'!E115+IF(parametros_manuales!$H$33="Todos",'Plan mensual'!E8+'Plan mensual'!E119,0))+parametros_manuales!$G$33*('Plan mensual'!E5+'Plan mensual'!E116+IF(parametros_manuales!$H$33="Todos",'Plan mensual'!E9+'Plan mensual'!E120,0)))*parametros_manuales!$I$33*parametros_manuales!$J$33</f>
        <v>589.8972139684</v>
      </c>
      <c r="D16" s="9" t="n">
        <f aca="false">(parametros_manuales!$D$33*('Plan mensual'!F2+'Plan mensual'!F113+IF(parametros_manuales!$H$33="Todos",'Plan mensual'!F6+'Plan mensual'!F117,0))+parametros_manuales!$E$33*('Plan mensual'!F3+'Plan mensual'!F114+IF(parametros_manuales!$H$33="Todos",'Plan mensual'!F7+'Plan mensual'!F118,0))+parametros_manuales!$F$33*('Plan mensual'!F4+'Plan mensual'!F115+IF(parametros_manuales!$H$33="Todos",'Plan mensual'!F8+'Plan mensual'!F119,0))+parametros_manuales!$G$33*('Plan mensual'!F5+'Plan mensual'!F116+IF(parametros_manuales!$H$33="Todos",'Plan mensual'!F9+'Plan mensual'!F120,0)))*parametros_manuales!$I$33*parametros_manuales!$J$33</f>
        <v>561.47303135705</v>
      </c>
      <c r="E16" s="9" t="n">
        <f aca="false">(parametros_manuales!$D$33*('Plan mensual'!G2+'Plan mensual'!G113+IF(parametros_manuales!$H$33="Todos",'Plan mensual'!G6+'Plan mensual'!G117,0))+parametros_manuales!$E$33*('Plan mensual'!G3+'Plan mensual'!G114+IF(parametros_manuales!$H$33="Todos",'Plan mensual'!G7+'Plan mensual'!G118,0))+parametros_manuales!$F$33*('Plan mensual'!G4+'Plan mensual'!G115+IF(parametros_manuales!$H$33="Todos",'Plan mensual'!G8+'Plan mensual'!G119,0))+parametros_manuales!$G$33*('Plan mensual'!G5+'Plan mensual'!G116+IF(parametros_manuales!$H$33="Todos",'Plan mensual'!G9+'Plan mensual'!G120,0)))*parametros_manuales!$I$33*parametros_manuales!$J$33</f>
        <v>540.57934864205</v>
      </c>
      <c r="F16" s="9" t="n">
        <f aca="false">(parametros_manuales!$D$33*('Plan mensual'!H2+'Plan mensual'!H113+IF(parametros_manuales!$H$33="Todos",'Plan mensual'!H6+'Plan mensual'!H117,0))+parametros_manuales!$E$33*('Plan mensual'!H3+'Plan mensual'!H114+IF(parametros_manuales!$H$33="Todos",'Plan mensual'!H7+'Plan mensual'!H118,0))+parametros_manuales!$F$33*('Plan mensual'!H4+'Plan mensual'!H115+IF(parametros_manuales!$H$33="Todos",'Plan mensual'!H8+'Plan mensual'!H119,0))+parametros_manuales!$G$33*('Plan mensual'!H5+'Plan mensual'!H116+IF(parametros_manuales!$H$33="Todos",'Plan mensual'!H9+'Plan mensual'!H120,0)))*parametros_manuales!$I$33*parametros_manuales!$J$33</f>
        <v>506.3224831084</v>
      </c>
      <c r="G16" s="9" t="n">
        <f aca="false">(parametros_manuales!$D$33*('Plan mensual'!I2+'Plan mensual'!I113+IF(parametros_manuales!$H$33="Todos",'Plan mensual'!I6+'Plan mensual'!I117,0))+parametros_manuales!$E$33*('Plan mensual'!I3+'Plan mensual'!I114+IF(parametros_manuales!$H$33="Todos",'Plan mensual'!I7+'Plan mensual'!I118,0))+parametros_manuales!$F$33*('Plan mensual'!I4+'Plan mensual'!I115+IF(parametros_manuales!$H$33="Todos",'Plan mensual'!I8+'Plan mensual'!I119,0))+parametros_manuales!$G$33*('Plan mensual'!I5+'Plan mensual'!I116+IF(parametros_manuales!$H$33="Todos",'Plan mensual'!I9+'Plan mensual'!I120,0)))*parametros_manuales!$I$33*parametros_manuales!$J$33</f>
        <v>492.95930028975</v>
      </c>
      <c r="H16" s="9" t="n">
        <f aca="false">(parametros_manuales!$D$33*('Plan mensual'!J2+'Plan mensual'!J113+IF(parametros_manuales!$H$33="Todos",'Plan mensual'!J6+'Plan mensual'!J117,0))+parametros_manuales!$E$33*('Plan mensual'!J3+'Plan mensual'!J114+IF(parametros_manuales!$H$33="Todos",'Plan mensual'!J7+'Plan mensual'!J118,0))+parametros_manuales!$F$33*('Plan mensual'!J4+'Plan mensual'!J115+IF(parametros_manuales!$H$33="Todos",'Plan mensual'!J8+'Plan mensual'!J119,0))+parametros_manuales!$G$33*('Plan mensual'!J5+'Plan mensual'!J116+IF(parametros_manuales!$H$33="Todos",'Plan mensual'!J9+'Plan mensual'!J120,0)))*parametros_manuales!$I$33*parametros_manuales!$J$33</f>
        <v>527.2161658234</v>
      </c>
      <c r="I16" s="9" t="n">
        <f aca="false">(parametros_manuales!$D$33*('Plan mensual'!K2+'Plan mensual'!K113+IF(parametros_manuales!$H$33="Todos",'Plan mensual'!K6+'Plan mensual'!K117,0))+parametros_manuales!$E$33*('Plan mensual'!K3+'Plan mensual'!K114+IF(parametros_manuales!$H$33="Todos",'Plan mensual'!K7+'Plan mensual'!K118,0))+parametros_manuales!$F$33*('Plan mensual'!K4+'Plan mensual'!K115+IF(parametros_manuales!$H$33="Todos",'Plan mensual'!K8+'Plan mensual'!K119,0))+parametros_manuales!$G$33*('Plan mensual'!K5+'Plan mensual'!K116+IF(parametros_manuales!$H$33="Todos",'Plan mensual'!K9+'Plan mensual'!K120,0)))*parametros_manuales!$I$33*parametros_manuales!$J$33</f>
        <v>527.2161658234</v>
      </c>
      <c r="J16" s="9" t="n">
        <f aca="false">(parametros_manuales!$D$33*('Plan mensual'!L2+'Plan mensual'!L113+IF(parametros_manuales!$H$33="Todos",'Plan mensual'!L6+'Plan mensual'!L117,0))+parametros_manuales!$E$33*('Plan mensual'!L3+'Plan mensual'!L114+IF(parametros_manuales!$H$33="Todos",'Plan mensual'!L7+'Plan mensual'!L118,0))+parametros_manuales!$F$33*('Plan mensual'!L4+'Plan mensual'!L115+IF(parametros_manuales!$H$33="Todos",'Plan mensual'!L8+'Plan mensual'!L119,0))+parametros_manuales!$G$33*('Plan mensual'!L5+'Plan mensual'!L116+IF(parametros_manuales!$H$33="Todos",'Plan mensual'!L9+'Plan mensual'!L120,0)))*parametros_manuales!$I$33*parametros_manuales!$J$33</f>
        <v>527.2161658234</v>
      </c>
      <c r="K16" s="9" t="n">
        <f aca="false">(parametros_manuales!$D$33*('Plan mensual'!M2+'Plan mensual'!M113+IF(parametros_manuales!$H$33="Todos",'Plan mensual'!M6+'Plan mensual'!M117,0))+parametros_manuales!$E$33*('Plan mensual'!M3+'Plan mensual'!M114+IF(parametros_manuales!$H$33="Todos",'Plan mensual'!M7+'Plan mensual'!M118,0))+parametros_manuales!$F$33*('Plan mensual'!M4+'Plan mensual'!M115+IF(parametros_manuales!$H$33="Todos",'Plan mensual'!M8+'Plan mensual'!M119,0))+parametros_manuales!$G$33*('Plan mensual'!M5+'Plan mensual'!M116+IF(parametros_manuales!$H$33="Todos",'Plan mensual'!M9+'Plan mensual'!M120,0)))*parametros_manuales!$I$33*parametros_manuales!$J$33</f>
        <v>513.85298300475</v>
      </c>
      <c r="L16" s="9" t="n">
        <f aca="false">(parametros_manuales!$D$33*('Plan mensual'!N2+'Plan mensual'!N113+IF(parametros_manuales!$H$33="Todos",'Plan mensual'!N6+'Plan mensual'!N117,0))+parametros_manuales!$E$33*('Plan mensual'!N3+'Plan mensual'!N114+IF(parametros_manuales!$H$33="Todos",'Plan mensual'!N7+'Plan mensual'!N118,0))+parametros_manuales!$F$33*('Plan mensual'!N4+'Plan mensual'!N115+IF(parametros_manuales!$H$33="Todos",'Plan mensual'!N8+'Plan mensual'!N119,0))+parametros_manuales!$G$33*('Plan mensual'!N5+'Plan mensual'!N116+IF(parametros_manuales!$H$33="Todos",'Plan mensual'!N9+'Plan mensual'!N120,0)))*parametros_manuales!$I$33*parametros_manuales!$J$33</f>
        <v>500.4898001861</v>
      </c>
      <c r="M16" s="9" t="n">
        <f aca="false">(parametros_manuales!$D$33*('Plan mensual'!O2+'Plan mensual'!O113+IF(parametros_manuales!$H$33="Todos",'Plan mensual'!O6+'Plan mensual'!O117,0))+parametros_manuales!$E$33*('Plan mensual'!O3+'Plan mensual'!O114+IF(parametros_manuales!$H$33="Todos",'Plan mensual'!O7+'Plan mensual'!O118,0))+parametros_manuales!$F$33*('Plan mensual'!O4+'Plan mensual'!O115+IF(parametros_manuales!$H$33="Todos",'Plan mensual'!O8+'Plan mensual'!O119,0))+parametros_manuales!$G$33*('Plan mensual'!O5+'Plan mensual'!O116+IF(parametros_manuales!$H$33="Todos",'Plan mensual'!O9+'Plan mensual'!O120,0)))*parametros_manuales!$I$33*parametros_manuales!$J$33</f>
        <v>795.4384071703</v>
      </c>
      <c r="N16" s="9" t="n">
        <f aca="false">SUM(B16:M16)</f>
        <v>6851.37310673</v>
      </c>
      <c r="O16" s="9" t="n">
        <f aca="false">MAX(B16:M16)</f>
        <v>795.4384071703</v>
      </c>
      <c r="P16" s="44" t="n">
        <f aca="false">O16/(parametros_manuales!$B$7)</f>
        <v>5.30292271446867</v>
      </c>
      <c r="Q16" s="8" t="str">
        <f aca="false">IF(O16=0,"-",INDEX($B$1:$M$1,MATCH(O16,B16:M16,0)))</f>
        <v>Dic</v>
      </c>
    </row>
    <row r="17" customFormat="false" ht="14.25" hidden="false" customHeight="true" outlineLevel="0" collapsed="false">
      <c r="A17" s="8" t="str">
        <f aca="false">parametros_manuales!$B$34</f>
        <v>Granallado</v>
      </c>
      <c r="B17" s="9" t="n">
        <f aca="false">(parametros_manuales!$D$34*('Plan mensual'!D2+'Plan mensual'!D113+IF(parametros_manuales!$H$34="Todos",'Plan mensual'!D6+'Plan mensual'!D117,0))+parametros_manuales!$E$34*('Plan mensual'!D3+'Plan mensual'!D114+IF(parametros_manuales!$H$34="Todos",'Plan mensual'!D7+'Plan mensual'!D118,0))+parametros_manuales!$F$34*('Plan mensual'!D4+'Plan mensual'!D115+IF(parametros_manuales!$H$34="Todos",'Plan mensual'!D8+'Plan mensual'!D119,0))+parametros_manuales!$G$34*('Plan mensual'!D5+'Plan mensual'!D116+IF(parametros_manuales!$H$34="Todos",'Plan mensual'!D9+'Plan mensual'!D120,0)))*parametros_manuales!$I$34*parametros_manuales!$J$34</f>
        <v>768.712041533</v>
      </c>
      <c r="C17" s="9" t="n">
        <f aca="false">(parametros_manuales!$D$34*('Plan mensual'!E2+'Plan mensual'!E113+IF(parametros_manuales!$H$34="Todos",'Plan mensual'!E6+'Plan mensual'!E117,0))+parametros_manuales!$E$34*('Plan mensual'!E3+'Plan mensual'!E114+IF(parametros_manuales!$H$34="Todos",'Plan mensual'!E7+'Plan mensual'!E118,0))+parametros_manuales!$F$34*('Plan mensual'!E4+'Plan mensual'!E115+IF(parametros_manuales!$H$34="Todos",'Plan mensual'!E8+'Plan mensual'!E119,0))+parametros_manuales!$G$34*('Plan mensual'!E5+'Plan mensual'!E116+IF(parametros_manuales!$H$34="Todos",'Plan mensual'!E9+'Plan mensual'!E120,0)))*parametros_manuales!$I$34*parametros_manuales!$J$34</f>
        <v>589.8972139684</v>
      </c>
      <c r="D17" s="9" t="n">
        <f aca="false">(parametros_manuales!$D$34*('Plan mensual'!F2+'Plan mensual'!F113+IF(parametros_manuales!$H$34="Todos",'Plan mensual'!F6+'Plan mensual'!F117,0))+parametros_manuales!$E$34*('Plan mensual'!F3+'Plan mensual'!F114+IF(parametros_manuales!$H$34="Todos",'Plan mensual'!F7+'Plan mensual'!F118,0))+parametros_manuales!$F$34*('Plan mensual'!F4+'Plan mensual'!F115+IF(parametros_manuales!$H$34="Todos",'Plan mensual'!F8+'Plan mensual'!F119,0))+parametros_manuales!$G$34*('Plan mensual'!F5+'Plan mensual'!F116+IF(parametros_manuales!$H$34="Todos",'Plan mensual'!F9+'Plan mensual'!F120,0)))*parametros_manuales!$I$34*parametros_manuales!$J$34</f>
        <v>561.47303135705</v>
      </c>
      <c r="E17" s="9" t="n">
        <f aca="false">(parametros_manuales!$D$34*('Plan mensual'!G2+'Plan mensual'!G113+IF(parametros_manuales!$H$34="Todos",'Plan mensual'!G6+'Plan mensual'!G117,0))+parametros_manuales!$E$34*('Plan mensual'!G3+'Plan mensual'!G114+IF(parametros_manuales!$H$34="Todos",'Plan mensual'!G7+'Plan mensual'!G118,0))+parametros_manuales!$F$34*('Plan mensual'!G4+'Plan mensual'!G115+IF(parametros_manuales!$H$34="Todos",'Plan mensual'!G8+'Plan mensual'!G119,0))+parametros_manuales!$G$34*('Plan mensual'!G5+'Plan mensual'!G116+IF(parametros_manuales!$H$34="Todos",'Plan mensual'!G9+'Plan mensual'!G120,0)))*parametros_manuales!$I$34*parametros_manuales!$J$34</f>
        <v>540.57934864205</v>
      </c>
      <c r="F17" s="9" t="n">
        <f aca="false">(parametros_manuales!$D$34*('Plan mensual'!H2+'Plan mensual'!H113+IF(parametros_manuales!$H$34="Todos",'Plan mensual'!H6+'Plan mensual'!H117,0))+parametros_manuales!$E$34*('Plan mensual'!H3+'Plan mensual'!H114+IF(parametros_manuales!$H$34="Todos",'Plan mensual'!H7+'Plan mensual'!H118,0))+parametros_manuales!$F$34*('Plan mensual'!H4+'Plan mensual'!H115+IF(parametros_manuales!$H$34="Todos",'Plan mensual'!H8+'Plan mensual'!H119,0))+parametros_manuales!$G$34*('Plan mensual'!H5+'Plan mensual'!H116+IF(parametros_manuales!$H$34="Todos",'Plan mensual'!H9+'Plan mensual'!H120,0)))*parametros_manuales!$I$34*parametros_manuales!$J$34</f>
        <v>506.3224831084</v>
      </c>
      <c r="G17" s="9" t="n">
        <f aca="false">(parametros_manuales!$D$34*('Plan mensual'!I2+'Plan mensual'!I113+IF(parametros_manuales!$H$34="Todos",'Plan mensual'!I6+'Plan mensual'!I117,0))+parametros_manuales!$E$34*('Plan mensual'!I3+'Plan mensual'!I114+IF(parametros_manuales!$H$34="Todos",'Plan mensual'!I7+'Plan mensual'!I118,0))+parametros_manuales!$F$34*('Plan mensual'!I4+'Plan mensual'!I115+IF(parametros_manuales!$H$34="Todos",'Plan mensual'!I8+'Plan mensual'!I119,0))+parametros_manuales!$G$34*('Plan mensual'!I5+'Plan mensual'!I116+IF(parametros_manuales!$H$34="Todos",'Plan mensual'!I9+'Plan mensual'!I120,0)))*parametros_manuales!$I$34*parametros_manuales!$J$34</f>
        <v>492.95930028975</v>
      </c>
      <c r="H17" s="9" t="n">
        <f aca="false">(parametros_manuales!$D$34*('Plan mensual'!J2+'Plan mensual'!J113+IF(parametros_manuales!$H$34="Todos",'Plan mensual'!J6+'Plan mensual'!J117,0))+parametros_manuales!$E$34*('Plan mensual'!J3+'Plan mensual'!J114+IF(parametros_manuales!$H$34="Todos",'Plan mensual'!J7+'Plan mensual'!J118,0))+parametros_manuales!$F$34*('Plan mensual'!J4+'Plan mensual'!J115+IF(parametros_manuales!$H$34="Todos",'Plan mensual'!J8+'Plan mensual'!J119,0))+parametros_manuales!$G$34*('Plan mensual'!J5+'Plan mensual'!J116+IF(parametros_manuales!$H$34="Todos",'Plan mensual'!J9+'Plan mensual'!J120,0)))*parametros_manuales!$I$34*parametros_manuales!$J$34</f>
        <v>527.2161658234</v>
      </c>
      <c r="I17" s="9" t="n">
        <f aca="false">(parametros_manuales!$D$34*('Plan mensual'!K2+'Plan mensual'!K113+IF(parametros_manuales!$H$34="Todos",'Plan mensual'!K6+'Plan mensual'!K117,0))+parametros_manuales!$E$34*('Plan mensual'!K3+'Plan mensual'!K114+IF(parametros_manuales!$H$34="Todos",'Plan mensual'!K7+'Plan mensual'!K118,0))+parametros_manuales!$F$34*('Plan mensual'!K4+'Plan mensual'!K115+IF(parametros_manuales!$H$34="Todos",'Plan mensual'!K8+'Plan mensual'!K119,0))+parametros_manuales!$G$34*('Plan mensual'!K5+'Plan mensual'!K116+IF(parametros_manuales!$H$34="Todos",'Plan mensual'!K9+'Plan mensual'!K120,0)))*parametros_manuales!$I$34*parametros_manuales!$J$34</f>
        <v>527.2161658234</v>
      </c>
      <c r="J17" s="9" t="n">
        <f aca="false">(parametros_manuales!$D$34*('Plan mensual'!L2+'Plan mensual'!L113+IF(parametros_manuales!$H$34="Todos",'Plan mensual'!L6+'Plan mensual'!L117,0))+parametros_manuales!$E$34*('Plan mensual'!L3+'Plan mensual'!L114+IF(parametros_manuales!$H$34="Todos",'Plan mensual'!L7+'Plan mensual'!L118,0))+parametros_manuales!$F$34*('Plan mensual'!L4+'Plan mensual'!L115+IF(parametros_manuales!$H$34="Todos",'Plan mensual'!L8+'Plan mensual'!L119,0))+parametros_manuales!$G$34*('Plan mensual'!L5+'Plan mensual'!L116+IF(parametros_manuales!$H$34="Todos",'Plan mensual'!L9+'Plan mensual'!L120,0)))*parametros_manuales!$I$34*parametros_manuales!$J$34</f>
        <v>527.2161658234</v>
      </c>
      <c r="K17" s="9" t="n">
        <f aca="false">(parametros_manuales!$D$34*('Plan mensual'!M2+'Plan mensual'!M113+IF(parametros_manuales!$H$34="Todos",'Plan mensual'!M6+'Plan mensual'!M117,0))+parametros_manuales!$E$34*('Plan mensual'!M3+'Plan mensual'!M114+IF(parametros_manuales!$H$34="Todos",'Plan mensual'!M7+'Plan mensual'!M118,0))+parametros_manuales!$F$34*('Plan mensual'!M4+'Plan mensual'!M115+IF(parametros_manuales!$H$34="Todos",'Plan mensual'!M8+'Plan mensual'!M119,0))+parametros_manuales!$G$34*('Plan mensual'!M5+'Plan mensual'!M116+IF(parametros_manuales!$H$34="Todos",'Plan mensual'!M9+'Plan mensual'!M120,0)))*parametros_manuales!$I$34*parametros_manuales!$J$34</f>
        <v>513.85298300475</v>
      </c>
      <c r="L17" s="9" t="n">
        <f aca="false">(parametros_manuales!$D$34*('Plan mensual'!N2+'Plan mensual'!N113+IF(parametros_manuales!$H$34="Todos",'Plan mensual'!N6+'Plan mensual'!N117,0))+parametros_manuales!$E$34*('Plan mensual'!N3+'Plan mensual'!N114+IF(parametros_manuales!$H$34="Todos",'Plan mensual'!N7+'Plan mensual'!N118,0))+parametros_manuales!$F$34*('Plan mensual'!N4+'Plan mensual'!N115+IF(parametros_manuales!$H$34="Todos",'Plan mensual'!N8+'Plan mensual'!N119,0))+parametros_manuales!$G$34*('Plan mensual'!N5+'Plan mensual'!N116+IF(parametros_manuales!$H$34="Todos",'Plan mensual'!N9+'Plan mensual'!N120,0)))*parametros_manuales!$I$34*parametros_manuales!$J$34</f>
        <v>500.4898001861</v>
      </c>
      <c r="M17" s="9" t="n">
        <f aca="false">(parametros_manuales!$D$34*('Plan mensual'!O2+'Plan mensual'!O113+IF(parametros_manuales!$H$34="Todos",'Plan mensual'!O6+'Plan mensual'!O117,0))+parametros_manuales!$E$34*('Plan mensual'!O3+'Plan mensual'!O114+IF(parametros_manuales!$H$34="Todos",'Plan mensual'!O7+'Plan mensual'!O118,0))+parametros_manuales!$F$34*('Plan mensual'!O4+'Plan mensual'!O115+IF(parametros_manuales!$H$34="Todos",'Plan mensual'!O8+'Plan mensual'!O119,0))+parametros_manuales!$G$34*('Plan mensual'!O5+'Plan mensual'!O116+IF(parametros_manuales!$H$34="Todos",'Plan mensual'!O9+'Plan mensual'!O120,0)))*parametros_manuales!$I$34*parametros_manuales!$J$34</f>
        <v>795.4384071703</v>
      </c>
      <c r="N17" s="9" t="n">
        <f aca="false">SUM(B17:M17)</f>
        <v>6851.37310673</v>
      </c>
      <c r="O17" s="9" t="n">
        <f aca="false">MAX(B17:M17)</f>
        <v>795.4384071703</v>
      </c>
      <c r="P17" s="44" t="n">
        <f aca="false">O17/(parametros_manuales!$B$7)</f>
        <v>5.30292271446867</v>
      </c>
      <c r="Q17" s="8" t="str">
        <f aca="false">IF(O17=0,"-",INDEX($B$1:$M$1,MATCH(O17,B17:M17,0)))</f>
        <v>Dic</v>
      </c>
    </row>
    <row r="18" customFormat="false" ht="14.25" hidden="false" customHeight="true" outlineLevel="0" collapsed="false">
      <c r="A18" s="8" t="str">
        <f aca="false">parametros_manuales!$B$35</f>
        <v>Detección de defectos</v>
      </c>
      <c r="B18" s="9" t="n">
        <f aca="false">(parametros_manuales!$D$35*('Plan mensual'!D2+'Plan mensual'!D113+IF(parametros_manuales!$H$35="Todos",'Plan mensual'!D6+'Plan mensual'!D117,0))+parametros_manuales!$E$35*('Plan mensual'!D3+'Plan mensual'!D114+IF(parametros_manuales!$H$35="Todos",'Plan mensual'!D7+'Plan mensual'!D118,0))+parametros_manuales!$F$35*('Plan mensual'!D4+'Plan mensual'!D115+IF(parametros_manuales!$H$35="Todos",'Plan mensual'!D8+'Plan mensual'!D119,0))+parametros_manuales!$G$35*('Plan mensual'!D5+'Plan mensual'!D116+IF(parametros_manuales!$H$35="Todos",'Plan mensual'!D9+'Plan mensual'!D120,0)))*parametros_manuales!$I$35*parametros_manuales!$J$35</f>
        <v>768.712041533</v>
      </c>
      <c r="C18" s="9" t="n">
        <f aca="false">(parametros_manuales!$D$35*('Plan mensual'!E2+'Plan mensual'!E113+IF(parametros_manuales!$H$35="Todos",'Plan mensual'!E6+'Plan mensual'!E117,0))+parametros_manuales!$E$35*('Plan mensual'!E3+'Plan mensual'!E114+IF(parametros_manuales!$H$35="Todos",'Plan mensual'!E7+'Plan mensual'!E118,0))+parametros_manuales!$F$35*('Plan mensual'!E4+'Plan mensual'!E115+IF(parametros_manuales!$H$35="Todos",'Plan mensual'!E8+'Plan mensual'!E119,0))+parametros_manuales!$G$35*('Plan mensual'!E5+'Plan mensual'!E116+IF(parametros_manuales!$H$35="Todos",'Plan mensual'!E9+'Plan mensual'!E120,0)))*parametros_manuales!$I$35*parametros_manuales!$J$35</f>
        <v>589.8972139684</v>
      </c>
      <c r="D18" s="9" t="n">
        <f aca="false">(parametros_manuales!$D$35*('Plan mensual'!F2+'Plan mensual'!F113+IF(parametros_manuales!$H$35="Todos",'Plan mensual'!F6+'Plan mensual'!F117,0))+parametros_manuales!$E$35*('Plan mensual'!F3+'Plan mensual'!F114+IF(parametros_manuales!$H$35="Todos",'Plan mensual'!F7+'Plan mensual'!F118,0))+parametros_manuales!$F$35*('Plan mensual'!F4+'Plan mensual'!F115+IF(parametros_manuales!$H$35="Todos",'Plan mensual'!F8+'Plan mensual'!F119,0))+parametros_manuales!$G$35*('Plan mensual'!F5+'Plan mensual'!F116+IF(parametros_manuales!$H$35="Todos",'Plan mensual'!F9+'Plan mensual'!F120,0)))*parametros_manuales!$I$35*parametros_manuales!$J$35</f>
        <v>561.47303135705</v>
      </c>
      <c r="E18" s="9" t="n">
        <f aca="false">(parametros_manuales!$D$35*('Plan mensual'!G2+'Plan mensual'!G113+IF(parametros_manuales!$H$35="Todos",'Plan mensual'!G6+'Plan mensual'!G117,0))+parametros_manuales!$E$35*('Plan mensual'!G3+'Plan mensual'!G114+IF(parametros_manuales!$H$35="Todos",'Plan mensual'!G7+'Plan mensual'!G118,0))+parametros_manuales!$F$35*('Plan mensual'!G4+'Plan mensual'!G115+IF(parametros_manuales!$H$35="Todos",'Plan mensual'!G8+'Plan mensual'!G119,0))+parametros_manuales!$G$35*('Plan mensual'!G5+'Plan mensual'!G116+IF(parametros_manuales!$H$35="Todos",'Plan mensual'!G9+'Plan mensual'!G120,0)))*parametros_manuales!$I$35*parametros_manuales!$J$35</f>
        <v>540.57934864205</v>
      </c>
      <c r="F18" s="9" t="n">
        <f aca="false">(parametros_manuales!$D$35*('Plan mensual'!H2+'Plan mensual'!H113+IF(parametros_manuales!$H$35="Todos",'Plan mensual'!H6+'Plan mensual'!H117,0))+parametros_manuales!$E$35*('Plan mensual'!H3+'Plan mensual'!H114+IF(parametros_manuales!$H$35="Todos",'Plan mensual'!H7+'Plan mensual'!H118,0))+parametros_manuales!$F$35*('Plan mensual'!H4+'Plan mensual'!H115+IF(parametros_manuales!$H$35="Todos",'Plan mensual'!H8+'Plan mensual'!H119,0))+parametros_manuales!$G$35*('Plan mensual'!H5+'Plan mensual'!H116+IF(parametros_manuales!$H$35="Todos",'Plan mensual'!H9+'Plan mensual'!H120,0)))*parametros_manuales!$I$35*parametros_manuales!$J$35</f>
        <v>506.3224831084</v>
      </c>
      <c r="G18" s="9" t="n">
        <f aca="false">(parametros_manuales!$D$35*('Plan mensual'!I2+'Plan mensual'!I113+IF(parametros_manuales!$H$35="Todos",'Plan mensual'!I6+'Plan mensual'!I117,0))+parametros_manuales!$E$35*('Plan mensual'!I3+'Plan mensual'!I114+IF(parametros_manuales!$H$35="Todos",'Plan mensual'!I7+'Plan mensual'!I118,0))+parametros_manuales!$F$35*('Plan mensual'!I4+'Plan mensual'!I115+IF(parametros_manuales!$H$35="Todos",'Plan mensual'!I8+'Plan mensual'!I119,0))+parametros_manuales!$G$35*('Plan mensual'!I5+'Plan mensual'!I116+IF(parametros_manuales!$H$35="Todos",'Plan mensual'!I9+'Plan mensual'!I120,0)))*parametros_manuales!$I$35*parametros_manuales!$J$35</f>
        <v>492.95930028975</v>
      </c>
      <c r="H18" s="9" t="n">
        <f aca="false">(parametros_manuales!$D$35*('Plan mensual'!J2+'Plan mensual'!J113+IF(parametros_manuales!$H$35="Todos",'Plan mensual'!J6+'Plan mensual'!J117,0))+parametros_manuales!$E$35*('Plan mensual'!J3+'Plan mensual'!J114+IF(parametros_manuales!$H$35="Todos",'Plan mensual'!J7+'Plan mensual'!J118,0))+parametros_manuales!$F$35*('Plan mensual'!J4+'Plan mensual'!J115+IF(parametros_manuales!$H$35="Todos",'Plan mensual'!J8+'Plan mensual'!J119,0))+parametros_manuales!$G$35*('Plan mensual'!J5+'Plan mensual'!J116+IF(parametros_manuales!$H$35="Todos",'Plan mensual'!J9+'Plan mensual'!J120,0)))*parametros_manuales!$I$35*parametros_manuales!$J$35</f>
        <v>527.2161658234</v>
      </c>
      <c r="I18" s="9" t="n">
        <f aca="false">(parametros_manuales!$D$35*('Plan mensual'!K2+'Plan mensual'!K113+IF(parametros_manuales!$H$35="Todos",'Plan mensual'!K6+'Plan mensual'!K117,0))+parametros_manuales!$E$35*('Plan mensual'!K3+'Plan mensual'!K114+IF(parametros_manuales!$H$35="Todos",'Plan mensual'!K7+'Plan mensual'!K118,0))+parametros_manuales!$F$35*('Plan mensual'!K4+'Plan mensual'!K115+IF(parametros_manuales!$H$35="Todos",'Plan mensual'!K8+'Plan mensual'!K119,0))+parametros_manuales!$G$35*('Plan mensual'!K5+'Plan mensual'!K116+IF(parametros_manuales!$H$35="Todos",'Plan mensual'!K9+'Plan mensual'!K120,0)))*parametros_manuales!$I$35*parametros_manuales!$J$35</f>
        <v>527.2161658234</v>
      </c>
      <c r="J18" s="9" t="n">
        <f aca="false">(parametros_manuales!$D$35*('Plan mensual'!L2+'Plan mensual'!L113+IF(parametros_manuales!$H$35="Todos",'Plan mensual'!L6+'Plan mensual'!L117,0))+parametros_manuales!$E$35*('Plan mensual'!L3+'Plan mensual'!L114+IF(parametros_manuales!$H$35="Todos",'Plan mensual'!L7+'Plan mensual'!L118,0))+parametros_manuales!$F$35*('Plan mensual'!L4+'Plan mensual'!L115+IF(parametros_manuales!$H$35="Todos",'Plan mensual'!L8+'Plan mensual'!L119,0))+parametros_manuales!$G$35*('Plan mensual'!L5+'Plan mensual'!L116+IF(parametros_manuales!$H$35="Todos",'Plan mensual'!L9+'Plan mensual'!L120,0)))*parametros_manuales!$I$35*parametros_manuales!$J$35</f>
        <v>527.2161658234</v>
      </c>
      <c r="K18" s="9" t="n">
        <f aca="false">(parametros_manuales!$D$35*('Plan mensual'!M2+'Plan mensual'!M113+IF(parametros_manuales!$H$35="Todos",'Plan mensual'!M6+'Plan mensual'!M117,0))+parametros_manuales!$E$35*('Plan mensual'!M3+'Plan mensual'!M114+IF(parametros_manuales!$H$35="Todos",'Plan mensual'!M7+'Plan mensual'!M118,0))+parametros_manuales!$F$35*('Plan mensual'!M4+'Plan mensual'!M115+IF(parametros_manuales!$H$35="Todos",'Plan mensual'!M8+'Plan mensual'!M119,0))+parametros_manuales!$G$35*('Plan mensual'!M5+'Plan mensual'!M116+IF(parametros_manuales!$H$35="Todos",'Plan mensual'!M9+'Plan mensual'!M120,0)))*parametros_manuales!$I$35*parametros_manuales!$J$35</f>
        <v>513.85298300475</v>
      </c>
      <c r="L18" s="9" t="n">
        <f aca="false">(parametros_manuales!$D$35*('Plan mensual'!N2+'Plan mensual'!N113+IF(parametros_manuales!$H$35="Todos",'Plan mensual'!N6+'Plan mensual'!N117,0))+parametros_manuales!$E$35*('Plan mensual'!N3+'Plan mensual'!N114+IF(parametros_manuales!$H$35="Todos",'Plan mensual'!N7+'Plan mensual'!N118,0))+parametros_manuales!$F$35*('Plan mensual'!N4+'Plan mensual'!N115+IF(parametros_manuales!$H$35="Todos",'Plan mensual'!N8+'Plan mensual'!N119,0))+parametros_manuales!$G$35*('Plan mensual'!N5+'Plan mensual'!N116+IF(parametros_manuales!$H$35="Todos",'Plan mensual'!N9+'Plan mensual'!N120,0)))*parametros_manuales!$I$35*parametros_manuales!$J$35</f>
        <v>500.4898001861</v>
      </c>
      <c r="M18" s="9" t="n">
        <f aca="false">(parametros_manuales!$D$35*('Plan mensual'!O2+'Plan mensual'!O113+IF(parametros_manuales!$H$35="Todos",'Plan mensual'!O6+'Plan mensual'!O117,0))+parametros_manuales!$E$35*('Plan mensual'!O3+'Plan mensual'!O114+IF(parametros_manuales!$H$35="Todos",'Plan mensual'!O7+'Plan mensual'!O118,0))+parametros_manuales!$F$35*('Plan mensual'!O4+'Plan mensual'!O115+IF(parametros_manuales!$H$35="Todos",'Plan mensual'!O8+'Plan mensual'!O119,0))+parametros_manuales!$G$35*('Plan mensual'!O5+'Plan mensual'!O116+IF(parametros_manuales!$H$35="Todos",'Plan mensual'!O9+'Plan mensual'!O120,0)))*parametros_manuales!$I$35*parametros_manuales!$J$35</f>
        <v>795.4384071703</v>
      </c>
      <c r="N18" s="9" t="n">
        <f aca="false">SUM(B18:M18)</f>
        <v>6851.37310673</v>
      </c>
      <c r="O18" s="9" t="n">
        <f aca="false">MAX(B18:M18)</f>
        <v>795.4384071703</v>
      </c>
      <c r="P18" s="44" t="n">
        <f aca="false">O18/(parametros_manuales!$B$7)</f>
        <v>5.30292271446867</v>
      </c>
      <c r="Q18" s="8" t="str">
        <f aca="false">IF(O18=0,"-",INDEX($B$1:$M$1,MATCH(O18,B18:M18,0)))</f>
        <v>Dic</v>
      </c>
    </row>
    <row r="19" customFormat="false" ht="14.25" hidden="false" customHeight="true" outlineLevel="0" collapsed="false">
      <c r="A19" s="8" t="str">
        <f aca="false">parametros_manuales!$B$36</f>
        <v>Corrección de defectos</v>
      </c>
      <c r="B19" s="9" t="n">
        <f aca="false">(parametros_manuales!$D$36*('Plan mensual'!D2+'Plan mensual'!D113+IF(parametros_manuales!$H$36="Todos",'Plan mensual'!D6+'Plan mensual'!D117,0))+parametros_manuales!$E$36*('Plan mensual'!D3+'Plan mensual'!D114+IF(parametros_manuales!$H$36="Todos",'Plan mensual'!D7+'Plan mensual'!D118,0))+parametros_manuales!$F$36*('Plan mensual'!D4+'Plan mensual'!D115+IF(parametros_manuales!$H$36="Todos",'Plan mensual'!D8+'Plan mensual'!D119,0))+parametros_manuales!$G$36*('Plan mensual'!D5+'Plan mensual'!D116+IF(parametros_manuales!$H$36="Todos",'Plan mensual'!D9+'Plan mensual'!D120,0)))*parametros_manuales!$I$36*parametros_manuales!$J$36</f>
        <v>38.43560207665</v>
      </c>
      <c r="C19" s="9" t="n">
        <f aca="false">(parametros_manuales!$D$36*('Plan mensual'!E2+'Plan mensual'!E113+IF(parametros_manuales!$H$36="Todos",'Plan mensual'!E6+'Plan mensual'!E117,0))+parametros_manuales!$E$36*('Plan mensual'!E3+'Plan mensual'!E114+IF(parametros_manuales!$H$36="Todos",'Plan mensual'!E7+'Plan mensual'!E118,0))+parametros_manuales!$F$36*('Plan mensual'!E4+'Plan mensual'!E115+IF(parametros_manuales!$H$36="Todos",'Plan mensual'!E8+'Plan mensual'!E119,0))+parametros_manuales!$G$36*('Plan mensual'!E5+'Plan mensual'!E116+IF(parametros_manuales!$H$36="Todos",'Plan mensual'!E9+'Plan mensual'!E120,0)))*parametros_manuales!$I$36*parametros_manuales!$J$36</f>
        <v>29.49486069842</v>
      </c>
      <c r="D19" s="9" t="n">
        <f aca="false">(parametros_manuales!$D$36*('Plan mensual'!F2+'Plan mensual'!F113+IF(parametros_manuales!$H$36="Todos",'Plan mensual'!F6+'Plan mensual'!F117,0))+parametros_manuales!$E$36*('Plan mensual'!F3+'Plan mensual'!F114+IF(parametros_manuales!$H$36="Todos",'Plan mensual'!F7+'Plan mensual'!F118,0))+parametros_manuales!$F$36*('Plan mensual'!F4+'Plan mensual'!F115+IF(parametros_manuales!$H$36="Todos",'Plan mensual'!F8+'Plan mensual'!F119,0))+parametros_manuales!$G$36*('Plan mensual'!F5+'Plan mensual'!F116+IF(parametros_manuales!$H$36="Todos",'Plan mensual'!F9+'Plan mensual'!F120,0)))*parametros_manuales!$I$36*parametros_manuales!$J$36</f>
        <v>28.0736515678525</v>
      </c>
      <c r="E19" s="9" t="n">
        <f aca="false">(parametros_manuales!$D$36*('Plan mensual'!G2+'Plan mensual'!G113+IF(parametros_manuales!$H$36="Todos",'Plan mensual'!G6+'Plan mensual'!G117,0))+parametros_manuales!$E$36*('Plan mensual'!G3+'Plan mensual'!G114+IF(parametros_manuales!$H$36="Todos",'Plan mensual'!G7+'Plan mensual'!G118,0))+parametros_manuales!$F$36*('Plan mensual'!G4+'Plan mensual'!G115+IF(parametros_manuales!$H$36="Todos",'Plan mensual'!G8+'Plan mensual'!G119,0))+parametros_manuales!$G$36*('Plan mensual'!G5+'Plan mensual'!G116+IF(parametros_manuales!$H$36="Todos",'Plan mensual'!G9+'Plan mensual'!G120,0)))*parametros_manuales!$I$36*parametros_manuales!$J$36</f>
        <v>27.0289674321025</v>
      </c>
      <c r="F19" s="9" t="n">
        <f aca="false">(parametros_manuales!$D$36*('Plan mensual'!H2+'Plan mensual'!H113+IF(parametros_manuales!$H$36="Todos",'Plan mensual'!H6+'Plan mensual'!H117,0))+parametros_manuales!$E$36*('Plan mensual'!H3+'Plan mensual'!H114+IF(parametros_manuales!$H$36="Todos",'Plan mensual'!H7+'Plan mensual'!H118,0))+parametros_manuales!$F$36*('Plan mensual'!H4+'Plan mensual'!H115+IF(parametros_manuales!$H$36="Todos",'Plan mensual'!H8+'Plan mensual'!H119,0))+parametros_manuales!$G$36*('Plan mensual'!H5+'Plan mensual'!H116+IF(parametros_manuales!$H$36="Todos",'Plan mensual'!H9+'Plan mensual'!H120,0)))*parametros_manuales!$I$36*parametros_manuales!$J$36</f>
        <v>25.31612415542</v>
      </c>
      <c r="G19" s="9" t="n">
        <f aca="false">(parametros_manuales!$D$36*('Plan mensual'!I2+'Plan mensual'!I113+IF(parametros_manuales!$H$36="Todos",'Plan mensual'!I6+'Plan mensual'!I117,0))+parametros_manuales!$E$36*('Plan mensual'!I3+'Plan mensual'!I114+IF(parametros_manuales!$H$36="Todos",'Plan mensual'!I7+'Plan mensual'!I118,0))+parametros_manuales!$F$36*('Plan mensual'!I4+'Plan mensual'!I115+IF(parametros_manuales!$H$36="Todos",'Plan mensual'!I8+'Plan mensual'!I119,0))+parametros_manuales!$G$36*('Plan mensual'!I5+'Plan mensual'!I116+IF(parametros_manuales!$H$36="Todos",'Plan mensual'!I9+'Plan mensual'!I120,0)))*parametros_manuales!$I$36*parametros_manuales!$J$36</f>
        <v>24.6479650144875</v>
      </c>
      <c r="H19" s="9" t="n">
        <f aca="false">(parametros_manuales!$D$36*('Plan mensual'!J2+'Plan mensual'!J113+IF(parametros_manuales!$H$36="Todos",'Plan mensual'!J6+'Plan mensual'!J117,0))+parametros_manuales!$E$36*('Plan mensual'!J3+'Plan mensual'!J114+IF(parametros_manuales!$H$36="Todos",'Plan mensual'!J7+'Plan mensual'!J118,0))+parametros_manuales!$F$36*('Plan mensual'!J4+'Plan mensual'!J115+IF(parametros_manuales!$H$36="Todos",'Plan mensual'!J8+'Plan mensual'!J119,0))+parametros_manuales!$G$36*('Plan mensual'!J5+'Plan mensual'!J116+IF(parametros_manuales!$H$36="Todos",'Plan mensual'!J9+'Plan mensual'!J120,0)))*parametros_manuales!$I$36*parametros_manuales!$J$36</f>
        <v>26.36080829117</v>
      </c>
      <c r="I19" s="9" t="n">
        <f aca="false">(parametros_manuales!$D$36*('Plan mensual'!K2+'Plan mensual'!K113+IF(parametros_manuales!$H$36="Todos",'Plan mensual'!K6+'Plan mensual'!K117,0))+parametros_manuales!$E$36*('Plan mensual'!K3+'Plan mensual'!K114+IF(parametros_manuales!$H$36="Todos",'Plan mensual'!K7+'Plan mensual'!K118,0))+parametros_manuales!$F$36*('Plan mensual'!K4+'Plan mensual'!K115+IF(parametros_manuales!$H$36="Todos",'Plan mensual'!K8+'Plan mensual'!K119,0))+parametros_manuales!$G$36*('Plan mensual'!K5+'Plan mensual'!K116+IF(parametros_manuales!$H$36="Todos",'Plan mensual'!K9+'Plan mensual'!K120,0)))*parametros_manuales!$I$36*parametros_manuales!$J$36</f>
        <v>26.36080829117</v>
      </c>
      <c r="J19" s="9" t="n">
        <f aca="false">(parametros_manuales!$D$36*('Plan mensual'!L2+'Plan mensual'!L113+IF(parametros_manuales!$H$36="Todos",'Plan mensual'!L6+'Plan mensual'!L117,0))+parametros_manuales!$E$36*('Plan mensual'!L3+'Plan mensual'!L114+IF(parametros_manuales!$H$36="Todos",'Plan mensual'!L7+'Plan mensual'!L118,0))+parametros_manuales!$F$36*('Plan mensual'!L4+'Plan mensual'!L115+IF(parametros_manuales!$H$36="Todos",'Plan mensual'!L8+'Plan mensual'!L119,0))+parametros_manuales!$G$36*('Plan mensual'!L5+'Plan mensual'!L116+IF(parametros_manuales!$H$36="Todos",'Plan mensual'!L9+'Plan mensual'!L120,0)))*parametros_manuales!$I$36*parametros_manuales!$J$36</f>
        <v>26.36080829117</v>
      </c>
      <c r="K19" s="9" t="n">
        <f aca="false">(parametros_manuales!$D$36*('Plan mensual'!M2+'Plan mensual'!M113+IF(parametros_manuales!$H$36="Todos",'Plan mensual'!M6+'Plan mensual'!M117,0))+parametros_manuales!$E$36*('Plan mensual'!M3+'Plan mensual'!M114+IF(parametros_manuales!$H$36="Todos",'Plan mensual'!M7+'Plan mensual'!M118,0))+parametros_manuales!$F$36*('Plan mensual'!M4+'Plan mensual'!M115+IF(parametros_manuales!$H$36="Todos",'Plan mensual'!M8+'Plan mensual'!M119,0))+parametros_manuales!$G$36*('Plan mensual'!M5+'Plan mensual'!M116+IF(parametros_manuales!$H$36="Todos",'Plan mensual'!M9+'Plan mensual'!M120,0)))*parametros_manuales!$I$36*parametros_manuales!$J$36</f>
        <v>25.6926491502375</v>
      </c>
      <c r="L19" s="9" t="n">
        <f aca="false">(parametros_manuales!$D$36*('Plan mensual'!N2+'Plan mensual'!N113+IF(parametros_manuales!$H$36="Todos",'Plan mensual'!N6+'Plan mensual'!N117,0))+parametros_manuales!$E$36*('Plan mensual'!N3+'Plan mensual'!N114+IF(parametros_manuales!$H$36="Todos",'Plan mensual'!N7+'Plan mensual'!N118,0))+parametros_manuales!$F$36*('Plan mensual'!N4+'Plan mensual'!N115+IF(parametros_manuales!$H$36="Todos",'Plan mensual'!N8+'Plan mensual'!N119,0))+parametros_manuales!$G$36*('Plan mensual'!N5+'Plan mensual'!N116+IF(parametros_manuales!$H$36="Todos",'Plan mensual'!N9+'Plan mensual'!N120,0)))*parametros_manuales!$I$36*parametros_manuales!$J$36</f>
        <v>25.024490009305</v>
      </c>
      <c r="M19" s="9" t="n">
        <f aca="false">(parametros_manuales!$D$36*('Plan mensual'!O2+'Plan mensual'!O113+IF(parametros_manuales!$H$36="Todos",'Plan mensual'!O6+'Plan mensual'!O117,0))+parametros_manuales!$E$36*('Plan mensual'!O3+'Plan mensual'!O114+IF(parametros_manuales!$H$36="Todos",'Plan mensual'!O7+'Plan mensual'!O118,0))+parametros_manuales!$F$36*('Plan mensual'!O4+'Plan mensual'!O115+IF(parametros_manuales!$H$36="Todos",'Plan mensual'!O8+'Plan mensual'!O119,0))+parametros_manuales!$G$36*('Plan mensual'!O5+'Plan mensual'!O116+IF(parametros_manuales!$H$36="Todos",'Plan mensual'!O9+'Plan mensual'!O120,0)))*parametros_manuales!$I$36*parametros_manuales!$J$36</f>
        <v>39.771920358515</v>
      </c>
      <c r="N19" s="9" t="n">
        <f aca="false">SUM(B19:M19)</f>
        <v>342.5686553365</v>
      </c>
      <c r="O19" s="9" t="n">
        <f aca="false">MAX(B19:M19)</f>
        <v>39.771920358515</v>
      </c>
      <c r="P19" s="44" t="n">
        <f aca="false">O19/(parametros_manuales!$B$7)</f>
        <v>0.265146135723433</v>
      </c>
      <c r="Q19" s="8" t="str">
        <f aca="false">IF(O19=0,"-",INDEX($B$1:$M$1,MATCH(O19,B19:M19,0)))</f>
        <v>Dic</v>
      </c>
    </row>
    <row r="20" customFormat="false" ht="14.25" hidden="false" customHeight="true" outlineLevel="0" collapsed="false">
      <c r="A20" s="8" t="str">
        <f aca="false">parametros_manuales!$B$37</f>
        <v>Pintura en polvo + horno</v>
      </c>
      <c r="B20" s="9" t="n">
        <f aca="false">(parametros_manuales!$D$37*('Plan mensual'!D2+'Plan mensual'!D113+IF(parametros_manuales!$H$37="Todos",'Plan mensual'!D6+'Plan mensual'!D117,0))+parametros_manuales!$E$37*('Plan mensual'!D3+'Plan mensual'!D114+IF(parametros_manuales!$H$37="Todos",'Plan mensual'!D7+'Plan mensual'!D118,0))+parametros_manuales!$F$37*('Plan mensual'!D4+'Plan mensual'!D115+IF(parametros_manuales!$H$37="Todos",'Plan mensual'!D8+'Plan mensual'!D119,0))+parametros_manuales!$G$37*('Plan mensual'!D5+'Plan mensual'!D116+IF(parametros_manuales!$H$37="Todos",'Plan mensual'!D9+'Plan mensual'!D120,0)))*parametros_manuales!$I$37*parametros_manuales!$J$37</f>
        <v>768.712041533</v>
      </c>
      <c r="C20" s="9" t="n">
        <f aca="false">(parametros_manuales!$D$37*('Plan mensual'!E2+'Plan mensual'!E113+IF(parametros_manuales!$H$37="Todos",'Plan mensual'!E6+'Plan mensual'!E117,0))+parametros_manuales!$E$37*('Plan mensual'!E3+'Plan mensual'!E114+IF(parametros_manuales!$H$37="Todos",'Plan mensual'!E7+'Plan mensual'!E118,0))+parametros_manuales!$F$37*('Plan mensual'!E4+'Plan mensual'!E115+IF(parametros_manuales!$H$37="Todos",'Plan mensual'!E8+'Plan mensual'!E119,0))+parametros_manuales!$G$37*('Plan mensual'!E5+'Plan mensual'!E116+IF(parametros_manuales!$H$37="Todos",'Plan mensual'!E9+'Plan mensual'!E120,0)))*parametros_manuales!$I$37*parametros_manuales!$J$37</f>
        <v>589.8972139684</v>
      </c>
      <c r="D20" s="9" t="n">
        <f aca="false">(parametros_manuales!$D$37*('Plan mensual'!F2+'Plan mensual'!F113+IF(parametros_manuales!$H$37="Todos",'Plan mensual'!F6+'Plan mensual'!F117,0))+parametros_manuales!$E$37*('Plan mensual'!F3+'Plan mensual'!F114+IF(parametros_manuales!$H$37="Todos",'Plan mensual'!F7+'Plan mensual'!F118,0))+parametros_manuales!$F$37*('Plan mensual'!F4+'Plan mensual'!F115+IF(parametros_manuales!$H$37="Todos",'Plan mensual'!F8+'Plan mensual'!F119,0))+parametros_manuales!$G$37*('Plan mensual'!F5+'Plan mensual'!F116+IF(parametros_manuales!$H$37="Todos",'Plan mensual'!F9+'Plan mensual'!F120,0)))*parametros_manuales!$I$37*parametros_manuales!$J$37</f>
        <v>561.47303135705</v>
      </c>
      <c r="E20" s="9" t="n">
        <f aca="false">(parametros_manuales!$D$37*('Plan mensual'!G2+'Plan mensual'!G113+IF(parametros_manuales!$H$37="Todos",'Plan mensual'!G6+'Plan mensual'!G117,0))+parametros_manuales!$E$37*('Plan mensual'!G3+'Plan mensual'!G114+IF(parametros_manuales!$H$37="Todos",'Plan mensual'!G7+'Plan mensual'!G118,0))+parametros_manuales!$F$37*('Plan mensual'!G4+'Plan mensual'!G115+IF(parametros_manuales!$H$37="Todos",'Plan mensual'!G8+'Plan mensual'!G119,0))+parametros_manuales!$G$37*('Plan mensual'!G5+'Plan mensual'!G116+IF(parametros_manuales!$H$37="Todos",'Plan mensual'!G9+'Plan mensual'!G120,0)))*parametros_manuales!$I$37*parametros_manuales!$J$37</f>
        <v>540.57934864205</v>
      </c>
      <c r="F20" s="9" t="n">
        <f aca="false">(parametros_manuales!$D$37*('Plan mensual'!H2+'Plan mensual'!H113+IF(parametros_manuales!$H$37="Todos",'Plan mensual'!H6+'Plan mensual'!H117,0))+parametros_manuales!$E$37*('Plan mensual'!H3+'Plan mensual'!H114+IF(parametros_manuales!$H$37="Todos",'Plan mensual'!H7+'Plan mensual'!H118,0))+parametros_manuales!$F$37*('Plan mensual'!H4+'Plan mensual'!H115+IF(parametros_manuales!$H$37="Todos",'Plan mensual'!H8+'Plan mensual'!H119,0))+parametros_manuales!$G$37*('Plan mensual'!H5+'Plan mensual'!H116+IF(parametros_manuales!$H$37="Todos",'Plan mensual'!H9+'Plan mensual'!H120,0)))*parametros_manuales!$I$37*parametros_manuales!$J$37</f>
        <v>506.3224831084</v>
      </c>
      <c r="G20" s="9" t="n">
        <f aca="false">(parametros_manuales!$D$37*('Plan mensual'!I2+'Plan mensual'!I113+IF(parametros_manuales!$H$37="Todos",'Plan mensual'!I6+'Plan mensual'!I117,0))+parametros_manuales!$E$37*('Plan mensual'!I3+'Plan mensual'!I114+IF(parametros_manuales!$H$37="Todos",'Plan mensual'!I7+'Plan mensual'!I118,0))+parametros_manuales!$F$37*('Plan mensual'!I4+'Plan mensual'!I115+IF(parametros_manuales!$H$37="Todos",'Plan mensual'!I8+'Plan mensual'!I119,0))+parametros_manuales!$G$37*('Plan mensual'!I5+'Plan mensual'!I116+IF(parametros_manuales!$H$37="Todos",'Plan mensual'!I9+'Plan mensual'!I120,0)))*parametros_manuales!$I$37*parametros_manuales!$J$37</f>
        <v>492.95930028975</v>
      </c>
      <c r="H20" s="9" t="n">
        <f aca="false">(parametros_manuales!$D$37*('Plan mensual'!J2+'Plan mensual'!J113+IF(parametros_manuales!$H$37="Todos",'Plan mensual'!J6+'Plan mensual'!J117,0))+parametros_manuales!$E$37*('Plan mensual'!J3+'Plan mensual'!J114+IF(parametros_manuales!$H$37="Todos",'Plan mensual'!J7+'Plan mensual'!J118,0))+parametros_manuales!$F$37*('Plan mensual'!J4+'Plan mensual'!J115+IF(parametros_manuales!$H$37="Todos",'Plan mensual'!J8+'Plan mensual'!J119,0))+parametros_manuales!$G$37*('Plan mensual'!J5+'Plan mensual'!J116+IF(parametros_manuales!$H$37="Todos",'Plan mensual'!J9+'Plan mensual'!J120,0)))*parametros_manuales!$I$37*parametros_manuales!$J$37</f>
        <v>527.2161658234</v>
      </c>
      <c r="I20" s="9" t="n">
        <f aca="false">(parametros_manuales!$D$37*('Plan mensual'!K2+'Plan mensual'!K113+IF(parametros_manuales!$H$37="Todos",'Plan mensual'!K6+'Plan mensual'!K117,0))+parametros_manuales!$E$37*('Plan mensual'!K3+'Plan mensual'!K114+IF(parametros_manuales!$H$37="Todos",'Plan mensual'!K7+'Plan mensual'!K118,0))+parametros_manuales!$F$37*('Plan mensual'!K4+'Plan mensual'!K115+IF(parametros_manuales!$H$37="Todos",'Plan mensual'!K8+'Plan mensual'!K119,0))+parametros_manuales!$G$37*('Plan mensual'!K5+'Plan mensual'!K116+IF(parametros_manuales!$H$37="Todos",'Plan mensual'!K9+'Plan mensual'!K120,0)))*parametros_manuales!$I$37*parametros_manuales!$J$37</f>
        <v>527.2161658234</v>
      </c>
      <c r="J20" s="9" t="n">
        <f aca="false">(parametros_manuales!$D$37*('Plan mensual'!L2+'Plan mensual'!L113+IF(parametros_manuales!$H$37="Todos",'Plan mensual'!L6+'Plan mensual'!L117,0))+parametros_manuales!$E$37*('Plan mensual'!L3+'Plan mensual'!L114+IF(parametros_manuales!$H$37="Todos",'Plan mensual'!L7+'Plan mensual'!L118,0))+parametros_manuales!$F$37*('Plan mensual'!L4+'Plan mensual'!L115+IF(parametros_manuales!$H$37="Todos",'Plan mensual'!L8+'Plan mensual'!L119,0))+parametros_manuales!$G$37*('Plan mensual'!L5+'Plan mensual'!L116+IF(parametros_manuales!$H$37="Todos",'Plan mensual'!L9+'Plan mensual'!L120,0)))*parametros_manuales!$I$37*parametros_manuales!$J$37</f>
        <v>527.2161658234</v>
      </c>
      <c r="K20" s="9" t="n">
        <f aca="false">(parametros_manuales!$D$37*('Plan mensual'!M2+'Plan mensual'!M113+IF(parametros_manuales!$H$37="Todos",'Plan mensual'!M6+'Plan mensual'!M117,0))+parametros_manuales!$E$37*('Plan mensual'!M3+'Plan mensual'!M114+IF(parametros_manuales!$H$37="Todos",'Plan mensual'!M7+'Plan mensual'!M118,0))+parametros_manuales!$F$37*('Plan mensual'!M4+'Plan mensual'!M115+IF(parametros_manuales!$H$37="Todos",'Plan mensual'!M8+'Plan mensual'!M119,0))+parametros_manuales!$G$37*('Plan mensual'!M5+'Plan mensual'!M116+IF(parametros_manuales!$H$37="Todos",'Plan mensual'!M9+'Plan mensual'!M120,0)))*parametros_manuales!$I$37*parametros_manuales!$J$37</f>
        <v>513.85298300475</v>
      </c>
      <c r="L20" s="9" t="n">
        <f aca="false">(parametros_manuales!$D$37*('Plan mensual'!N2+'Plan mensual'!N113+IF(parametros_manuales!$H$37="Todos",'Plan mensual'!N6+'Plan mensual'!N117,0))+parametros_manuales!$E$37*('Plan mensual'!N3+'Plan mensual'!N114+IF(parametros_manuales!$H$37="Todos",'Plan mensual'!N7+'Plan mensual'!N118,0))+parametros_manuales!$F$37*('Plan mensual'!N4+'Plan mensual'!N115+IF(parametros_manuales!$H$37="Todos",'Plan mensual'!N8+'Plan mensual'!N119,0))+parametros_manuales!$G$37*('Plan mensual'!N5+'Plan mensual'!N116+IF(parametros_manuales!$H$37="Todos",'Plan mensual'!N9+'Plan mensual'!N120,0)))*parametros_manuales!$I$37*parametros_manuales!$J$37</f>
        <v>500.4898001861</v>
      </c>
      <c r="M20" s="9" t="n">
        <f aca="false">(parametros_manuales!$D$37*('Plan mensual'!O2+'Plan mensual'!O113+IF(parametros_manuales!$H$37="Todos",'Plan mensual'!O6+'Plan mensual'!O117,0))+parametros_manuales!$E$37*('Plan mensual'!O3+'Plan mensual'!O114+IF(parametros_manuales!$H$37="Todos",'Plan mensual'!O7+'Plan mensual'!O118,0))+parametros_manuales!$F$37*('Plan mensual'!O4+'Plan mensual'!O115+IF(parametros_manuales!$H$37="Todos",'Plan mensual'!O8+'Plan mensual'!O119,0))+parametros_manuales!$G$37*('Plan mensual'!O5+'Plan mensual'!O116+IF(parametros_manuales!$H$37="Todos",'Plan mensual'!O9+'Plan mensual'!O120,0)))*parametros_manuales!$I$37*parametros_manuales!$J$37</f>
        <v>795.4384071703</v>
      </c>
      <c r="N20" s="9" t="n">
        <f aca="false">SUM(B20:M20)</f>
        <v>6851.37310673</v>
      </c>
      <c r="O20" s="9" t="n">
        <f aca="false">MAX(B20:M20)</f>
        <v>795.4384071703</v>
      </c>
      <c r="P20" s="44" t="n">
        <f aca="false">O20/(parametros_manuales!$B$7)</f>
        <v>5.30292271446867</v>
      </c>
      <c r="Q20" s="8" t="str">
        <f aca="false">IF(O20=0,"-",INDEX($B$1:$M$1,MATCH(O20,B20:M20,0)))</f>
        <v>Dic</v>
      </c>
    </row>
    <row r="21" customFormat="false" ht="14.25" hidden="false" customHeight="true" outlineLevel="0" collapsed="false">
      <c r="A21" s="8" t="str">
        <f aca="false">parametros_manuales!$B$38</f>
        <v>Carga de polvo</v>
      </c>
      <c r="B21" s="9" t="n">
        <f aca="false">(parametros_manuales!$D$38*('Plan mensual'!D2+'Plan mensual'!D113+IF(parametros_manuales!$H$38="Todos",'Plan mensual'!D6+'Plan mensual'!D117,0))+parametros_manuales!$E$38*('Plan mensual'!D3+'Plan mensual'!D114+IF(parametros_manuales!$H$38="Todos",'Plan mensual'!D7+'Plan mensual'!D118,0))+parametros_manuales!$F$38*('Plan mensual'!D4+'Plan mensual'!D115+IF(parametros_manuales!$H$38="Todos",'Plan mensual'!D8+'Plan mensual'!D119,0))+parametros_manuales!$G$38*('Plan mensual'!D5+'Plan mensual'!D116+IF(parametros_manuales!$H$38="Todos",'Plan mensual'!D9+'Plan mensual'!D120,0)))*parametros_manuales!$I$38*parametros_manuales!$J$38</f>
        <v>766.812041533</v>
      </c>
      <c r="C21" s="9" t="n">
        <f aca="false">(parametros_manuales!$D$38*('Plan mensual'!E2+'Plan mensual'!E113+IF(parametros_manuales!$H$38="Todos",'Plan mensual'!E6+'Plan mensual'!E117,0))+parametros_manuales!$E$38*('Plan mensual'!E3+'Plan mensual'!E114+IF(parametros_manuales!$H$38="Todos",'Plan mensual'!E7+'Plan mensual'!E118,0))+parametros_manuales!$F$38*('Plan mensual'!E4+'Plan mensual'!E115+IF(parametros_manuales!$H$38="Todos",'Plan mensual'!E8+'Plan mensual'!E119,0))+parametros_manuales!$G$38*('Plan mensual'!E5+'Plan mensual'!E116+IF(parametros_manuales!$H$38="Todos",'Plan mensual'!E9+'Plan mensual'!E120,0)))*parametros_manuales!$I$38*parametros_manuales!$J$38</f>
        <v>588.3772139684</v>
      </c>
      <c r="D21" s="9" t="n">
        <f aca="false">(parametros_manuales!$D$38*('Plan mensual'!F2+'Plan mensual'!F113+IF(parametros_manuales!$H$38="Todos",'Plan mensual'!F6+'Plan mensual'!F117,0))+parametros_manuales!$E$38*('Plan mensual'!F3+'Plan mensual'!F114+IF(parametros_manuales!$H$38="Todos",'Plan mensual'!F7+'Plan mensual'!F118,0))+parametros_manuales!$F$38*('Plan mensual'!F4+'Plan mensual'!F115+IF(parametros_manuales!$H$38="Todos",'Plan mensual'!F8+'Plan mensual'!F119,0))+parametros_manuales!$G$38*('Plan mensual'!F5+'Plan mensual'!F116+IF(parametros_manuales!$H$38="Todos",'Plan mensual'!F9+'Plan mensual'!F120,0)))*parametros_manuales!$I$38*parametros_manuales!$J$38</f>
        <v>559.85803135705</v>
      </c>
      <c r="E21" s="9" t="n">
        <f aca="false">(parametros_manuales!$D$38*('Plan mensual'!G2+'Plan mensual'!G113+IF(parametros_manuales!$H$38="Todos",'Plan mensual'!G6+'Plan mensual'!G117,0))+parametros_manuales!$E$38*('Plan mensual'!G3+'Plan mensual'!G114+IF(parametros_manuales!$H$38="Todos",'Plan mensual'!G7+'Plan mensual'!G118,0))+parametros_manuales!$F$38*('Plan mensual'!G4+'Plan mensual'!G115+IF(parametros_manuales!$H$38="Todos",'Plan mensual'!G8+'Plan mensual'!G119,0))+parametros_manuales!$G$38*('Plan mensual'!G5+'Plan mensual'!G116+IF(parametros_manuales!$H$38="Todos",'Plan mensual'!G9+'Plan mensual'!G120,0)))*parametros_manuales!$I$38*parametros_manuales!$J$38</f>
        <v>538.96434864205</v>
      </c>
      <c r="F21" s="9" t="n">
        <f aca="false">(parametros_manuales!$D$38*('Plan mensual'!H2+'Plan mensual'!H113+IF(parametros_manuales!$H$38="Todos",'Plan mensual'!H6+'Plan mensual'!H117,0))+parametros_manuales!$E$38*('Plan mensual'!H3+'Plan mensual'!H114+IF(parametros_manuales!$H$38="Todos",'Plan mensual'!H7+'Plan mensual'!H118,0))+parametros_manuales!$F$38*('Plan mensual'!H4+'Plan mensual'!H115+IF(parametros_manuales!$H$38="Todos",'Plan mensual'!H8+'Plan mensual'!H119,0))+parametros_manuales!$G$38*('Plan mensual'!H5+'Plan mensual'!H116+IF(parametros_manuales!$H$38="Todos",'Plan mensual'!H9+'Plan mensual'!H120,0)))*parametros_manuales!$I$38*parametros_manuales!$J$38</f>
        <v>504.8024831084</v>
      </c>
      <c r="G21" s="9" t="n">
        <f aca="false">(parametros_manuales!$D$38*('Plan mensual'!I2+'Plan mensual'!I113+IF(parametros_manuales!$H$38="Todos",'Plan mensual'!I6+'Plan mensual'!I117,0))+parametros_manuales!$E$38*('Plan mensual'!I3+'Plan mensual'!I114+IF(parametros_manuales!$H$38="Todos",'Plan mensual'!I7+'Plan mensual'!I118,0))+parametros_manuales!$F$38*('Plan mensual'!I4+'Plan mensual'!I115+IF(parametros_manuales!$H$38="Todos",'Plan mensual'!I8+'Plan mensual'!I119,0))+parametros_manuales!$G$38*('Plan mensual'!I5+'Plan mensual'!I116+IF(parametros_manuales!$H$38="Todos",'Plan mensual'!I9+'Plan mensual'!I120,0)))*parametros_manuales!$I$38*parametros_manuales!$J$38</f>
        <v>491.53430028975</v>
      </c>
      <c r="H21" s="9" t="n">
        <f aca="false">(parametros_manuales!$D$38*('Plan mensual'!J2+'Plan mensual'!J113+IF(parametros_manuales!$H$38="Todos",'Plan mensual'!J6+'Plan mensual'!J117,0))+parametros_manuales!$E$38*('Plan mensual'!J3+'Plan mensual'!J114+IF(parametros_manuales!$H$38="Todos",'Plan mensual'!J7+'Plan mensual'!J118,0))+parametros_manuales!$F$38*('Plan mensual'!J4+'Plan mensual'!J115+IF(parametros_manuales!$H$38="Todos",'Plan mensual'!J8+'Plan mensual'!J119,0))+parametros_manuales!$G$38*('Plan mensual'!J5+'Plan mensual'!J116+IF(parametros_manuales!$H$38="Todos",'Plan mensual'!J9+'Plan mensual'!J120,0)))*parametros_manuales!$I$38*parametros_manuales!$J$38</f>
        <v>525.6961658234</v>
      </c>
      <c r="I21" s="9" t="n">
        <f aca="false">(parametros_manuales!$D$38*('Plan mensual'!K2+'Plan mensual'!K113+IF(parametros_manuales!$H$38="Todos",'Plan mensual'!K6+'Plan mensual'!K117,0))+parametros_manuales!$E$38*('Plan mensual'!K3+'Plan mensual'!K114+IF(parametros_manuales!$H$38="Todos",'Plan mensual'!K7+'Plan mensual'!K118,0))+parametros_manuales!$F$38*('Plan mensual'!K4+'Plan mensual'!K115+IF(parametros_manuales!$H$38="Todos",'Plan mensual'!K8+'Plan mensual'!K119,0))+parametros_manuales!$G$38*('Plan mensual'!K5+'Plan mensual'!K116+IF(parametros_manuales!$H$38="Todos",'Plan mensual'!K9+'Plan mensual'!K120,0)))*parametros_manuales!$I$38*parametros_manuales!$J$38</f>
        <v>525.6961658234</v>
      </c>
      <c r="J21" s="9" t="n">
        <f aca="false">(parametros_manuales!$D$38*('Plan mensual'!L2+'Plan mensual'!L113+IF(parametros_manuales!$H$38="Todos",'Plan mensual'!L6+'Plan mensual'!L117,0))+parametros_manuales!$E$38*('Plan mensual'!L3+'Plan mensual'!L114+IF(parametros_manuales!$H$38="Todos",'Plan mensual'!L7+'Plan mensual'!L118,0))+parametros_manuales!$F$38*('Plan mensual'!L4+'Plan mensual'!L115+IF(parametros_manuales!$H$38="Todos",'Plan mensual'!L8+'Plan mensual'!L119,0))+parametros_manuales!$G$38*('Plan mensual'!L5+'Plan mensual'!L116+IF(parametros_manuales!$H$38="Todos",'Plan mensual'!L9+'Plan mensual'!L120,0)))*parametros_manuales!$I$38*parametros_manuales!$J$38</f>
        <v>525.6961658234</v>
      </c>
      <c r="K21" s="9" t="n">
        <f aca="false">(parametros_manuales!$D$38*('Plan mensual'!M2+'Plan mensual'!M113+IF(parametros_manuales!$H$38="Todos",'Plan mensual'!M6+'Plan mensual'!M117,0))+parametros_manuales!$E$38*('Plan mensual'!M3+'Plan mensual'!M114+IF(parametros_manuales!$H$38="Todos",'Plan mensual'!M7+'Plan mensual'!M118,0))+parametros_manuales!$F$38*('Plan mensual'!M4+'Plan mensual'!M115+IF(parametros_manuales!$H$38="Todos",'Plan mensual'!M8+'Plan mensual'!M119,0))+parametros_manuales!$G$38*('Plan mensual'!M5+'Plan mensual'!M116+IF(parametros_manuales!$H$38="Todos",'Plan mensual'!M9+'Plan mensual'!M120,0)))*parametros_manuales!$I$38*parametros_manuales!$J$38</f>
        <v>512.42798300475</v>
      </c>
      <c r="L21" s="9" t="n">
        <f aca="false">(parametros_manuales!$D$38*('Plan mensual'!N2+'Plan mensual'!N113+IF(parametros_manuales!$H$38="Todos",'Plan mensual'!N6+'Plan mensual'!N117,0))+parametros_manuales!$E$38*('Plan mensual'!N3+'Plan mensual'!N114+IF(parametros_manuales!$H$38="Todos",'Plan mensual'!N7+'Plan mensual'!N118,0))+parametros_manuales!$F$38*('Plan mensual'!N4+'Plan mensual'!N115+IF(parametros_manuales!$H$38="Todos",'Plan mensual'!N8+'Plan mensual'!N119,0))+parametros_manuales!$G$38*('Plan mensual'!N5+'Plan mensual'!N116+IF(parametros_manuales!$H$38="Todos",'Plan mensual'!N9+'Plan mensual'!N120,0)))*parametros_manuales!$I$38*parametros_manuales!$J$38</f>
        <v>499.1598001861</v>
      </c>
      <c r="M21" s="9" t="n">
        <f aca="false">(parametros_manuales!$D$38*('Plan mensual'!O2+'Plan mensual'!O113+IF(parametros_manuales!$H$38="Todos",'Plan mensual'!O6+'Plan mensual'!O117,0))+parametros_manuales!$E$38*('Plan mensual'!O3+'Plan mensual'!O114+IF(parametros_manuales!$H$38="Todos",'Plan mensual'!O7+'Plan mensual'!O118,0))+parametros_manuales!$F$38*('Plan mensual'!O4+'Plan mensual'!O115+IF(parametros_manuales!$H$38="Todos",'Plan mensual'!O8+'Plan mensual'!O119,0))+parametros_manuales!$G$38*('Plan mensual'!O5+'Plan mensual'!O116+IF(parametros_manuales!$H$38="Todos",'Plan mensual'!O9+'Plan mensual'!O120,0)))*parametros_manuales!$I$38*parametros_manuales!$J$38</f>
        <v>793.3484071703</v>
      </c>
      <c r="N21" s="9" t="n">
        <f aca="false">SUM(B21:M21)</f>
        <v>6832.37310673</v>
      </c>
      <c r="O21" s="9" t="n">
        <f aca="false">MAX(B21:M21)</f>
        <v>793.3484071703</v>
      </c>
      <c r="P21" s="44" t="n">
        <f aca="false">O21/(parametros_manuales!$B$7)</f>
        <v>5.28898938113533</v>
      </c>
      <c r="Q21" s="8" t="str">
        <f aca="false">IF(O21=0,"-",INDEX($B$1:$M$1,MATCH(O21,B21:M21,0)))</f>
        <v>Dic</v>
      </c>
    </row>
    <row r="22" customFormat="false" ht="14.25" hidden="false" customHeight="true" outlineLevel="0" collapsed="false">
      <c r="A22" s="8" t="str">
        <f aca="false">parametros_manuales!$B$39</f>
        <v>Ensamblaje</v>
      </c>
      <c r="B22" s="9" t="n">
        <f aca="false">(parametros_manuales!$D$39*('Plan mensual'!D2+'Plan mensual'!D113+IF(parametros_manuales!$H$39="Todos",'Plan mensual'!D6+'Plan mensual'!D117,0))+parametros_manuales!$E$39*('Plan mensual'!D3+'Plan mensual'!D114+IF(parametros_manuales!$H$39="Todos",'Plan mensual'!D7+'Plan mensual'!D118,0))+parametros_manuales!$F$39*('Plan mensual'!D4+'Plan mensual'!D115+IF(parametros_manuales!$H$39="Todos",'Plan mensual'!D8+'Plan mensual'!D119,0))+parametros_manuales!$G$39*('Plan mensual'!D5+'Plan mensual'!D116+IF(parametros_manuales!$H$39="Todos",'Plan mensual'!D9+'Plan mensual'!D120,0)))*parametros_manuales!$I$39*parametros_manuales!$J$39</f>
        <v>766.812041533</v>
      </c>
      <c r="C22" s="9" t="n">
        <f aca="false">(parametros_manuales!$D$39*('Plan mensual'!E2+'Plan mensual'!E113+IF(parametros_manuales!$H$39="Todos",'Plan mensual'!E6+'Plan mensual'!E117,0))+parametros_manuales!$E$39*('Plan mensual'!E3+'Plan mensual'!E114+IF(parametros_manuales!$H$39="Todos",'Plan mensual'!E7+'Plan mensual'!E118,0))+parametros_manuales!$F$39*('Plan mensual'!E4+'Plan mensual'!E115+IF(parametros_manuales!$H$39="Todos",'Plan mensual'!E8+'Plan mensual'!E119,0))+parametros_manuales!$G$39*('Plan mensual'!E5+'Plan mensual'!E116+IF(parametros_manuales!$H$39="Todos",'Plan mensual'!E9+'Plan mensual'!E120,0)))*parametros_manuales!$I$39*parametros_manuales!$J$39</f>
        <v>588.3772139684</v>
      </c>
      <c r="D22" s="9" t="n">
        <f aca="false">(parametros_manuales!$D$39*('Plan mensual'!F2+'Plan mensual'!F113+IF(parametros_manuales!$H$39="Todos",'Plan mensual'!F6+'Plan mensual'!F117,0))+parametros_manuales!$E$39*('Plan mensual'!F3+'Plan mensual'!F114+IF(parametros_manuales!$H$39="Todos",'Plan mensual'!F7+'Plan mensual'!F118,0))+parametros_manuales!$F$39*('Plan mensual'!F4+'Plan mensual'!F115+IF(parametros_manuales!$H$39="Todos",'Plan mensual'!F8+'Plan mensual'!F119,0))+parametros_manuales!$G$39*('Plan mensual'!F5+'Plan mensual'!F116+IF(parametros_manuales!$H$39="Todos",'Plan mensual'!F9+'Plan mensual'!F120,0)))*parametros_manuales!$I$39*parametros_manuales!$J$39</f>
        <v>559.85803135705</v>
      </c>
      <c r="E22" s="9" t="n">
        <f aca="false">(parametros_manuales!$D$39*('Plan mensual'!G2+'Plan mensual'!G113+IF(parametros_manuales!$H$39="Todos",'Plan mensual'!G6+'Plan mensual'!G117,0))+parametros_manuales!$E$39*('Plan mensual'!G3+'Plan mensual'!G114+IF(parametros_manuales!$H$39="Todos",'Plan mensual'!G7+'Plan mensual'!G118,0))+parametros_manuales!$F$39*('Plan mensual'!G4+'Plan mensual'!G115+IF(parametros_manuales!$H$39="Todos",'Plan mensual'!G8+'Plan mensual'!G119,0))+parametros_manuales!$G$39*('Plan mensual'!G5+'Plan mensual'!G116+IF(parametros_manuales!$H$39="Todos",'Plan mensual'!G9+'Plan mensual'!G120,0)))*parametros_manuales!$I$39*parametros_manuales!$J$39</f>
        <v>538.96434864205</v>
      </c>
      <c r="F22" s="9" t="n">
        <f aca="false">(parametros_manuales!$D$39*('Plan mensual'!H2+'Plan mensual'!H113+IF(parametros_manuales!$H$39="Todos",'Plan mensual'!H6+'Plan mensual'!H117,0))+parametros_manuales!$E$39*('Plan mensual'!H3+'Plan mensual'!H114+IF(parametros_manuales!$H$39="Todos",'Plan mensual'!H7+'Plan mensual'!H118,0))+parametros_manuales!$F$39*('Plan mensual'!H4+'Plan mensual'!H115+IF(parametros_manuales!$H$39="Todos",'Plan mensual'!H8+'Plan mensual'!H119,0))+parametros_manuales!$G$39*('Plan mensual'!H5+'Plan mensual'!H116+IF(parametros_manuales!$H$39="Todos",'Plan mensual'!H9+'Plan mensual'!H120,0)))*parametros_manuales!$I$39*parametros_manuales!$J$39</f>
        <v>504.8024831084</v>
      </c>
      <c r="G22" s="9" t="n">
        <f aca="false">(parametros_manuales!$D$39*('Plan mensual'!I2+'Plan mensual'!I113+IF(parametros_manuales!$H$39="Todos",'Plan mensual'!I6+'Plan mensual'!I117,0))+parametros_manuales!$E$39*('Plan mensual'!I3+'Plan mensual'!I114+IF(parametros_manuales!$H$39="Todos",'Plan mensual'!I7+'Plan mensual'!I118,0))+parametros_manuales!$F$39*('Plan mensual'!I4+'Plan mensual'!I115+IF(parametros_manuales!$H$39="Todos",'Plan mensual'!I8+'Plan mensual'!I119,0))+parametros_manuales!$G$39*('Plan mensual'!I5+'Plan mensual'!I116+IF(parametros_manuales!$H$39="Todos",'Plan mensual'!I9+'Plan mensual'!I120,0)))*parametros_manuales!$I$39*parametros_manuales!$J$39</f>
        <v>491.53430028975</v>
      </c>
      <c r="H22" s="9" t="n">
        <f aca="false">(parametros_manuales!$D$39*('Plan mensual'!J2+'Plan mensual'!J113+IF(parametros_manuales!$H$39="Todos",'Plan mensual'!J6+'Plan mensual'!J117,0))+parametros_manuales!$E$39*('Plan mensual'!J3+'Plan mensual'!J114+IF(parametros_manuales!$H$39="Todos",'Plan mensual'!J7+'Plan mensual'!J118,0))+parametros_manuales!$F$39*('Plan mensual'!J4+'Plan mensual'!J115+IF(parametros_manuales!$H$39="Todos",'Plan mensual'!J8+'Plan mensual'!J119,0))+parametros_manuales!$G$39*('Plan mensual'!J5+'Plan mensual'!J116+IF(parametros_manuales!$H$39="Todos",'Plan mensual'!J9+'Plan mensual'!J120,0)))*parametros_manuales!$I$39*parametros_manuales!$J$39</f>
        <v>525.6961658234</v>
      </c>
      <c r="I22" s="9" t="n">
        <f aca="false">(parametros_manuales!$D$39*('Plan mensual'!K2+'Plan mensual'!K113+IF(parametros_manuales!$H$39="Todos",'Plan mensual'!K6+'Plan mensual'!K117,0))+parametros_manuales!$E$39*('Plan mensual'!K3+'Plan mensual'!K114+IF(parametros_manuales!$H$39="Todos",'Plan mensual'!K7+'Plan mensual'!K118,0))+parametros_manuales!$F$39*('Plan mensual'!K4+'Plan mensual'!K115+IF(parametros_manuales!$H$39="Todos",'Plan mensual'!K8+'Plan mensual'!K119,0))+parametros_manuales!$G$39*('Plan mensual'!K5+'Plan mensual'!K116+IF(parametros_manuales!$H$39="Todos",'Plan mensual'!K9+'Plan mensual'!K120,0)))*parametros_manuales!$I$39*parametros_manuales!$J$39</f>
        <v>525.6961658234</v>
      </c>
      <c r="J22" s="9" t="n">
        <f aca="false">(parametros_manuales!$D$39*('Plan mensual'!L2+'Plan mensual'!L113+IF(parametros_manuales!$H$39="Todos",'Plan mensual'!L6+'Plan mensual'!L117,0))+parametros_manuales!$E$39*('Plan mensual'!L3+'Plan mensual'!L114+IF(parametros_manuales!$H$39="Todos",'Plan mensual'!L7+'Plan mensual'!L118,0))+parametros_manuales!$F$39*('Plan mensual'!L4+'Plan mensual'!L115+IF(parametros_manuales!$H$39="Todos",'Plan mensual'!L8+'Plan mensual'!L119,0))+parametros_manuales!$G$39*('Plan mensual'!L5+'Plan mensual'!L116+IF(parametros_manuales!$H$39="Todos",'Plan mensual'!L9+'Plan mensual'!L120,0)))*parametros_manuales!$I$39*parametros_manuales!$J$39</f>
        <v>525.6961658234</v>
      </c>
      <c r="K22" s="9" t="n">
        <f aca="false">(parametros_manuales!$D$39*('Plan mensual'!M2+'Plan mensual'!M113+IF(parametros_manuales!$H$39="Todos",'Plan mensual'!M6+'Plan mensual'!M117,0))+parametros_manuales!$E$39*('Plan mensual'!M3+'Plan mensual'!M114+IF(parametros_manuales!$H$39="Todos",'Plan mensual'!M7+'Plan mensual'!M118,0))+parametros_manuales!$F$39*('Plan mensual'!M4+'Plan mensual'!M115+IF(parametros_manuales!$H$39="Todos",'Plan mensual'!M8+'Plan mensual'!M119,0))+parametros_manuales!$G$39*('Plan mensual'!M5+'Plan mensual'!M116+IF(parametros_manuales!$H$39="Todos",'Plan mensual'!M9+'Plan mensual'!M120,0)))*parametros_manuales!$I$39*parametros_manuales!$J$39</f>
        <v>512.42798300475</v>
      </c>
      <c r="L22" s="9" t="n">
        <f aca="false">(parametros_manuales!$D$39*('Plan mensual'!N2+'Plan mensual'!N113+IF(parametros_manuales!$H$39="Todos",'Plan mensual'!N6+'Plan mensual'!N117,0))+parametros_manuales!$E$39*('Plan mensual'!N3+'Plan mensual'!N114+IF(parametros_manuales!$H$39="Todos",'Plan mensual'!N7+'Plan mensual'!N118,0))+parametros_manuales!$F$39*('Plan mensual'!N4+'Plan mensual'!N115+IF(parametros_manuales!$H$39="Todos",'Plan mensual'!N8+'Plan mensual'!N119,0))+parametros_manuales!$G$39*('Plan mensual'!N5+'Plan mensual'!N116+IF(parametros_manuales!$H$39="Todos",'Plan mensual'!N9+'Plan mensual'!N120,0)))*parametros_manuales!$I$39*parametros_manuales!$J$39</f>
        <v>499.1598001861</v>
      </c>
      <c r="M22" s="9" t="n">
        <f aca="false">(parametros_manuales!$D$39*('Plan mensual'!O2+'Plan mensual'!O113+IF(parametros_manuales!$H$39="Todos",'Plan mensual'!O6+'Plan mensual'!O117,0))+parametros_manuales!$E$39*('Plan mensual'!O3+'Plan mensual'!O114+IF(parametros_manuales!$H$39="Todos",'Plan mensual'!O7+'Plan mensual'!O118,0))+parametros_manuales!$F$39*('Plan mensual'!O4+'Plan mensual'!O115+IF(parametros_manuales!$H$39="Todos",'Plan mensual'!O8+'Plan mensual'!O119,0))+parametros_manuales!$G$39*('Plan mensual'!O5+'Plan mensual'!O116+IF(parametros_manuales!$H$39="Todos",'Plan mensual'!O9+'Plan mensual'!O120,0)))*parametros_manuales!$I$39*parametros_manuales!$J$39</f>
        <v>793.3484071703</v>
      </c>
      <c r="N22" s="9" t="n">
        <f aca="false">SUM(B22:M22)</f>
        <v>6832.37310673</v>
      </c>
      <c r="O22" s="9" t="n">
        <f aca="false">MAX(B22:M22)</f>
        <v>793.3484071703</v>
      </c>
      <c r="P22" s="44" t="n">
        <f aca="false">O22/(parametros_manuales!$B$7)</f>
        <v>5.28898938113533</v>
      </c>
      <c r="Q22" s="8" t="str">
        <f aca="false">IF(O22=0,"-",INDEX($B$1:$M$1,MATCH(O22,B22:M22,0)))</f>
        <v>Dic</v>
      </c>
    </row>
    <row r="23" customFormat="false" ht="14.25" hidden="false" customHeight="true" outlineLevel="0" collapsed="false">
      <c r="A23" s="8" t="str">
        <f aca="false">parametros_manuales!$B$40</f>
        <v>Presurización</v>
      </c>
      <c r="B23" s="9" t="n">
        <f aca="false">(parametros_manuales!$D$40*('Plan mensual'!D2+'Plan mensual'!D113+IF(parametros_manuales!$H$40="Todos",'Plan mensual'!D6+'Plan mensual'!D117,0))+parametros_manuales!$E$40*('Plan mensual'!D3+'Plan mensual'!D114+IF(parametros_manuales!$H$40="Todos",'Plan mensual'!D7+'Plan mensual'!D118,0))+parametros_manuales!$F$40*('Plan mensual'!D4+'Plan mensual'!D115+IF(parametros_manuales!$H$40="Todos",'Plan mensual'!D8+'Plan mensual'!D119,0))+parametros_manuales!$G$40*('Plan mensual'!D5+'Plan mensual'!D116+IF(parametros_manuales!$H$40="Todos",'Plan mensual'!D9+'Plan mensual'!D120,0)))*parametros_manuales!$I$40*parametros_manuales!$J$40</f>
        <v>766.812041533</v>
      </c>
      <c r="C23" s="9" t="n">
        <f aca="false">(parametros_manuales!$D$40*('Plan mensual'!E2+'Plan mensual'!E113+IF(parametros_manuales!$H$40="Todos",'Plan mensual'!E6+'Plan mensual'!E117,0))+parametros_manuales!$E$40*('Plan mensual'!E3+'Plan mensual'!E114+IF(parametros_manuales!$H$40="Todos",'Plan mensual'!E7+'Plan mensual'!E118,0))+parametros_manuales!$F$40*('Plan mensual'!E4+'Plan mensual'!E115+IF(parametros_manuales!$H$40="Todos",'Plan mensual'!E8+'Plan mensual'!E119,0))+parametros_manuales!$G$40*('Plan mensual'!E5+'Plan mensual'!E116+IF(parametros_manuales!$H$40="Todos",'Plan mensual'!E9+'Plan mensual'!E120,0)))*parametros_manuales!$I$40*parametros_manuales!$J$40</f>
        <v>588.3772139684</v>
      </c>
      <c r="D23" s="9" t="n">
        <f aca="false">(parametros_manuales!$D$40*('Plan mensual'!F2+'Plan mensual'!F113+IF(parametros_manuales!$H$40="Todos",'Plan mensual'!F6+'Plan mensual'!F117,0))+parametros_manuales!$E$40*('Plan mensual'!F3+'Plan mensual'!F114+IF(parametros_manuales!$H$40="Todos",'Plan mensual'!F7+'Plan mensual'!F118,0))+parametros_manuales!$F$40*('Plan mensual'!F4+'Plan mensual'!F115+IF(parametros_manuales!$H$40="Todos",'Plan mensual'!F8+'Plan mensual'!F119,0))+parametros_manuales!$G$40*('Plan mensual'!F5+'Plan mensual'!F116+IF(parametros_manuales!$H$40="Todos",'Plan mensual'!F9+'Plan mensual'!F120,0)))*parametros_manuales!$I$40*parametros_manuales!$J$40</f>
        <v>559.85803135705</v>
      </c>
      <c r="E23" s="9" t="n">
        <f aca="false">(parametros_manuales!$D$40*('Plan mensual'!G2+'Plan mensual'!G113+IF(parametros_manuales!$H$40="Todos",'Plan mensual'!G6+'Plan mensual'!G117,0))+parametros_manuales!$E$40*('Plan mensual'!G3+'Plan mensual'!G114+IF(parametros_manuales!$H$40="Todos",'Plan mensual'!G7+'Plan mensual'!G118,0))+parametros_manuales!$F$40*('Plan mensual'!G4+'Plan mensual'!G115+IF(parametros_manuales!$H$40="Todos",'Plan mensual'!G8+'Plan mensual'!G119,0))+parametros_manuales!$G$40*('Plan mensual'!G5+'Plan mensual'!G116+IF(parametros_manuales!$H$40="Todos",'Plan mensual'!G9+'Plan mensual'!G120,0)))*parametros_manuales!$I$40*parametros_manuales!$J$40</f>
        <v>538.96434864205</v>
      </c>
      <c r="F23" s="9" t="n">
        <f aca="false">(parametros_manuales!$D$40*('Plan mensual'!H2+'Plan mensual'!H113+IF(parametros_manuales!$H$40="Todos",'Plan mensual'!H6+'Plan mensual'!H117,0))+parametros_manuales!$E$40*('Plan mensual'!H3+'Plan mensual'!H114+IF(parametros_manuales!$H$40="Todos",'Plan mensual'!H7+'Plan mensual'!H118,0))+parametros_manuales!$F$40*('Plan mensual'!H4+'Plan mensual'!H115+IF(parametros_manuales!$H$40="Todos",'Plan mensual'!H8+'Plan mensual'!H119,0))+parametros_manuales!$G$40*('Plan mensual'!H5+'Plan mensual'!H116+IF(parametros_manuales!$H$40="Todos",'Plan mensual'!H9+'Plan mensual'!H120,0)))*parametros_manuales!$I$40*parametros_manuales!$J$40</f>
        <v>504.8024831084</v>
      </c>
      <c r="G23" s="9" t="n">
        <f aca="false">(parametros_manuales!$D$40*('Plan mensual'!I2+'Plan mensual'!I113+IF(parametros_manuales!$H$40="Todos",'Plan mensual'!I6+'Plan mensual'!I117,0))+parametros_manuales!$E$40*('Plan mensual'!I3+'Plan mensual'!I114+IF(parametros_manuales!$H$40="Todos",'Plan mensual'!I7+'Plan mensual'!I118,0))+parametros_manuales!$F$40*('Plan mensual'!I4+'Plan mensual'!I115+IF(parametros_manuales!$H$40="Todos",'Plan mensual'!I8+'Plan mensual'!I119,0))+parametros_manuales!$G$40*('Plan mensual'!I5+'Plan mensual'!I116+IF(parametros_manuales!$H$40="Todos",'Plan mensual'!I9+'Plan mensual'!I120,0)))*parametros_manuales!$I$40*parametros_manuales!$J$40</f>
        <v>491.53430028975</v>
      </c>
      <c r="H23" s="9" t="n">
        <f aca="false">(parametros_manuales!$D$40*('Plan mensual'!J2+'Plan mensual'!J113+IF(parametros_manuales!$H$40="Todos",'Plan mensual'!J6+'Plan mensual'!J117,0))+parametros_manuales!$E$40*('Plan mensual'!J3+'Plan mensual'!J114+IF(parametros_manuales!$H$40="Todos",'Plan mensual'!J7+'Plan mensual'!J118,0))+parametros_manuales!$F$40*('Plan mensual'!J4+'Plan mensual'!J115+IF(parametros_manuales!$H$40="Todos",'Plan mensual'!J8+'Plan mensual'!J119,0))+parametros_manuales!$G$40*('Plan mensual'!J5+'Plan mensual'!J116+IF(parametros_manuales!$H$40="Todos",'Plan mensual'!J9+'Plan mensual'!J120,0)))*parametros_manuales!$I$40*parametros_manuales!$J$40</f>
        <v>525.6961658234</v>
      </c>
      <c r="I23" s="9" t="n">
        <f aca="false">(parametros_manuales!$D$40*('Plan mensual'!K2+'Plan mensual'!K113+IF(parametros_manuales!$H$40="Todos",'Plan mensual'!K6+'Plan mensual'!K117,0))+parametros_manuales!$E$40*('Plan mensual'!K3+'Plan mensual'!K114+IF(parametros_manuales!$H$40="Todos",'Plan mensual'!K7+'Plan mensual'!K118,0))+parametros_manuales!$F$40*('Plan mensual'!K4+'Plan mensual'!K115+IF(parametros_manuales!$H$40="Todos",'Plan mensual'!K8+'Plan mensual'!K119,0))+parametros_manuales!$G$40*('Plan mensual'!K5+'Plan mensual'!K116+IF(parametros_manuales!$H$40="Todos",'Plan mensual'!K9+'Plan mensual'!K120,0)))*parametros_manuales!$I$40*parametros_manuales!$J$40</f>
        <v>525.6961658234</v>
      </c>
      <c r="J23" s="9" t="n">
        <f aca="false">(parametros_manuales!$D$40*('Plan mensual'!L2+'Plan mensual'!L113+IF(parametros_manuales!$H$40="Todos",'Plan mensual'!L6+'Plan mensual'!L117,0))+parametros_manuales!$E$40*('Plan mensual'!L3+'Plan mensual'!L114+IF(parametros_manuales!$H$40="Todos",'Plan mensual'!L7+'Plan mensual'!L118,0))+parametros_manuales!$F$40*('Plan mensual'!L4+'Plan mensual'!L115+IF(parametros_manuales!$H$40="Todos",'Plan mensual'!L8+'Plan mensual'!L119,0))+parametros_manuales!$G$40*('Plan mensual'!L5+'Plan mensual'!L116+IF(parametros_manuales!$H$40="Todos",'Plan mensual'!L9+'Plan mensual'!L120,0)))*parametros_manuales!$I$40*parametros_manuales!$J$40</f>
        <v>525.6961658234</v>
      </c>
      <c r="K23" s="9" t="n">
        <f aca="false">(parametros_manuales!$D$40*('Plan mensual'!M2+'Plan mensual'!M113+IF(parametros_manuales!$H$40="Todos",'Plan mensual'!M6+'Plan mensual'!M117,0))+parametros_manuales!$E$40*('Plan mensual'!M3+'Plan mensual'!M114+IF(parametros_manuales!$H$40="Todos",'Plan mensual'!M7+'Plan mensual'!M118,0))+parametros_manuales!$F$40*('Plan mensual'!M4+'Plan mensual'!M115+IF(parametros_manuales!$H$40="Todos",'Plan mensual'!M8+'Plan mensual'!M119,0))+parametros_manuales!$G$40*('Plan mensual'!M5+'Plan mensual'!M116+IF(parametros_manuales!$H$40="Todos",'Plan mensual'!M9+'Plan mensual'!M120,0)))*parametros_manuales!$I$40*parametros_manuales!$J$40</f>
        <v>512.42798300475</v>
      </c>
      <c r="L23" s="9" t="n">
        <f aca="false">(parametros_manuales!$D$40*('Plan mensual'!N2+'Plan mensual'!N113+IF(parametros_manuales!$H$40="Todos",'Plan mensual'!N6+'Plan mensual'!N117,0))+parametros_manuales!$E$40*('Plan mensual'!N3+'Plan mensual'!N114+IF(parametros_manuales!$H$40="Todos",'Plan mensual'!N7+'Plan mensual'!N118,0))+parametros_manuales!$F$40*('Plan mensual'!N4+'Plan mensual'!N115+IF(parametros_manuales!$H$40="Todos",'Plan mensual'!N8+'Plan mensual'!N119,0))+parametros_manuales!$G$40*('Plan mensual'!N5+'Plan mensual'!N116+IF(parametros_manuales!$H$40="Todos",'Plan mensual'!N9+'Plan mensual'!N120,0)))*parametros_manuales!$I$40*parametros_manuales!$J$40</f>
        <v>499.1598001861</v>
      </c>
      <c r="M23" s="9" t="n">
        <f aca="false">(parametros_manuales!$D$40*('Plan mensual'!O2+'Plan mensual'!O113+IF(parametros_manuales!$H$40="Todos",'Plan mensual'!O6+'Plan mensual'!O117,0))+parametros_manuales!$E$40*('Plan mensual'!O3+'Plan mensual'!O114+IF(parametros_manuales!$H$40="Todos",'Plan mensual'!O7+'Plan mensual'!O118,0))+parametros_manuales!$F$40*('Plan mensual'!O4+'Plan mensual'!O115+IF(parametros_manuales!$H$40="Todos",'Plan mensual'!O8+'Plan mensual'!O119,0))+parametros_manuales!$G$40*('Plan mensual'!O5+'Plan mensual'!O116+IF(parametros_manuales!$H$40="Todos",'Plan mensual'!O9+'Plan mensual'!O120,0)))*parametros_manuales!$I$40*parametros_manuales!$J$40</f>
        <v>793.3484071703</v>
      </c>
      <c r="N23" s="9" t="n">
        <f aca="false">SUM(B23:M23)</f>
        <v>6832.37310673</v>
      </c>
      <c r="O23" s="9" t="n">
        <f aca="false">MAX(B23:M23)</f>
        <v>793.3484071703</v>
      </c>
      <c r="P23" s="44" t="n">
        <f aca="false">O23/(parametros_manuales!$B$7)</f>
        <v>5.28898938113533</v>
      </c>
      <c r="Q23" s="8" t="str">
        <f aca="false">IF(O23=0,"-",INDEX($B$1:$M$1,MATCH(O23,B23:M23,0)))</f>
        <v>Dic</v>
      </c>
    </row>
    <row r="24" customFormat="false" ht="14.25" hidden="false" customHeight="true" outlineLevel="0" collapsed="false">
      <c r="A24" s="8" t="str">
        <f aca="false">parametros_manuales!$B$41</f>
        <v>Control de calidad — Ensayo de pérdidas</v>
      </c>
      <c r="B24" s="9" t="n">
        <f aca="false">(parametros_manuales!$D$41*('Plan mensual'!D2+'Plan mensual'!D113+IF(parametros_manuales!$H$41="Todos",'Plan mensual'!D6+'Plan mensual'!D117,0))+parametros_manuales!$E$41*('Plan mensual'!D3+'Plan mensual'!D114+IF(parametros_manuales!$H$41="Todos",'Plan mensual'!D7+'Plan mensual'!D118,0))+parametros_manuales!$F$41*('Plan mensual'!D4+'Plan mensual'!D115+IF(parametros_manuales!$H$41="Todos",'Plan mensual'!D8+'Plan mensual'!D119,0))+parametros_manuales!$G$41*('Plan mensual'!D5+'Plan mensual'!D116+IF(parametros_manuales!$H$41="Todos",'Plan mensual'!D9+'Plan mensual'!D120,0)))*parametros_manuales!$I$41*parametros_manuales!$J$41</f>
        <v>766.812041533</v>
      </c>
      <c r="C24" s="9" t="n">
        <f aca="false">(parametros_manuales!$D$41*('Plan mensual'!E2+'Plan mensual'!E113+IF(parametros_manuales!$H$41="Todos",'Plan mensual'!E6+'Plan mensual'!E117,0))+parametros_manuales!$E$41*('Plan mensual'!E3+'Plan mensual'!E114+IF(parametros_manuales!$H$41="Todos",'Plan mensual'!E7+'Plan mensual'!E118,0))+parametros_manuales!$F$41*('Plan mensual'!E4+'Plan mensual'!E115+IF(parametros_manuales!$H$41="Todos",'Plan mensual'!E8+'Plan mensual'!E119,0))+parametros_manuales!$G$41*('Plan mensual'!E5+'Plan mensual'!E116+IF(parametros_manuales!$H$41="Todos",'Plan mensual'!E9+'Plan mensual'!E120,0)))*parametros_manuales!$I$41*parametros_manuales!$J$41</f>
        <v>588.3772139684</v>
      </c>
      <c r="D24" s="9" t="n">
        <f aca="false">(parametros_manuales!$D$41*('Plan mensual'!F2+'Plan mensual'!F113+IF(parametros_manuales!$H$41="Todos",'Plan mensual'!F6+'Plan mensual'!F117,0))+parametros_manuales!$E$41*('Plan mensual'!F3+'Plan mensual'!F114+IF(parametros_manuales!$H$41="Todos",'Plan mensual'!F7+'Plan mensual'!F118,0))+parametros_manuales!$F$41*('Plan mensual'!F4+'Plan mensual'!F115+IF(parametros_manuales!$H$41="Todos",'Plan mensual'!F8+'Plan mensual'!F119,0))+parametros_manuales!$G$41*('Plan mensual'!F5+'Plan mensual'!F116+IF(parametros_manuales!$H$41="Todos",'Plan mensual'!F9+'Plan mensual'!F120,0)))*parametros_manuales!$I$41*parametros_manuales!$J$41</f>
        <v>559.85803135705</v>
      </c>
      <c r="E24" s="9" t="n">
        <f aca="false">(parametros_manuales!$D$41*('Plan mensual'!G2+'Plan mensual'!G113+IF(parametros_manuales!$H$41="Todos",'Plan mensual'!G6+'Plan mensual'!G117,0))+parametros_manuales!$E$41*('Plan mensual'!G3+'Plan mensual'!G114+IF(parametros_manuales!$H$41="Todos",'Plan mensual'!G7+'Plan mensual'!G118,0))+parametros_manuales!$F$41*('Plan mensual'!G4+'Plan mensual'!G115+IF(parametros_manuales!$H$41="Todos",'Plan mensual'!G8+'Plan mensual'!G119,0))+parametros_manuales!$G$41*('Plan mensual'!G5+'Plan mensual'!G116+IF(parametros_manuales!$H$41="Todos",'Plan mensual'!G9+'Plan mensual'!G120,0)))*parametros_manuales!$I$41*parametros_manuales!$J$41</f>
        <v>538.96434864205</v>
      </c>
      <c r="F24" s="9" t="n">
        <f aca="false">(parametros_manuales!$D$41*('Plan mensual'!H2+'Plan mensual'!H113+IF(parametros_manuales!$H$41="Todos",'Plan mensual'!H6+'Plan mensual'!H117,0))+parametros_manuales!$E$41*('Plan mensual'!H3+'Plan mensual'!H114+IF(parametros_manuales!$H$41="Todos",'Plan mensual'!H7+'Plan mensual'!H118,0))+parametros_manuales!$F$41*('Plan mensual'!H4+'Plan mensual'!H115+IF(parametros_manuales!$H$41="Todos",'Plan mensual'!H8+'Plan mensual'!H119,0))+parametros_manuales!$G$41*('Plan mensual'!H5+'Plan mensual'!H116+IF(parametros_manuales!$H$41="Todos",'Plan mensual'!H9+'Plan mensual'!H120,0)))*parametros_manuales!$I$41*parametros_manuales!$J$41</f>
        <v>504.8024831084</v>
      </c>
      <c r="G24" s="9" t="n">
        <f aca="false">(parametros_manuales!$D$41*('Plan mensual'!I2+'Plan mensual'!I113+IF(parametros_manuales!$H$41="Todos",'Plan mensual'!I6+'Plan mensual'!I117,0))+parametros_manuales!$E$41*('Plan mensual'!I3+'Plan mensual'!I114+IF(parametros_manuales!$H$41="Todos",'Plan mensual'!I7+'Plan mensual'!I118,0))+parametros_manuales!$F$41*('Plan mensual'!I4+'Plan mensual'!I115+IF(parametros_manuales!$H$41="Todos",'Plan mensual'!I8+'Plan mensual'!I119,0))+parametros_manuales!$G$41*('Plan mensual'!I5+'Plan mensual'!I116+IF(parametros_manuales!$H$41="Todos",'Plan mensual'!I9+'Plan mensual'!I120,0)))*parametros_manuales!$I$41*parametros_manuales!$J$41</f>
        <v>491.53430028975</v>
      </c>
      <c r="H24" s="9" t="n">
        <f aca="false">(parametros_manuales!$D$41*('Plan mensual'!J2+'Plan mensual'!J113+IF(parametros_manuales!$H$41="Todos",'Plan mensual'!J6+'Plan mensual'!J117,0))+parametros_manuales!$E$41*('Plan mensual'!J3+'Plan mensual'!J114+IF(parametros_manuales!$H$41="Todos",'Plan mensual'!J7+'Plan mensual'!J118,0))+parametros_manuales!$F$41*('Plan mensual'!J4+'Plan mensual'!J115+IF(parametros_manuales!$H$41="Todos",'Plan mensual'!J8+'Plan mensual'!J119,0))+parametros_manuales!$G$41*('Plan mensual'!J5+'Plan mensual'!J116+IF(parametros_manuales!$H$41="Todos",'Plan mensual'!J9+'Plan mensual'!J120,0)))*parametros_manuales!$I$41*parametros_manuales!$J$41</f>
        <v>525.6961658234</v>
      </c>
      <c r="I24" s="9" t="n">
        <f aca="false">(parametros_manuales!$D$41*('Plan mensual'!K2+'Plan mensual'!K113+IF(parametros_manuales!$H$41="Todos",'Plan mensual'!K6+'Plan mensual'!K117,0))+parametros_manuales!$E$41*('Plan mensual'!K3+'Plan mensual'!K114+IF(parametros_manuales!$H$41="Todos",'Plan mensual'!K7+'Plan mensual'!K118,0))+parametros_manuales!$F$41*('Plan mensual'!K4+'Plan mensual'!K115+IF(parametros_manuales!$H$41="Todos",'Plan mensual'!K8+'Plan mensual'!K119,0))+parametros_manuales!$G$41*('Plan mensual'!K5+'Plan mensual'!K116+IF(parametros_manuales!$H$41="Todos",'Plan mensual'!K9+'Plan mensual'!K120,0)))*parametros_manuales!$I$41*parametros_manuales!$J$41</f>
        <v>525.6961658234</v>
      </c>
      <c r="J24" s="9" t="n">
        <f aca="false">(parametros_manuales!$D$41*('Plan mensual'!L2+'Plan mensual'!L113+IF(parametros_manuales!$H$41="Todos",'Plan mensual'!L6+'Plan mensual'!L117,0))+parametros_manuales!$E$41*('Plan mensual'!L3+'Plan mensual'!L114+IF(parametros_manuales!$H$41="Todos",'Plan mensual'!L7+'Plan mensual'!L118,0))+parametros_manuales!$F$41*('Plan mensual'!L4+'Plan mensual'!L115+IF(parametros_manuales!$H$41="Todos",'Plan mensual'!L8+'Plan mensual'!L119,0))+parametros_manuales!$G$41*('Plan mensual'!L5+'Plan mensual'!L116+IF(parametros_manuales!$H$41="Todos",'Plan mensual'!L9+'Plan mensual'!L120,0)))*parametros_manuales!$I$41*parametros_manuales!$J$41</f>
        <v>525.6961658234</v>
      </c>
      <c r="K24" s="9" t="n">
        <f aca="false">(parametros_manuales!$D$41*('Plan mensual'!M2+'Plan mensual'!M113+IF(parametros_manuales!$H$41="Todos",'Plan mensual'!M6+'Plan mensual'!M117,0))+parametros_manuales!$E$41*('Plan mensual'!M3+'Plan mensual'!M114+IF(parametros_manuales!$H$41="Todos",'Plan mensual'!M7+'Plan mensual'!M118,0))+parametros_manuales!$F$41*('Plan mensual'!M4+'Plan mensual'!M115+IF(parametros_manuales!$H$41="Todos",'Plan mensual'!M8+'Plan mensual'!M119,0))+parametros_manuales!$G$41*('Plan mensual'!M5+'Plan mensual'!M116+IF(parametros_manuales!$H$41="Todos",'Plan mensual'!M9+'Plan mensual'!M120,0)))*parametros_manuales!$I$41*parametros_manuales!$J$41</f>
        <v>512.42798300475</v>
      </c>
      <c r="L24" s="9" t="n">
        <f aca="false">(parametros_manuales!$D$41*('Plan mensual'!N2+'Plan mensual'!N113+IF(parametros_manuales!$H$41="Todos",'Plan mensual'!N6+'Plan mensual'!N117,0))+parametros_manuales!$E$41*('Plan mensual'!N3+'Plan mensual'!N114+IF(parametros_manuales!$H$41="Todos",'Plan mensual'!N7+'Plan mensual'!N118,0))+parametros_manuales!$F$41*('Plan mensual'!N4+'Plan mensual'!N115+IF(parametros_manuales!$H$41="Todos",'Plan mensual'!N8+'Plan mensual'!N119,0))+parametros_manuales!$G$41*('Plan mensual'!N5+'Plan mensual'!N116+IF(parametros_manuales!$H$41="Todos",'Plan mensual'!N9+'Plan mensual'!N120,0)))*parametros_manuales!$I$41*parametros_manuales!$J$41</f>
        <v>499.1598001861</v>
      </c>
      <c r="M24" s="9" t="n">
        <f aca="false">(parametros_manuales!$D$41*('Plan mensual'!O2+'Plan mensual'!O113+IF(parametros_manuales!$H$41="Todos",'Plan mensual'!O6+'Plan mensual'!O117,0))+parametros_manuales!$E$41*('Plan mensual'!O3+'Plan mensual'!O114+IF(parametros_manuales!$H$41="Todos",'Plan mensual'!O7+'Plan mensual'!O118,0))+parametros_manuales!$F$41*('Plan mensual'!O4+'Plan mensual'!O115+IF(parametros_manuales!$H$41="Todos",'Plan mensual'!O8+'Plan mensual'!O119,0))+parametros_manuales!$G$41*('Plan mensual'!O5+'Plan mensual'!O116+IF(parametros_manuales!$H$41="Todos",'Plan mensual'!O9+'Plan mensual'!O120,0)))*parametros_manuales!$I$41*parametros_manuales!$J$41</f>
        <v>793.3484071703</v>
      </c>
      <c r="N24" s="9" t="n">
        <f aca="false">SUM(B24:M24)</f>
        <v>6832.37310673</v>
      </c>
      <c r="O24" s="9" t="n">
        <f aca="false">MAX(B24:M24)</f>
        <v>793.3484071703</v>
      </c>
      <c r="P24" s="44" t="n">
        <f aca="false">O24/(parametros_manuales!$B$7)</f>
        <v>5.28898938113533</v>
      </c>
      <c r="Q24" s="8" t="str">
        <f aca="false">IF(O24=0,"-",INDEX($B$1:$M$1,MATCH(O24,B24:M24,0)))</f>
        <v>Dic</v>
      </c>
    </row>
    <row r="25" customFormat="false" ht="14.25" hidden="false" customHeight="true" outlineLevel="0" collapsed="false">
      <c r="A25" s="8" t="str">
        <f aca="false">parametros_manuales!$B$42</f>
        <v>Etiquetado</v>
      </c>
      <c r="B25" s="9" t="n">
        <f aca="false">(parametros_manuales!$D$42*('Plan mensual'!D2+'Plan mensual'!D113+IF(parametros_manuales!$H$42="Todos",'Plan mensual'!D6+'Plan mensual'!D117,0))+parametros_manuales!$E$42*('Plan mensual'!D3+'Plan mensual'!D114+IF(parametros_manuales!$H$42="Todos",'Plan mensual'!D7+'Plan mensual'!D118,0))+parametros_manuales!$F$42*('Plan mensual'!D4+'Plan mensual'!D115+IF(parametros_manuales!$H$42="Todos",'Plan mensual'!D8+'Plan mensual'!D119,0))+parametros_manuales!$G$42*('Plan mensual'!D5+'Plan mensual'!D116+IF(parametros_manuales!$H$42="Todos",'Plan mensual'!D9+'Plan mensual'!D120,0)))*parametros_manuales!$I$42*parametros_manuales!$J$42</f>
        <v>766.812041533</v>
      </c>
      <c r="C25" s="9" t="n">
        <f aca="false">(parametros_manuales!$D$42*('Plan mensual'!E2+'Plan mensual'!E113+IF(parametros_manuales!$H$42="Todos",'Plan mensual'!E6+'Plan mensual'!E117,0))+parametros_manuales!$E$42*('Plan mensual'!E3+'Plan mensual'!E114+IF(parametros_manuales!$H$42="Todos",'Plan mensual'!E7+'Plan mensual'!E118,0))+parametros_manuales!$F$42*('Plan mensual'!E4+'Plan mensual'!E115+IF(parametros_manuales!$H$42="Todos",'Plan mensual'!E8+'Plan mensual'!E119,0))+parametros_manuales!$G$42*('Plan mensual'!E5+'Plan mensual'!E116+IF(parametros_manuales!$H$42="Todos",'Plan mensual'!E9+'Plan mensual'!E120,0)))*parametros_manuales!$I$42*parametros_manuales!$J$42</f>
        <v>588.3772139684</v>
      </c>
      <c r="D25" s="9" t="n">
        <f aca="false">(parametros_manuales!$D$42*('Plan mensual'!F2+'Plan mensual'!F113+IF(parametros_manuales!$H$42="Todos",'Plan mensual'!F6+'Plan mensual'!F117,0))+parametros_manuales!$E$42*('Plan mensual'!F3+'Plan mensual'!F114+IF(parametros_manuales!$H$42="Todos",'Plan mensual'!F7+'Plan mensual'!F118,0))+parametros_manuales!$F$42*('Plan mensual'!F4+'Plan mensual'!F115+IF(parametros_manuales!$H$42="Todos",'Plan mensual'!F8+'Plan mensual'!F119,0))+parametros_manuales!$G$42*('Plan mensual'!F5+'Plan mensual'!F116+IF(parametros_manuales!$H$42="Todos",'Plan mensual'!F9+'Plan mensual'!F120,0)))*parametros_manuales!$I$42*parametros_manuales!$J$42</f>
        <v>559.85803135705</v>
      </c>
      <c r="E25" s="9" t="n">
        <f aca="false">(parametros_manuales!$D$42*('Plan mensual'!G2+'Plan mensual'!G113+IF(parametros_manuales!$H$42="Todos",'Plan mensual'!G6+'Plan mensual'!G117,0))+parametros_manuales!$E$42*('Plan mensual'!G3+'Plan mensual'!G114+IF(parametros_manuales!$H$42="Todos",'Plan mensual'!G7+'Plan mensual'!G118,0))+parametros_manuales!$F$42*('Plan mensual'!G4+'Plan mensual'!G115+IF(parametros_manuales!$H$42="Todos",'Plan mensual'!G8+'Plan mensual'!G119,0))+parametros_manuales!$G$42*('Plan mensual'!G5+'Plan mensual'!G116+IF(parametros_manuales!$H$42="Todos",'Plan mensual'!G9+'Plan mensual'!G120,0)))*parametros_manuales!$I$42*parametros_manuales!$J$42</f>
        <v>538.96434864205</v>
      </c>
      <c r="F25" s="9" t="n">
        <f aca="false">(parametros_manuales!$D$42*('Plan mensual'!H2+'Plan mensual'!H113+IF(parametros_manuales!$H$42="Todos",'Plan mensual'!H6+'Plan mensual'!H117,0))+parametros_manuales!$E$42*('Plan mensual'!H3+'Plan mensual'!H114+IF(parametros_manuales!$H$42="Todos",'Plan mensual'!H7+'Plan mensual'!H118,0))+parametros_manuales!$F$42*('Plan mensual'!H4+'Plan mensual'!H115+IF(parametros_manuales!$H$42="Todos",'Plan mensual'!H8+'Plan mensual'!H119,0))+parametros_manuales!$G$42*('Plan mensual'!H5+'Plan mensual'!H116+IF(parametros_manuales!$H$42="Todos",'Plan mensual'!H9+'Plan mensual'!H120,0)))*parametros_manuales!$I$42*parametros_manuales!$J$42</f>
        <v>504.8024831084</v>
      </c>
      <c r="G25" s="9" t="n">
        <f aca="false">(parametros_manuales!$D$42*('Plan mensual'!I2+'Plan mensual'!I113+IF(parametros_manuales!$H$42="Todos",'Plan mensual'!I6+'Plan mensual'!I117,0))+parametros_manuales!$E$42*('Plan mensual'!I3+'Plan mensual'!I114+IF(parametros_manuales!$H$42="Todos",'Plan mensual'!I7+'Plan mensual'!I118,0))+parametros_manuales!$F$42*('Plan mensual'!I4+'Plan mensual'!I115+IF(parametros_manuales!$H$42="Todos",'Plan mensual'!I8+'Plan mensual'!I119,0))+parametros_manuales!$G$42*('Plan mensual'!I5+'Plan mensual'!I116+IF(parametros_manuales!$H$42="Todos",'Plan mensual'!I9+'Plan mensual'!I120,0)))*parametros_manuales!$I$42*parametros_manuales!$J$42</f>
        <v>491.53430028975</v>
      </c>
      <c r="H25" s="9" t="n">
        <f aca="false">(parametros_manuales!$D$42*('Plan mensual'!J2+'Plan mensual'!J113+IF(parametros_manuales!$H$42="Todos",'Plan mensual'!J6+'Plan mensual'!J117,0))+parametros_manuales!$E$42*('Plan mensual'!J3+'Plan mensual'!J114+IF(parametros_manuales!$H$42="Todos",'Plan mensual'!J7+'Plan mensual'!J118,0))+parametros_manuales!$F$42*('Plan mensual'!J4+'Plan mensual'!J115+IF(parametros_manuales!$H$42="Todos",'Plan mensual'!J8+'Plan mensual'!J119,0))+parametros_manuales!$G$42*('Plan mensual'!J5+'Plan mensual'!J116+IF(parametros_manuales!$H$42="Todos",'Plan mensual'!J9+'Plan mensual'!J120,0)))*parametros_manuales!$I$42*parametros_manuales!$J$42</f>
        <v>525.6961658234</v>
      </c>
      <c r="I25" s="9" t="n">
        <f aca="false">(parametros_manuales!$D$42*('Plan mensual'!K2+'Plan mensual'!K113+IF(parametros_manuales!$H$42="Todos",'Plan mensual'!K6+'Plan mensual'!K117,0))+parametros_manuales!$E$42*('Plan mensual'!K3+'Plan mensual'!K114+IF(parametros_manuales!$H$42="Todos",'Plan mensual'!K7+'Plan mensual'!K118,0))+parametros_manuales!$F$42*('Plan mensual'!K4+'Plan mensual'!K115+IF(parametros_manuales!$H$42="Todos",'Plan mensual'!K8+'Plan mensual'!K119,0))+parametros_manuales!$G$42*('Plan mensual'!K5+'Plan mensual'!K116+IF(parametros_manuales!$H$42="Todos",'Plan mensual'!K9+'Plan mensual'!K120,0)))*parametros_manuales!$I$42*parametros_manuales!$J$42</f>
        <v>525.6961658234</v>
      </c>
      <c r="J25" s="9" t="n">
        <f aca="false">(parametros_manuales!$D$42*('Plan mensual'!L2+'Plan mensual'!L113+IF(parametros_manuales!$H$42="Todos",'Plan mensual'!L6+'Plan mensual'!L117,0))+parametros_manuales!$E$42*('Plan mensual'!L3+'Plan mensual'!L114+IF(parametros_manuales!$H$42="Todos",'Plan mensual'!L7+'Plan mensual'!L118,0))+parametros_manuales!$F$42*('Plan mensual'!L4+'Plan mensual'!L115+IF(parametros_manuales!$H$42="Todos",'Plan mensual'!L8+'Plan mensual'!L119,0))+parametros_manuales!$G$42*('Plan mensual'!L5+'Plan mensual'!L116+IF(parametros_manuales!$H$42="Todos",'Plan mensual'!L9+'Plan mensual'!L120,0)))*parametros_manuales!$I$42*parametros_manuales!$J$42</f>
        <v>525.6961658234</v>
      </c>
      <c r="K25" s="9" t="n">
        <f aca="false">(parametros_manuales!$D$42*('Plan mensual'!M2+'Plan mensual'!M113+IF(parametros_manuales!$H$42="Todos",'Plan mensual'!M6+'Plan mensual'!M117,0))+parametros_manuales!$E$42*('Plan mensual'!M3+'Plan mensual'!M114+IF(parametros_manuales!$H$42="Todos",'Plan mensual'!M7+'Plan mensual'!M118,0))+parametros_manuales!$F$42*('Plan mensual'!M4+'Plan mensual'!M115+IF(parametros_manuales!$H$42="Todos",'Plan mensual'!M8+'Plan mensual'!M119,0))+parametros_manuales!$G$42*('Plan mensual'!M5+'Plan mensual'!M116+IF(parametros_manuales!$H$42="Todos",'Plan mensual'!M9+'Plan mensual'!M120,0)))*parametros_manuales!$I$42*parametros_manuales!$J$42</f>
        <v>512.42798300475</v>
      </c>
      <c r="L25" s="9" t="n">
        <f aca="false">(parametros_manuales!$D$42*('Plan mensual'!N2+'Plan mensual'!N113+IF(parametros_manuales!$H$42="Todos",'Plan mensual'!N6+'Plan mensual'!N117,0))+parametros_manuales!$E$42*('Plan mensual'!N3+'Plan mensual'!N114+IF(parametros_manuales!$H$42="Todos",'Plan mensual'!N7+'Plan mensual'!N118,0))+parametros_manuales!$F$42*('Plan mensual'!N4+'Plan mensual'!N115+IF(parametros_manuales!$H$42="Todos",'Plan mensual'!N8+'Plan mensual'!N119,0))+parametros_manuales!$G$42*('Plan mensual'!N5+'Plan mensual'!N116+IF(parametros_manuales!$H$42="Todos",'Plan mensual'!N9+'Plan mensual'!N120,0)))*parametros_manuales!$I$42*parametros_manuales!$J$42</f>
        <v>499.1598001861</v>
      </c>
      <c r="M25" s="9" t="n">
        <f aca="false">(parametros_manuales!$D$42*('Plan mensual'!O2+'Plan mensual'!O113+IF(parametros_manuales!$H$42="Todos",'Plan mensual'!O6+'Plan mensual'!O117,0))+parametros_manuales!$E$42*('Plan mensual'!O3+'Plan mensual'!O114+IF(parametros_manuales!$H$42="Todos",'Plan mensual'!O7+'Plan mensual'!O118,0))+parametros_manuales!$F$42*('Plan mensual'!O4+'Plan mensual'!O115+IF(parametros_manuales!$H$42="Todos",'Plan mensual'!O8+'Plan mensual'!O119,0))+parametros_manuales!$G$42*('Plan mensual'!O5+'Plan mensual'!O116+IF(parametros_manuales!$H$42="Todos",'Plan mensual'!O9+'Plan mensual'!O120,0)))*parametros_manuales!$I$42*parametros_manuales!$J$42</f>
        <v>793.3484071703</v>
      </c>
      <c r="N25" s="9" t="n">
        <f aca="false">SUM(B25:M25)</f>
        <v>6832.37310673</v>
      </c>
      <c r="O25" s="9" t="n">
        <f aca="false">MAX(B25:M25)</f>
        <v>793.3484071703</v>
      </c>
      <c r="P25" s="44" t="n">
        <f aca="false">O25/(parametros_manuales!$B$7)</f>
        <v>5.28898938113533</v>
      </c>
      <c r="Q25" s="8" t="str">
        <f aca="false">IF(O25=0,"-",INDEX($B$1:$M$1,MATCH(O25,B25:M25,0)))</f>
        <v>Dic</v>
      </c>
    </row>
    <row r="26" customFormat="false" ht="14.25" hidden="false" customHeight="true" outlineLevel="0" collapsed="false">
      <c r="A26" s="8" t="str">
        <f aca="false">parametros_manuales!$B$43</f>
        <v>Embalaje y paletizado</v>
      </c>
      <c r="B26" s="9" t="n">
        <f aca="false">(parametros_manuales!$D$43*('Plan mensual'!D2+'Plan mensual'!D113+IF(parametros_manuales!$H$43="Todos",'Plan mensual'!D6+'Plan mensual'!D117,0))+parametros_manuales!$E$43*('Plan mensual'!D3+'Plan mensual'!D114+IF(parametros_manuales!$H$43="Todos",'Plan mensual'!D7+'Plan mensual'!D118,0))+parametros_manuales!$F$43*('Plan mensual'!D4+'Plan mensual'!D115+IF(parametros_manuales!$H$43="Todos",'Plan mensual'!D8+'Plan mensual'!D119,0))+parametros_manuales!$G$43*('Plan mensual'!D5+'Plan mensual'!D116+IF(parametros_manuales!$H$43="Todos",'Plan mensual'!D9+'Plan mensual'!D120,0)))*parametros_manuales!$I$43*parametros_manuales!$J$43</f>
        <v>768.712041533</v>
      </c>
      <c r="C26" s="9" t="n">
        <f aca="false">(parametros_manuales!$D$43*('Plan mensual'!E2+'Plan mensual'!E113+IF(parametros_manuales!$H$43="Todos",'Plan mensual'!E6+'Plan mensual'!E117,0))+parametros_manuales!$E$43*('Plan mensual'!E3+'Plan mensual'!E114+IF(parametros_manuales!$H$43="Todos",'Plan mensual'!E7+'Plan mensual'!E118,0))+parametros_manuales!$F$43*('Plan mensual'!E4+'Plan mensual'!E115+IF(parametros_manuales!$H$43="Todos",'Plan mensual'!E8+'Plan mensual'!E119,0))+parametros_manuales!$G$43*('Plan mensual'!E5+'Plan mensual'!E116+IF(parametros_manuales!$H$43="Todos",'Plan mensual'!E9+'Plan mensual'!E120,0)))*parametros_manuales!$I$43*parametros_manuales!$J$43</f>
        <v>589.8972139684</v>
      </c>
      <c r="D26" s="9" t="n">
        <f aca="false">(parametros_manuales!$D$43*('Plan mensual'!F2+'Plan mensual'!F113+IF(parametros_manuales!$H$43="Todos",'Plan mensual'!F6+'Plan mensual'!F117,0))+parametros_manuales!$E$43*('Plan mensual'!F3+'Plan mensual'!F114+IF(parametros_manuales!$H$43="Todos",'Plan mensual'!F7+'Plan mensual'!F118,0))+parametros_manuales!$F$43*('Plan mensual'!F4+'Plan mensual'!F115+IF(parametros_manuales!$H$43="Todos",'Plan mensual'!F8+'Plan mensual'!F119,0))+parametros_manuales!$G$43*('Plan mensual'!F5+'Plan mensual'!F116+IF(parametros_manuales!$H$43="Todos",'Plan mensual'!F9+'Plan mensual'!F120,0)))*parametros_manuales!$I$43*parametros_manuales!$J$43</f>
        <v>561.47303135705</v>
      </c>
      <c r="E26" s="9" t="n">
        <f aca="false">(parametros_manuales!$D$43*('Plan mensual'!G2+'Plan mensual'!G113+IF(parametros_manuales!$H$43="Todos",'Plan mensual'!G6+'Plan mensual'!G117,0))+parametros_manuales!$E$43*('Plan mensual'!G3+'Plan mensual'!G114+IF(parametros_manuales!$H$43="Todos",'Plan mensual'!G7+'Plan mensual'!G118,0))+parametros_manuales!$F$43*('Plan mensual'!G4+'Plan mensual'!G115+IF(parametros_manuales!$H$43="Todos",'Plan mensual'!G8+'Plan mensual'!G119,0))+parametros_manuales!$G$43*('Plan mensual'!G5+'Plan mensual'!G116+IF(parametros_manuales!$H$43="Todos",'Plan mensual'!G9+'Plan mensual'!G120,0)))*parametros_manuales!$I$43*parametros_manuales!$J$43</f>
        <v>540.57934864205</v>
      </c>
      <c r="F26" s="9" t="n">
        <f aca="false">(parametros_manuales!$D$43*('Plan mensual'!H2+'Plan mensual'!H113+IF(parametros_manuales!$H$43="Todos",'Plan mensual'!H6+'Plan mensual'!H117,0))+parametros_manuales!$E$43*('Plan mensual'!H3+'Plan mensual'!H114+IF(parametros_manuales!$H$43="Todos",'Plan mensual'!H7+'Plan mensual'!H118,0))+parametros_manuales!$F$43*('Plan mensual'!H4+'Plan mensual'!H115+IF(parametros_manuales!$H$43="Todos",'Plan mensual'!H8+'Plan mensual'!H119,0))+parametros_manuales!$G$43*('Plan mensual'!H5+'Plan mensual'!H116+IF(parametros_manuales!$H$43="Todos",'Plan mensual'!H9+'Plan mensual'!H120,0)))*parametros_manuales!$I$43*parametros_manuales!$J$43</f>
        <v>506.3224831084</v>
      </c>
      <c r="G26" s="9" t="n">
        <f aca="false">(parametros_manuales!$D$43*('Plan mensual'!I2+'Plan mensual'!I113+IF(parametros_manuales!$H$43="Todos",'Plan mensual'!I6+'Plan mensual'!I117,0))+parametros_manuales!$E$43*('Plan mensual'!I3+'Plan mensual'!I114+IF(parametros_manuales!$H$43="Todos",'Plan mensual'!I7+'Plan mensual'!I118,0))+parametros_manuales!$F$43*('Plan mensual'!I4+'Plan mensual'!I115+IF(parametros_manuales!$H$43="Todos",'Plan mensual'!I8+'Plan mensual'!I119,0))+parametros_manuales!$G$43*('Plan mensual'!I5+'Plan mensual'!I116+IF(parametros_manuales!$H$43="Todos",'Plan mensual'!I9+'Plan mensual'!I120,0)))*parametros_manuales!$I$43*parametros_manuales!$J$43</f>
        <v>492.95930028975</v>
      </c>
      <c r="H26" s="9" t="n">
        <f aca="false">(parametros_manuales!$D$43*('Plan mensual'!J2+'Plan mensual'!J113+IF(parametros_manuales!$H$43="Todos",'Plan mensual'!J6+'Plan mensual'!J117,0))+parametros_manuales!$E$43*('Plan mensual'!J3+'Plan mensual'!J114+IF(parametros_manuales!$H$43="Todos",'Plan mensual'!J7+'Plan mensual'!J118,0))+parametros_manuales!$F$43*('Plan mensual'!J4+'Plan mensual'!J115+IF(parametros_manuales!$H$43="Todos",'Plan mensual'!J8+'Plan mensual'!J119,0))+parametros_manuales!$G$43*('Plan mensual'!J5+'Plan mensual'!J116+IF(parametros_manuales!$H$43="Todos",'Plan mensual'!J9+'Plan mensual'!J120,0)))*parametros_manuales!$I$43*parametros_manuales!$J$43</f>
        <v>527.2161658234</v>
      </c>
      <c r="I26" s="9" t="n">
        <f aca="false">(parametros_manuales!$D$43*('Plan mensual'!K2+'Plan mensual'!K113+IF(parametros_manuales!$H$43="Todos",'Plan mensual'!K6+'Plan mensual'!K117,0))+parametros_manuales!$E$43*('Plan mensual'!K3+'Plan mensual'!K114+IF(parametros_manuales!$H$43="Todos",'Plan mensual'!K7+'Plan mensual'!K118,0))+parametros_manuales!$F$43*('Plan mensual'!K4+'Plan mensual'!K115+IF(parametros_manuales!$H$43="Todos",'Plan mensual'!K8+'Plan mensual'!K119,0))+parametros_manuales!$G$43*('Plan mensual'!K5+'Plan mensual'!K116+IF(parametros_manuales!$H$43="Todos",'Plan mensual'!K9+'Plan mensual'!K120,0)))*parametros_manuales!$I$43*parametros_manuales!$J$43</f>
        <v>527.2161658234</v>
      </c>
      <c r="J26" s="9" t="n">
        <f aca="false">(parametros_manuales!$D$43*('Plan mensual'!L2+'Plan mensual'!L113+IF(parametros_manuales!$H$43="Todos",'Plan mensual'!L6+'Plan mensual'!L117,0))+parametros_manuales!$E$43*('Plan mensual'!L3+'Plan mensual'!L114+IF(parametros_manuales!$H$43="Todos",'Plan mensual'!L7+'Plan mensual'!L118,0))+parametros_manuales!$F$43*('Plan mensual'!L4+'Plan mensual'!L115+IF(parametros_manuales!$H$43="Todos",'Plan mensual'!L8+'Plan mensual'!L119,0))+parametros_manuales!$G$43*('Plan mensual'!L5+'Plan mensual'!L116+IF(parametros_manuales!$H$43="Todos",'Plan mensual'!L9+'Plan mensual'!L120,0)))*parametros_manuales!$I$43*parametros_manuales!$J$43</f>
        <v>527.2161658234</v>
      </c>
      <c r="K26" s="9" t="n">
        <f aca="false">(parametros_manuales!$D$43*('Plan mensual'!M2+'Plan mensual'!M113+IF(parametros_manuales!$H$43="Todos",'Plan mensual'!M6+'Plan mensual'!M117,0))+parametros_manuales!$E$43*('Plan mensual'!M3+'Plan mensual'!M114+IF(parametros_manuales!$H$43="Todos",'Plan mensual'!M7+'Plan mensual'!M118,0))+parametros_manuales!$F$43*('Plan mensual'!M4+'Plan mensual'!M115+IF(parametros_manuales!$H$43="Todos",'Plan mensual'!M8+'Plan mensual'!M119,0))+parametros_manuales!$G$43*('Plan mensual'!M5+'Plan mensual'!M116+IF(parametros_manuales!$H$43="Todos",'Plan mensual'!M9+'Plan mensual'!M120,0)))*parametros_manuales!$I$43*parametros_manuales!$J$43</f>
        <v>513.85298300475</v>
      </c>
      <c r="L26" s="9" t="n">
        <f aca="false">(parametros_manuales!$D$43*('Plan mensual'!N2+'Plan mensual'!N113+IF(parametros_manuales!$H$43="Todos",'Plan mensual'!N6+'Plan mensual'!N117,0))+parametros_manuales!$E$43*('Plan mensual'!N3+'Plan mensual'!N114+IF(parametros_manuales!$H$43="Todos",'Plan mensual'!N7+'Plan mensual'!N118,0))+parametros_manuales!$F$43*('Plan mensual'!N4+'Plan mensual'!N115+IF(parametros_manuales!$H$43="Todos",'Plan mensual'!N8+'Plan mensual'!N119,0))+parametros_manuales!$G$43*('Plan mensual'!N5+'Plan mensual'!N116+IF(parametros_manuales!$H$43="Todos",'Plan mensual'!N9+'Plan mensual'!N120,0)))*parametros_manuales!$I$43*parametros_manuales!$J$43</f>
        <v>500.4898001861</v>
      </c>
      <c r="M26" s="9" t="n">
        <f aca="false">(parametros_manuales!$D$43*('Plan mensual'!O2+'Plan mensual'!O113+IF(parametros_manuales!$H$43="Todos",'Plan mensual'!O6+'Plan mensual'!O117,0))+parametros_manuales!$E$43*('Plan mensual'!O3+'Plan mensual'!O114+IF(parametros_manuales!$H$43="Todos",'Plan mensual'!O7+'Plan mensual'!O118,0))+parametros_manuales!$F$43*('Plan mensual'!O4+'Plan mensual'!O115+IF(parametros_manuales!$H$43="Todos",'Plan mensual'!O8+'Plan mensual'!O119,0))+parametros_manuales!$G$43*('Plan mensual'!O5+'Plan mensual'!O116+IF(parametros_manuales!$H$43="Todos",'Plan mensual'!O9+'Plan mensual'!O120,0)))*parametros_manuales!$I$43*parametros_manuales!$J$43</f>
        <v>795.4384071703</v>
      </c>
      <c r="N26" s="9" t="n">
        <f aca="false">SUM(B26:M26)</f>
        <v>6851.37310673</v>
      </c>
      <c r="O26" s="9" t="n">
        <f aca="false">MAX(B26:M26)</f>
        <v>795.4384071703</v>
      </c>
      <c r="P26" s="44" t="n">
        <f aca="false">O26/(parametros_manuales!$B$7)</f>
        <v>5.30292271446867</v>
      </c>
      <c r="Q26" s="8" t="str">
        <f aca="false">IF(O26=0,"-",INDEX($B$1:$M$1,MATCH(O26,B26:M26,0)))</f>
        <v>Dic</v>
      </c>
    </row>
    <row r="27" customFormat="false" ht="14.25" hidden="false" customHeight="true" outlineLevel="0" collapsed="false"/>
    <row r="28" customFormat="false" ht="14.25" hidden="false" customHeight="true" outlineLevel="0" collapsed="false">
      <c r="A28" s="7" t="s">
        <v>201</v>
      </c>
      <c r="B28" s="7" t="s">
        <v>59</v>
      </c>
      <c r="C28" s="7" t="s">
        <v>60</v>
      </c>
      <c r="D28" s="7" t="s">
        <v>61</v>
      </c>
      <c r="E28" s="7" t="s">
        <v>62</v>
      </c>
      <c r="F28" s="7" t="s">
        <v>63</v>
      </c>
      <c r="G28" s="7" t="s">
        <v>64</v>
      </c>
      <c r="H28" s="7" t="s">
        <v>65</v>
      </c>
      <c r="I28" s="7" t="s">
        <v>66</v>
      </c>
      <c r="J28" s="7" t="s">
        <v>67</v>
      </c>
      <c r="K28" s="7" t="s">
        <v>68</v>
      </c>
      <c r="L28" s="7" t="s">
        <v>69</v>
      </c>
      <c r="M28" s="7" t="s">
        <v>70</v>
      </c>
      <c r="N28" s="7" t="s">
        <v>181</v>
      </c>
      <c r="O28" s="7" t="s">
        <v>198</v>
      </c>
      <c r="P28" s="7" t="s">
        <v>199</v>
      </c>
      <c r="Q28" s="7" t="s">
        <v>200</v>
      </c>
    </row>
    <row r="29" customFormat="false" ht="14.25" hidden="false" customHeight="true" outlineLevel="0" collapsed="false">
      <c r="A29" s="8" t="str">
        <f aca="false">parametros_manuales!$B$19</f>
        <v>Recepción de materia prima</v>
      </c>
      <c r="B29" s="9" t="n">
        <f aca="false">(parametros_manuales!$D$19*('Plan mensual'!D13+'Plan mensual'!D124+IF(parametros_manuales!$H$19="Todos",'Plan mensual'!D17+'Plan mensual'!D128,0))+parametros_manuales!$E$19*('Plan mensual'!D14+'Plan mensual'!D125+IF(parametros_manuales!$H$19="Todos",'Plan mensual'!D18+'Plan mensual'!D129,0))+parametros_manuales!$F$19*('Plan mensual'!D15+'Plan mensual'!D126+IF(parametros_manuales!$H$19="Todos",'Plan mensual'!D19+'Plan mensual'!D130,0))+parametros_manuales!$G$19*('Plan mensual'!D16+'Plan mensual'!D127+IF(parametros_manuales!$H$19="Todos",'Plan mensual'!D20+'Plan mensual'!D131,0)))*parametros_manuales!$I$19*parametros_manuales!$J$19</f>
        <v>1201.51184004</v>
      </c>
      <c r="C29" s="9" t="n">
        <f aca="false">(parametros_manuales!$D$19*('Plan mensual'!E13+'Plan mensual'!E124+IF(parametros_manuales!$H$19="Todos",'Plan mensual'!E17+'Plan mensual'!E128,0))+parametros_manuales!$E$19*('Plan mensual'!E14+'Plan mensual'!E125+IF(parametros_manuales!$H$19="Todos",'Plan mensual'!E18+'Plan mensual'!E129,0))+parametros_manuales!$F$19*('Plan mensual'!E15+'Plan mensual'!E126+IF(parametros_manuales!$H$19="Todos",'Plan mensual'!E19+'Plan mensual'!E130,0))+parametros_manuales!$G$19*('Plan mensual'!E16+'Plan mensual'!E127+IF(parametros_manuales!$H$19="Todos",'Plan mensual'!E20+'Plan mensual'!E131,0)))*parametros_manuales!$I$19*parametros_manuales!$J$19</f>
        <v>925.22564817</v>
      </c>
      <c r="D29" s="9" t="n">
        <f aca="false">(parametros_manuales!$D$19*('Plan mensual'!F13+'Plan mensual'!F124+IF(parametros_manuales!$H$19="Todos",'Plan mensual'!F17+'Plan mensual'!F128,0))+parametros_manuales!$E$19*('Plan mensual'!F14+'Plan mensual'!F125+IF(parametros_manuales!$H$19="Todos",'Plan mensual'!F18+'Plan mensual'!F129,0))+parametros_manuales!$F$19*('Plan mensual'!F15+'Plan mensual'!F126+IF(parametros_manuales!$H$19="Todos",'Plan mensual'!F19+'Plan mensual'!F130,0))+parametros_manuales!$G$19*('Plan mensual'!F16+'Plan mensual'!F127+IF(parametros_manuales!$H$19="Todos",'Plan mensual'!F20+'Plan mensual'!F131,0)))*parametros_manuales!$I$19*parametros_manuales!$J$19</f>
        <v>889.34437654</v>
      </c>
      <c r="E29" s="9" t="n">
        <f aca="false">(parametros_manuales!$D$19*('Plan mensual'!G13+'Plan mensual'!G124+IF(parametros_manuales!$H$19="Todos",'Plan mensual'!G17+'Plan mensual'!G128,0))+parametros_manuales!$E$19*('Plan mensual'!G14+'Plan mensual'!G125+IF(parametros_manuales!$H$19="Todos",'Plan mensual'!G18+'Plan mensual'!G129,0))+parametros_manuales!$F$19*('Plan mensual'!G15+'Plan mensual'!G126+IF(parametros_manuales!$H$19="Todos",'Plan mensual'!G19+'Plan mensual'!G130,0))+parametros_manuales!$G$19*('Plan mensual'!G16+'Plan mensual'!G127+IF(parametros_manuales!$H$19="Todos",'Plan mensual'!G20+'Plan mensual'!G131,0)))*parametros_manuales!$I$19*parametros_manuales!$J$19</f>
        <v>859.357856655</v>
      </c>
      <c r="F29" s="9" t="n">
        <f aca="false">(parametros_manuales!$D$19*('Plan mensual'!H13+'Plan mensual'!H124+IF(parametros_manuales!$H$19="Todos",'Plan mensual'!H17+'Plan mensual'!H128,0))+parametros_manuales!$E$19*('Plan mensual'!H14+'Plan mensual'!H125+IF(parametros_manuales!$H$19="Todos",'Plan mensual'!H18+'Plan mensual'!H129,0))+parametros_manuales!$F$19*('Plan mensual'!H15+'Plan mensual'!H126+IF(parametros_manuales!$H$19="Todos",'Plan mensual'!H19+'Plan mensual'!H130,0))+parametros_manuales!$G$19*('Plan mensual'!H16+'Plan mensual'!H127+IF(parametros_manuales!$H$19="Todos",'Plan mensual'!H20+'Plan mensual'!H131,0)))*parametros_manuales!$I$19*parametros_manuales!$J$19</f>
        <v>805.27956863</v>
      </c>
      <c r="G29" s="9" t="n">
        <f aca="false">(parametros_manuales!$D$19*('Plan mensual'!I13+'Plan mensual'!I124+IF(parametros_manuales!$H$19="Todos",'Plan mensual'!I17+'Plan mensual'!I128,0))+parametros_manuales!$E$19*('Plan mensual'!I14+'Plan mensual'!I125+IF(parametros_manuales!$H$19="Todos",'Plan mensual'!I18+'Plan mensual'!I129,0))+parametros_manuales!$F$19*('Plan mensual'!I15+'Plan mensual'!I126+IF(parametros_manuales!$H$19="Todos",'Plan mensual'!I19+'Plan mensual'!I130,0))+parametros_manuales!$G$19*('Plan mensual'!I16+'Plan mensual'!I127+IF(parametros_manuales!$H$19="Todos",'Plan mensual'!I20+'Plan mensual'!I131,0)))*parametros_manuales!$I$19*parametros_manuales!$J$19</f>
        <v>781.18780049</v>
      </c>
      <c r="H29" s="9" t="n">
        <f aca="false">(parametros_manuales!$D$19*('Plan mensual'!J13+'Plan mensual'!J124+IF(parametros_manuales!$H$19="Todos",'Plan mensual'!J17+'Plan mensual'!J128,0))+parametros_manuales!$E$19*('Plan mensual'!J14+'Plan mensual'!J125+IF(parametros_manuales!$H$19="Todos",'Plan mensual'!J18+'Plan mensual'!J129,0))+parametros_manuales!$F$19*('Plan mensual'!J15+'Plan mensual'!J126+IF(parametros_manuales!$H$19="Todos",'Plan mensual'!J19+'Plan mensual'!J130,0))+parametros_manuales!$G$19*('Plan mensual'!J16+'Plan mensual'!J127+IF(parametros_manuales!$H$19="Todos",'Plan mensual'!J20+'Plan mensual'!J131,0)))*parametros_manuales!$I$19*parametros_manuales!$J$19</f>
        <v>835.266088515</v>
      </c>
      <c r="I29" s="9" t="n">
        <f aca="false">(parametros_manuales!$D$19*('Plan mensual'!K13+'Plan mensual'!K124+IF(parametros_manuales!$H$19="Todos",'Plan mensual'!K17+'Plan mensual'!K128,0))+parametros_manuales!$E$19*('Plan mensual'!K14+'Plan mensual'!K125+IF(parametros_manuales!$H$19="Todos",'Plan mensual'!K18+'Plan mensual'!K129,0))+parametros_manuales!$F$19*('Plan mensual'!K15+'Plan mensual'!K126+IF(parametros_manuales!$H$19="Todos",'Plan mensual'!K19+'Plan mensual'!K130,0))+parametros_manuales!$G$19*('Plan mensual'!K16+'Plan mensual'!K127+IF(parametros_manuales!$H$19="Todos",'Plan mensual'!K20+'Plan mensual'!K131,0)))*parametros_manuales!$I$19*parametros_manuales!$J$19</f>
        <v>835.266088515</v>
      </c>
      <c r="J29" s="9" t="n">
        <f aca="false">(parametros_manuales!$D$19*('Plan mensual'!L13+'Plan mensual'!L124+IF(parametros_manuales!$H$19="Todos",'Plan mensual'!L17+'Plan mensual'!L128,0))+parametros_manuales!$E$19*('Plan mensual'!L14+'Plan mensual'!L125+IF(parametros_manuales!$H$19="Todos",'Plan mensual'!L18+'Plan mensual'!L129,0))+parametros_manuales!$F$19*('Plan mensual'!L15+'Plan mensual'!L126+IF(parametros_manuales!$H$19="Todos",'Plan mensual'!L19+'Plan mensual'!L130,0))+parametros_manuales!$G$19*('Plan mensual'!L16+'Plan mensual'!L127+IF(parametros_manuales!$H$19="Todos",'Plan mensual'!L20+'Plan mensual'!L131,0)))*parametros_manuales!$I$19*parametros_manuales!$J$19</f>
        <v>835.266088515</v>
      </c>
      <c r="K29" s="9" t="n">
        <f aca="false">(parametros_manuales!$D$19*('Plan mensual'!M13+'Plan mensual'!M124+IF(parametros_manuales!$H$19="Todos",'Plan mensual'!M17+'Plan mensual'!M128,0))+parametros_manuales!$E$19*('Plan mensual'!M14+'Plan mensual'!M125+IF(parametros_manuales!$H$19="Todos",'Plan mensual'!M18+'Plan mensual'!M129,0))+parametros_manuales!$F$19*('Plan mensual'!M15+'Plan mensual'!M126+IF(parametros_manuales!$H$19="Todos",'Plan mensual'!M19+'Plan mensual'!M130,0))+parametros_manuales!$G$19*('Plan mensual'!M16+'Plan mensual'!M127+IF(parametros_manuales!$H$19="Todos",'Plan mensual'!M20+'Plan mensual'!M131,0)))*parametros_manuales!$I$19*parametros_manuales!$J$19</f>
        <v>811.174320375</v>
      </c>
      <c r="L29" s="9" t="n">
        <f aca="false">(parametros_manuales!$D$19*('Plan mensual'!N13+'Plan mensual'!N124+IF(parametros_manuales!$H$19="Todos",'Plan mensual'!N17+'Plan mensual'!N128,0))+parametros_manuales!$E$19*('Plan mensual'!N14+'Plan mensual'!N125+IF(parametros_manuales!$H$19="Todos",'Plan mensual'!N18+'Plan mensual'!N129,0))+parametros_manuales!$F$19*('Plan mensual'!N15+'Plan mensual'!N126+IF(parametros_manuales!$H$19="Todos",'Plan mensual'!N19+'Plan mensual'!N130,0))+parametros_manuales!$G$19*('Plan mensual'!N16+'Plan mensual'!N127+IF(parametros_manuales!$H$19="Todos",'Plan mensual'!N20+'Plan mensual'!N131,0)))*parametros_manuales!$I$19*parametros_manuales!$J$19</f>
        <v>787.082552235</v>
      </c>
      <c r="M29" s="9" t="n">
        <f aca="false">(parametros_manuales!$D$19*('Plan mensual'!O13+'Plan mensual'!O124+IF(parametros_manuales!$H$19="Todos",'Plan mensual'!O17+'Plan mensual'!O128,0))+parametros_manuales!$E$19*('Plan mensual'!O14+'Plan mensual'!O125+IF(parametros_manuales!$H$19="Todos",'Plan mensual'!O18+'Plan mensual'!O129,0))+parametros_manuales!$F$19*('Plan mensual'!O15+'Plan mensual'!O126+IF(parametros_manuales!$H$19="Todos",'Plan mensual'!O19+'Plan mensual'!O130,0))+parametros_manuales!$G$19*('Plan mensual'!O16+'Plan mensual'!O127+IF(parametros_manuales!$H$19="Todos",'Plan mensual'!O20+'Plan mensual'!O131,0)))*parametros_manuales!$I$19*parametros_manuales!$J$19</f>
        <v>1249.69537632</v>
      </c>
      <c r="N29" s="9" t="n">
        <f aca="false">SUM(B29:M29)</f>
        <v>10815.657605</v>
      </c>
      <c r="O29" s="9" t="n">
        <f aca="false">MAX(B29:M29)</f>
        <v>1249.69537632</v>
      </c>
      <c r="P29" s="44" t="n">
        <f aca="false">O29/(parametros_manuales!$B$7)</f>
        <v>8.3313025088</v>
      </c>
      <c r="Q29" s="8" t="str">
        <f aca="false">IF(O29=0,"-",INDEX($B$28:$M$28,MATCH(O29,B29:M29,0)))</f>
        <v>Dic</v>
      </c>
    </row>
    <row r="30" customFormat="false" ht="14.25" hidden="false" customHeight="true" outlineLevel="0" collapsed="false">
      <c r="A30" s="8" t="str">
        <f aca="false">parametros_manuales!$B$20</f>
        <v>Corte de chapa (guillotina) — 2,5 a 10 kg</v>
      </c>
      <c r="B30" s="9" t="n">
        <f aca="false">(parametros_manuales!$D$20*('Plan mensual'!D13+'Plan mensual'!D124+IF(parametros_manuales!$H$20="Todos",'Plan mensual'!D17+'Plan mensual'!D128,0))+parametros_manuales!$E$20*('Plan mensual'!D14+'Plan mensual'!D125+IF(parametros_manuales!$H$20="Todos",'Plan mensual'!D18+'Plan mensual'!D129,0))+parametros_manuales!$F$20*('Plan mensual'!D15+'Plan mensual'!D126+IF(parametros_manuales!$H$20="Todos",'Plan mensual'!D19+'Plan mensual'!D130,0))+parametros_manuales!$G$20*('Plan mensual'!D16+'Plan mensual'!D127+IF(parametros_manuales!$H$20="Todos",'Plan mensual'!D20+'Plan mensual'!D131,0)))*parametros_manuales!$I$20*parametros_manuales!$J$20</f>
        <v>481.8353628</v>
      </c>
      <c r="C30" s="9" t="n">
        <f aca="false">(parametros_manuales!$D$20*('Plan mensual'!E13+'Plan mensual'!E124+IF(parametros_manuales!$H$20="Todos",'Plan mensual'!E17+'Plan mensual'!E128,0))+parametros_manuales!$E$20*('Plan mensual'!E14+'Plan mensual'!E125+IF(parametros_manuales!$H$20="Todos",'Plan mensual'!E18+'Plan mensual'!E129,0))+parametros_manuales!$F$20*('Plan mensual'!E15+'Plan mensual'!E126+IF(parametros_manuales!$H$20="Todos",'Plan mensual'!E19+'Plan mensual'!E130,0))+parametros_manuales!$G$20*('Plan mensual'!E16+'Plan mensual'!E127+IF(parametros_manuales!$H$20="Todos",'Plan mensual'!E20+'Plan mensual'!E131,0)))*parametros_manuales!$I$20*parametros_manuales!$J$20</f>
        <v>385.46829024</v>
      </c>
      <c r="D30" s="9" t="n">
        <f aca="false">(parametros_manuales!$D$20*('Plan mensual'!F13+'Plan mensual'!F124+IF(parametros_manuales!$H$20="Todos",'Plan mensual'!F17+'Plan mensual'!F128,0))+parametros_manuales!$E$20*('Plan mensual'!F14+'Plan mensual'!F125+IF(parametros_manuales!$H$20="Todos",'Plan mensual'!F18+'Plan mensual'!F129,0))+parametros_manuales!$F$20*('Plan mensual'!F15+'Plan mensual'!F126+IF(parametros_manuales!$H$20="Todos",'Plan mensual'!F19+'Plan mensual'!F130,0))+parametros_manuales!$G$20*('Plan mensual'!F16+'Plan mensual'!F127+IF(parametros_manuales!$H$20="Todos",'Plan mensual'!F20+'Plan mensual'!F131,0)))*parametros_manuales!$I$20*parametros_manuales!$J$20</f>
        <v>409.56005838</v>
      </c>
      <c r="E30" s="9" t="n">
        <f aca="false">(parametros_manuales!$D$20*('Plan mensual'!G13+'Plan mensual'!G124+IF(parametros_manuales!$H$20="Todos",'Plan mensual'!G17+'Plan mensual'!G128,0))+parametros_manuales!$E$20*('Plan mensual'!G14+'Plan mensual'!G125+IF(parametros_manuales!$H$20="Todos",'Plan mensual'!G18+'Plan mensual'!G129,0))+parametros_manuales!$F$20*('Plan mensual'!G15+'Plan mensual'!G126+IF(parametros_manuales!$H$20="Todos",'Plan mensual'!G19+'Plan mensual'!G130,0))+parametros_manuales!$G$20*('Plan mensual'!G16+'Plan mensual'!G127+IF(parametros_manuales!$H$20="Todos",'Plan mensual'!G20+'Plan mensual'!G131,0)))*parametros_manuales!$I$20*parametros_manuales!$J$20</f>
        <v>409.56005838</v>
      </c>
      <c r="F30" s="9" t="n">
        <f aca="false">(parametros_manuales!$D$20*('Plan mensual'!H13+'Plan mensual'!H124+IF(parametros_manuales!$H$20="Todos",'Plan mensual'!H17+'Plan mensual'!H128,0))+parametros_manuales!$E$20*('Plan mensual'!H14+'Plan mensual'!H125+IF(parametros_manuales!$H$20="Todos",'Plan mensual'!H18+'Plan mensual'!H129,0))+parametros_manuales!$F$20*('Plan mensual'!H15+'Plan mensual'!H126+IF(parametros_manuales!$H$20="Todos",'Plan mensual'!H19+'Plan mensual'!H130,0))+parametros_manuales!$G$20*('Plan mensual'!H16+'Plan mensual'!H127+IF(parametros_manuales!$H$20="Todos",'Plan mensual'!H20+'Plan mensual'!H131,0)))*parametros_manuales!$I$20*parametros_manuales!$J$20</f>
        <v>385.46829024</v>
      </c>
      <c r="G30" s="9" t="n">
        <f aca="false">(parametros_manuales!$D$20*('Plan mensual'!I13+'Plan mensual'!I124+IF(parametros_manuales!$H$20="Todos",'Plan mensual'!I17+'Plan mensual'!I128,0))+parametros_manuales!$E$20*('Plan mensual'!I14+'Plan mensual'!I125+IF(parametros_manuales!$H$20="Todos",'Plan mensual'!I18+'Plan mensual'!I129,0))+parametros_manuales!$F$20*('Plan mensual'!I15+'Plan mensual'!I126+IF(parametros_manuales!$H$20="Todos",'Plan mensual'!I19+'Plan mensual'!I130,0))+parametros_manuales!$G$20*('Plan mensual'!I16+'Plan mensual'!I127+IF(parametros_manuales!$H$20="Todos",'Plan mensual'!I20+'Plan mensual'!I131,0)))*parametros_manuales!$I$20*parametros_manuales!$J$20</f>
        <v>361.3765221</v>
      </c>
      <c r="H30" s="9" t="n">
        <f aca="false">(parametros_manuales!$D$20*('Plan mensual'!J13+'Plan mensual'!J124+IF(parametros_manuales!$H$20="Todos",'Plan mensual'!J17+'Plan mensual'!J128,0))+parametros_manuales!$E$20*('Plan mensual'!J14+'Plan mensual'!J125+IF(parametros_manuales!$H$20="Todos",'Plan mensual'!J18+'Plan mensual'!J129,0))+parametros_manuales!$F$20*('Plan mensual'!J15+'Plan mensual'!J126+IF(parametros_manuales!$H$20="Todos",'Plan mensual'!J19+'Plan mensual'!J130,0))+parametros_manuales!$G$20*('Plan mensual'!J16+'Plan mensual'!J127+IF(parametros_manuales!$H$20="Todos",'Plan mensual'!J20+'Plan mensual'!J131,0)))*parametros_manuales!$I$20*parametros_manuales!$J$20</f>
        <v>385.46829024</v>
      </c>
      <c r="I30" s="9" t="n">
        <f aca="false">(parametros_manuales!$D$20*('Plan mensual'!K13+'Plan mensual'!K124+IF(parametros_manuales!$H$20="Todos",'Plan mensual'!K17+'Plan mensual'!K128,0))+parametros_manuales!$E$20*('Plan mensual'!K14+'Plan mensual'!K125+IF(parametros_manuales!$H$20="Todos",'Plan mensual'!K18+'Plan mensual'!K129,0))+parametros_manuales!$F$20*('Plan mensual'!K15+'Plan mensual'!K126+IF(parametros_manuales!$H$20="Todos",'Plan mensual'!K19+'Plan mensual'!K130,0))+parametros_manuales!$G$20*('Plan mensual'!K16+'Plan mensual'!K127+IF(parametros_manuales!$H$20="Todos",'Plan mensual'!K20+'Plan mensual'!K131,0)))*parametros_manuales!$I$20*parametros_manuales!$J$20</f>
        <v>385.46829024</v>
      </c>
      <c r="J30" s="9" t="n">
        <f aca="false">(parametros_manuales!$D$20*('Plan mensual'!L13+'Plan mensual'!L124+IF(parametros_manuales!$H$20="Todos",'Plan mensual'!L17+'Plan mensual'!L128,0))+parametros_manuales!$E$20*('Plan mensual'!L14+'Plan mensual'!L125+IF(parametros_manuales!$H$20="Todos",'Plan mensual'!L18+'Plan mensual'!L129,0))+parametros_manuales!$F$20*('Plan mensual'!L15+'Plan mensual'!L126+IF(parametros_manuales!$H$20="Todos",'Plan mensual'!L19+'Plan mensual'!L130,0))+parametros_manuales!$G$20*('Plan mensual'!L16+'Plan mensual'!L127+IF(parametros_manuales!$H$20="Todos",'Plan mensual'!L20+'Plan mensual'!L131,0)))*parametros_manuales!$I$20*parametros_manuales!$J$20</f>
        <v>385.46829024</v>
      </c>
      <c r="K30" s="9" t="n">
        <f aca="false">(parametros_manuales!$D$20*('Plan mensual'!M13+'Plan mensual'!M124+IF(parametros_manuales!$H$20="Todos",'Plan mensual'!M17+'Plan mensual'!M128,0))+parametros_manuales!$E$20*('Plan mensual'!M14+'Plan mensual'!M125+IF(parametros_manuales!$H$20="Todos",'Plan mensual'!M18+'Plan mensual'!M129,0))+parametros_manuales!$F$20*('Plan mensual'!M15+'Plan mensual'!M126+IF(parametros_manuales!$H$20="Todos",'Plan mensual'!M19+'Plan mensual'!M130,0))+parametros_manuales!$G$20*('Plan mensual'!M16+'Plan mensual'!M127+IF(parametros_manuales!$H$20="Todos",'Plan mensual'!M20+'Plan mensual'!M131,0)))*parametros_manuales!$I$20*parametros_manuales!$J$20</f>
        <v>361.3765221</v>
      </c>
      <c r="L30" s="9" t="n">
        <f aca="false">(parametros_manuales!$D$20*('Plan mensual'!N13+'Plan mensual'!N124+IF(parametros_manuales!$H$20="Todos",'Plan mensual'!N17+'Plan mensual'!N128,0))+parametros_manuales!$E$20*('Plan mensual'!N14+'Plan mensual'!N125+IF(parametros_manuales!$H$20="Todos",'Plan mensual'!N18+'Plan mensual'!N129,0))+parametros_manuales!$F$20*('Plan mensual'!N15+'Plan mensual'!N126+IF(parametros_manuales!$H$20="Todos",'Plan mensual'!N19+'Plan mensual'!N130,0))+parametros_manuales!$G$20*('Plan mensual'!N16+'Plan mensual'!N127+IF(parametros_manuales!$H$20="Todos",'Plan mensual'!N20+'Plan mensual'!N131,0)))*parametros_manuales!$I$20*parametros_manuales!$J$20</f>
        <v>337.28475396</v>
      </c>
      <c r="M30" s="9" t="n">
        <f aca="false">(parametros_manuales!$D$20*('Plan mensual'!O13+'Plan mensual'!O124+IF(parametros_manuales!$H$20="Todos",'Plan mensual'!O17+'Plan mensual'!O128,0))+parametros_manuales!$E$20*('Plan mensual'!O14+'Plan mensual'!O125+IF(parametros_manuales!$H$20="Todos",'Plan mensual'!O18+'Plan mensual'!O129,0))+parametros_manuales!$F$20*('Plan mensual'!O15+'Plan mensual'!O126+IF(parametros_manuales!$H$20="Todos",'Plan mensual'!O19+'Plan mensual'!O130,0))+parametros_manuales!$G$20*('Plan mensual'!O16+'Plan mensual'!O127+IF(parametros_manuales!$H$20="Todos",'Plan mensual'!O20+'Plan mensual'!O131,0)))*parametros_manuales!$I$20*parametros_manuales!$J$20</f>
        <v>530.01889908</v>
      </c>
      <c r="N30" s="9" t="n">
        <f aca="false">SUM(B30:M30)</f>
        <v>4818.353628</v>
      </c>
      <c r="O30" s="9" t="n">
        <f aca="false">MAX(B30:M30)</f>
        <v>530.01889908</v>
      </c>
      <c r="P30" s="44" t="n">
        <f aca="false">O30/(parametros_manuales!$B$7)</f>
        <v>3.5334593272</v>
      </c>
      <c r="Q30" s="8" t="str">
        <f aca="false">IF(O30=0,"-",INDEX($B$28:$M$28,MATCH(O30,B30:M30,0)))</f>
        <v>Dic</v>
      </c>
    </row>
    <row r="31" customFormat="false" ht="14.25" hidden="false" customHeight="true" outlineLevel="0" collapsed="false">
      <c r="A31" s="8" t="str">
        <f aca="false">parametros_manuales!$B$21</f>
        <v>Corte de tubo — 1 kg</v>
      </c>
      <c r="B31" s="9" t="n">
        <f aca="false">(parametros_manuales!$D$21*('Plan mensual'!D13+'Plan mensual'!D124+IF(parametros_manuales!$H$21="Todos",'Plan mensual'!D17+'Plan mensual'!D128,0))+parametros_manuales!$E$21*('Plan mensual'!D14+'Plan mensual'!D125+IF(parametros_manuales!$H$21="Todos",'Plan mensual'!D18+'Plan mensual'!D129,0))+parametros_manuales!$F$21*('Plan mensual'!D15+'Plan mensual'!D126+IF(parametros_manuales!$H$21="Todos",'Plan mensual'!D19+'Plan mensual'!D130,0))+parametros_manuales!$G$21*('Plan mensual'!D16+'Plan mensual'!D127+IF(parametros_manuales!$H$21="Todos",'Plan mensual'!D20+'Plan mensual'!D131,0)))*parametros_manuales!$I$21*parametros_manuales!$J$21</f>
        <v>719.67647724</v>
      </c>
      <c r="C31" s="9" t="n">
        <f aca="false">(parametros_manuales!$D$21*('Plan mensual'!E13+'Plan mensual'!E124+IF(parametros_manuales!$H$21="Todos",'Plan mensual'!E17+'Plan mensual'!E128,0))+parametros_manuales!$E$21*('Plan mensual'!E14+'Plan mensual'!E125+IF(parametros_manuales!$H$21="Todos",'Plan mensual'!E18+'Plan mensual'!E129,0))+parametros_manuales!$F$21*('Plan mensual'!E15+'Plan mensual'!E126+IF(parametros_manuales!$H$21="Todos",'Plan mensual'!E19+'Plan mensual'!E130,0))+parametros_manuales!$G$21*('Plan mensual'!E16+'Plan mensual'!E127+IF(parametros_manuales!$H$21="Todos",'Plan mensual'!E20+'Plan mensual'!E131,0)))*parametros_manuales!$I$21*parametros_manuales!$J$21</f>
        <v>539.75735793</v>
      </c>
      <c r="D31" s="9" t="n">
        <f aca="false">(parametros_manuales!$D$21*('Plan mensual'!F13+'Plan mensual'!F124+IF(parametros_manuales!$H$21="Todos",'Plan mensual'!F17+'Plan mensual'!F128,0))+parametros_manuales!$E$21*('Plan mensual'!F14+'Plan mensual'!F125+IF(parametros_manuales!$H$21="Todos",'Plan mensual'!F18+'Plan mensual'!F129,0))+parametros_manuales!$F$21*('Plan mensual'!F15+'Plan mensual'!F126+IF(parametros_manuales!$H$21="Todos",'Plan mensual'!F19+'Plan mensual'!F130,0))+parametros_manuales!$G$21*('Plan mensual'!F16+'Plan mensual'!F127+IF(parametros_manuales!$H$21="Todos",'Plan mensual'!F20+'Plan mensual'!F131,0)))*parametros_manuales!$I$21*parametros_manuales!$J$21</f>
        <v>479.78431816</v>
      </c>
      <c r="E31" s="9" t="n">
        <f aca="false">(parametros_manuales!$D$21*('Plan mensual'!G13+'Plan mensual'!G124+IF(parametros_manuales!$H$21="Todos",'Plan mensual'!G17+'Plan mensual'!G128,0))+parametros_manuales!$E$21*('Plan mensual'!G14+'Plan mensual'!G125+IF(parametros_manuales!$H$21="Todos",'Plan mensual'!G18+'Plan mensual'!G129,0))+parametros_manuales!$F$21*('Plan mensual'!G15+'Plan mensual'!G126+IF(parametros_manuales!$H$21="Todos",'Plan mensual'!G19+'Plan mensual'!G130,0))+parametros_manuales!$G$21*('Plan mensual'!G16+'Plan mensual'!G127+IF(parametros_manuales!$H$21="Todos",'Plan mensual'!G20+'Plan mensual'!G131,0)))*parametros_manuales!$I$21*parametros_manuales!$J$21</f>
        <v>449.797798275</v>
      </c>
      <c r="F31" s="9" t="n">
        <f aca="false">(parametros_manuales!$D$21*('Plan mensual'!H13+'Plan mensual'!H124+IF(parametros_manuales!$H$21="Todos",'Plan mensual'!H17+'Plan mensual'!H128,0))+parametros_manuales!$E$21*('Plan mensual'!H14+'Plan mensual'!H125+IF(parametros_manuales!$H$21="Todos",'Plan mensual'!H18+'Plan mensual'!H129,0))+parametros_manuales!$F$21*('Plan mensual'!H15+'Plan mensual'!H126+IF(parametros_manuales!$H$21="Todos",'Plan mensual'!H19+'Plan mensual'!H130,0))+parametros_manuales!$G$21*('Plan mensual'!H16+'Plan mensual'!H127+IF(parametros_manuales!$H$21="Todos",'Plan mensual'!H20+'Plan mensual'!H131,0)))*parametros_manuales!$I$21*parametros_manuales!$J$21</f>
        <v>419.81127839</v>
      </c>
      <c r="G31" s="9" t="n">
        <f aca="false">(parametros_manuales!$D$21*('Plan mensual'!I13+'Plan mensual'!I124+IF(parametros_manuales!$H$21="Todos",'Plan mensual'!I17+'Plan mensual'!I128,0))+parametros_manuales!$E$21*('Plan mensual'!I14+'Plan mensual'!I125+IF(parametros_manuales!$H$21="Todos",'Plan mensual'!I18+'Plan mensual'!I129,0))+parametros_manuales!$F$21*('Plan mensual'!I15+'Plan mensual'!I126+IF(parametros_manuales!$H$21="Todos",'Plan mensual'!I19+'Plan mensual'!I130,0))+parametros_manuales!$G$21*('Plan mensual'!I16+'Plan mensual'!I127+IF(parametros_manuales!$H$21="Todos",'Plan mensual'!I20+'Plan mensual'!I131,0)))*parametros_manuales!$I$21*parametros_manuales!$J$21</f>
        <v>419.81127839</v>
      </c>
      <c r="H31" s="9" t="n">
        <f aca="false">(parametros_manuales!$D$21*('Plan mensual'!J13+'Plan mensual'!J124+IF(parametros_manuales!$H$21="Todos",'Plan mensual'!J17+'Plan mensual'!J128,0))+parametros_manuales!$E$21*('Plan mensual'!J14+'Plan mensual'!J125+IF(parametros_manuales!$H$21="Todos",'Plan mensual'!J18+'Plan mensual'!J129,0))+parametros_manuales!$F$21*('Plan mensual'!J15+'Plan mensual'!J126+IF(parametros_manuales!$H$21="Todos",'Plan mensual'!J19+'Plan mensual'!J130,0))+parametros_manuales!$G$21*('Plan mensual'!J16+'Plan mensual'!J127+IF(parametros_manuales!$H$21="Todos",'Plan mensual'!J20+'Plan mensual'!J131,0)))*parametros_manuales!$I$21*parametros_manuales!$J$21</f>
        <v>449.797798275</v>
      </c>
      <c r="I31" s="9" t="n">
        <f aca="false">(parametros_manuales!$D$21*('Plan mensual'!K13+'Plan mensual'!K124+IF(parametros_manuales!$H$21="Todos",'Plan mensual'!K17+'Plan mensual'!K128,0))+parametros_manuales!$E$21*('Plan mensual'!K14+'Plan mensual'!K125+IF(parametros_manuales!$H$21="Todos",'Plan mensual'!K18+'Plan mensual'!K129,0))+parametros_manuales!$F$21*('Plan mensual'!K15+'Plan mensual'!K126+IF(parametros_manuales!$H$21="Todos",'Plan mensual'!K19+'Plan mensual'!K130,0))+parametros_manuales!$G$21*('Plan mensual'!K16+'Plan mensual'!K127+IF(parametros_manuales!$H$21="Todos",'Plan mensual'!K20+'Plan mensual'!K131,0)))*parametros_manuales!$I$21*parametros_manuales!$J$21</f>
        <v>449.797798275</v>
      </c>
      <c r="J31" s="9" t="n">
        <f aca="false">(parametros_manuales!$D$21*('Plan mensual'!L13+'Plan mensual'!L124+IF(parametros_manuales!$H$21="Todos",'Plan mensual'!L17+'Plan mensual'!L128,0))+parametros_manuales!$E$21*('Plan mensual'!L14+'Plan mensual'!L125+IF(parametros_manuales!$H$21="Todos",'Plan mensual'!L18+'Plan mensual'!L129,0))+parametros_manuales!$F$21*('Plan mensual'!L15+'Plan mensual'!L126+IF(parametros_manuales!$H$21="Todos",'Plan mensual'!L19+'Plan mensual'!L130,0))+parametros_manuales!$G$21*('Plan mensual'!L16+'Plan mensual'!L127+IF(parametros_manuales!$H$21="Todos",'Plan mensual'!L20+'Plan mensual'!L131,0)))*parametros_manuales!$I$21*parametros_manuales!$J$21</f>
        <v>449.797798275</v>
      </c>
      <c r="K31" s="9" t="n">
        <f aca="false">(parametros_manuales!$D$21*('Plan mensual'!M13+'Plan mensual'!M124+IF(parametros_manuales!$H$21="Todos",'Plan mensual'!M17+'Plan mensual'!M128,0))+parametros_manuales!$E$21*('Plan mensual'!M14+'Plan mensual'!M125+IF(parametros_manuales!$H$21="Todos",'Plan mensual'!M18+'Plan mensual'!M129,0))+parametros_manuales!$F$21*('Plan mensual'!M15+'Plan mensual'!M126+IF(parametros_manuales!$H$21="Todos",'Plan mensual'!M19+'Plan mensual'!M130,0))+parametros_manuales!$G$21*('Plan mensual'!M16+'Plan mensual'!M127+IF(parametros_manuales!$H$21="Todos",'Plan mensual'!M20+'Plan mensual'!M131,0)))*parametros_manuales!$I$21*parametros_manuales!$J$21</f>
        <v>449.797798275</v>
      </c>
      <c r="L31" s="9" t="n">
        <f aca="false">(parametros_manuales!$D$21*('Plan mensual'!N13+'Plan mensual'!N124+IF(parametros_manuales!$H$21="Todos",'Plan mensual'!N17+'Plan mensual'!N128,0))+parametros_manuales!$E$21*('Plan mensual'!N14+'Plan mensual'!N125+IF(parametros_manuales!$H$21="Todos",'Plan mensual'!N18+'Plan mensual'!N129,0))+parametros_manuales!$F$21*('Plan mensual'!N15+'Plan mensual'!N126+IF(parametros_manuales!$H$21="Todos",'Plan mensual'!N19+'Plan mensual'!N130,0))+parametros_manuales!$G$21*('Plan mensual'!N16+'Plan mensual'!N127+IF(parametros_manuales!$H$21="Todos",'Plan mensual'!N20+'Plan mensual'!N131,0)))*parametros_manuales!$I$21*parametros_manuales!$J$21</f>
        <v>449.797798275</v>
      </c>
      <c r="M31" s="9" t="n">
        <f aca="false">(parametros_manuales!$D$21*('Plan mensual'!O13+'Plan mensual'!O124+IF(parametros_manuales!$H$21="Todos",'Plan mensual'!O17+'Plan mensual'!O128,0))+parametros_manuales!$E$21*('Plan mensual'!O14+'Plan mensual'!O125+IF(parametros_manuales!$H$21="Todos",'Plan mensual'!O18+'Plan mensual'!O129,0))+parametros_manuales!$F$21*('Plan mensual'!O15+'Plan mensual'!O126+IF(parametros_manuales!$H$21="Todos",'Plan mensual'!O19+'Plan mensual'!O130,0))+parametros_manuales!$G$21*('Plan mensual'!O16+'Plan mensual'!O127+IF(parametros_manuales!$H$21="Todos",'Plan mensual'!O20+'Plan mensual'!O131,0)))*parametros_manuales!$I$21*parametros_manuales!$J$21</f>
        <v>719.67647724</v>
      </c>
      <c r="N31" s="9" t="n">
        <f aca="false">SUM(B31:M31)</f>
        <v>5997.303977</v>
      </c>
      <c r="O31" s="9" t="n">
        <f aca="false">MAX(B31:M31)</f>
        <v>719.67647724</v>
      </c>
      <c r="P31" s="44" t="n">
        <f aca="false">O31/(parametros_manuales!$B$7)</f>
        <v>4.7978431816</v>
      </c>
      <c r="Q31" s="8" t="str">
        <f aca="false">IF(O31=0,"-",INDEX($B$28:$M$28,MATCH(O31,B31:M31,0)))</f>
        <v>Ene</v>
      </c>
    </row>
    <row r="32" customFormat="false" ht="14.25" hidden="false" customHeight="true" outlineLevel="0" collapsed="false">
      <c r="A32" s="8" t="str">
        <f aca="false">parametros_manuales!$B$22</f>
        <v>Corte de disco y embutido (cúpula y fondo)</v>
      </c>
      <c r="B32" s="9" t="n">
        <f aca="false">(parametros_manuales!$D$22*('Plan mensual'!D13+'Plan mensual'!D124+IF(parametros_manuales!$H$22="Todos",'Plan mensual'!D17+'Plan mensual'!D128,0))+parametros_manuales!$E$22*('Plan mensual'!D14+'Plan mensual'!D125+IF(parametros_manuales!$H$22="Todos",'Plan mensual'!D18+'Plan mensual'!D129,0))+parametros_manuales!$F$22*('Plan mensual'!D15+'Plan mensual'!D126+IF(parametros_manuales!$H$22="Todos",'Plan mensual'!D19+'Plan mensual'!D130,0))+parametros_manuales!$G$22*('Plan mensual'!D16+'Plan mensual'!D127+IF(parametros_manuales!$H$22="Todos",'Plan mensual'!D20+'Plan mensual'!D131,0)))*parametros_manuales!$I$22*parametros_manuales!$J$22</f>
        <v>2403.02368008</v>
      </c>
      <c r="C32" s="9" t="n">
        <f aca="false">(parametros_manuales!$D$22*('Plan mensual'!E13+'Plan mensual'!E124+IF(parametros_manuales!$H$22="Todos",'Plan mensual'!E17+'Plan mensual'!E128,0))+parametros_manuales!$E$22*('Plan mensual'!E14+'Plan mensual'!E125+IF(parametros_manuales!$H$22="Todos",'Plan mensual'!E18+'Plan mensual'!E129,0))+parametros_manuales!$F$22*('Plan mensual'!E15+'Plan mensual'!E126+IF(parametros_manuales!$H$22="Todos",'Plan mensual'!E19+'Plan mensual'!E130,0))+parametros_manuales!$G$22*('Plan mensual'!E16+'Plan mensual'!E127+IF(parametros_manuales!$H$22="Todos",'Plan mensual'!E20+'Plan mensual'!E131,0)))*parametros_manuales!$I$22*parametros_manuales!$J$22</f>
        <v>1850.45129634</v>
      </c>
      <c r="D32" s="9" t="n">
        <f aca="false">(parametros_manuales!$D$22*('Plan mensual'!F13+'Plan mensual'!F124+IF(parametros_manuales!$H$22="Todos",'Plan mensual'!F17+'Plan mensual'!F128,0))+parametros_manuales!$E$22*('Plan mensual'!F14+'Plan mensual'!F125+IF(parametros_manuales!$H$22="Todos",'Plan mensual'!F18+'Plan mensual'!F129,0))+parametros_manuales!$F$22*('Plan mensual'!F15+'Plan mensual'!F126+IF(parametros_manuales!$H$22="Todos",'Plan mensual'!F19+'Plan mensual'!F130,0))+parametros_manuales!$G$22*('Plan mensual'!F16+'Plan mensual'!F127+IF(parametros_manuales!$H$22="Todos",'Plan mensual'!F20+'Plan mensual'!F131,0)))*parametros_manuales!$I$22*parametros_manuales!$J$22</f>
        <v>1778.68875308</v>
      </c>
      <c r="E32" s="9" t="n">
        <f aca="false">(parametros_manuales!$D$22*('Plan mensual'!G13+'Plan mensual'!G124+IF(parametros_manuales!$H$22="Todos",'Plan mensual'!G17+'Plan mensual'!G128,0))+parametros_manuales!$E$22*('Plan mensual'!G14+'Plan mensual'!G125+IF(parametros_manuales!$H$22="Todos",'Plan mensual'!G18+'Plan mensual'!G129,0))+parametros_manuales!$F$22*('Plan mensual'!G15+'Plan mensual'!G126+IF(parametros_manuales!$H$22="Todos",'Plan mensual'!G19+'Plan mensual'!G130,0))+parametros_manuales!$G$22*('Plan mensual'!G16+'Plan mensual'!G127+IF(parametros_manuales!$H$22="Todos",'Plan mensual'!G20+'Plan mensual'!G131,0)))*parametros_manuales!$I$22*parametros_manuales!$J$22</f>
        <v>1718.71571331</v>
      </c>
      <c r="F32" s="9" t="n">
        <f aca="false">(parametros_manuales!$D$22*('Plan mensual'!H13+'Plan mensual'!H124+IF(parametros_manuales!$H$22="Todos",'Plan mensual'!H17+'Plan mensual'!H128,0))+parametros_manuales!$E$22*('Plan mensual'!H14+'Plan mensual'!H125+IF(parametros_manuales!$H$22="Todos",'Plan mensual'!H18+'Plan mensual'!H129,0))+parametros_manuales!$F$22*('Plan mensual'!H15+'Plan mensual'!H126+IF(parametros_manuales!$H$22="Todos",'Plan mensual'!H19+'Plan mensual'!H130,0))+parametros_manuales!$G$22*('Plan mensual'!H16+'Plan mensual'!H127+IF(parametros_manuales!$H$22="Todos",'Plan mensual'!H20+'Plan mensual'!H131,0)))*parametros_manuales!$I$22*parametros_manuales!$J$22</f>
        <v>1610.55913726</v>
      </c>
      <c r="G32" s="9" t="n">
        <f aca="false">(parametros_manuales!$D$22*('Plan mensual'!I13+'Plan mensual'!I124+IF(parametros_manuales!$H$22="Todos",'Plan mensual'!I17+'Plan mensual'!I128,0))+parametros_manuales!$E$22*('Plan mensual'!I14+'Plan mensual'!I125+IF(parametros_manuales!$H$22="Todos",'Plan mensual'!I18+'Plan mensual'!I129,0))+parametros_manuales!$F$22*('Plan mensual'!I15+'Plan mensual'!I126+IF(parametros_manuales!$H$22="Todos",'Plan mensual'!I19+'Plan mensual'!I130,0))+parametros_manuales!$G$22*('Plan mensual'!I16+'Plan mensual'!I127+IF(parametros_manuales!$H$22="Todos",'Plan mensual'!I20+'Plan mensual'!I131,0)))*parametros_manuales!$I$22*parametros_manuales!$J$22</f>
        <v>1562.37560098</v>
      </c>
      <c r="H32" s="9" t="n">
        <f aca="false">(parametros_manuales!$D$22*('Plan mensual'!J13+'Plan mensual'!J124+IF(parametros_manuales!$H$22="Todos",'Plan mensual'!J17+'Plan mensual'!J128,0))+parametros_manuales!$E$22*('Plan mensual'!J14+'Plan mensual'!J125+IF(parametros_manuales!$H$22="Todos",'Plan mensual'!J18+'Plan mensual'!J129,0))+parametros_manuales!$F$22*('Plan mensual'!J15+'Plan mensual'!J126+IF(parametros_manuales!$H$22="Todos",'Plan mensual'!J19+'Plan mensual'!J130,0))+parametros_manuales!$G$22*('Plan mensual'!J16+'Plan mensual'!J127+IF(parametros_manuales!$H$22="Todos",'Plan mensual'!J20+'Plan mensual'!J131,0)))*parametros_manuales!$I$22*parametros_manuales!$J$22</f>
        <v>1670.53217703</v>
      </c>
      <c r="I32" s="9" t="n">
        <f aca="false">(parametros_manuales!$D$22*('Plan mensual'!K13+'Plan mensual'!K124+IF(parametros_manuales!$H$22="Todos",'Plan mensual'!K17+'Plan mensual'!K128,0))+parametros_manuales!$E$22*('Plan mensual'!K14+'Plan mensual'!K125+IF(parametros_manuales!$H$22="Todos",'Plan mensual'!K18+'Plan mensual'!K129,0))+parametros_manuales!$F$22*('Plan mensual'!K15+'Plan mensual'!K126+IF(parametros_manuales!$H$22="Todos",'Plan mensual'!K19+'Plan mensual'!K130,0))+parametros_manuales!$G$22*('Plan mensual'!K16+'Plan mensual'!K127+IF(parametros_manuales!$H$22="Todos",'Plan mensual'!K20+'Plan mensual'!K131,0)))*parametros_manuales!$I$22*parametros_manuales!$J$22</f>
        <v>1670.53217703</v>
      </c>
      <c r="J32" s="9" t="n">
        <f aca="false">(parametros_manuales!$D$22*('Plan mensual'!L13+'Plan mensual'!L124+IF(parametros_manuales!$H$22="Todos",'Plan mensual'!L17+'Plan mensual'!L128,0))+parametros_manuales!$E$22*('Plan mensual'!L14+'Plan mensual'!L125+IF(parametros_manuales!$H$22="Todos",'Plan mensual'!L18+'Plan mensual'!L129,0))+parametros_manuales!$F$22*('Plan mensual'!L15+'Plan mensual'!L126+IF(parametros_manuales!$H$22="Todos",'Plan mensual'!L19+'Plan mensual'!L130,0))+parametros_manuales!$G$22*('Plan mensual'!L16+'Plan mensual'!L127+IF(parametros_manuales!$H$22="Todos",'Plan mensual'!L20+'Plan mensual'!L131,0)))*parametros_manuales!$I$22*parametros_manuales!$J$22</f>
        <v>1670.53217703</v>
      </c>
      <c r="K32" s="9" t="n">
        <f aca="false">(parametros_manuales!$D$22*('Plan mensual'!M13+'Plan mensual'!M124+IF(parametros_manuales!$H$22="Todos",'Plan mensual'!M17+'Plan mensual'!M128,0))+parametros_manuales!$E$22*('Plan mensual'!M14+'Plan mensual'!M125+IF(parametros_manuales!$H$22="Todos",'Plan mensual'!M18+'Plan mensual'!M129,0))+parametros_manuales!$F$22*('Plan mensual'!M15+'Plan mensual'!M126+IF(parametros_manuales!$H$22="Todos",'Plan mensual'!M19+'Plan mensual'!M130,0))+parametros_manuales!$G$22*('Plan mensual'!M16+'Plan mensual'!M127+IF(parametros_manuales!$H$22="Todos",'Plan mensual'!M20+'Plan mensual'!M131,0)))*parametros_manuales!$I$22*parametros_manuales!$J$22</f>
        <v>1622.34864075</v>
      </c>
      <c r="L32" s="9" t="n">
        <f aca="false">(parametros_manuales!$D$22*('Plan mensual'!N13+'Plan mensual'!N124+IF(parametros_manuales!$H$22="Todos",'Plan mensual'!N17+'Plan mensual'!N128,0))+parametros_manuales!$E$22*('Plan mensual'!N14+'Plan mensual'!N125+IF(parametros_manuales!$H$22="Todos",'Plan mensual'!N18+'Plan mensual'!N129,0))+parametros_manuales!$F$22*('Plan mensual'!N15+'Plan mensual'!N126+IF(parametros_manuales!$H$22="Todos",'Plan mensual'!N19+'Plan mensual'!N130,0))+parametros_manuales!$G$22*('Plan mensual'!N16+'Plan mensual'!N127+IF(parametros_manuales!$H$22="Todos",'Plan mensual'!N20+'Plan mensual'!N131,0)))*parametros_manuales!$I$22*parametros_manuales!$J$22</f>
        <v>1574.16510447</v>
      </c>
      <c r="M32" s="9" t="n">
        <f aca="false">(parametros_manuales!$D$22*('Plan mensual'!O13+'Plan mensual'!O124+IF(parametros_manuales!$H$22="Todos",'Plan mensual'!O17+'Plan mensual'!O128,0))+parametros_manuales!$E$22*('Plan mensual'!O14+'Plan mensual'!O125+IF(parametros_manuales!$H$22="Todos",'Plan mensual'!O18+'Plan mensual'!O129,0))+parametros_manuales!$F$22*('Plan mensual'!O15+'Plan mensual'!O126+IF(parametros_manuales!$H$22="Todos",'Plan mensual'!O19+'Plan mensual'!O130,0))+parametros_manuales!$G$22*('Plan mensual'!O16+'Plan mensual'!O127+IF(parametros_manuales!$H$22="Todos",'Plan mensual'!O20+'Plan mensual'!O131,0)))*parametros_manuales!$I$22*parametros_manuales!$J$22</f>
        <v>2499.39075264</v>
      </c>
      <c r="N32" s="9" t="n">
        <f aca="false">SUM(B32:M32)</f>
        <v>21631.31521</v>
      </c>
      <c r="O32" s="9" t="n">
        <f aca="false">MAX(B32:M32)</f>
        <v>2499.39075264</v>
      </c>
      <c r="P32" s="44" t="n">
        <f aca="false">O32/(parametros_manuales!$B$7)</f>
        <v>16.6626050176</v>
      </c>
      <c r="Q32" s="8" t="str">
        <f aca="false">IF(O32=0,"-",INDEX($B$28:$M$28,MATCH(O32,B32:M32,0)))</f>
        <v>Dic</v>
      </c>
    </row>
    <row r="33" customFormat="false" ht="14.25" hidden="false" customHeight="true" outlineLevel="0" collapsed="false">
      <c r="A33" s="8" t="str">
        <f aca="false">parametros_manuales!$B$23</f>
        <v>Preparación de cuello</v>
      </c>
      <c r="B33" s="9" t="n">
        <f aca="false">(parametros_manuales!$D$23*('Plan mensual'!D13+'Plan mensual'!D124+IF(parametros_manuales!$H$23="Todos",'Plan mensual'!D17+'Plan mensual'!D128,0))+parametros_manuales!$E$23*('Plan mensual'!D14+'Plan mensual'!D125+IF(parametros_manuales!$H$23="Todos",'Plan mensual'!D18+'Plan mensual'!D129,0))+parametros_manuales!$F$23*('Plan mensual'!D15+'Plan mensual'!D126+IF(parametros_manuales!$H$23="Todos",'Plan mensual'!D19+'Plan mensual'!D130,0))+parametros_manuales!$G$23*('Plan mensual'!D16+'Plan mensual'!D127+IF(parametros_manuales!$H$23="Todos",'Plan mensual'!D20+'Plan mensual'!D131,0)))*parametros_manuales!$I$23*parametros_manuales!$J$23</f>
        <v>1201.51184004</v>
      </c>
      <c r="C33" s="9" t="n">
        <f aca="false">(parametros_manuales!$D$23*('Plan mensual'!E13+'Plan mensual'!E124+IF(parametros_manuales!$H$23="Todos",'Plan mensual'!E17+'Plan mensual'!E128,0))+parametros_manuales!$E$23*('Plan mensual'!E14+'Plan mensual'!E125+IF(parametros_manuales!$H$23="Todos",'Plan mensual'!E18+'Plan mensual'!E129,0))+parametros_manuales!$F$23*('Plan mensual'!E15+'Plan mensual'!E126+IF(parametros_manuales!$H$23="Todos",'Plan mensual'!E19+'Plan mensual'!E130,0))+parametros_manuales!$G$23*('Plan mensual'!E16+'Plan mensual'!E127+IF(parametros_manuales!$H$23="Todos",'Plan mensual'!E20+'Plan mensual'!E131,0)))*parametros_manuales!$I$23*parametros_manuales!$J$23</f>
        <v>925.22564817</v>
      </c>
      <c r="D33" s="9" t="n">
        <f aca="false">(parametros_manuales!$D$23*('Plan mensual'!F13+'Plan mensual'!F124+IF(parametros_manuales!$H$23="Todos",'Plan mensual'!F17+'Plan mensual'!F128,0))+parametros_manuales!$E$23*('Plan mensual'!F14+'Plan mensual'!F125+IF(parametros_manuales!$H$23="Todos",'Plan mensual'!F18+'Plan mensual'!F129,0))+parametros_manuales!$F$23*('Plan mensual'!F15+'Plan mensual'!F126+IF(parametros_manuales!$H$23="Todos",'Plan mensual'!F19+'Plan mensual'!F130,0))+parametros_manuales!$G$23*('Plan mensual'!F16+'Plan mensual'!F127+IF(parametros_manuales!$H$23="Todos",'Plan mensual'!F20+'Plan mensual'!F131,0)))*parametros_manuales!$I$23*parametros_manuales!$J$23</f>
        <v>889.34437654</v>
      </c>
      <c r="E33" s="9" t="n">
        <f aca="false">(parametros_manuales!$D$23*('Plan mensual'!G13+'Plan mensual'!G124+IF(parametros_manuales!$H$23="Todos",'Plan mensual'!G17+'Plan mensual'!G128,0))+parametros_manuales!$E$23*('Plan mensual'!G14+'Plan mensual'!G125+IF(parametros_manuales!$H$23="Todos",'Plan mensual'!G18+'Plan mensual'!G129,0))+parametros_manuales!$F$23*('Plan mensual'!G15+'Plan mensual'!G126+IF(parametros_manuales!$H$23="Todos",'Plan mensual'!G19+'Plan mensual'!G130,0))+parametros_manuales!$G$23*('Plan mensual'!G16+'Plan mensual'!G127+IF(parametros_manuales!$H$23="Todos",'Plan mensual'!G20+'Plan mensual'!G131,0)))*parametros_manuales!$I$23*parametros_manuales!$J$23</f>
        <v>859.357856655</v>
      </c>
      <c r="F33" s="9" t="n">
        <f aca="false">(parametros_manuales!$D$23*('Plan mensual'!H13+'Plan mensual'!H124+IF(parametros_manuales!$H$23="Todos",'Plan mensual'!H17+'Plan mensual'!H128,0))+parametros_manuales!$E$23*('Plan mensual'!H14+'Plan mensual'!H125+IF(parametros_manuales!$H$23="Todos",'Plan mensual'!H18+'Plan mensual'!H129,0))+parametros_manuales!$F$23*('Plan mensual'!H15+'Plan mensual'!H126+IF(parametros_manuales!$H$23="Todos",'Plan mensual'!H19+'Plan mensual'!H130,0))+parametros_manuales!$G$23*('Plan mensual'!H16+'Plan mensual'!H127+IF(parametros_manuales!$H$23="Todos",'Plan mensual'!H20+'Plan mensual'!H131,0)))*parametros_manuales!$I$23*parametros_manuales!$J$23</f>
        <v>805.27956863</v>
      </c>
      <c r="G33" s="9" t="n">
        <f aca="false">(parametros_manuales!$D$23*('Plan mensual'!I13+'Plan mensual'!I124+IF(parametros_manuales!$H$23="Todos",'Plan mensual'!I17+'Plan mensual'!I128,0))+parametros_manuales!$E$23*('Plan mensual'!I14+'Plan mensual'!I125+IF(parametros_manuales!$H$23="Todos",'Plan mensual'!I18+'Plan mensual'!I129,0))+parametros_manuales!$F$23*('Plan mensual'!I15+'Plan mensual'!I126+IF(parametros_manuales!$H$23="Todos",'Plan mensual'!I19+'Plan mensual'!I130,0))+parametros_manuales!$G$23*('Plan mensual'!I16+'Plan mensual'!I127+IF(parametros_manuales!$H$23="Todos",'Plan mensual'!I20+'Plan mensual'!I131,0)))*parametros_manuales!$I$23*parametros_manuales!$J$23</f>
        <v>781.18780049</v>
      </c>
      <c r="H33" s="9" t="n">
        <f aca="false">(parametros_manuales!$D$23*('Plan mensual'!J13+'Plan mensual'!J124+IF(parametros_manuales!$H$23="Todos",'Plan mensual'!J17+'Plan mensual'!J128,0))+parametros_manuales!$E$23*('Plan mensual'!J14+'Plan mensual'!J125+IF(parametros_manuales!$H$23="Todos",'Plan mensual'!J18+'Plan mensual'!J129,0))+parametros_manuales!$F$23*('Plan mensual'!J15+'Plan mensual'!J126+IF(parametros_manuales!$H$23="Todos",'Plan mensual'!J19+'Plan mensual'!J130,0))+parametros_manuales!$G$23*('Plan mensual'!J16+'Plan mensual'!J127+IF(parametros_manuales!$H$23="Todos",'Plan mensual'!J20+'Plan mensual'!J131,0)))*parametros_manuales!$I$23*parametros_manuales!$J$23</f>
        <v>835.266088515</v>
      </c>
      <c r="I33" s="9" t="n">
        <f aca="false">(parametros_manuales!$D$23*('Plan mensual'!K13+'Plan mensual'!K124+IF(parametros_manuales!$H$23="Todos",'Plan mensual'!K17+'Plan mensual'!K128,0))+parametros_manuales!$E$23*('Plan mensual'!K14+'Plan mensual'!K125+IF(parametros_manuales!$H$23="Todos",'Plan mensual'!K18+'Plan mensual'!K129,0))+parametros_manuales!$F$23*('Plan mensual'!K15+'Plan mensual'!K126+IF(parametros_manuales!$H$23="Todos",'Plan mensual'!K19+'Plan mensual'!K130,0))+parametros_manuales!$G$23*('Plan mensual'!K16+'Plan mensual'!K127+IF(parametros_manuales!$H$23="Todos",'Plan mensual'!K20+'Plan mensual'!K131,0)))*parametros_manuales!$I$23*parametros_manuales!$J$23</f>
        <v>835.266088515</v>
      </c>
      <c r="J33" s="9" t="n">
        <f aca="false">(parametros_manuales!$D$23*('Plan mensual'!L13+'Plan mensual'!L124+IF(parametros_manuales!$H$23="Todos",'Plan mensual'!L17+'Plan mensual'!L128,0))+parametros_manuales!$E$23*('Plan mensual'!L14+'Plan mensual'!L125+IF(parametros_manuales!$H$23="Todos",'Plan mensual'!L18+'Plan mensual'!L129,0))+parametros_manuales!$F$23*('Plan mensual'!L15+'Plan mensual'!L126+IF(parametros_manuales!$H$23="Todos",'Plan mensual'!L19+'Plan mensual'!L130,0))+parametros_manuales!$G$23*('Plan mensual'!L16+'Plan mensual'!L127+IF(parametros_manuales!$H$23="Todos",'Plan mensual'!L20+'Plan mensual'!L131,0)))*parametros_manuales!$I$23*parametros_manuales!$J$23</f>
        <v>835.266088515</v>
      </c>
      <c r="K33" s="9" t="n">
        <f aca="false">(parametros_manuales!$D$23*('Plan mensual'!M13+'Plan mensual'!M124+IF(parametros_manuales!$H$23="Todos",'Plan mensual'!M17+'Plan mensual'!M128,0))+parametros_manuales!$E$23*('Plan mensual'!M14+'Plan mensual'!M125+IF(parametros_manuales!$H$23="Todos",'Plan mensual'!M18+'Plan mensual'!M129,0))+parametros_manuales!$F$23*('Plan mensual'!M15+'Plan mensual'!M126+IF(parametros_manuales!$H$23="Todos",'Plan mensual'!M19+'Plan mensual'!M130,0))+parametros_manuales!$G$23*('Plan mensual'!M16+'Plan mensual'!M127+IF(parametros_manuales!$H$23="Todos",'Plan mensual'!M20+'Plan mensual'!M131,0)))*parametros_manuales!$I$23*parametros_manuales!$J$23</f>
        <v>811.174320375</v>
      </c>
      <c r="L33" s="9" t="n">
        <f aca="false">(parametros_manuales!$D$23*('Plan mensual'!N13+'Plan mensual'!N124+IF(parametros_manuales!$H$23="Todos",'Plan mensual'!N17+'Plan mensual'!N128,0))+parametros_manuales!$E$23*('Plan mensual'!N14+'Plan mensual'!N125+IF(parametros_manuales!$H$23="Todos",'Plan mensual'!N18+'Plan mensual'!N129,0))+parametros_manuales!$F$23*('Plan mensual'!N15+'Plan mensual'!N126+IF(parametros_manuales!$H$23="Todos",'Plan mensual'!N19+'Plan mensual'!N130,0))+parametros_manuales!$G$23*('Plan mensual'!N16+'Plan mensual'!N127+IF(parametros_manuales!$H$23="Todos",'Plan mensual'!N20+'Plan mensual'!N131,0)))*parametros_manuales!$I$23*parametros_manuales!$J$23</f>
        <v>787.082552235</v>
      </c>
      <c r="M33" s="9" t="n">
        <f aca="false">(parametros_manuales!$D$23*('Plan mensual'!O13+'Plan mensual'!O124+IF(parametros_manuales!$H$23="Todos",'Plan mensual'!O17+'Plan mensual'!O128,0))+parametros_manuales!$E$23*('Plan mensual'!O14+'Plan mensual'!O125+IF(parametros_manuales!$H$23="Todos",'Plan mensual'!O18+'Plan mensual'!O129,0))+parametros_manuales!$F$23*('Plan mensual'!O15+'Plan mensual'!O126+IF(parametros_manuales!$H$23="Todos",'Plan mensual'!O19+'Plan mensual'!O130,0))+parametros_manuales!$G$23*('Plan mensual'!O16+'Plan mensual'!O127+IF(parametros_manuales!$H$23="Todos",'Plan mensual'!O20+'Plan mensual'!O131,0)))*parametros_manuales!$I$23*parametros_manuales!$J$23</f>
        <v>1249.69537632</v>
      </c>
      <c r="N33" s="9" t="n">
        <f aca="false">SUM(B33:M33)</f>
        <v>10815.657605</v>
      </c>
      <c r="O33" s="9" t="n">
        <f aca="false">MAX(B33:M33)</f>
        <v>1249.69537632</v>
      </c>
      <c r="P33" s="44" t="n">
        <f aca="false">O33/(parametros_manuales!$B$7)</f>
        <v>8.3313025088</v>
      </c>
      <c r="Q33" s="8" t="str">
        <f aca="false">IF(O33=0,"-",INDEX($B$28:$M$28,MATCH(O33,B33:M33,0)))</f>
        <v>Dic</v>
      </c>
    </row>
    <row r="34" customFormat="false" ht="14.25" hidden="false" customHeight="true" outlineLevel="0" collapsed="false">
      <c r="A34" s="8" t="str">
        <f aca="false">parametros_manuales!$B$24</f>
        <v>Numerado de cúpula</v>
      </c>
      <c r="B34" s="9" t="n">
        <f aca="false">(parametros_manuales!$D$24*('Plan mensual'!D13+'Plan mensual'!D124+IF(parametros_manuales!$H$24="Todos",'Plan mensual'!D17+'Plan mensual'!D128,0))+parametros_manuales!$E$24*('Plan mensual'!D14+'Plan mensual'!D125+IF(parametros_manuales!$H$24="Todos",'Plan mensual'!D18+'Plan mensual'!D129,0))+parametros_manuales!$F$24*('Plan mensual'!D15+'Plan mensual'!D126+IF(parametros_manuales!$H$24="Todos",'Plan mensual'!D19+'Plan mensual'!D130,0))+parametros_manuales!$G$24*('Plan mensual'!D16+'Plan mensual'!D127+IF(parametros_manuales!$H$24="Todos",'Plan mensual'!D20+'Plan mensual'!D131,0)))*parametros_manuales!$I$24*parametros_manuales!$J$24</f>
        <v>1201.51184004</v>
      </c>
      <c r="C34" s="9" t="n">
        <f aca="false">(parametros_manuales!$D$24*('Plan mensual'!E13+'Plan mensual'!E124+IF(parametros_manuales!$H$24="Todos",'Plan mensual'!E17+'Plan mensual'!E128,0))+parametros_manuales!$E$24*('Plan mensual'!E14+'Plan mensual'!E125+IF(parametros_manuales!$H$24="Todos",'Plan mensual'!E18+'Plan mensual'!E129,0))+parametros_manuales!$F$24*('Plan mensual'!E15+'Plan mensual'!E126+IF(parametros_manuales!$H$24="Todos",'Plan mensual'!E19+'Plan mensual'!E130,0))+parametros_manuales!$G$24*('Plan mensual'!E16+'Plan mensual'!E127+IF(parametros_manuales!$H$24="Todos",'Plan mensual'!E20+'Plan mensual'!E131,0)))*parametros_manuales!$I$24*parametros_manuales!$J$24</f>
        <v>925.22564817</v>
      </c>
      <c r="D34" s="9" t="n">
        <f aca="false">(parametros_manuales!$D$24*('Plan mensual'!F13+'Plan mensual'!F124+IF(parametros_manuales!$H$24="Todos",'Plan mensual'!F17+'Plan mensual'!F128,0))+parametros_manuales!$E$24*('Plan mensual'!F14+'Plan mensual'!F125+IF(parametros_manuales!$H$24="Todos",'Plan mensual'!F18+'Plan mensual'!F129,0))+parametros_manuales!$F$24*('Plan mensual'!F15+'Plan mensual'!F126+IF(parametros_manuales!$H$24="Todos",'Plan mensual'!F19+'Plan mensual'!F130,0))+parametros_manuales!$G$24*('Plan mensual'!F16+'Plan mensual'!F127+IF(parametros_manuales!$H$24="Todos",'Plan mensual'!F20+'Plan mensual'!F131,0)))*parametros_manuales!$I$24*parametros_manuales!$J$24</f>
        <v>889.34437654</v>
      </c>
      <c r="E34" s="9" t="n">
        <f aca="false">(parametros_manuales!$D$24*('Plan mensual'!G13+'Plan mensual'!G124+IF(parametros_manuales!$H$24="Todos",'Plan mensual'!G17+'Plan mensual'!G128,0))+parametros_manuales!$E$24*('Plan mensual'!G14+'Plan mensual'!G125+IF(parametros_manuales!$H$24="Todos",'Plan mensual'!G18+'Plan mensual'!G129,0))+parametros_manuales!$F$24*('Plan mensual'!G15+'Plan mensual'!G126+IF(parametros_manuales!$H$24="Todos",'Plan mensual'!G19+'Plan mensual'!G130,0))+parametros_manuales!$G$24*('Plan mensual'!G16+'Plan mensual'!G127+IF(parametros_manuales!$H$24="Todos",'Plan mensual'!G20+'Plan mensual'!G131,0)))*parametros_manuales!$I$24*parametros_manuales!$J$24</f>
        <v>859.357856655</v>
      </c>
      <c r="F34" s="9" t="n">
        <f aca="false">(parametros_manuales!$D$24*('Plan mensual'!H13+'Plan mensual'!H124+IF(parametros_manuales!$H$24="Todos",'Plan mensual'!H17+'Plan mensual'!H128,0))+parametros_manuales!$E$24*('Plan mensual'!H14+'Plan mensual'!H125+IF(parametros_manuales!$H$24="Todos",'Plan mensual'!H18+'Plan mensual'!H129,0))+parametros_manuales!$F$24*('Plan mensual'!H15+'Plan mensual'!H126+IF(parametros_manuales!$H$24="Todos",'Plan mensual'!H19+'Plan mensual'!H130,0))+parametros_manuales!$G$24*('Plan mensual'!H16+'Plan mensual'!H127+IF(parametros_manuales!$H$24="Todos",'Plan mensual'!H20+'Plan mensual'!H131,0)))*parametros_manuales!$I$24*parametros_manuales!$J$24</f>
        <v>805.27956863</v>
      </c>
      <c r="G34" s="9" t="n">
        <f aca="false">(parametros_manuales!$D$24*('Plan mensual'!I13+'Plan mensual'!I124+IF(parametros_manuales!$H$24="Todos",'Plan mensual'!I17+'Plan mensual'!I128,0))+parametros_manuales!$E$24*('Plan mensual'!I14+'Plan mensual'!I125+IF(parametros_manuales!$H$24="Todos",'Plan mensual'!I18+'Plan mensual'!I129,0))+parametros_manuales!$F$24*('Plan mensual'!I15+'Plan mensual'!I126+IF(parametros_manuales!$H$24="Todos",'Plan mensual'!I19+'Plan mensual'!I130,0))+parametros_manuales!$G$24*('Plan mensual'!I16+'Plan mensual'!I127+IF(parametros_manuales!$H$24="Todos",'Plan mensual'!I20+'Plan mensual'!I131,0)))*parametros_manuales!$I$24*parametros_manuales!$J$24</f>
        <v>781.18780049</v>
      </c>
      <c r="H34" s="9" t="n">
        <f aca="false">(parametros_manuales!$D$24*('Plan mensual'!J13+'Plan mensual'!J124+IF(parametros_manuales!$H$24="Todos",'Plan mensual'!J17+'Plan mensual'!J128,0))+parametros_manuales!$E$24*('Plan mensual'!J14+'Plan mensual'!J125+IF(parametros_manuales!$H$24="Todos",'Plan mensual'!J18+'Plan mensual'!J129,0))+parametros_manuales!$F$24*('Plan mensual'!J15+'Plan mensual'!J126+IF(parametros_manuales!$H$24="Todos",'Plan mensual'!J19+'Plan mensual'!J130,0))+parametros_manuales!$G$24*('Plan mensual'!J16+'Plan mensual'!J127+IF(parametros_manuales!$H$24="Todos",'Plan mensual'!J20+'Plan mensual'!J131,0)))*parametros_manuales!$I$24*parametros_manuales!$J$24</f>
        <v>835.266088515</v>
      </c>
      <c r="I34" s="9" t="n">
        <f aca="false">(parametros_manuales!$D$24*('Plan mensual'!K13+'Plan mensual'!K124+IF(parametros_manuales!$H$24="Todos",'Plan mensual'!K17+'Plan mensual'!K128,0))+parametros_manuales!$E$24*('Plan mensual'!K14+'Plan mensual'!K125+IF(parametros_manuales!$H$24="Todos",'Plan mensual'!K18+'Plan mensual'!K129,0))+parametros_manuales!$F$24*('Plan mensual'!K15+'Plan mensual'!K126+IF(parametros_manuales!$H$24="Todos",'Plan mensual'!K19+'Plan mensual'!K130,0))+parametros_manuales!$G$24*('Plan mensual'!K16+'Plan mensual'!K127+IF(parametros_manuales!$H$24="Todos",'Plan mensual'!K20+'Plan mensual'!K131,0)))*parametros_manuales!$I$24*parametros_manuales!$J$24</f>
        <v>835.266088515</v>
      </c>
      <c r="J34" s="9" t="n">
        <f aca="false">(parametros_manuales!$D$24*('Plan mensual'!L13+'Plan mensual'!L124+IF(parametros_manuales!$H$24="Todos",'Plan mensual'!L17+'Plan mensual'!L128,0))+parametros_manuales!$E$24*('Plan mensual'!L14+'Plan mensual'!L125+IF(parametros_manuales!$H$24="Todos",'Plan mensual'!L18+'Plan mensual'!L129,0))+parametros_manuales!$F$24*('Plan mensual'!L15+'Plan mensual'!L126+IF(parametros_manuales!$H$24="Todos",'Plan mensual'!L19+'Plan mensual'!L130,0))+parametros_manuales!$G$24*('Plan mensual'!L16+'Plan mensual'!L127+IF(parametros_manuales!$H$24="Todos",'Plan mensual'!L20+'Plan mensual'!L131,0)))*parametros_manuales!$I$24*parametros_manuales!$J$24</f>
        <v>835.266088515</v>
      </c>
      <c r="K34" s="9" t="n">
        <f aca="false">(parametros_manuales!$D$24*('Plan mensual'!M13+'Plan mensual'!M124+IF(parametros_manuales!$H$24="Todos",'Plan mensual'!M17+'Plan mensual'!M128,0))+parametros_manuales!$E$24*('Plan mensual'!M14+'Plan mensual'!M125+IF(parametros_manuales!$H$24="Todos",'Plan mensual'!M18+'Plan mensual'!M129,0))+parametros_manuales!$F$24*('Plan mensual'!M15+'Plan mensual'!M126+IF(parametros_manuales!$H$24="Todos",'Plan mensual'!M19+'Plan mensual'!M130,0))+parametros_manuales!$G$24*('Plan mensual'!M16+'Plan mensual'!M127+IF(parametros_manuales!$H$24="Todos",'Plan mensual'!M20+'Plan mensual'!M131,0)))*parametros_manuales!$I$24*parametros_manuales!$J$24</f>
        <v>811.174320375</v>
      </c>
      <c r="L34" s="9" t="n">
        <f aca="false">(parametros_manuales!$D$24*('Plan mensual'!N13+'Plan mensual'!N124+IF(parametros_manuales!$H$24="Todos",'Plan mensual'!N17+'Plan mensual'!N128,0))+parametros_manuales!$E$24*('Plan mensual'!N14+'Plan mensual'!N125+IF(parametros_manuales!$H$24="Todos",'Plan mensual'!N18+'Plan mensual'!N129,0))+parametros_manuales!$F$24*('Plan mensual'!N15+'Plan mensual'!N126+IF(parametros_manuales!$H$24="Todos",'Plan mensual'!N19+'Plan mensual'!N130,0))+parametros_manuales!$G$24*('Plan mensual'!N16+'Plan mensual'!N127+IF(parametros_manuales!$H$24="Todos",'Plan mensual'!N20+'Plan mensual'!N131,0)))*parametros_manuales!$I$24*parametros_manuales!$J$24</f>
        <v>787.082552235</v>
      </c>
      <c r="M34" s="9" t="n">
        <f aca="false">(parametros_manuales!$D$24*('Plan mensual'!O13+'Plan mensual'!O124+IF(parametros_manuales!$H$24="Todos",'Plan mensual'!O17+'Plan mensual'!O128,0))+parametros_manuales!$E$24*('Plan mensual'!O14+'Plan mensual'!O125+IF(parametros_manuales!$H$24="Todos",'Plan mensual'!O18+'Plan mensual'!O129,0))+parametros_manuales!$F$24*('Plan mensual'!O15+'Plan mensual'!O126+IF(parametros_manuales!$H$24="Todos",'Plan mensual'!O19+'Plan mensual'!O130,0))+parametros_manuales!$G$24*('Plan mensual'!O16+'Plan mensual'!O127+IF(parametros_manuales!$H$24="Todos",'Plan mensual'!O20+'Plan mensual'!O131,0)))*parametros_manuales!$I$24*parametros_manuales!$J$24</f>
        <v>1249.69537632</v>
      </c>
      <c r="N34" s="9" t="n">
        <f aca="false">SUM(B34:M34)</f>
        <v>10815.657605</v>
      </c>
      <c r="O34" s="9" t="n">
        <f aca="false">MAX(B34:M34)</f>
        <v>1249.69537632</v>
      </c>
      <c r="P34" s="44" t="n">
        <f aca="false">O34/(parametros_manuales!$B$7)</f>
        <v>8.3313025088</v>
      </c>
      <c r="Q34" s="8" t="str">
        <f aca="false">IF(O34=0,"-",INDEX($B$28:$M$28,MATCH(O34,B34:M34,0)))</f>
        <v>Dic</v>
      </c>
    </row>
    <row r="35" customFormat="false" ht="14.25" hidden="false" customHeight="true" outlineLevel="0" collapsed="false">
      <c r="A35" s="8" t="str">
        <f aca="false">parametros_manuales!$B$25</f>
        <v>Soldadura del cuello a la cúpula</v>
      </c>
      <c r="B35" s="9" t="n">
        <f aca="false">(parametros_manuales!$D$25*('Plan mensual'!D13+'Plan mensual'!D124+IF(parametros_manuales!$H$25="Todos",'Plan mensual'!D17+'Plan mensual'!D128,0))+parametros_manuales!$E$25*('Plan mensual'!D14+'Plan mensual'!D125+IF(parametros_manuales!$H$25="Todos",'Plan mensual'!D18+'Plan mensual'!D129,0))+parametros_manuales!$F$25*('Plan mensual'!D15+'Plan mensual'!D126+IF(parametros_manuales!$H$25="Todos",'Plan mensual'!D19+'Plan mensual'!D130,0))+parametros_manuales!$G$25*('Plan mensual'!D16+'Plan mensual'!D127+IF(parametros_manuales!$H$25="Todos",'Plan mensual'!D20+'Plan mensual'!D131,0)))*parametros_manuales!$I$25*parametros_manuales!$J$25</f>
        <v>1201.51184004</v>
      </c>
      <c r="C35" s="9" t="n">
        <f aca="false">(parametros_manuales!$D$25*('Plan mensual'!E13+'Plan mensual'!E124+IF(parametros_manuales!$H$25="Todos",'Plan mensual'!E17+'Plan mensual'!E128,0))+parametros_manuales!$E$25*('Plan mensual'!E14+'Plan mensual'!E125+IF(parametros_manuales!$H$25="Todos",'Plan mensual'!E18+'Plan mensual'!E129,0))+parametros_manuales!$F$25*('Plan mensual'!E15+'Plan mensual'!E126+IF(parametros_manuales!$H$25="Todos",'Plan mensual'!E19+'Plan mensual'!E130,0))+parametros_manuales!$G$25*('Plan mensual'!E16+'Plan mensual'!E127+IF(parametros_manuales!$H$25="Todos",'Plan mensual'!E20+'Plan mensual'!E131,0)))*parametros_manuales!$I$25*parametros_manuales!$J$25</f>
        <v>925.22564817</v>
      </c>
      <c r="D35" s="9" t="n">
        <f aca="false">(parametros_manuales!$D$25*('Plan mensual'!F13+'Plan mensual'!F124+IF(parametros_manuales!$H$25="Todos",'Plan mensual'!F17+'Plan mensual'!F128,0))+parametros_manuales!$E$25*('Plan mensual'!F14+'Plan mensual'!F125+IF(parametros_manuales!$H$25="Todos",'Plan mensual'!F18+'Plan mensual'!F129,0))+parametros_manuales!$F$25*('Plan mensual'!F15+'Plan mensual'!F126+IF(parametros_manuales!$H$25="Todos",'Plan mensual'!F19+'Plan mensual'!F130,0))+parametros_manuales!$G$25*('Plan mensual'!F16+'Plan mensual'!F127+IF(parametros_manuales!$H$25="Todos",'Plan mensual'!F20+'Plan mensual'!F131,0)))*parametros_manuales!$I$25*parametros_manuales!$J$25</f>
        <v>889.34437654</v>
      </c>
      <c r="E35" s="9" t="n">
        <f aca="false">(parametros_manuales!$D$25*('Plan mensual'!G13+'Plan mensual'!G124+IF(parametros_manuales!$H$25="Todos",'Plan mensual'!G17+'Plan mensual'!G128,0))+parametros_manuales!$E$25*('Plan mensual'!G14+'Plan mensual'!G125+IF(parametros_manuales!$H$25="Todos",'Plan mensual'!G18+'Plan mensual'!G129,0))+parametros_manuales!$F$25*('Plan mensual'!G15+'Plan mensual'!G126+IF(parametros_manuales!$H$25="Todos",'Plan mensual'!G19+'Plan mensual'!G130,0))+parametros_manuales!$G$25*('Plan mensual'!G16+'Plan mensual'!G127+IF(parametros_manuales!$H$25="Todos",'Plan mensual'!G20+'Plan mensual'!G131,0)))*parametros_manuales!$I$25*parametros_manuales!$J$25</f>
        <v>859.357856655</v>
      </c>
      <c r="F35" s="9" t="n">
        <f aca="false">(parametros_manuales!$D$25*('Plan mensual'!H13+'Plan mensual'!H124+IF(parametros_manuales!$H$25="Todos",'Plan mensual'!H17+'Plan mensual'!H128,0))+parametros_manuales!$E$25*('Plan mensual'!H14+'Plan mensual'!H125+IF(parametros_manuales!$H$25="Todos",'Plan mensual'!H18+'Plan mensual'!H129,0))+parametros_manuales!$F$25*('Plan mensual'!H15+'Plan mensual'!H126+IF(parametros_manuales!$H$25="Todos",'Plan mensual'!H19+'Plan mensual'!H130,0))+parametros_manuales!$G$25*('Plan mensual'!H16+'Plan mensual'!H127+IF(parametros_manuales!$H$25="Todos",'Plan mensual'!H20+'Plan mensual'!H131,0)))*parametros_manuales!$I$25*parametros_manuales!$J$25</f>
        <v>805.27956863</v>
      </c>
      <c r="G35" s="9" t="n">
        <f aca="false">(parametros_manuales!$D$25*('Plan mensual'!I13+'Plan mensual'!I124+IF(parametros_manuales!$H$25="Todos",'Plan mensual'!I17+'Plan mensual'!I128,0))+parametros_manuales!$E$25*('Plan mensual'!I14+'Plan mensual'!I125+IF(parametros_manuales!$H$25="Todos",'Plan mensual'!I18+'Plan mensual'!I129,0))+parametros_manuales!$F$25*('Plan mensual'!I15+'Plan mensual'!I126+IF(parametros_manuales!$H$25="Todos",'Plan mensual'!I19+'Plan mensual'!I130,0))+parametros_manuales!$G$25*('Plan mensual'!I16+'Plan mensual'!I127+IF(parametros_manuales!$H$25="Todos",'Plan mensual'!I20+'Plan mensual'!I131,0)))*parametros_manuales!$I$25*parametros_manuales!$J$25</f>
        <v>781.18780049</v>
      </c>
      <c r="H35" s="9" t="n">
        <f aca="false">(parametros_manuales!$D$25*('Plan mensual'!J13+'Plan mensual'!J124+IF(parametros_manuales!$H$25="Todos",'Plan mensual'!J17+'Plan mensual'!J128,0))+parametros_manuales!$E$25*('Plan mensual'!J14+'Plan mensual'!J125+IF(parametros_manuales!$H$25="Todos",'Plan mensual'!J18+'Plan mensual'!J129,0))+parametros_manuales!$F$25*('Plan mensual'!J15+'Plan mensual'!J126+IF(parametros_manuales!$H$25="Todos",'Plan mensual'!J19+'Plan mensual'!J130,0))+parametros_manuales!$G$25*('Plan mensual'!J16+'Plan mensual'!J127+IF(parametros_manuales!$H$25="Todos",'Plan mensual'!J20+'Plan mensual'!J131,0)))*parametros_manuales!$I$25*parametros_manuales!$J$25</f>
        <v>835.266088515</v>
      </c>
      <c r="I35" s="9" t="n">
        <f aca="false">(parametros_manuales!$D$25*('Plan mensual'!K13+'Plan mensual'!K124+IF(parametros_manuales!$H$25="Todos",'Plan mensual'!K17+'Plan mensual'!K128,0))+parametros_manuales!$E$25*('Plan mensual'!K14+'Plan mensual'!K125+IF(parametros_manuales!$H$25="Todos",'Plan mensual'!K18+'Plan mensual'!K129,0))+parametros_manuales!$F$25*('Plan mensual'!K15+'Plan mensual'!K126+IF(parametros_manuales!$H$25="Todos",'Plan mensual'!K19+'Plan mensual'!K130,0))+parametros_manuales!$G$25*('Plan mensual'!K16+'Plan mensual'!K127+IF(parametros_manuales!$H$25="Todos",'Plan mensual'!K20+'Plan mensual'!K131,0)))*parametros_manuales!$I$25*parametros_manuales!$J$25</f>
        <v>835.266088515</v>
      </c>
      <c r="J35" s="9" t="n">
        <f aca="false">(parametros_manuales!$D$25*('Plan mensual'!L13+'Plan mensual'!L124+IF(parametros_manuales!$H$25="Todos",'Plan mensual'!L17+'Plan mensual'!L128,0))+parametros_manuales!$E$25*('Plan mensual'!L14+'Plan mensual'!L125+IF(parametros_manuales!$H$25="Todos",'Plan mensual'!L18+'Plan mensual'!L129,0))+parametros_manuales!$F$25*('Plan mensual'!L15+'Plan mensual'!L126+IF(parametros_manuales!$H$25="Todos",'Plan mensual'!L19+'Plan mensual'!L130,0))+parametros_manuales!$G$25*('Plan mensual'!L16+'Plan mensual'!L127+IF(parametros_manuales!$H$25="Todos",'Plan mensual'!L20+'Plan mensual'!L131,0)))*parametros_manuales!$I$25*parametros_manuales!$J$25</f>
        <v>835.266088515</v>
      </c>
      <c r="K35" s="9" t="n">
        <f aca="false">(parametros_manuales!$D$25*('Plan mensual'!M13+'Plan mensual'!M124+IF(parametros_manuales!$H$25="Todos",'Plan mensual'!M17+'Plan mensual'!M128,0))+parametros_manuales!$E$25*('Plan mensual'!M14+'Plan mensual'!M125+IF(parametros_manuales!$H$25="Todos",'Plan mensual'!M18+'Plan mensual'!M129,0))+parametros_manuales!$F$25*('Plan mensual'!M15+'Plan mensual'!M126+IF(parametros_manuales!$H$25="Todos",'Plan mensual'!M19+'Plan mensual'!M130,0))+parametros_manuales!$G$25*('Plan mensual'!M16+'Plan mensual'!M127+IF(parametros_manuales!$H$25="Todos",'Plan mensual'!M20+'Plan mensual'!M131,0)))*parametros_manuales!$I$25*parametros_manuales!$J$25</f>
        <v>811.174320375</v>
      </c>
      <c r="L35" s="9" t="n">
        <f aca="false">(parametros_manuales!$D$25*('Plan mensual'!N13+'Plan mensual'!N124+IF(parametros_manuales!$H$25="Todos",'Plan mensual'!N17+'Plan mensual'!N128,0))+parametros_manuales!$E$25*('Plan mensual'!N14+'Plan mensual'!N125+IF(parametros_manuales!$H$25="Todos",'Plan mensual'!N18+'Plan mensual'!N129,0))+parametros_manuales!$F$25*('Plan mensual'!N15+'Plan mensual'!N126+IF(parametros_manuales!$H$25="Todos",'Plan mensual'!N19+'Plan mensual'!N130,0))+parametros_manuales!$G$25*('Plan mensual'!N16+'Plan mensual'!N127+IF(parametros_manuales!$H$25="Todos",'Plan mensual'!N20+'Plan mensual'!N131,0)))*parametros_manuales!$I$25*parametros_manuales!$J$25</f>
        <v>787.082552235</v>
      </c>
      <c r="M35" s="9" t="n">
        <f aca="false">(parametros_manuales!$D$25*('Plan mensual'!O13+'Plan mensual'!O124+IF(parametros_manuales!$H$25="Todos",'Plan mensual'!O17+'Plan mensual'!O128,0))+parametros_manuales!$E$25*('Plan mensual'!O14+'Plan mensual'!O125+IF(parametros_manuales!$H$25="Todos",'Plan mensual'!O18+'Plan mensual'!O129,0))+parametros_manuales!$F$25*('Plan mensual'!O15+'Plan mensual'!O126+IF(parametros_manuales!$H$25="Todos",'Plan mensual'!O19+'Plan mensual'!O130,0))+parametros_manuales!$G$25*('Plan mensual'!O16+'Plan mensual'!O127+IF(parametros_manuales!$H$25="Todos",'Plan mensual'!O20+'Plan mensual'!O131,0)))*parametros_manuales!$I$25*parametros_manuales!$J$25</f>
        <v>1249.69537632</v>
      </c>
      <c r="N35" s="9" t="n">
        <f aca="false">SUM(B35:M35)</f>
        <v>10815.657605</v>
      </c>
      <c r="O35" s="9" t="n">
        <f aca="false">MAX(B35:M35)</f>
        <v>1249.69537632</v>
      </c>
      <c r="P35" s="44" t="n">
        <f aca="false">O35/(parametros_manuales!$B$7)</f>
        <v>8.3313025088</v>
      </c>
      <c r="Q35" s="8" t="str">
        <f aca="false">IF(O35=0,"-",INDEX($B$28:$M$28,MATCH(O35,B35:M35,0)))</f>
        <v>Dic</v>
      </c>
    </row>
    <row r="36" customFormat="false" ht="14.25" hidden="false" customHeight="true" outlineLevel="0" collapsed="false">
      <c r="A36" s="8" t="str">
        <f aca="false">parametros_manuales!$B$26</f>
        <v>Cilindrado</v>
      </c>
      <c r="B36" s="9" t="n">
        <f aca="false">(parametros_manuales!$D$26*('Plan mensual'!D13+'Plan mensual'!D124+IF(parametros_manuales!$H$26="Todos",'Plan mensual'!D17+'Plan mensual'!D128,0))+parametros_manuales!$E$26*('Plan mensual'!D14+'Plan mensual'!D125+IF(parametros_manuales!$H$26="Todos",'Plan mensual'!D18+'Plan mensual'!D129,0))+parametros_manuales!$F$26*('Plan mensual'!D15+'Plan mensual'!D126+IF(parametros_manuales!$H$26="Todos",'Plan mensual'!D19+'Plan mensual'!D130,0))+parametros_manuales!$G$26*('Plan mensual'!D16+'Plan mensual'!D127+IF(parametros_manuales!$H$26="Todos",'Plan mensual'!D20+'Plan mensual'!D131,0)))*parametros_manuales!$I$26*parametros_manuales!$J$26</f>
        <v>481.8353628</v>
      </c>
      <c r="C36" s="9" t="n">
        <f aca="false">(parametros_manuales!$D$26*('Plan mensual'!E13+'Plan mensual'!E124+IF(parametros_manuales!$H$26="Todos",'Plan mensual'!E17+'Plan mensual'!E128,0))+parametros_manuales!$E$26*('Plan mensual'!E14+'Plan mensual'!E125+IF(parametros_manuales!$H$26="Todos",'Plan mensual'!E18+'Plan mensual'!E129,0))+parametros_manuales!$F$26*('Plan mensual'!E15+'Plan mensual'!E126+IF(parametros_manuales!$H$26="Todos",'Plan mensual'!E19+'Plan mensual'!E130,0))+parametros_manuales!$G$26*('Plan mensual'!E16+'Plan mensual'!E127+IF(parametros_manuales!$H$26="Todos",'Plan mensual'!E20+'Plan mensual'!E131,0)))*parametros_manuales!$I$26*parametros_manuales!$J$26</f>
        <v>385.46829024</v>
      </c>
      <c r="D36" s="9" t="n">
        <f aca="false">(parametros_manuales!$D$26*('Plan mensual'!F13+'Plan mensual'!F124+IF(parametros_manuales!$H$26="Todos",'Plan mensual'!F17+'Plan mensual'!F128,0))+parametros_manuales!$E$26*('Plan mensual'!F14+'Plan mensual'!F125+IF(parametros_manuales!$H$26="Todos",'Plan mensual'!F18+'Plan mensual'!F129,0))+parametros_manuales!$F$26*('Plan mensual'!F15+'Plan mensual'!F126+IF(parametros_manuales!$H$26="Todos",'Plan mensual'!F19+'Plan mensual'!F130,0))+parametros_manuales!$G$26*('Plan mensual'!F16+'Plan mensual'!F127+IF(parametros_manuales!$H$26="Todos",'Plan mensual'!F20+'Plan mensual'!F131,0)))*parametros_manuales!$I$26*parametros_manuales!$J$26</f>
        <v>409.56005838</v>
      </c>
      <c r="E36" s="9" t="n">
        <f aca="false">(parametros_manuales!$D$26*('Plan mensual'!G13+'Plan mensual'!G124+IF(parametros_manuales!$H$26="Todos",'Plan mensual'!G17+'Plan mensual'!G128,0))+parametros_manuales!$E$26*('Plan mensual'!G14+'Plan mensual'!G125+IF(parametros_manuales!$H$26="Todos",'Plan mensual'!G18+'Plan mensual'!G129,0))+parametros_manuales!$F$26*('Plan mensual'!G15+'Plan mensual'!G126+IF(parametros_manuales!$H$26="Todos",'Plan mensual'!G19+'Plan mensual'!G130,0))+parametros_manuales!$G$26*('Plan mensual'!G16+'Plan mensual'!G127+IF(parametros_manuales!$H$26="Todos",'Plan mensual'!G20+'Plan mensual'!G131,0)))*parametros_manuales!$I$26*parametros_manuales!$J$26</f>
        <v>409.56005838</v>
      </c>
      <c r="F36" s="9" t="n">
        <f aca="false">(parametros_manuales!$D$26*('Plan mensual'!H13+'Plan mensual'!H124+IF(parametros_manuales!$H$26="Todos",'Plan mensual'!H17+'Plan mensual'!H128,0))+parametros_manuales!$E$26*('Plan mensual'!H14+'Plan mensual'!H125+IF(parametros_manuales!$H$26="Todos",'Plan mensual'!H18+'Plan mensual'!H129,0))+parametros_manuales!$F$26*('Plan mensual'!H15+'Plan mensual'!H126+IF(parametros_manuales!$H$26="Todos",'Plan mensual'!H19+'Plan mensual'!H130,0))+parametros_manuales!$G$26*('Plan mensual'!H16+'Plan mensual'!H127+IF(parametros_manuales!$H$26="Todos",'Plan mensual'!H20+'Plan mensual'!H131,0)))*parametros_manuales!$I$26*parametros_manuales!$J$26</f>
        <v>385.46829024</v>
      </c>
      <c r="G36" s="9" t="n">
        <f aca="false">(parametros_manuales!$D$26*('Plan mensual'!I13+'Plan mensual'!I124+IF(parametros_manuales!$H$26="Todos",'Plan mensual'!I17+'Plan mensual'!I128,0))+parametros_manuales!$E$26*('Plan mensual'!I14+'Plan mensual'!I125+IF(parametros_manuales!$H$26="Todos",'Plan mensual'!I18+'Plan mensual'!I129,0))+parametros_manuales!$F$26*('Plan mensual'!I15+'Plan mensual'!I126+IF(parametros_manuales!$H$26="Todos",'Plan mensual'!I19+'Plan mensual'!I130,0))+parametros_manuales!$G$26*('Plan mensual'!I16+'Plan mensual'!I127+IF(parametros_manuales!$H$26="Todos",'Plan mensual'!I20+'Plan mensual'!I131,0)))*parametros_manuales!$I$26*parametros_manuales!$J$26</f>
        <v>361.3765221</v>
      </c>
      <c r="H36" s="9" t="n">
        <f aca="false">(parametros_manuales!$D$26*('Plan mensual'!J13+'Plan mensual'!J124+IF(parametros_manuales!$H$26="Todos",'Plan mensual'!J17+'Plan mensual'!J128,0))+parametros_manuales!$E$26*('Plan mensual'!J14+'Plan mensual'!J125+IF(parametros_manuales!$H$26="Todos",'Plan mensual'!J18+'Plan mensual'!J129,0))+parametros_manuales!$F$26*('Plan mensual'!J15+'Plan mensual'!J126+IF(parametros_manuales!$H$26="Todos",'Plan mensual'!J19+'Plan mensual'!J130,0))+parametros_manuales!$G$26*('Plan mensual'!J16+'Plan mensual'!J127+IF(parametros_manuales!$H$26="Todos",'Plan mensual'!J20+'Plan mensual'!J131,0)))*parametros_manuales!$I$26*parametros_manuales!$J$26</f>
        <v>385.46829024</v>
      </c>
      <c r="I36" s="9" t="n">
        <f aca="false">(parametros_manuales!$D$26*('Plan mensual'!K13+'Plan mensual'!K124+IF(parametros_manuales!$H$26="Todos",'Plan mensual'!K17+'Plan mensual'!K128,0))+parametros_manuales!$E$26*('Plan mensual'!K14+'Plan mensual'!K125+IF(parametros_manuales!$H$26="Todos",'Plan mensual'!K18+'Plan mensual'!K129,0))+parametros_manuales!$F$26*('Plan mensual'!K15+'Plan mensual'!K126+IF(parametros_manuales!$H$26="Todos",'Plan mensual'!K19+'Plan mensual'!K130,0))+parametros_manuales!$G$26*('Plan mensual'!K16+'Plan mensual'!K127+IF(parametros_manuales!$H$26="Todos",'Plan mensual'!K20+'Plan mensual'!K131,0)))*parametros_manuales!$I$26*parametros_manuales!$J$26</f>
        <v>385.46829024</v>
      </c>
      <c r="J36" s="9" t="n">
        <f aca="false">(parametros_manuales!$D$26*('Plan mensual'!L13+'Plan mensual'!L124+IF(parametros_manuales!$H$26="Todos",'Plan mensual'!L17+'Plan mensual'!L128,0))+parametros_manuales!$E$26*('Plan mensual'!L14+'Plan mensual'!L125+IF(parametros_manuales!$H$26="Todos",'Plan mensual'!L18+'Plan mensual'!L129,0))+parametros_manuales!$F$26*('Plan mensual'!L15+'Plan mensual'!L126+IF(parametros_manuales!$H$26="Todos",'Plan mensual'!L19+'Plan mensual'!L130,0))+parametros_manuales!$G$26*('Plan mensual'!L16+'Plan mensual'!L127+IF(parametros_manuales!$H$26="Todos",'Plan mensual'!L20+'Plan mensual'!L131,0)))*parametros_manuales!$I$26*parametros_manuales!$J$26</f>
        <v>385.46829024</v>
      </c>
      <c r="K36" s="9" t="n">
        <f aca="false">(parametros_manuales!$D$26*('Plan mensual'!M13+'Plan mensual'!M124+IF(parametros_manuales!$H$26="Todos",'Plan mensual'!M17+'Plan mensual'!M128,0))+parametros_manuales!$E$26*('Plan mensual'!M14+'Plan mensual'!M125+IF(parametros_manuales!$H$26="Todos",'Plan mensual'!M18+'Plan mensual'!M129,0))+parametros_manuales!$F$26*('Plan mensual'!M15+'Plan mensual'!M126+IF(parametros_manuales!$H$26="Todos",'Plan mensual'!M19+'Plan mensual'!M130,0))+parametros_manuales!$G$26*('Plan mensual'!M16+'Plan mensual'!M127+IF(parametros_manuales!$H$26="Todos",'Plan mensual'!M20+'Plan mensual'!M131,0)))*parametros_manuales!$I$26*parametros_manuales!$J$26</f>
        <v>361.3765221</v>
      </c>
      <c r="L36" s="9" t="n">
        <f aca="false">(parametros_manuales!$D$26*('Plan mensual'!N13+'Plan mensual'!N124+IF(parametros_manuales!$H$26="Todos",'Plan mensual'!N17+'Plan mensual'!N128,0))+parametros_manuales!$E$26*('Plan mensual'!N14+'Plan mensual'!N125+IF(parametros_manuales!$H$26="Todos",'Plan mensual'!N18+'Plan mensual'!N129,0))+parametros_manuales!$F$26*('Plan mensual'!N15+'Plan mensual'!N126+IF(parametros_manuales!$H$26="Todos",'Plan mensual'!N19+'Plan mensual'!N130,0))+parametros_manuales!$G$26*('Plan mensual'!N16+'Plan mensual'!N127+IF(parametros_manuales!$H$26="Todos",'Plan mensual'!N20+'Plan mensual'!N131,0)))*parametros_manuales!$I$26*parametros_manuales!$J$26</f>
        <v>337.28475396</v>
      </c>
      <c r="M36" s="9" t="n">
        <f aca="false">(parametros_manuales!$D$26*('Plan mensual'!O13+'Plan mensual'!O124+IF(parametros_manuales!$H$26="Todos",'Plan mensual'!O17+'Plan mensual'!O128,0))+parametros_manuales!$E$26*('Plan mensual'!O14+'Plan mensual'!O125+IF(parametros_manuales!$H$26="Todos",'Plan mensual'!O18+'Plan mensual'!O129,0))+parametros_manuales!$F$26*('Plan mensual'!O15+'Plan mensual'!O126+IF(parametros_manuales!$H$26="Todos",'Plan mensual'!O19+'Plan mensual'!O130,0))+parametros_manuales!$G$26*('Plan mensual'!O16+'Plan mensual'!O127+IF(parametros_manuales!$H$26="Todos",'Plan mensual'!O20+'Plan mensual'!O131,0)))*parametros_manuales!$I$26*parametros_manuales!$J$26</f>
        <v>530.01889908</v>
      </c>
      <c r="N36" s="9" t="n">
        <f aca="false">SUM(B36:M36)</f>
        <v>4818.353628</v>
      </c>
      <c r="O36" s="9" t="n">
        <f aca="false">MAX(B36:M36)</f>
        <v>530.01889908</v>
      </c>
      <c r="P36" s="44" t="n">
        <f aca="false">O36/(parametros_manuales!$B$7)</f>
        <v>3.5334593272</v>
      </c>
      <c r="Q36" s="8" t="str">
        <f aca="false">IF(O36=0,"-",INDEX($B$28:$M$28,MATCH(O36,B36:M36,0)))</f>
        <v>Dic</v>
      </c>
    </row>
    <row r="37" customFormat="false" ht="14.25" hidden="false" customHeight="true" outlineLevel="0" collapsed="false">
      <c r="A37" s="8" t="str">
        <f aca="false">parametros_manuales!$B$27</f>
        <v>Soldadura longitudinal</v>
      </c>
      <c r="B37" s="9" t="n">
        <f aca="false">(parametros_manuales!$D$27*('Plan mensual'!D13+'Plan mensual'!D124+IF(parametros_manuales!$H$27="Todos",'Plan mensual'!D17+'Plan mensual'!D128,0))+parametros_manuales!$E$27*('Plan mensual'!D14+'Plan mensual'!D125+IF(parametros_manuales!$H$27="Todos",'Plan mensual'!D18+'Plan mensual'!D129,0))+parametros_manuales!$F$27*('Plan mensual'!D15+'Plan mensual'!D126+IF(parametros_manuales!$H$27="Todos",'Plan mensual'!D19+'Plan mensual'!D130,0))+parametros_manuales!$G$27*('Plan mensual'!D16+'Plan mensual'!D127+IF(parametros_manuales!$H$27="Todos",'Plan mensual'!D20+'Plan mensual'!D131,0)))*parametros_manuales!$I$27*parametros_manuales!$J$27</f>
        <v>481.8353628</v>
      </c>
      <c r="C37" s="9" t="n">
        <f aca="false">(parametros_manuales!$D$27*('Plan mensual'!E13+'Plan mensual'!E124+IF(parametros_manuales!$H$27="Todos",'Plan mensual'!E17+'Plan mensual'!E128,0))+parametros_manuales!$E$27*('Plan mensual'!E14+'Plan mensual'!E125+IF(parametros_manuales!$H$27="Todos",'Plan mensual'!E18+'Plan mensual'!E129,0))+parametros_manuales!$F$27*('Plan mensual'!E15+'Plan mensual'!E126+IF(parametros_manuales!$H$27="Todos",'Plan mensual'!E19+'Plan mensual'!E130,0))+parametros_manuales!$G$27*('Plan mensual'!E16+'Plan mensual'!E127+IF(parametros_manuales!$H$27="Todos",'Plan mensual'!E20+'Plan mensual'!E131,0)))*parametros_manuales!$I$27*parametros_manuales!$J$27</f>
        <v>385.46829024</v>
      </c>
      <c r="D37" s="9" t="n">
        <f aca="false">(parametros_manuales!$D$27*('Plan mensual'!F13+'Plan mensual'!F124+IF(parametros_manuales!$H$27="Todos",'Plan mensual'!F17+'Plan mensual'!F128,0))+parametros_manuales!$E$27*('Plan mensual'!F14+'Plan mensual'!F125+IF(parametros_manuales!$H$27="Todos",'Plan mensual'!F18+'Plan mensual'!F129,0))+parametros_manuales!$F$27*('Plan mensual'!F15+'Plan mensual'!F126+IF(parametros_manuales!$H$27="Todos",'Plan mensual'!F19+'Plan mensual'!F130,0))+parametros_manuales!$G$27*('Plan mensual'!F16+'Plan mensual'!F127+IF(parametros_manuales!$H$27="Todos",'Plan mensual'!F20+'Plan mensual'!F131,0)))*parametros_manuales!$I$27*parametros_manuales!$J$27</f>
        <v>409.56005838</v>
      </c>
      <c r="E37" s="9" t="n">
        <f aca="false">(parametros_manuales!$D$27*('Plan mensual'!G13+'Plan mensual'!G124+IF(parametros_manuales!$H$27="Todos",'Plan mensual'!G17+'Plan mensual'!G128,0))+parametros_manuales!$E$27*('Plan mensual'!G14+'Plan mensual'!G125+IF(parametros_manuales!$H$27="Todos",'Plan mensual'!G18+'Plan mensual'!G129,0))+parametros_manuales!$F$27*('Plan mensual'!G15+'Plan mensual'!G126+IF(parametros_manuales!$H$27="Todos",'Plan mensual'!G19+'Plan mensual'!G130,0))+parametros_manuales!$G$27*('Plan mensual'!G16+'Plan mensual'!G127+IF(parametros_manuales!$H$27="Todos",'Plan mensual'!G20+'Plan mensual'!G131,0)))*parametros_manuales!$I$27*parametros_manuales!$J$27</f>
        <v>409.56005838</v>
      </c>
      <c r="F37" s="9" t="n">
        <f aca="false">(parametros_manuales!$D$27*('Plan mensual'!H13+'Plan mensual'!H124+IF(parametros_manuales!$H$27="Todos",'Plan mensual'!H17+'Plan mensual'!H128,0))+parametros_manuales!$E$27*('Plan mensual'!H14+'Plan mensual'!H125+IF(parametros_manuales!$H$27="Todos",'Plan mensual'!H18+'Plan mensual'!H129,0))+parametros_manuales!$F$27*('Plan mensual'!H15+'Plan mensual'!H126+IF(parametros_manuales!$H$27="Todos",'Plan mensual'!H19+'Plan mensual'!H130,0))+parametros_manuales!$G$27*('Plan mensual'!H16+'Plan mensual'!H127+IF(parametros_manuales!$H$27="Todos",'Plan mensual'!H20+'Plan mensual'!H131,0)))*parametros_manuales!$I$27*parametros_manuales!$J$27</f>
        <v>385.46829024</v>
      </c>
      <c r="G37" s="9" t="n">
        <f aca="false">(parametros_manuales!$D$27*('Plan mensual'!I13+'Plan mensual'!I124+IF(parametros_manuales!$H$27="Todos",'Plan mensual'!I17+'Plan mensual'!I128,0))+parametros_manuales!$E$27*('Plan mensual'!I14+'Plan mensual'!I125+IF(parametros_manuales!$H$27="Todos",'Plan mensual'!I18+'Plan mensual'!I129,0))+parametros_manuales!$F$27*('Plan mensual'!I15+'Plan mensual'!I126+IF(parametros_manuales!$H$27="Todos",'Plan mensual'!I19+'Plan mensual'!I130,0))+parametros_manuales!$G$27*('Plan mensual'!I16+'Plan mensual'!I127+IF(parametros_manuales!$H$27="Todos",'Plan mensual'!I20+'Plan mensual'!I131,0)))*parametros_manuales!$I$27*parametros_manuales!$J$27</f>
        <v>361.3765221</v>
      </c>
      <c r="H37" s="9" t="n">
        <f aca="false">(parametros_manuales!$D$27*('Plan mensual'!J13+'Plan mensual'!J124+IF(parametros_manuales!$H$27="Todos",'Plan mensual'!J17+'Plan mensual'!J128,0))+parametros_manuales!$E$27*('Plan mensual'!J14+'Plan mensual'!J125+IF(parametros_manuales!$H$27="Todos",'Plan mensual'!J18+'Plan mensual'!J129,0))+parametros_manuales!$F$27*('Plan mensual'!J15+'Plan mensual'!J126+IF(parametros_manuales!$H$27="Todos",'Plan mensual'!J19+'Plan mensual'!J130,0))+parametros_manuales!$G$27*('Plan mensual'!J16+'Plan mensual'!J127+IF(parametros_manuales!$H$27="Todos",'Plan mensual'!J20+'Plan mensual'!J131,0)))*parametros_manuales!$I$27*parametros_manuales!$J$27</f>
        <v>385.46829024</v>
      </c>
      <c r="I37" s="9" t="n">
        <f aca="false">(parametros_manuales!$D$27*('Plan mensual'!K13+'Plan mensual'!K124+IF(parametros_manuales!$H$27="Todos",'Plan mensual'!K17+'Plan mensual'!K128,0))+parametros_manuales!$E$27*('Plan mensual'!K14+'Plan mensual'!K125+IF(parametros_manuales!$H$27="Todos",'Plan mensual'!K18+'Plan mensual'!K129,0))+parametros_manuales!$F$27*('Plan mensual'!K15+'Plan mensual'!K126+IF(parametros_manuales!$H$27="Todos",'Plan mensual'!K19+'Plan mensual'!K130,0))+parametros_manuales!$G$27*('Plan mensual'!K16+'Plan mensual'!K127+IF(parametros_manuales!$H$27="Todos",'Plan mensual'!K20+'Plan mensual'!K131,0)))*parametros_manuales!$I$27*parametros_manuales!$J$27</f>
        <v>385.46829024</v>
      </c>
      <c r="J37" s="9" t="n">
        <f aca="false">(parametros_manuales!$D$27*('Plan mensual'!L13+'Plan mensual'!L124+IF(parametros_manuales!$H$27="Todos",'Plan mensual'!L17+'Plan mensual'!L128,0))+parametros_manuales!$E$27*('Plan mensual'!L14+'Plan mensual'!L125+IF(parametros_manuales!$H$27="Todos",'Plan mensual'!L18+'Plan mensual'!L129,0))+parametros_manuales!$F$27*('Plan mensual'!L15+'Plan mensual'!L126+IF(parametros_manuales!$H$27="Todos",'Plan mensual'!L19+'Plan mensual'!L130,0))+parametros_manuales!$G$27*('Plan mensual'!L16+'Plan mensual'!L127+IF(parametros_manuales!$H$27="Todos",'Plan mensual'!L20+'Plan mensual'!L131,0)))*parametros_manuales!$I$27*parametros_manuales!$J$27</f>
        <v>385.46829024</v>
      </c>
      <c r="K37" s="9" t="n">
        <f aca="false">(parametros_manuales!$D$27*('Plan mensual'!M13+'Plan mensual'!M124+IF(parametros_manuales!$H$27="Todos",'Plan mensual'!M17+'Plan mensual'!M128,0))+parametros_manuales!$E$27*('Plan mensual'!M14+'Plan mensual'!M125+IF(parametros_manuales!$H$27="Todos",'Plan mensual'!M18+'Plan mensual'!M129,0))+parametros_manuales!$F$27*('Plan mensual'!M15+'Plan mensual'!M126+IF(parametros_manuales!$H$27="Todos",'Plan mensual'!M19+'Plan mensual'!M130,0))+parametros_manuales!$G$27*('Plan mensual'!M16+'Plan mensual'!M127+IF(parametros_manuales!$H$27="Todos",'Plan mensual'!M20+'Plan mensual'!M131,0)))*parametros_manuales!$I$27*parametros_manuales!$J$27</f>
        <v>361.3765221</v>
      </c>
      <c r="L37" s="9" t="n">
        <f aca="false">(parametros_manuales!$D$27*('Plan mensual'!N13+'Plan mensual'!N124+IF(parametros_manuales!$H$27="Todos",'Plan mensual'!N17+'Plan mensual'!N128,0))+parametros_manuales!$E$27*('Plan mensual'!N14+'Plan mensual'!N125+IF(parametros_manuales!$H$27="Todos",'Plan mensual'!N18+'Plan mensual'!N129,0))+parametros_manuales!$F$27*('Plan mensual'!N15+'Plan mensual'!N126+IF(parametros_manuales!$H$27="Todos",'Plan mensual'!N19+'Plan mensual'!N130,0))+parametros_manuales!$G$27*('Plan mensual'!N16+'Plan mensual'!N127+IF(parametros_manuales!$H$27="Todos",'Plan mensual'!N20+'Plan mensual'!N131,0)))*parametros_manuales!$I$27*parametros_manuales!$J$27</f>
        <v>337.28475396</v>
      </c>
      <c r="M37" s="9" t="n">
        <f aca="false">(parametros_manuales!$D$27*('Plan mensual'!O13+'Plan mensual'!O124+IF(parametros_manuales!$H$27="Todos",'Plan mensual'!O17+'Plan mensual'!O128,0))+parametros_manuales!$E$27*('Plan mensual'!O14+'Plan mensual'!O125+IF(parametros_manuales!$H$27="Todos",'Plan mensual'!O18+'Plan mensual'!O129,0))+parametros_manuales!$F$27*('Plan mensual'!O15+'Plan mensual'!O126+IF(parametros_manuales!$H$27="Todos",'Plan mensual'!O19+'Plan mensual'!O130,0))+parametros_manuales!$G$27*('Plan mensual'!O16+'Plan mensual'!O127+IF(parametros_manuales!$H$27="Todos",'Plan mensual'!O20+'Plan mensual'!O131,0)))*parametros_manuales!$I$27*parametros_manuales!$J$27</f>
        <v>530.01889908</v>
      </c>
      <c r="N37" s="9" t="n">
        <f aca="false">SUM(B37:M37)</f>
        <v>4818.353628</v>
      </c>
      <c r="O37" s="9" t="n">
        <f aca="false">MAX(B37:M37)</f>
        <v>530.01889908</v>
      </c>
      <c r="P37" s="44" t="n">
        <f aca="false">O37/(parametros_manuales!$B$7)</f>
        <v>3.5334593272</v>
      </c>
      <c r="Q37" s="8" t="str">
        <f aca="false">IF(O37=0,"-",INDEX($B$28:$M$28,MATCH(O37,B37:M37,0)))</f>
        <v>Dic</v>
      </c>
    </row>
    <row r="38" customFormat="false" ht="14.25" hidden="false" customHeight="true" outlineLevel="0" collapsed="false">
      <c r="A38" s="8" t="str">
        <f aca="false">parametros_manuales!$B$28</f>
        <v>Encastre de fondo</v>
      </c>
      <c r="B38" s="9" t="n">
        <f aca="false">(parametros_manuales!$D$28*('Plan mensual'!D13+'Plan mensual'!D124+IF(parametros_manuales!$H$28="Todos",'Plan mensual'!D17+'Plan mensual'!D128,0))+parametros_manuales!$E$28*('Plan mensual'!D14+'Plan mensual'!D125+IF(parametros_manuales!$H$28="Todos",'Plan mensual'!D18+'Plan mensual'!D129,0))+parametros_manuales!$F$28*('Plan mensual'!D15+'Plan mensual'!D126+IF(parametros_manuales!$H$28="Todos",'Plan mensual'!D19+'Plan mensual'!D130,0))+parametros_manuales!$G$28*('Plan mensual'!D16+'Plan mensual'!D127+IF(parametros_manuales!$H$28="Todos",'Plan mensual'!D20+'Plan mensual'!D131,0)))*parametros_manuales!$I$28*parametros_manuales!$J$28</f>
        <v>1201.51184004</v>
      </c>
      <c r="C38" s="9" t="n">
        <f aca="false">(parametros_manuales!$D$28*('Plan mensual'!E13+'Plan mensual'!E124+IF(parametros_manuales!$H$28="Todos",'Plan mensual'!E17+'Plan mensual'!E128,0))+parametros_manuales!$E$28*('Plan mensual'!E14+'Plan mensual'!E125+IF(parametros_manuales!$H$28="Todos",'Plan mensual'!E18+'Plan mensual'!E129,0))+parametros_manuales!$F$28*('Plan mensual'!E15+'Plan mensual'!E126+IF(parametros_manuales!$H$28="Todos",'Plan mensual'!E19+'Plan mensual'!E130,0))+parametros_manuales!$G$28*('Plan mensual'!E16+'Plan mensual'!E127+IF(parametros_manuales!$H$28="Todos",'Plan mensual'!E20+'Plan mensual'!E131,0)))*parametros_manuales!$I$28*parametros_manuales!$J$28</f>
        <v>925.22564817</v>
      </c>
      <c r="D38" s="9" t="n">
        <f aca="false">(parametros_manuales!$D$28*('Plan mensual'!F13+'Plan mensual'!F124+IF(parametros_manuales!$H$28="Todos",'Plan mensual'!F17+'Plan mensual'!F128,0))+parametros_manuales!$E$28*('Plan mensual'!F14+'Plan mensual'!F125+IF(parametros_manuales!$H$28="Todos",'Plan mensual'!F18+'Plan mensual'!F129,0))+parametros_manuales!$F$28*('Plan mensual'!F15+'Plan mensual'!F126+IF(parametros_manuales!$H$28="Todos",'Plan mensual'!F19+'Plan mensual'!F130,0))+parametros_manuales!$G$28*('Plan mensual'!F16+'Plan mensual'!F127+IF(parametros_manuales!$H$28="Todos",'Plan mensual'!F20+'Plan mensual'!F131,0)))*parametros_manuales!$I$28*parametros_manuales!$J$28</f>
        <v>889.34437654</v>
      </c>
      <c r="E38" s="9" t="n">
        <f aca="false">(parametros_manuales!$D$28*('Plan mensual'!G13+'Plan mensual'!G124+IF(parametros_manuales!$H$28="Todos",'Plan mensual'!G17+'Plan mensual'!G128,0))+parametros_manuales!$E$28*('Plan mensual'!G14+'Plan mensual'!G125+IF(parametros_manuales!$H$28="Todos",'Plan mensual'!G18+'Plan mensual'!G129,0))+parametros_manuales!$F$28*('Plan mensual'!G15+'Plan mensual'!G126+IF(parametros_manuales!$H$28="Todos",'Plan mensual'!G19+'Plan mensual'!G130,0))+parametros_manuales!$G$28*('Plan mensual'!G16+'Plan mensual'!G127+IF(parametros_manuales!$H$28="Todos",'Plan mensual'!G20+'Plan mensual'!G131,0)))*parametros_manuales!$I$28*parametros_manuales!$J$28</f>
        <v>859.357856655</v>
      </c>
      <c r="F38" s="9" t="n">
        <f aca="false">(parametros_manuales!$D$28*('Plan mensual'!H13+'Plan mensual'!H124+IF(parametros_manuales!$H$28="Todos",'Plan mensual'!H17+'Plan mensual'!H128,0))+parametros_manuales!$E$28*('Plan mensual'!H14+'Plan mensual'!H125+IF(parametros_manuales!$H$28="Todos",'Plan mensual'!H18+'Plan mensual'!H129,0))+parametros_manuales!$F$28*('Plan mensual'!H15+'Plan mensual'!H126+IF(parametros_manuales!$H$28="Todos",'Plan mensual'!H19+'Plan mensual'!H130,0))+parametros_manuales!$G$28*('Plan mensual'!H16+'Plan mensual'!H127+IF(parametros_manuales!$H$28="Todos",'Plan mensual'!H20+'Plan mensual'!H131,0)))*parametros_manuales!$I$28*parametros_manuales!$J$28</f>
        <v>805.27956863</v>
      </c>
      <c r="G38" s="9" t="n">
        <f aca="false">(parametros_manuales!$D$28*('Plan mensual'!I13+'Plan mensual'!I124+IF(parametros_manuales!$H$28="Todos",'Plan mensual'!I17+'Plan mensual'!I128,0))+parametros_manuales!$E$28*('Plan mensual'!I14+'Plan mensual'!I125+IF(parametros_manuales!$H$28="Todos",'Plan mensual'!I18+'Plan mensual'!I129,0))+parametros_manuales!$F$28*('Plan mensual'!I15+'Plan mensual'!I126+IF(parametros_manuales!$H$28="Todos",'Plan mensual'!I19+'Plan mensual'!I130,0))+parametros_manuales!$G$28*('Plan mensual'!I16+'Plan mensual'!I127+IF(parametros_manuales!$H$28="Todos",'Plan mensual'!I20+'Plan mensual'!I131,0)))*parametros_manuales!$I$28*parametros_manuales!$J$28</f>
        <v>781.18780049</v>
      </c>
      <c r="H38" s="9" t="n">
        <f aca="false">(parametros_manuales!$D$28*('Plan mensual'!J13+'Plan mensual'!J124+IF(parametros_manuales!$H$28="Todos",'Plan mensual'!J17+'Plan mensual'!J128,0))+parametros_manuales!$E$28*('Plan mensual'!J14+'Plan mensual'!J125+IF(parametros_manuales!$H$28="Todos",'Plan mensual'!J18+'Plan mensual'!J129,0))+parametros_manuales!$F$28*('Plan mensual'!J15+'Plan mensual'!J126+IF(parametros_manuales!$H$28="Todos",'Plan mensual'!J19+'Plan mensual'!J130,0))+parametros_manuales!$G$28*('Plan mensual'!J16+'Plan mensual'!J127+IF(parametros_manuales!$H$28="Todos",'Plan mensual'!J20+'Plan mensual'!J131,0)))*parametros_manuales!$I$28*parametros_manuales!$J$28</f>
        <v>835.266088515</v>
      </c>
      <c r="I38" s="9" t="n">
        <f aca="false">(parametros_manuales!$D$28*('Plan mensual'!K13+'Plan mensual'!K124+IF(parametros_manuales!$H$28="Todos",'Plan mensual'!K17+'Plan mensual'!K128,0))+parametros_manuales!$E$28*('Plan mensual'!K14+'Plan mensual'!K125+IF(parametros_manuales!$H$28="Todos",'Plan mensual'!K18+'Plan mensual'!K129,0))+parametros_manuales!$F$28*('Plan mensual'!K15+'Plan mensual'!K126+IF(parametros_manuales!$H$28="Todos",'Plan mensual'!K19+'Plan mensual'!K130,0))+parametros_manuales!$G$28*('Plan mensual'!K16+'Plan mensual'!K127+IF(parametros_manuales!$H$28="Todos",'Plan mensual'!K20+'Plan mensual'!K131,0)))*parametros_manuales!$I$28*parametros_manuales!$J$28</f>
        <v>835.266088515</v>
      </c>
      <c r="J38" s="9" t="n">
        <f aca="false">(parametros_manuales!$D$28*('Plan mensual'!L13+'Plan mensual'!L124+IF(parametros_manuales!$H$28="Todos",'Plan mensual'!L17+'Plan mensual'!L128,0))+parametros_manuales!$E$28*('Plan mensual'!L14+'Plan mensual'!L125+IF(parametros_manuales!$H$28="Todos",'Plan mensual'!L18+'Plan mensual'!L129,0))+parametros_manuales!$F$28*('Plan mensual'!L15+'Plan mensual'!L126+IF(parametros_manuales!$H$28="Todos",'Plan mensual'!L19+'Plan mensual'!L130,0))+parametros_manuales!$G$28*('Plan mensual'!L16+'Plan mensual'!L127+IF(parametros_manuales!$H$28="Todos",'Plan mensual'!L20+'Plan mensual'!L131,0)))*parametros_manuales!$I$28*parametros_manuales!$J$28</f>
        <v>835.266088515</v>
      </c>
      <c r="K38" s="9" t="n">
        <f aca="false">(parametros_manuales!$D$28*('Plan mensual'!M13+'Plan mensual'!M124+IF(parametros_manuales!$H$28="Todos",'Plan mensual'!M17+'Plan mensual'!M128,0))+parametros_manuales!$E$28*('Plan mensual'!M14+'Plan mensual'!M125+IF(parametros_manuales!$H$28="Todos",'Plan mensual'!M18+'Plan mensual'!M129,0))+parametros_manuales!$F$28*('Plan mensual'!M15+'Plan mensual'!M126+IF(parametros_manuales!$H$28="Todos",'Plan mensual'!M19+'Plan mensual'!M130,0))+parametros_manuales!$G$28*('Plan mensual'!M16+'Plan mensual'!M127+IF(parametros_manuales!$H$28="Todos",'Plan mensual'!M20+'Plan mensual'!M131,0)))*parametros_manuales!$I$28*parametros_manuales!$J$28</f>
        <v>811.174320375</v>
      </c>
      <c r="L38" s="9" t="n">
        <f aca="false">(parametros_manuales!$D$28*('Plan mensual'!N13+'Plan mensual'!N124+IF(parametros_manuales!$H$28="Todos",'Plan mensual'!N17+'Plan mensual'!N128,0))+parametros_manuales!$E$28*('Plan mensual'!N14+'Plan mensual'!N125+IF(parametros_manuales!$H$28="Todos",'Plan mensual'!N18+'Plan mensual'!N129,0))+parametros_manuales!$F$28*('Plan mensual'!N15+'Plan mensual'!N126+IF(parametros_manuales!$H$28="Todos",'Plan mensual'!N19+'Plan mensual'!N130,0))+parametros_manuales!$G$28*('Plan mensual'!N16+'Plan mensual'!N127+IF(parametros_manuales!$H$28="Todos",'Plan mensual'!N20+'Plan mensual'!N131,0)))*parametros_manuales!$I$28*parametros_manuales!$J$28</f>
        <v>787.082552235</v>
      </c>
      <c r="M38" s="9" t="n">
        <f aca="false">(parametros_manuales!$D$28*('Plan mensual'!O13+'Plan mensual'!O124+IF(parametros_manuales!$H$28="Todos",'Plan mensual'!O17+'Plan mensual'!O128,0))+parametros_manuales!$E$28*('Plan mensual'!O14+'Plan mensual'!O125+IF(parametros_manuales!$H$28="Todos",'Plan mensual'!O18+'Plan mensual'!O129,0))+parametros_manuales!$F$28*('Plan mensual'!O15+'Plan mensual'!O126+IF(parametros_manuales!$H$28="Todos",'Plan mensual'!O19+'Plan mensual'!O130,0))+parametros_manuales!$G$28*('Plan mensual'!O16+'Plan mensual'!O127+IF(parametros_manuales!$H$28="Todos",'Plan mensual'!O20+'Plan mensual'!O131,0)))*parametros_manuales!$I$28*parametros_manuales!$J$28</f>
        <v>1249.69537632</v>
      </c>
      <c r="N38" s="9" t="n">
        <f aca="false">SUM(B38:M38)</f>
        <v>10815.657605</v>
      </c>
      <c r="O38" s="9" t="n">
        <f aca="false">MAX(B38:M38)</f>
        <v>1249.69537632</v>
      </c>
      <c r="P38" s="44" t="n">
        <f aca="false">O38/(parametros_manuales!$B$7)</f>
        <v>8.3313025088</v>
      </c>
      <c r="Q38" s="8" t="str">
        <f aca="false">IF(O38=0,"-",INDEX($B$28:$M$28,MATCH(O38,B38:M38,0)))</f>
        <v>Dic</v>
      </c>
    </row>
    <row r="39" customFormat="false" ht="14.25" hidden="false" customHeight="true" outlineLevel="0" collapsed="false">
      <c r="A39" s="8" t="str">
        <f aca="false">parametros_manuales!$B$29</f>
        <v>Bordoneado</v>
      </c>
      <c r="B39" s="9" t="n">
        <f aca="false">(parametros_manuales!$D$29*('Plan mensual'!D13+'Plan mensual'!D124+IF(parametros_manuales!$H$29="Todos",'Plan mensual'!D17+'Plan mensual'!D128,0))+parametros_manuales!$E$29*('Plan mensual'!D14+'Plan mensual'!D125+IF(parametros_manuales!$H$29="Todos",'Plan mensual'!D18+'Plan mensual'!D129,0))+parametros_manuales!$F$29*('Plan mensual'!D15+'Plan mensual'!D126+IF(parametros_manuales!$H$29="Todos",'Plan mensual'!D19+'Plan mensual'!D130,0))+parametros_manuales!$G$29*('Plan mensual'!D16+'Plan mensual'!D127+IF(parametros_manuales!$H$29="Todos",'Plan mensual'!D20+'Plan mensual'!D131,0)))*parametros_manuales!$I$29*parametros_manuales!$J$29</f>
        <v>1201.51184004</v>
      </c>
      <c r="C39" s="9" t="n">
        <f aca="false">(parametros_manuales!$D$29*('Plan mensual'!E13+'Plan mensual'!E124+IF(parametros_manuales!$H$29="Todos",'Plan mensual'!E17+'Plan mensual'!E128,0))+parametros_manuales!$E$29*('Plan mensual'!E14+'Plan mensual'!E125+IF(parametros_manuales!$H$29="Todos",'Plan mensual'!E18+'Plan mensual'!E129,0))+parametros_manuales!$F$29*('Plan mensual'!E15+'Plan mensual'!E126+IF(parametros_manuales!$H$29="Todos",'Plan mensual'!E19+'Plan mensual'!E130,0))+parametros_manuales!$G$29*('Plan mensual'!E16+'Plan mensual'!E127+IF(parametros_manuales!$H$29="Todos",'Plan mensual'!E20+'Plan mensual'!E131,0)))*parametros_manuales!$I$29*parametros_manuales!$J$29</f>
        <v>925.22564817</v>
      </c>
      <c r="D39" s="9" t="n">
        <f aca="false">(parametros_manuales!$D$29*('Plan mensual'!F13+'Plan mensual'!F124+IF(parametros_manuales!$H$29="Todos",'Plan mensual'!F17+'Plan mensual'!F128,0))+parametros_manuales!$E$29*('Plan mensual'!F14+'Plan mensual'!F125+IF(parametros_manuales!$H$29="Todos",'Plan mensual'!F18+'Plan mensual'!F129,0))+parametros_manuales!$F$29*('Plan mensual'!F15+'Plan mensual'!F126+IF(parametros_manuales!$H$29="Todos",'Plan mensual'!F19+'Plan mensual'!F130,0))+parametros_manuales!$G$29*('Plan mensual'!F16+'Plan mensual'!F127+IF(parametros_manuales!$H$29="Todos",'Plan mensual'!F20+'Plan mensual'!F131,0)))*parametros_manuales!$I$29*parametros_manuales!$J$29</f>
        <v>889.34437654</v>
      </c>
      <c r="E39" s="9" t="n">
        <f aca="false">(parametros_manuales!$D$29*('Plan mensual'!G13+'Plan mensual'!G124+IF(parametros_manuales!$H$29="Todos",'Plan mensual'!G17+'Plan mensual'!G128,0))+parametros_manuales!$E$29*('Plan mensual'!G14+'Plan mensual'!G125+IF(parametros_manuales!$H$29="Todos",'Plan mensual'!G18+'Plan mensual'!G129,0))+parametros_manuales!$F$29*('Plan mensual'!G15+'Plan mensual'!G126+IF(parametros_manuales!$H$29="Todos",'Plan mensual'!G19+'Plan mensual'!G130,0))+parametros_manuales!$G$29*('Plan mensual'!G16+'Plan mensual'!G127+IF(parametros_manuales!$H$29="Todos",'Plan mensual'!G20+'Plan mensual'!G131,0)))*parametros_manuales!$I$29*parametros_manuales!$J$29</f>
        <v>859.357856655</v>
      </c>
      <c r="F39" s="9" t="n">
        <f aca="false">(parametros_manuales!$D$29*('Plan mensual'!H13+'Plan mensual'!H124+IF(parametros_manuales!$H$29="Todos",'Plan mensual'!H17+'Plan mensual'!H128,0))+parametros_manuales!$E$29*('Plan mensual'!H14+'Plan mensual'!H125+IF(parametros_manuales!$H$29="Todos",'Plan mensual'!H18+'Plan mensual'!H129,0))+parametros_manuales!$F$29*('Plan mensual'!H15+'Plan mensual'!H126+IF(parametros_manuales!$H$29="Todos",'Plan mensual'!H19+'Plan mensual'!H130,0))+parametros_manuales!$G$29*('Plan mensual'!H16+'Plan mensual'!H127+IF(parametros_manuales!$H$29="Todos",'Plan mensual'!H20+'Plan mensual'!H131,0)))*parametros_manuales!$I$29*parametros_manuales!$J$29</f>
        <v>805.27956863</v>
      </c>
      <c r="G39" s="9" t="n">
        <f aca="false">(parametros_manuales!$D$29*('Plan mensual'!I13+'Plan mensual'!I124+IF(parametros_manuales!$H$29="Todos",'Plan mensual'!I17+'Plan mensual'!I128,0))+parametros_manuales!$E$29*('Plan mensual'!I14+'Plan mensual'!I125+IF(parametros_manuales!$H$29="Todos",'Plan mensual'!I18+'Plan mensual'!I129,0))+parametros_manuales!$F$29*('Plan mensual'!I15+'Plan mensual'!I126+IF(parametros_manuales!$H$29="Todos",'Plan mensual'!I19+'Plan mensual'!I130,0))+parametros_manuales!$G$29*('Plan mensual'!I16+'Plan mensual'!I127+IF(parametros_manuales!$H$29="Todos",'Plan mensual'!I20+'Plan mensual'!I131,0)))*parametros_manuales!$I$29*parametros_manuales!$J$29</f>
        <v>781.18780049</v>
      </c>
      <c r="H39" s="9" t="n">
        <f aca="false">(parametros_manuales!$D$29*('Plan mensual'!J13+'Plan mensual'!J124+IF(parametros_manuales!$H$29="Todos",'Plan mensual'!J17+'Plan mensual'!J128,0))+parametros_manuales!$E$29*('Plan mensual'!J14+'Plan mensual'!J125+IF(parametros_manuales!$H$29="Todos",'Plan mensual'!J18+'Plan mensual'!J129,0))+parametros_manuales!$F$29*('Plan mensual'!J15+'Plan mensual'!J126+IF(parametros_manuales!$H$29="Todos",'Plan mensual'!J19+'Plan mensual'!J130,0))+parametros_manuales!$G$29*('Plan mensual'!J16+'Plan mensual'!J127+IF(parametros_manuales!$H$29="Todos",'Plan mensual'!J20+'Plan mensual'!J131,0)))*parametros_manuales!$I$29*parametros_manuales!$J$29</f>
        <v>835.266088515</v>
      </c>
      <c r="I39" s="9" t="n">
        <f aca="false">(parametros_manuales!$D$29*('Plan mensual'!K13+'Plan mensual'!K124+IF(parametros_manuales!$H$29="Todos",'Plan mensual'!K17+'Plan mensual'!K128,0))+parametros_manuales!$E$29*('Plan mensual'!K14+'Plan mensual'!K125+IF(parametros_manuales!$H$29="Todos",'Plan mensual'!K18+'Plan mensual'!K129,0))+parametros_manuales!$F$29*('Plan mensual'!K15+'Plan mensual'!K126+IF(parametros_manuales!$H$29="Todos",'Plan mensual'!K19+'Plan mensual'!K130,0))+parametros_manuales!$G$29*('Plan mensual'!K16+'Plan mensual'!K127+IF(parametros_manuales!$H$29="Todos",'Plan mensual'!K20+'Plan mensual'!K131,0)))*parametros_manuales!$I$29*parametros_manuales!$J$29</f>
        <v>835.266088515</v>
      </c>
      <c r="J39" s="9" t="n">
        <f aca="false">(parametros_manuales!$D$29*('Plan mensual'!L13+'Plan mensual'!L124+IF(parametros_manuales!$H$29="Todos",'Plan mensual'!L17+'Plan mensual'!L128,0))+parametros_manuales!$E$29*('Plan mensual'!L14+'Plan mensual'!L125+IF(parametros_manuales!$H$29="Todos",'Plan mensual'!L18+'Plan mensual'!L129,0))+parametros_manuales!$F$29*('Plan mensual'!L15+'Plan mensual'!L126+IF(parametros_manuales!$H$29="Todos",'Plan mensual'!L19+'Plan mensual'!L130,0))+parametros_manuales!$G$29*('Plan mensual'!L16+'Plan mensual'!L127+IF(parametros_manuales!$H$29="Todos",'Plan mensual'!L20+'Plan mensual'!L131,0)))*parametros_manuales!$I$29*parametros_manuales!$J$29</f>
        <v>835.266088515</v>
      </c>
      <c r="K39" s="9" t="n">
        <f aca="false">(parametros_manuales!$D$29*('Plan mensual'!M13+'Plan mensual'!M124+IF(parametros_manuales!$H$29="Todos",'Plan mensual'!M17+'Plan mensual'!M128,0))+parametros_manuales!$E$29*('Plan mensual'!M14+'Plan mensual'!M125+IF(parametros_manuales!$H$29="Todos",'Plan mensual'!M18+'Plan mensual'!M129,0))+parametros_manuales!$F$29*('Plan mensual'!M15+'Plan mensual'!M126+IF(parametros_manuales!$H$29="Todos",'Plan mensual'!M19+'Plan mensual'!M130,0))+parametros_manuales!$G$29*('Plan mensual'!M16+'Plan mensual'!M127+IF(parametros_manuales!$H$29="Todos",'Plan mensual'!M20+'Plan mensual'!M131,0)))*parametros_manuales!$I$29*parametros_manuales!$J$29</f>
        <v>811.174320375</v>
      </c>
      <c r="L39" s="9" t="n">
        <f aca="false">(parametros_manuales!$D$29*('Plan mensual'!N13+'Plan mensual'!N124+IF(parametros_manuales!$H$29="Todos",'Plan mensual'!N17+'Plan mensual'!N128,0))+parametros_manuales!$E$29*('Plan mensual'!N14+'Plan mensual'!N125+IF(parametros_manuales!$H$29="Todos",'Plan mensual'!N18+'Plan mensual'!N129,0))+parametros_manuales!$F$29*('Plan mensual'!N15+'Plan mensual'!N126+IF(parametros_manuales!$H$29="Todos",'Plan mensual'!N19+'Plan mensual'!N130,0))+parametros_manuales!$G$29*('Plan mensual'!N16+'Plan mensual'!N127+IF(parametros_manuales!$H$29="Todos",'Plan mensual'!N20+'Plan mensual'!N131,0)))*parametros_manuales!$I$29*parametros_manuales!$J$29</f>
        <v>787.082552235</v>
      </c>
      <c r="M39" s="9" t="n">
        <f aca="false">(parametros_manuales!$D$29*('Plan mensual'!O13+'Plan mensual'!O124+IF(parametros_manuales!$H$29="Todos",'Plan mensual'!O17+'Plan mensual'!O128,0))+parametros_manuales!$E$29*('Plan mensual'!O14+'Plan mensual'!O125+IF(parametros_manuales!$H$29="Todos",'Plan mensual'!O18+'Plan mensual'!O129,0))+parametros_manuales!$F$29*('Plan mensual'!O15+'Plan mensual'!O126+IF(parametros_manuales!$H$29="Todos",'Plan mensual'!O19+'Plan mensual'!O130,0))+parametros_manuales!$G$29*('Plan mensual'!O16+'Plan mensual'!O127+IF(parametros_manuales!$H$29="Todos",'Plan mensual'!O20+'Plan mensual'!O131,0)))*parametros_manuales!$I$29*parametros_manuales!$J$29</f>
        <v>1249.69537632</v>
      </c>
      <c r="N39" s="9" t="n">
        <f aca="false">SUM(B39:M39)</f>
        <v>10815.657605</v>
      </c>
      <c r="O39" s="9" t="n">
        <f aca="false">MAX(B39:M39)</f>
        <v>1249.69537632</v>
      </c>
      <c r="P39" s="44" t="n">
        <f aca="false">O39/(parametros_manuales!$B$7)</f>
        <v>8.3313025088</v>
      </c>
      <c r="Q39" s="8" t="str">
        <f aca="false">IF(O39=0,"-",INDEX($B$28:$M$28,MATCH(O39,B39:M39,0)))</f>
        <v>Dic</v>
      </c>
    </row>
    <row r="40" customFormat="false" ht="14.25" hidden="false" customHeight="true" outlineLevel="0" collapsed="false">
      <c r="A40" s="8" t="str">
        <f aca="false">parametros_manuales!$B$30</f>
        <v>Soldadura circunferencial de cúpula y fondo</v>
      </c>
      <c r="B40" s="9" t="n">
        <f aca="false">(parametros_manuales!$D$30*('Plan mensual'!D13+'Plan mensual'!D124+IF(parametros_manuales!$H$30="Todos",'Plan mensual'!D17+'Plan mensual'!D128,0))+parametros_manuales!$E$30*('Plan mensual'!D14+'Plan mensual'!D125+IF(parametros_manuales!$H$30="Todos",'Plan mensual'!D18+'Plan mensual'!D129,0))+parametros_manuales!$F$30*('Plan mensual'!D15+'Plan mensual'!D126+IF(parametros_manuales!$H$30="Todos",'Plan mensual'!D19+'Plan mensual'!D130,0))+parametros_manuales!$G$30*('Plan mensual'!D16+'Plan mensual'!D127+IF(parametros_manuales!$H$30="Todos",'Plan mensual'!D20+'Plan mensual'!D131,0)))*parametros_manuales!$I$30*parametros_manuales!$J$30</f>
        <v>1201.51184004</v>
      </c>
      <c r="C40" s="9" t="n">
        <f aca="false">(parametros_manuales!$D$30*('Plan mensual'!E13+'Plan mensual'!E124+IF(parametros_manuales!$H$30="Todos",'Plan mensual'!E17+'Plan mensual'!E128,0))+parametros_manuales!$E$30*('Plan mensual'!E14+'Plan mensual'!E125+IF(parametros_manuales!$H$30="Todos",'Plan mensual'!E18+'Plan mensual'!E129,0))+parametros_manuales!$F$30*('Plan mensual'!E15+'Plan mensual'!E126+IF(parametros_manuales!$H$30="Todos",'Plan mensual'!E19+'Plan mensual'!E130,0))+parametros_manuales!$G$30*('Plan mensual'!E16+'Plan mensual'!E127+IF(parametros_manuales!$H$30="Todos",'Plan mensual'!E20+'Plan mensual'!E131,0)))*parametros_manuales!$I$30*parametros_manuales!$J$30</f>
        <v>925.22564817</v>
      </c>
      <c r="D40" s="9" t="n">
        <f aca="false">(parametros_manuales!$D$30*('Plan mensual'!F13+'Plan mensual'!F124+IF(parametros_manuales!$H$30="Todos",'Plan mensual'!F17+'Plan mensual'!F128,0))+parametros_manuales!$E$30*('Plan mensual'!F14+'Plan mensual'!F125+IF(parametros_manuales!$H$30="Todos",'Plan mensual'!F18+'Plan mensual'!F129,0))+parametros_manuales!$F$30*('Plan mensual'!F15+'Plan mensual'!F126+IF(parametros_manuales!$H$30="Todos",'Plan mensual'!F19+'Plan mensual'!F130,0))+parametros_manuales!$G$30*('Plan mensual'!F16+'Plan mensual'!F127+IF(parametros_manuales!$H$30="Todos",'Plan mensual'!F20+'Plan mensual'!F131,0)))*parametros_manuales!$I$30*parametros_manuales!$J$30</f>
        <v>889.34437654</v>
      </c>
      <c r="E40" s="9" t="n">
        <f aca="false">(parametros_manuales!$D$30*('Plan mensual'!G13+'Plan mensual'!G124+IF(parametros_manuales!$H$30="Todos",'Plan mensual'!G17+'Plan mensual'!G128,0))+parametros_manuales!$E$30*('Plan mensual'!G14+'Plan mensual'!G125+IF(parametros_manuales!$H$30="Todos",'Plan mensual'!G18+'Plan mensual'!G129,0))+parametros_manuales!$F$30*('Plan mensual'!G15+'Plan mensual'!G126+IF(parametros_manuales!$H$30="Todos",'Plan mensual'!G19+'Plan mensual'!G130,0))+parametros_manuales!$G$30*('Plan mensual'!G16+'Plan mensual'!G127+IF(parametros_manuales!$H$30="Todos",'Plan mensual'!G20+'Plan mensual'!G131,0)))*parametros_manuales!$I$30*parametros_manuales!$J$30</f>
        <v>859.357856655</v>
      </c>
      <c r="F40" s="9" t="n">
        <f aca="false">(parametros_manuales!$D$30*('Plan mensual'!H13+'Plan mensual'!H124+IF(parametros_manuales!$H$30="Todos",'Plan mensual'!H17+'Plan mensual'!H128,0))+parametros_manuales!$E$30*('Plan mensual'!H14+'Plan mensual'!H125+IF(parametros_manuales!$H$30="Todos",'Plan mensual'!H18+'Plan mensual'!H129,0))+parametros_manuales!$F$30*('Plan mensual'!H15+'Plan mensual'!H126+IF(parametros_manuales!$H$30="Todos",'Plan mensual'!H19+'Plan mensual'!H130,0))+parametros_manuales!$G$30*('Plan mensual'!H16+'Plan mensual'!H127+IF(parametros_manuales!$H$30="Todos",'Plan mensual'!H20+'Plan mensual'!H131,0)))*parametros_manuales!$I$30*parametros_manuales!$J$30</f>
        <v>805.27956863</v>
      </c>
      <c r="G40" s="9" t="n">
        <f aca="false">(parametros_manuales!$D$30*('Plan mensual'!I13+'Plan mensual'!I124+IF(parametros_manuales!$H$30="Todos",'Plan mensual'!I17+'Plan mensual'!I128,0))+parametros_manuales!$E$30*('Plan mensual'!I14+'Plan mensual'!I125+IF(parametros_manuales!$H$30="Todos",'Plan mensual'!I18+'Plan mensual'!I129,0))+parametros_manuales!$F$30*('Plan mensual'!I15+'Plan mensual'!I126+IF(parametros_manuales!$H$30="Todos",'Plan mensual'!I19+'Plan mensual'!I130,0))+parametros_manuales!$G$30*('Plan mensual'!I16+'Plan mensual'!I127+IF(parametros_manuales!$H$30="Todos",'Plan mensual'!I20+'Plan mensual'!I131,0)))*parametros_manuales!$I$30*parametros_manuales!$J$30</f>
        <v>781.18780049</v>
      </c>
      <c r="H40" s="9" t="n">
        <f aca="false">(parametros_manuales!$D$30*('Plan mensual'!J13+'Plan mensual'!J124+IF(parametros_manuales!$H$30="Todos",'Plan mensual'!J17+'Plan mensual'!J128,0))+parametros_manuales!$E$30*('Plan mensual'!J14+'Plan mensual'!J125+IF(parametros_manuales!$H$30="Todos",'Plan mensual'!J18+'Plan mensual'!J129,0))+parametros_manuales!$F$30*('Plan mensual'!J15+'Plan mensual'!J126+IF(parametros_manuales!$H$30="Todos",'Plan mensual'!J19+'Plan mensual'!J130,0))+parametros_manuales!$G$30*('Plan mensual'!J16+'Plan mensual'!J127+IF(parametros_manuales!$H$30="Todos",'Plan mensual'!J20+'Plan mensual'!J131,0)))*parametros_manuales!$I$30*parametros_manuales!$J$30</f>
        <v>835.266088515</v>
      </c>
      <c r="I40" s="9" t="n">
        <f aca="false">(parametros_manuales!$D$30*('Plan mensual'!K13+'Plan mensual'!K124+IF(parametros_manuales!$H$30="Todos",'Plan mensual'!K17+'Plan mensual'!K128,0))+parametros_manuales!$E$30*('Plan mensual'!K14+'Plan mensual'!K125+IF(parametros_manuales!$H$30="Todos",'Plan mensual'!K18+'Plan mensual'!K129,0))+parametros_manuales!$F$30*('Plan mensual'!K15+'Plan mensual'!K126+IF(parametros_manuales!$H$30="Todos",'Plan mensual'!K19+'Plan mensual'!K130,0))+parametros_manuales!$G$30*('Plan mensual'!K16+'Plan mensual'!K127+IF(parametros_manuales!$H$30="Todos",'Plan mensual'!K20+'Plan mensual'!K131,0)))*parametros_manuales!$I$30*parametros_manuales!$J$30</f>
        <v>835.266088515</v>
      </c>
      <c r="J40" s="9" t="n">
        <f aca="false">(parametros_manuales!$D$30*('Plan mensual'!L13+'Plan mensual'!L124+IF(parametros_manuales!$H$30="Todos",'Plan mensual'!L17+'Plan mensual'!L128,0))+parametros_manuales!$E$30*('Plan mensual'!L14+'Plan mensual'!L125+IF(parametros_manuales!$H$30="Todos",'Plan mensual'!L18+'Plan mensual'!L129,0))+parametros_manuales!$F$30*('Plan mensual'!L15+'Plan mensual'!L126+IF(parametros_manuales!$H$30="Todos",'Plan mensual'!L19+'Plan mensual'!L130,0))+parametros_manuales!$G$30*('Plan mensual'!L16+'Plan mensual'!L127+IF(parametros_manuales!$H$30="Todos",'Plan mensual'!L20+'Plan mensual'!L131,0)))*parametros_manuales!$I$30*parametros_manuales!$J$30</f>
        <v>835.266088515</v>
      </c>
      <c r="K40" s="9" t="n">
        <f aca="false">(parametros_manuales!$D$30*('Plan mensual'!M13+'Plan mensual'!M124+IF(parametros_manuales!$H$30="Todos",'Plan mensual'!M17+'Plan mensual'!M128,0))+parametros_manuales!$E$30*('Plan mensual'!M14+'Plan mensual'!M125+IF(parametros_manuales!$H$30="Todos",'Plan mensual'!M18+'Plan mensual'!M129,0))+parametros_manuales!$F$30*('Plan mensual'!M15+'Plan mensual'!M126+IF(parametros_manuales!$H$30="Todos",'Plan mensual'!M19+'Plan mensual'!M130,0))+parametros_manuales!$G$30*('Plan mensual'!M16+'Plan mensual'!M127+IF(parametros_manuales!$H$30="Todos",'Plan mensual'!M20+'Plan mensual'!M131,0)))*parametros_manuales!$I$30*parametros_manuales!$J$30</f>
        <v>811.174320375</v>
      </c>
      <c r="L40" s="9" t="n">
        <f aca="false">(parametros_manuales!$D$30*('Plan mensual'!N13+'Plan mensual'!N124+IF(parametros_manuales!$H$30="Todos",'Plan mensual'!N17+'Plan mensual'!N128,0))+parametros_manuales!$E$30*('Plan mensual'!N14+'Plan mensual'!N125+IF(parametros_manuales!$H$30="Todos",'Plan mensual'!N18+'Plan mensual'!N129,0))+parametros_manuales!$F$30*('Plan mensual'!N15+'Plan mensual'!N126+IF(parametros_manuales!$H$30="Todos",'Plan mensual'!N19+'Plan mensual'!N130,0))+parametros_manuales!$G$30*('Plan mensual'!N16+'Plan mensual'!N127+IF(parametros_manuales!$H$30="Todos",'Plan mensual'!N20+'Plan mensual'!N131,0)))*parametros_manuales!$I$30*parametros_manuales!$J$30</f>
        <v>787.082552235</v>
      </c>
      <c r="M40" s="9" t="n">
        <f aca="false">(parametros_manuales!$D$30*('Plan mensual'!O13+'Plan mensual'!O124+IF(parametros_manuales!$H$30="Todos",'Plan mensual'!O17+'Plan mensual'!O128,0))+parametros_manuales!$E$30*('Plan mensual'!O14+'Plan mensual'!O125+IF(parametros_manuales!$H$30="Todos",'Plan mensual'!O18+'Plan mensual'!O129,0))+parametros_manuales!$F$30*('Plan mensual'!O15+'Plan mensual'!O126+IF(parametros_manuales!$H$30="Todos",'Plan mensual'!O19+'Plan mensual'!O130,0))+parametros_manuales!$G$30*('Plan mensual'!O16+'Plan mensual'!O127+IF(parametros_manuales!$H$30="Todos",'Plan mensual'!O20+'Plan mensual'!O131,0)))*parametros_manuales!$I$30*parametros_manuales!$J$30</f>
        <v>1249.69537632</v>
      </c>
      <c r="N40" s="9" t="n">
        <f aca="false">SUM(B40:M40)</f>
        <v>10815.657605</v>
      </c>
      <c r="O40" s="9" t="n">
        <f aca="false">MAX(B40:M40)</f>
        <v>1249.69537632</v>
      </c>
      <c r="P40" s="44" t="n">
        <f aca="false">O40/(parametros_manuales!$B$7)</f>
        <v>8.3313025088</v>
      </c>
      <c r="Q40" s="8" t="str">
        <f aca="false">IF(O40=0,"-",INDEX($B$28:$M$28,MATCH(O40,B40:M40,0)))</f>
        <v>Dic</v>
      </c>
    </row>
    <row r="41" customFormat="false" ht="14.25" hidden="false" customHeight="true" outlineLevel="0" collapsed="false">
      <c r="A41" s="8" t="str">
        <f aca="false">parametros_manuales!$B$31</f>
        <v>Control de calidad — Espesor</v>
      </c>
      <c r="B41" s="9" t="n">
        <f aca="false">(parametros_manuales!$D$31*('Plan mensual'!D13+'Plan mensual'!D124+IF(parametros_manuales!$H$31="Todos",'Plan mensual'!D17+'Plan mensual'!D128,0))+parametros_manuales!$E$31*('Plan mensual'!D14+'Plan mensual'!D125+IF(parametros_manuales!$H$31="Todos",'Plan mensual'!D18+'Plan mensual'!D129,0))+parametros_manuales!$F$31*('Plan mensual'!D15+'Plan mensual'!D126+IF(parametros_manuales!$H$31="Todos",'Plan mensual'!D19+'Plan mensual'!D130,0))+parametros_manuales!$G$31*('Plan mensual'!D16+'Plan mensual'!D127+IF(parametros_manuales!$H$31="Todos",'Plan mensual'!D20+'Plan mensual'!D131,0)))*parametros_manuales!$I$31*parametros_manuales!$J$31</f>
        <v>24.0302368008</v>
      </c>
      <c r="C41" s="9" t="n">
        <f aca="false">(parametros_manuales!$D$31*('Plan mensual'!E13+'Plan mensual'!E124+IF(parametros_manuales!$H$31="Todos",'Plan mensual'!E17+'Plan mensual'!E128,0))+parametros_manuales!$E$31*('Plan mensual'!E14+'Plan mensual'!E125+IF(parametros_manuales!$H$31="Todos",'Plan mensual'!E18+'Plan mensual'!E129,0))+parametros_manuales!$F$31*('Plan mensual'!E15+'Plan mensual'!E126+IF(parametros_manuales!$H$31="Todos",'Plan mensual'!E19+'Plan mensual'!E130,0))+parametros_manuales!$G$31*('Plan mensual'!E16+'Plan mensual'!E127+IF(parametros_manuales!$H$31="Todos",'Plan mensual'!E20+'Plan mensual'!E131,0)))*parametros_manuales!$I$31*parametros_manuales!$J$31</f>
        <v>18.5045129634</v>
      </c>
      <c r="D41" s="9" t="n">
        <f aca="false">(parametros_manuales!$D$31*('Plan mensual'!F13+'Plan mensual'!F124+IF(parametros_manuales!$H$31="Todos",'Plan mensual'!F17+'Plan mensual'!F128,0))+parametros_manuales!$E$31*('Plan mensual'!F14+'Plan mensual'!F125+IF(parametros_manuales!$H$31="Todos",'Plan mensual'!F18+'Plan mensual'!F129,0))+parametros_manuales!$F$31*('Plan mensual'!F15+'Plan mensual'!F126+IF(parametros_manuales!$H$31="Todos",'Plan mensual'!F19+'Plan mensual'!F130,0))+parametros_manuales!$G$31*('Plan mensual'!F16+'Plan mensual'!F127+IF(parametros_manuales!$H$31="Todos",'Plan mensual'!F20+'Plan mensual'!F131,0)))*parametros_manuales!$I$31*parametros_manuales!$J$31</f>
        <v>17.7868875308</v>
      </c>
      <c r="E41" s="9" t="n">
        <f aca="false">(parametros_manuales!$D$31*('Plan mensual'!G13+'Plan mensual'!G124+IF(parametros_manuales!$H$31="Todos",'Plan mensual'!G17+'Plan mensual'!G128,0))+parametros_manuales!$E$31*('Plan mensual'!G14+'Plan mensual'!G125+IF(parametros_manuales!$H$31="Todos",'Plan mensual'!G18+'Plan mensual'!G129,0))+parametros_manuales!$F$31*('Plan mensual'!G15+'Plan mensual'!G126+IF(parametros_manuales!$H$31="Todos",'Plan mensual'!G19+'Plan mensual'!G130,0))+parametros_manuales!$G$31*('Plan mensual'!G16+'Plan mensual'!G127+IF(parametros_manuales!$H$31="Todos",'Plan mensual'!G20+'Plan mensual'!G131,0)))*parametros_manuales!$I$31*parametros_manuales!$J$31</f>
        <v>17.1871571331</v>
      </c>
      <c r="F41" s="9" t="n">
        <f aca="false">(parametros_manuales!$D$31*('Plan mensual'!H13+'Plan mensual'!H124+IF(parametros_manuales!$H$31="Todos",'Plan mensual'!H17+'Plan mensual'!H128,0))+parametros_manuales!$E$31*('Plan mensual'!H14+'Plan mensual'!H125+IF(parametros_manuales!$H$31="Todos",'Plan mensual'!H18+'Plan mensual'!H129,0))+parametros_manuales!$F$31*('Plan mensual'!H15+'Plan mensual'!H126+IF(parametros_manuales!$H$31="Todos",'Plan mensual'!H19+'Plan mensual'!H130,0))+parametros_manuales!$G$31*('Plan mensual'!H16+'Plan mensual'!H127+IF(parametros_manuales!$H$31="Todos",'Plan mensual'!H20+'Plan mensual'!H131,0)))*parametros_manuales!$I$31*parametros_manuales!$J$31</f>
        <v>16.1055913726</v>
      </c>
      <c r="G41" s="9" t="n">
        <f aca="false">(parametros_manuales!$D$31*('Plan mensual'!I13+'Plan mensual'!I124+IF(parametros_manuales!$H$31="Todos",'Plan mensual'!I17+'Plan mensual'!I128,0))+parametros_manuales!$E$31*('Plan mensual'!I14+'Plan mensual'!I125+IF(parametros_manuales!$H$31="Todos",'Plan mensual'!I18+'Plan mensual'!I129,0))+parametros_manuales!$F$31*('Plan mensual'!I15+'Plan mensual'!I126+IF(parametros_manuales!$H$31="Todos",'Plan mensual'!I19+'Plan mensual'!I130,0))+parametros_manuales!$G$31*('Plan mensual'!I16+'Plan mensual'!I127+IF(parametros_manuales!$H$31="Todos",'Plan mensual'!I20+'Plan mensual'!I131,0)))*parametros_manuales!$I$31*parametros_manuales!$J$31</f>
        <v>15.6237560098</v>
      </c>
      <c r="H41" s="9" t="n">
        <f aca="false">(parametros_manuales!$D$31*('Plan mensual'!J13+'Plan mensual'!J124+IF(parametros_manuales!$H$31="Todos",'Plan mensual'!J17+'Plan mensual'!J128,0))+parametros_manuales!$E$31*('Plan mensual'!J14+'Plan mensual'!J125+IF(parametros_manuales!$H$31="Todos",'Plan mensual'!J18+'Plan mensual'!J129,0))+parametros_manuales!$F$31*('Plan mensual'!J15+'Plan mensual'!J126+IF(parametros_manuales!$H$31="Todos",'Plan mensual'!J19+'Plan mensual'!J130,0))+parametros_manuales!$G$31*('Plan mensual'!J16+'Plan mensual'!J127+IF(parametros_manuales!$H$31="Todos",'Plan mensual'!J20+'Plan mensual'!J131,0)))*parametros_manuales!$I$31*parametros_manuales!$J$31</f>
        <v>16.7053217703</v>
      </c>
      <c r="I41" s="9" t="n">
        <f aca="false">(parametros_manuales!$D$31*('Plan mensual'!K13+'Plan mensual'!K124+IF(parametros_manuales!$H$31="Todos",'Plan mensual'!K17+'Plan mensual'!K128,0))+parametros_manuales!$E$31*('Plan mensual'!K14+'Plan mensual'!K125+IF(parametros_manuales!$H$31="Todos",'Plan mensual'!K18+'Plan mensual'!K129,0))+parametros_manuales!$F$31*('Plan mensual'!K15+'Plan mensual'!K126+IF(parametros_manuales!$H$31="Todos",'Plan mensual'!K19+'Plan mensual'!K130,0))+parametros_manuales!$G$31*('Plan mensual'!K16+'Plan mensual'!K127+IF(parametros_manuales!$H$31="Todos",'Plan mensual'!K20+'Plan mensual'!K131,0)))*parametros_manuales!$I$31*parametros_manuales!$J$31</f>
        <v>16.7053217703</v>
      </c>
      <c r="J41" s="9" t="n">
        <f aca="false">(parametros_manuales!$D$31*('Plan mensual'!L13+'Plan mensual'!L124+IF(parametros_manuales!$H$31="Todos",'Plan mensual'!L17+'Plan mensual'!L128,0))+parametros_manuales!$E$31*('Plan mensual'!L14+'Plan mensual'!L125+IF(parametros_manuales!$H$31="Todos",'Plan mensual'!L18+'Plan mensual'!L129,0))+parametros_manuales!$F$31*('Plan mensual'!L15+'Plan mensual'!L126+IF(parametros_manuales!$H$31="Todos",'Plan mensual'!L19+'Plan mensual'!L130,0))+parametros_manuales!$G$31*('Plan mensual'!L16+'Plan mensual'!L127+IF(parametros_manuales!$H$31="Todos",'Plan mensual'!L20+'Plan mensual'!L131,0)))*parametros_manuales!$I$31*parametros_manuales!$J$31</f>
        <v>16.7053217703</v>
      </c>
      <c r="K41" s="9" t="n">
        <f aca="false">(parametros_manuales!$D$31*('Plan mensual'!M13+'Plan mensual'!M124+IF(parametros_manuales!$H$31="Todos",'Plan mensual'!M17+'Plan mensual'!M128,0))+parametros_manuales!$E$31*('Plan mensual'!M14+'Plan mensual'!M125+IF(parametros_manuales!$H$31="Todos",'Plan mensual'!M18+'Plan mensual'!M129,0))+parametros_manuales!$F$31*('Plan mensual'!M15+'Plan mensual'!M126+IF(parametros_manuales!$H$31="Todos",'Plan mensual'!M19+'Plan mensual'!M130,0))+parametros_manuales!$G$31*('Plan mensual'!M16+'Plan mensual'!M127+IF(parametros_manuales!$H$31="Todos",'Plan mensual'!M20+'Plan mensual'!M131,0)))*parametros_manuales!$I$31*parametros_manuales!$J$31</f>
        <v>16.2234864075</v>
      </c>
      <c r="L41" s="9" t="n">
        <f aca="false">(parametros_manuales!$D$31*('Plan mensual'!N13+'Plan mensual'!N124+IF(parametros_manuales!$H$31="Todos",'Plan mensual'!N17+'Plan mensual'!N128,0))+parametros_manuales!$E$31*('Plan mensual'!N14+'Plan mensual'!N125+IF(parametros_manuales!$H$31="Todos",'Plan mensual'!N18+'Plan mensual'!N129,0))+parametros_manuales!$F$31*('Plan mensual'!N15+'Plan mensual'!N126+IF(parametros_manuales!$H$31="Todos",'Plan mensual'!N19+'Plan mensual'!N130,0))+parametros_manuales!$G$31*('Plan mensual'!N16+'Plan mensual'!N127+IF(parametros_manuales!$H$31="Todos",'Plan mensual'!N20+'Plan mensual'!N131,0)))*parametros_manuales!$I$31*parametros_manuales!$J$31</f>
        <v>15.7416510447</v>
      </c>
      <c r="M41" s="9" t="n">
        <f aca="false">(parametros_manuales!$D$31*('Plan mensual'!O13+'Plan mensual'!O124+IF(parametros_manuales!$H$31="Todos",'Plan mensual'!O17+'Plan mensual'!O128,0))+parametros_manuales!$E$31*('Plan mensual'!O14+'Plan mensual'!O125+IF(parametros_manuales!$H$31="Todos",'Plan mensual'!O18+'Plan mensual'!O129,0))+parametros_manuales!$F$31*('Plan mensual'!O15+'Plan mensual'!O126+IF(parametros_manuales!$H$31="Todos",'Plan mensual'!O19+'Plan mensual'!O130,0))+parametros_manuales!$G$31*('Plan mensual'!O16+'Plan mensual'!O127+IF(parametros_manuales!$H$31="Todos",'Plan mensual'!O20+'Plan mensual'!O131,0)))*parametros_manuales!$I$31*parametros_manuales!$J$31</f>
        <v>24.9939075264</v>
      </c>
      <c r="N41" s="9" t="n">
        <f aca="false">SUM(B41:M41)</f>
        <v>216.3131521</v>
      </c>
      <c r="O41" s="9" t="n">
        <f aca="false">MAX(B41:M41)</f>
        <v>24.9939075264</v>
      </c>
      <c r="P41" s="44" t="n">
        <f aca="false">O41/(parametros_manuales!$B$7)</f>
        <v>0.166626050176</v>
      </c>
      <c r="Q41" s="8" t="str">
        <f aca="false">IF(O41=0,"-",INDEX($B$28:$M$28,MATCH(O41,B41:M41,0)))</f>
        <v>Dic</v>
      </c>
    </row>
    <row r="42" customFormat="false" ht="14.25" hidden="false" customHeight="true" outlineLevel="0" collapsed="false">
      <c r="A42" s="8" t="str">
        <f aca="false">parametros_manuales!$B$32</f>
        <v>Prueba hidráulica</v>
      </c>
      <c r="B42" s="9" t="n">
        <f aca="false">(parametros_manuales!$D$32*('Plan mensual'!D13+'Plan mensual'!D124+IF(parametros_manuales!$H$32="Todos",'Plan mensual'!D17+'Plan mensual'!D128,0))+parametros_manuales!$E$32*('Plan mensual'!D14+'Plan mensual'!D125+IF(parametros_manuales!$H$32="Todos",'Plan mensual'!D18+'Plan mensual'!D129,0))+parametros_manuales!$F$32*('Plan mensual'!D15+'Plan mensual'!D126+IF(parametros_manuales!$H$32="Todos",'Plan mensual'!D19+'Plan mensual'!D130,0))+parametros_manuales!$G$32*('Plan mensual'!D16+'Plan mensual'!D127+IF(parametros_manuales!$H$32="Todos",'Plan mensual'!D20+'Plan mensual'!D131,0)))*parametros_manuales!$I$32*parametros_manuales!$J$32</f>
        <v>1201.51184004</v>
      </c>
      <c r="C42" s="9" t="n">
        <f aca="false">(parametros_manuales!$D$32*('Plan mensual'!E13+'Plan mensual'!E124+IF(parametros_manuales!$H$32="Todos",'Plan mensual'!E17+'Plan mensual'!E128,0))+parametros_manuales!$E$32*('Plan mensual'!E14+'Plan mensual'!E125+IF(parametros_manuales!$H$32="Todos",'Plan mensual'!E18+'Plan mensual'!E129,0))+parametros_manuales!$F$32*('Plan mensual'!E15+'Plan mensual'!E126+IF(parametros_manuales!$H$32="Todos",'Plan mensual'!E19+'Plan mensual'!E130,0))+parametros_manuales!$G$32*('Plan mensual'!E16+'Plan mensual'!E127+IF(parametros_manuales!$H$32="Todos",'Plan mensual'!E20+'Plan mensual'!E131,0)))*parametros_manuales!$I$32*parametros_manuales!$J$32</f>
        <v>925.22564817</v>
      </c>
      <c r="D42" s="9" t="n">
        <f aca="false">(parametros_manuales!$D$32*('Plan mensual'!F13+'Plan mensual'!F124+IF(parametros_manuales!$H$32="Todos",'Plan mensual'!F17+'Plan mensual'!F128,0))+parametros_manuales!$E$32*('Plan mensual'!F14+'Plan mensual'!F125+IF(parametros_manuales!$H$32="Todos",'Plan mensual'!F18+'Plan mensual'!F129,0))+parametros_manuales!$F$32*('Plan mensual'!F15+'Plan mensual'!F126+IF(parametros_manuales!$H$32="Todos",'Plan mensual'!F19+'Plan mensual'!F130,0))+parametros_manuales!$G$32*('Plan mensual'!F16+'Plan mensual'!F127+IF(parametros_manuales!$H$32="Todos",'Plan mensual'!F20+'Plan mensual'!F131,0)))*parametros_manuales!$I$32*parametros_manuales!$J$32</f>
        <v>889.34437654</v>
      </c>
      <c r="E42" s="9" t="n">
        <f aca="false">(parametros_manuales!$D$32*('Plan mensual'!G13+'Plan mensual'!G124+IF(parametros_manuales!$H$32="Todos",'Plan mensual'!G17+'Plan mensual'!G128,0))+parametros_manuales!$E$32*('Plan mensual'!G14+'Plan mensual'!G125+IF(parametros_manuales!$H$32="Todos",'Plan mensual'!G18+'Plan mensual'!G129,0))+parametros_manuales!$F$32*('Plan mensual'!G15+'Plan mensual'!G126+IF(parametros_manuales!$H$32="Todos",'Plan mensual'!G19+'Plan mensual'!G130,0))+parametros_manuales!$G$32*('Plan mensual'!G16+'Plan mensual'!G127+IF(parametros_manuales!$H$32="Todos",'Plan mensual'!G20+'Plan mensual'!G131,0)))*parametros_manuales!$I$32*parametros_manuales!$J$32</f>
        <v>859.357856655</v>
      </c>
      <c r="F42" s="9" t="n">
        <f aca="false">(parametros_manuales!$D$32*('Plan mensual'!H13+'Plan mensual'!H124+IF(parametros_manuales!$H$32="Todos",'Plan mensual'!H17+'Plan mensual'!H128,0))+parametros_manuales!$E$32*('Plan mensual'!H14+'Plan mensual'!H125+IF(parametros_manuales!$H$32="Todos",'Plan mensual'!H18+'Plan mensual'!H129,0))+parametros_manuales!$F$32*('Plan mensual'!H15+'Plan mensual'!H126+IF(parametros_manuales!$H$32="Todos",'Plan mensual'!H19+'Plan mensual'!H130,0))+parametros_manuales!$G$32*('Plan mensual'!H16+'Plan mensual'!H127+IF(parametros_manuales!$H$32="Todos",'Plan mensual'!H20+'Plan mensual'!H131,0)))*parametros_manuales!$I$32*parametros_manuales!$J$32</f>
        <v>805.27956863</v>
      </c>
      <c r="G42" s="9" t="n">
        <f aca="false">(parametros_manuales!$D$32*('Plan mensual'!I13+'Plan mensual'!I124+IF(parametros_manuales!$H$32="Todos",'Plan mensual'!I17+'Plan mensual'!I128,0))+parametros_manuales!$E$32*('Plan mensual'!I14+'Plan mensual'!I125+IF(parametros_manuales!$H$32="Todos",'Plan mensual'!I18+'Plan mensual'!I129,0))+parametros_manuales!$F$32*('Plan mensual'!I15+'Plan mensual'!I126+IF(parametros_manuales!$H$32="Todos",'Plan mensual'!I19+'Plan mensual'!I130,0))+parametros_manuales!$G$32*('Plan mensual'!I16+'Plan mensual'!I127+IF(parametros_manuales!$H$32="Todos",'Plan mensual'!I20+'Plan mensual'!I131,0)))*parametros_manuales!$I$32*parametros_manuales!$J$32</f>
        <v>781.18780049</v>
      </c>
      <c r="H42" s="9" t="n">
        <f aca="false">(parametros_manuales!$D$32*('Plan mensual'!J13+'Plan mensual'!J124+IF(parametros_manuales!$H$32="Todos",'Plan mensual'!J17+'Plan mensual'!J128,0))+parametros_manuales!$E$32*('Plan mensual'!J14+'Plan mensual'!J125+IF(parametros_manuales!$H$32="Todos",'Plan mensual'!J18+'Plan mensual'!J129,0))+parametros_manuales!$F$32*('Plan mensual'!J15+'Plan mensual'!J126+IF(parametros_manuales!$H$32="Todos",'Plan mensual'!J19+'Plan mensual'!J130,0))+parametros_manuales!$G$32*('Plan mensual'!J16+'Plan mensual'!J127+IF(parametros_manuales!$H$32="Todos",'Plan mensual'!J20+'Plan mensual'!J131,0)))*parametros_manuales!$I$32*parametros_manuales!$J$32</f>
        <v>835.266088515</v>
      </c>
      <c r="I42" s="9" t="n">
        <f aca="false">(parametros_manuales!$D$32*('Plan mensual'!K13+'Plan mensual'!K124+IF(parametros_manuales!$H$32="Todos",'Plan mensual'!K17+'Plan mensual'!K128,0))+parametros_manuales!$E$32*('Plan mensual'!K14+'Plan mensual'!K125+IF(parametros_manuales!$H$32="Todos",'Plan mensual'!K18+'Plan mensual'!K129,0))+parametros_manuales!$F$32*('Plan mensual'!K15+'Plan mensual'!K126+IF(parametros_manuales!$H$32="Todos",'Plan mensual'!K19+'Plan mensual'!K130,0))+parametros_manuales!$G$32*('Plan mensual'!K16+'Plan mensual'!K127+IF(parametros_manuales!$H$32="Todos",'Plan mensual'!K20+'Plan mensual'!K131,0)))*parametros_manuales!$I$32*parametros_manuales!$J$32</f>
        <v>835.266088515</v>
      </c>
      <c r="J42" s="9" t="n">
        <f aca="false">(parametros_manuales!$D$32*('Plan mensual'!L13+'Plan mensual'!L124+IF(parametros_manuales!$H$32="Todos",'Plan mensual'!L17+'Plan mensual'!L128,0))+parametros_manuales!$E$32*('Plan mensual'!L14+'Plan mensual'!L125+IF(parametros_manuales!$H$32="Todos",'Plan mensual'!L18+'Plan mensual'!L129,0))+parametros_manuales!$F$32*('Plan mensual'!L15+'Plan mensual'!L126+IF(parametros_manuales!$H$32="Todos",'Plan mensual'!L19+'Plan mensual'!L130,0))+parametros_manuales!$G$32*('Plan mensual'!L16+'Plan mensual'!L127+IF(parametros_manuales!$H$32="Todos",'Plan mensual'!L20+'Plan mensual'!L131,0)))*parametros_manuales!$I$32*parametros_manuales!$J$32</f>
        <v>835.266088515</v>
      </c>
      <c r="K42" s="9" t="n">
        <f aca="false">(parametros_manuales!$D$32*('Plan mensual'!M13+'Plan mensual'!M124+IF(parametros_manuales!$H$32="Todos",'Plan mensual'!M17+'Plan mensual'!M128,0))+parametros_manuales!$E$32*('Plan mensual'!M14+'Plan mensual'!M125+IF(parametros_manuales!$H$32="Todos",'Plan mensual'!M18+'Plan mensual'!M129,0))+parametros_manuales!$F$32*('Plan mensual'!M15+'Plan mensual'!M126+IF(parametros_manuales!$H$32="Todos",'Plan mensual'!M19+'Plan mensual'!M130,0))+parametros_manuales!$G$32*('Plan mensual'!M16+'Plan mensual'!M127+IF(parametros_manuales!$H$32="Todos",'Plan mensual'!M20+'Plan mensual'!M131,0)))*parametros_manuales!$I$32*parametros_manuales!$J$32</f>
        <v>811.174320375</v>
      </c>
      <c r="L42" s="9" t="n">
        <f aca="false">(parametros_manuales!$D$32*('Plan mensual'!N13+'Plan mensual'!N124+IF(parametros_manuales!$H$32="Todos",'Plan mensual'!N17+'Plan mensual'!N128,0))+parametros_manuales!$E$32*('Plan mensual'!N14+'Plan mensual'!N125+IF(parametros_manuales!$H$32="Todos",'Plan mensual'!N18+'Plan mensual'!N129,0))+parametros_manuales!$F$32*('Plan mensual'!N15+'Plan mensual'!N126+IF(parametros_manuales!$H$32="Todos",'Plan mensual'!N19+'Plan mensual'!N130,0))+parametros_manuales!$G$32*('Plan mensual'!N16+'Plan mensual'!N127+IF(parametros_manuales!$H$32="Todos",'Plan mensual'!N20+'Plan mensual'!N131,0)))*parametros_manuales!$I$32*parametros_manuales!$J$32</f>
        <v>787.082552235</v>
      </c>
      <c r="M42" s="9" t="n">
        <f aca="false">(parametros_manuales!$D$32*('Plan mensual'!O13+'Plan mensual'!O124+IF(parametros_manuales!$H$32="Todos",'Plan mensual'!O17+'Plan mensual'!O128,0))+parametros_manuales!$E$32*('Plan mensual'!O14+'Plan mensual'!O125+IF(parametros_manuales!$H$32="Todos",'Plan mensual'!O18+'Plan mensual'!O129,0))+parametros_manuales!$F$32*('Plan mensual'!O15+'Plan mensual'!O126+IF(parametros_manuales!$H$32="Todos",'Plan mensual'!O19+'Plan mensual'!O130,0))+parametros_manuales!$G$32*('Plan mensual'!O16+'Plan mensual'!O127+IF(parametros_manuales!$H$32="Todos",'Plan mensual'!O20+'Plan mensual'!O131,0)))*parametros_manuales!$I$32*parametros_manuales!$J$32</f>
        <v>1249.69537632</v>
      </c>
      <c r="N42" s="9" t="n">
        <f aca="false">SUM(B42:M42)</f>
        <v>10815.657605</v>
      </c>
      <c r="O42" s="9" t="n">
        <f aca="false">MAX(B42:M42)</f>
        <v>1249.69537632</v>
      </c>
      <c r="P42" s="44" t="n">
        <f aca="false">O42/(parametros_manuales!$B$7)</f>
        <v>8.3313025088</v>
      </c>
      <c r="Q42" s="8" t="str">
        <f aca="false">IF(O42=0,"-",INDEX($B$28:$M$28,MATCH(O42,B42:M42,0)))</f>
        <v>Dic</v>
      </c>
    </row>
    <row r="43" customFormat="false" ht="14.25" hidden="false" customHeight="true" outlineLevel="0" collapsed="false">
      <c r="A43" s="8" t="str">
        <f aca="false">parametros_manuales!$B$33</f>
        <v>Secado</v>
      </c>
      <c r="B43" s="9" t="n">
        <f aca="false">(parametros_manuales!$D$33*('Plan mensual'!D13+'Plan mensual'!D124+IF(parametros_manuales!$H$33="Todos",'Plan mensual'!D17+'Plan mensual'!D128,0))+parametros_manuales!$E$33*('Plan mensual'!D14+'Plan mensual'!D125+IF(parametros_manuales!$H$33="Todos",'Plan mensual'!D18+'Plan mensual'!D129,0))+parametros_manuales!$F$33*('Plan mensual'!D15+'Plan mensual'!D126+IF(parametros_manuales!$H$33="Todos",'Plan mensual'!D19+'Plan mensual'!D130,0))+parametros_manuales!$G$33*('Plan mensual'!D16+'Plan mensual'!D127+IF(parametros_manuales!$H$33="Todos",'Plan mensual'!D20+'Plan mensual'!D131,0)))*parametros_manuales!$I$33*parametros_manuales!$J$33</f>
        <v>1201.51184004</v>
      </c>
      <c r="C43" s="9" t="n">
        <f aca="false">(parametros_manuales!$D$33*('Plan mensual'!E13+'Plan mensual'!E124+IF(parametros_manuales!$H$33="Todos",'Plan mensual'!E17+'Plan mensual'!E128,0))+parametros_manuales!$E$33*('Plan mensual'!E14+'Plan mensual'!E125+IF(parametros_manuales!$H$33="Todos",'Plan mensual'!E18+'Plan mensual'!E129,0))+parametros_manuales!$F$33*('Plan mensual'!E15+'Plan mensual'!E126+IF(parametros_manuales!$H$33="Todos",'Plan mensual'!E19+'Plan mensual'!E130,0))+parametros_manuales!$G$33*('Plan mensual'!E16+'Plan mensual'!E127+IF(parametros_manuales!$H$33="Todos",'Plan mensual'!E20+'Plan mensual'!E131,0)))*parametros_manuales!$I$33*parametros_manuales!$J$33</f>
        <v>925.22564817</v>
      </c>
      <c r="D43" s="9" t="n">
        <f aca="false">(parametros_manuales!$D$33*('Plan mensual'!F13+'Plan mensual'!F124+IF(parametros_manuales!$H$33="Todos",'Plan mensual'!F17+'Plan mensual'!F128,0))+parametros_manuales!$E$33*('Plan mensual'!F14+'Plan mensual'!F125+IF(parametros_manuales!$H$33="Todos",'Plan mensual'!F18+'Plan mensual'!F129,0))+parametros_manuales!$F$33*('Plan mensual'!F15+'Plan mensual'!F126+IF(parametros_manuales!$H$33="Todos",'Plan mensual'!F19+'Plan mensual'!F130,0))+parametros_manuales!$G$33*('Plan mensual'!F16+'Plan mensual'!F127+IF(parametros_manuales!$H$33="Todos",'Plan mensual'!F20+'Plan mensual'!F131,0)))*parametros_manuales!$I$33*parametros_manuales!$J$33</f>
        <v>889.34437654</v>
      </c>
      <c r="E43" s="9" t="n">
        <f aca="false">(parametros_manuales!$D$33*('Plan mensual'!G13+'Plan mensual'!G124+IF(parametros_manuales!$H$33="Todos",'Plan mensual'!G17+'Plan mensual'!G128,0))+parametros_manuales!$E$33*('Plan mensual'!G14+'Plan mensual'!G125+IF(parametros_manuales!$H$33="Todos",'Plan mensual'!G18+'Plan mensual'!G129,0))+parametros_manuales!$F$33*('Plan mensual'!G15+'Plan mensual'!G126+IF(parametros_manuales!$H$33="Todos",'Plan mensual'!G19+'Plan mensual'!G130,0))+parametros_manuales!$G$33*('Plan mensual'!G16+'Plan mensual'!G127+IF(parametros_manuales!$H$33="Todos",'Plan mensual'!G20+'Plan mensual'!G131,0)))*parametros_manuales!$I$33*parametros_manuales!$J$33</f>
        <v>859.357856655</v>
      </c>
      <c r="F43" s="9" t="n">
        <f aca="false">(parametros_manuales!$D$33*('Plan mensual'!H13+'Plan mensual'!H124+IF(parametros_manuales!$H$33="Todos",'Plan mensual'!H17+'Plan mensual'!H128,0))+parametros_manuales!$E$33*('Plan mensual'!H14+'Plan mensual'!H125+IF(parametros_manuales!$H$33="Todos",'Plan mensual'!H18+'Plan mensual'!H129,0))+parametros_manuales!$F$33*('Plan mensual'!H15+'Plan mensual'!H126+IF(parametros_manuales!$H$33="Todos",'Plan mensual'!H19+'Plan mensual'!H130,0))+parametros_manuales!$G$33*('Plan mensual'!H16+'Plan mensual'!H127+IF(parametros_manuales!$H$33="Todos",'Plan mensual'!H20+'Plan mensual'!H131,0)))*parametros_manuales!$I$33*parametros_manuales!$J$33</f>
        <v>805.27956863</v>
      </c>
      <c r="G43" s="9" t="n">
        <f aca="false">(parametros_manuales!$D$33*('Plan mensual'!I13+'Plan mensual'!I124+IF(parametros_manuales!$H$33="Todos",'Plan mensual'!I17+'Plan mensual'!I128,0))+parametros_manuales!$E$33*('Plan mensual'!I14+'Plan mensual'!I125+IF(parametros_manuales!$H$33="Todos",'Plan mensual'!I18+'Plan mensual'!I129,0))+parametros_manuales!$F$33*('Plan mensual'!I15+'Plan mensual'!I126+IF(parametros_manuales!$H$33="Todos",'Plan mensual'!I19+'Plan mensual'!I130,0))+parametros_manuales!$G$33*('Plan mensual'!I16+'Plan mensual'!I127+IF(parametros_manuales!$H$33="Todos",'Plan mensual'!I20+'Plan mensual'!I131,0)))*parametros_manuales!$I$33*parametros_manuales!$J$33</f>
        <v>781.18780049</v>
      </c>
      <c r="H43" s="9" t="n">
        <f aca="false">(parametros_manuales!$D$33*('Plan mensual'!J13+'Plan mensual'!J124+IF(parametros_manuales!$H$33="Todos",'Plan mensual'!J17+'Plan mensual'!J128,0))+parametros_manuales!$E$33*('Plan mensual'!J14+'Plan mensual'!J125+IF(parametros_manuales!$H$33="Todos",'Plan mensual'!J18+'Plan mensual'!J129,0))+parametros_manuales!$F$33*('Plan mensual'!J15+'Plan mensual'!J126+IF(parametros_manuales!$H$33="Todos",'Plan mensual'!J19+'Plan mensual'!J130,0))+parametros_manuales!$G$33*('Plan mensual'!J16+'Plan mensual'!J127+IF(parametros_manuales!$H$33="Todos",'Plan mensual'!J20+'Plan mensual'!J131,0)))*parametros_manuales!$I$33*parametros_manuales!$J$33</f>
        <v>835.266088515</v>
      </c>
      <c r="I43" s="9" t="n">
        <f aca="false">(parametros_manuales!$D$33*('Plan mensual'!K13+'Plan mensual'!K124+IF(parametros_manuales!$H$33="Todos",'Plan mensual'!K17+'Plan mensual'!K128,0))+parametros_manuales!$E$33*('Plan mensual'!K14+'Plan mensual'!K125+IF(parametros_manuales!$H$33="Todos",'Plan mensual'!K18+'Plan mensual'!K129,0))+parametros_manuales!$F$33*('Plan mensual'!K15+'Plan mensual'!K126+IF(parametros_manuales!$H$33="Todos",'Plan mensual'!K19+'Plan mensual'!K130,0))+parametros_manuales!$G$33*('Plan mensual'!K16+'Plan mensual'!K127+IF(parametros_manuales!$H$33="Todos",'Plan mensual'!K20+'Plan mensual'!K131,0)))*parametros_manuales!$I$33*parametros_manuales!$J$33</f>
        <v>835.266088515</v>
      </c>
      <c r="J43" s="9" t="n">
        <f aca="false">(parametros_manuales!$D$33*('Plan mensual'!L13+'Plan mensual'!L124+IF(parametros_manuales!$H$33="Todos",'Plan mensual'!L17+'Plan mensual'!L128,0))+parametros_manuales!$E$33*('Plan mensual'!L14+'Plan mensual'!L125+IF(parametros_manuales!$H$33="Todos",'Plan mensual'!L18+'Plan mensual'!L129,0))+parametros_manuales!$F$33*('Plan mensual'!L15+'Plan mensual'!L126+IF(parametros_manuales!$H$33="Todos",'Plan mensual'!L19+'Plan mensual'!L130,0))+parametros_manuales!$G$33*('Plan mensual'!L16+'Plan mensual'!L127+IF(parametros_manuales!$H$33="Todos",'Plan mensual'!L20+'Plan mensual'!L131,0)))*parametros_manuales!$I$33*parametros_manuales!$J$33</f>
        <v>835.266088515</v>
      </c>
      <c r="K43" s="9" t="n">
        <f aca="false">(parametros_manuales!$D$33*('Plan mensual'!M13+'Plan mensual'!M124+IF(parametros_manuales!$H$33="Todos",'Plan mensual'!M17+'Plan mensual'!M128,0))+parametros_manuales!$E$33*('Plan mensual'!M14+'Plan mensual'!M125+IF(parametros_manuales!$H$33="Todos",'Plan mensual'!M18+'Plan mensual'!M129,0))+parametros_manuales!$F$33*('Plan mensual'!M15+'Plan mensual'!M126+IF(parametros_manuales!$H$33="Todos",'Plan mensual'!M19+'Plan mensual'!M130,0))+parametros_manuales!$G$33*('Plan mensual'!M16+'Plan mensual'!M127+IF(parametros_manuales!$H$33="Todos",'Plan mensual'!M20+'Plan mensual'!M131,0)))*parametros_manuales!$I$33*parametros_manuales!$J$33</f>
        <v>811.174320375</v>
      </c>
      <c r="L43" s="9" t="n">
        <f aca="false">(parametros_manuales!$D$33*('Plan mensual'!N13+'Plan mensual'!N124+IF(parametros_manuales!$H$33="Todos",'Plan mensual'!N17+'Plan mensual'!N128,0))+parametros_manuales!$E$33*('Plan mensual'!N14+'Plan mensual'!N125+IF(parametros_manuales!$H$33="Todos",'Plan mensual'!N18+'Plan mensual'!N129,0))+parametros_manuales!$F$33*('Plan mensual'!N15+'Plan mensual'!N126+IF(parametros_manuales!$H$33="Todos",'Plan mensual'!N19+'Plan mensual'!N130,0))+parametros_manuales!$G$33*('Plan mensual'!N16+'Plan mensual'!N127+IF(parametros_manuales!$H$33="Todos",'Plan mensual'!N20+'Plan mensual'!N131,0)))*parametros_manuales!$I$33*parametros_manuales!$J$33</f>
        <v>787.082552235</v>
      </c>
      <c r="M43" s="9" t="n">
        <f aca="false">(parametros_manuales!$D$33*('Plan mensual'!O13+'Plan mensual'!O124+IF(parametros_manuales!$H$33="Todos",'Plan mensual'!O17+'Plan mensual'!O128,0))+parametros_manuales!$E$33*('Plan mensual'!O14+'Plan mensual'!O125+IF(parametros_manuales!$H$33="Todos",'Plan mensual'!O18+'Plan mensual'!O129,0))+parametros_manuales!$F$33*('Plan mensual'!O15+'Plan mensual'!O126+IF(parametros_manuales!$H$33="Todos",'Plan mensual'!O19+'Plan mensual'!O130,0))+parametros_manuales!$G$33*('Plan mensual'!O16+'Plan mensual'!O127+IF(parametros_manuales!$H$33="Todos",'Plan mensual'!O20+'Plan mensual'!O131,0)))*parametros_manuales!$I$33*parametros_manuales!$J$33</f>
        <v>1249.69537632</v>
      </c>
      <c r="N43" s="9" t="n">
        <f aca="false">SUM(B43:M43)</f>
        <v>10815.657605</v>
      </c>
      <c r="O43" s="9" t="n">
        <f aca="false">MAX(B43:M43)</f>
        <v>1249.69537632</v>
      </c>
      <c r="P43" s="44" t="n">
        <f aca="false">O43/(parametros_manuales!$B$7)</f>
        <v>8.3313025088</v>
      </c>
      <c r="Q43" s="8" t="str">
        <f aca="false">IF(O43=0,"-",INDEX($B$28:$M$28,MATCH(O43,B43:M43,0)))</f>
        <v>Dic</v>
      </c>
    </row>
    <row r="44" customFormat="false" ht="14.25" hidden="false" customHeight="true" outlineLevel="0" collapsed="false">
      <c r="A44" s="8" t="str">
        <f aca="false">parametros_manuales!$B$34</f>
        <v>Granallado</v>
      </c>
      <c r="B44" s="9" t="n">
        <f aca="false">(parametros_manuales!$D$34*('Plan mensual'!D13+'Plan mensual'!D124+IF(parametros_manuales!$H$34="Todos",'Plan mensual'!D17+'Plan mensual'!D128,0))+parametros_manuales!$E$34*('Plan mensual'!D14+'Plan mensual'!D125+IF(parametros_manuales!$H$34="Todos",'Plan mensual'!D18+'Plan mensual'!D129,0))+parametros_manuales!$F$34*('Plan mensual'!D15+'Plan mensual'!D126+IF(parametros_manuales!$H$34="Todos",'Plan mensual'!D19+'Plan mensual'!D130,0))+parametros_manuales!$G$34*('Plan mensual'!D16+'Plan mensual'!D127+IF(parametros_manuales!$H$34="Todos",'Plan mensual'!D20+'Plan mensual'!D131,0)))*parametros_manuales!$I$34*parametros_manuales!$J$34</f>
        <v>1201.51184004</v>
      </c>
      <c r="C44" s="9" t="n">
        <f aca="false">(parametros_manuales!$D$34*('Plan mensual'!E13+'Plan mensual'!E124+IF(parametros_manuales!$H$34="Todos",'Plan mensual'!E17+'Plan mensual'!E128,0))+parametros_manuales!$E$34*('Plan mensual'!E14+'Plan mensual'!E125+IF(parametros_manuales!$H$34="Todos",'Plan mensual'!E18+'Plan mensual'!E129,0))+parametros_manuales!$F$34*('Plan mensual'!E15+'Plan mensual'!E126+IF(parametros_manuales!$H$34="Todos",'Plan mensual'!E19+'Plan mensual'!E130,0))+parametros_manuales!$G$34*('Plan mensual'!E16+'Plan mensual'!E127+IF(parametros_manuales!$H$34="Todos",'Plan mensual'!E20+'Plan mensual'!E131,0)))*parametros_manuales!$I$34*parametros_manuales!$J$34</f>
        <v>925.22564817</v>
      </c>
      <c r="D44" s="9" t="n">
        <f aca="false">(parametros_manuales!$D$34*('Plan mensual'!F13+'Plan mensual'!F124+IF(parametros_manuales!$H$34="Todos",'Plan mensual'!F17+'Plan mensual'!F128,0))+parametros_manuales!$E$34*('Plan mensual'!F14+'Plan mensual'!F125+IF(parametros_manuales!$H$34="Todos",'Plan mensual'!F18+'Plan mensual'!F129,0))+parametros_manuales!$F$34*('Plan mensual'!F15+'Plan mensual'!F126+IF(parametros_manuales!$H$34="Todos",'Plan mensual'!F19+'Plan mensual'!F130,0))+parametros_manuales!$G$34*('Plan mensual'!F16+'Plan mensual'!F127+IF(parametros_manuales!$H$34="Todos",'Plan mensual'!F20+'Plan mensual'!F131,0)))*parametros_manuales!$I$34*parametros_manuales!$J$34</f>
        <v>889.34437654</v>
      </c>
      <c r="E44" s="9" t="n">
        <f aca="false">(parametros_manuales!$D$34*('Plan mensual'!G13+'Plan mensual'!G124+IF(parametros_manuales!$H$34="Todos",'Plan mensual'!G17+'Plan mensual'!G128,0))+parametros_manuales!$E$34*('Plan mensual'!G14+'Plan mensual'!G125+IF(parametros_manuales!$H$34="Todos",'Plan mensual'!G18+'Plan mensual'!G129,0))+parametros_manuales!$F$34*('Plan mensual'!G15+'Plan mensual'!G126+IF(parametros_manuales!$H$34="Todos",'Plan mensual'!G19+'Plan mensual'!G130,0))+parametros_manuales!$G$34*('Plan mensual'!G16+'Plan mensual'!G127+IF(parametros_manuales!$H$34="Todos",'Plan mensual'!G20+'Plan mensual'!G131,0)))*parametros_manuales!$I$34*parametros_manuales!$J$34</f>
        <v>859.357856655</v>
      </c>
      <c r="F44" s="9" t="n">
        <f aca="false">(parametros_manuales!$D$34*('Plan mensual'!H13+'Plan mensual'!H124+IF(parametros_manuales!$H$34="Todos",'Plan mensual'!H17+'Plan mensual'!H128,0))+parametros_manuales!$E$34*('Plan mensual'!H14+'Plan mensual'!H125+IF(parametros_manuales!$H$34="Todos",'Plan mensual'!H18+'Plan mensual'!H129,0))+parametros_manuales!$F$34*('Plan mensual'!H15+'Plan mensual'!H126+IF(parametros_manuales!$H$34="Todos",'Plan mensual'!H19+'Plan mensual'!H130,0))+parametros_manuales!$G$34*('Plan mensual'!H16+'Plan mensual'!H127+IF(parametros_manuales!$H$34="Todos",'Plan mensual'!H20+'Plan mensual'!H131,0)))*parametros_manuales!$I$34*parametros_manuales!$J$34</f>
        <v>805.27956863</v>
      </c>
      <c r="G44" s="9" t="n">
        <f aca="false">(parametros_manuales!$D$34*('Plan mensual'!I13+'Plan mensual'!I124+IF(parametros_manuales!$H$34="Todos",'Plan mensual'!I17+'Plan mensual'!I128,0))+parametros_manuales!$E$34*('Plan mensual'!I14+'Plan mensual'!I125+IF(parametros_manuales!$H$34="Todos",'Plan mensual'!I18+'Plan mensual'!I129,0))+parametros_manuales!$F$34*('Plan mensual'!I15+'Plan mensual'!I126+IF(parametros_manuales!$H$34="Todos",'Plan mensual'!I19+'Plan mensual'!I130,0))+parametros_manuales!$G$34*('Plan mensual'!I16+'Plan mensual'!I127+IF(parametros_manuales!$H$34="Todos",'Plan mensual'!I20+'Plan mensual'!I131,0)))*parametros_manuales!$I$34*parametros_manuales!$J$34</f>
        <v>781.18780049</v>
      </c>
      <c r="H44" s="9" t="n">
        <f aca="false">(parametros_manuales!$D$34*('Plan mensual'!J13+'Plan mensual'!J124+IF(parametros_manuales!$H$34="Todos",'Plan mensual'!J17+'Plan mensual'!J128,0))+parametros_manuales!$E$34*('Plan mensual'!J14+'Plan mensual'!J125+IF(parametros_manuales!$H$34="Todos",'Plan mensual'!J18+'Plan mensual'!J129,0))+parametros_manuales!$F$34*('Plan mensual'!J15+'Plan mensual'!J126+IF(parametros_manuales!$H$34="Todos",'Plan mensual'!J19+'Plan mensual'!J130,0))+parametros_manuales!$G$34*('Plan mensual'!J16+'Plan mensual'!J127+IF(parametros_manuales!$H$34="Todos",'Plan mensual'!J20+'Plan mensual'!J131,0)))*parametros_manuales!$I$34*parametros_manuales!$J$34</f>
        <v>835.266088515</v>
      </c>
      <c r="I44" s="9" t="n">
        <f aca="false">(parametros_manuales!$D$34*('Plan mensual'!K13+'Plan mensual'!K124+IF(parametros_manuales!$H$34="Todos",'Plan mensual'!K17+'Plan mensual'!K128,0))+parametros_manuales!$E$34*('Plan mensual'!K14+'Plan mensual'!K125+IF(parametros_manuales!$H$34="Todos",'Plan mensual'!K18+'Plan mensual'!K129,0))+parametros_manuales!$F$34*('Plan mensual'!K15+'Plan mensual'!K126+IF(parametros_manuales!$H$34="Todos",'Plan mensual'!K19+'Plan mensual'!K130,0))+parametros_manuales!$G$34*('Plan mensual'!K16+'Plan mensual'!K127+IF(parametros_manuales!$H$34="Todos",'Plan mensual'!K20+'Plan mensual'!K131,0)))*parametros_manuales!$I$34*parametros_manuales!$J$34</f>
        <v>835.266088515</v>
      </c>
      <c r="J44" s="9" t="n">
        <f aca="false">(parametros_manuales!$D$34*('Plan mensual'!L13+'Plan mensual'!L124+IF(parametros_manuales!$H$34="Todos",'Plan mensual'!L17+'Plan mensual'!L128,0))+parametros_manuales!$E$34*('Plan mensual'!L14+'Plan mensual'!L125+IF(parametros_manuales!$H$34="Todos",'Plan mensual'!L18+'Plan mensual'!L129,0))+parametros_manuales!$F$34*('Plan mensual'!L15+'Plan mensual'!L126+IF(parametros_manuales!$H$34="Todos",'Plan mensual'!L19+'Plan mensual'!L130,0))+parametros_manuales!$G$34*('Plan mensual'!L16+'Plan mensual'!L127+IF(parametros_manuales!$H$34="Todos",'Plan mensual'!L20+'Plan mensual'!L131,0)))*parametros_manuales!$I$34*parametros_manuales!$J$34</f>
        <v>835.266088515</v>
      </c>
      <c r="K44" s="9" t="n">
        <f aca="false">(parametros_manuales!$D$34*('Plan mensual'!M13+'Plan mensual'!M124+IF(parametros_manuales!$H$34="Todos",'Plan mensual'!M17+'Plan mensual'!M128,0))+parametros_manuales!$E$34*('Plan mensual'!M14+'Plan mensual'!M125+IF(parametros_manuales!$H$34="Todos",'Plan mensual'!M18+'Plan mensual'!M129,0))+parametros_manuales!$F$34*('Plan mensual'!M15+'Plan mensual'!M126+IF(parametros_manuales!$H$34="Todos",'Plan mensual'!M19+'Plan mensual'!M130,0))+parametros_manuales!$G$34*('Plan mensual'!M16+'Plan mensual'!M127+IF(parametros_manuales!$H$34="Todos",'Plan mensual'!M20+'Plan mensual'!M131,0)))*parametros_manuales!$I$34*parametros_manuales!$J$34</f>
        <v>811.174320375</v>
      </c>
      <c r="L44" s="9" t="n">
        <f aca="false">(parametros_manuales!$D$34*('Plan mensual'!N13+'Plan mensual'!N124+IF(parametros_manuales!$H$34="Todos",'Plan mensual'!N17+'Plan mensual'!N128,0))+parametros_manuales!$E$34*('Plan mensual'!N14+'Plan mensual'!N125+IF(parametros_manuales!$H$34="Todos",'Plan mensual'!N18+'Plan mensual'!N129,0))+parametros_manuales!$F$34*('Plan mensual'!N15+'Plan mensual'!N126+IF(parametros_manuales!$H$34="Todos",'Plan mensual'!N19+'Plan mensual'!N130,0))+parametros_manuales!$G$34*('Plan mensual'!N16+'Plan mensual'!N127+IF(parametros_manuales!$H$34="Todos",'Plan mensual'!N20+'Plan mensual'!N131,0)))*parametros_manuales!$I$34*parametros_manuales!$J$34</f>
        <v>787.082552235</v>
      </c>
      <c r="M44" s="9" t="n">
        <f aca="false">(parametros_manuales!$D$34*('Plan mensual'!O13+'Plan mensual'!O124+IF(parametros_manuales!$H$34="Todos",'Plan mensual'!O17+'Plan mensual'!O128,0))+parametros_manuales!$E$34*('Plan mensual'!O14+'Plan mensual'!O125+IF(parametros_manuales!$H$34="Todos",'Plan mensual'!O18+'Plan mensual'!O129,0))+parametros_manuales!$F$34*('Plan mensual'!O15+'Plan mensual'!O126+IF(parametros_manuales!$H$34="Todos",'Plan mensual'!O19+'Plan mensual'!O130,0))+parametros_manuales!$G$34*('Plan mensual'!O16+'Plan mensual'!O127+IF(parametros_manuales!$H$34="Todos",'Plan mensual'!O20+'Plan mensual'!O131,0)))*parametros_manuales!$I$34*parametros_manuales!$J$34</f>
        <v>1249.69537632</v>
      </c>
      <c r="N44" s="9" t="n">
        <f aca="false">SUM(B44:M44)</f>
        <v>10815.657605</v>
      </c>
      <c r="O44" s="9" t="n">
        <f aca="false">MAX(B44:M44)</f>
        <v>1249.69537632</v>
      </c>
      <c r="P44" s="44" t="n">
        <f aca="false">O44/(parametros_manuales!$B$7)</f>
        <v>8.3313025088</v>
      </c>
      <c r="Q44" s="8" t="str">
        <f aca="false">IF(O44=0,"-",INDEX($B$28:$M$28,MATCH(O44,B44:M44,0)))</f>
        <v>Dic</v>
      </c>
    </row>
    <row r="45" customFormat="false" ht="14.25" hidden="false" customHeight="true" outlineLevel="0" collapsed="false">
      <c r="A45" s="8" t="str">
        <f aca="false">parametros_manuales!$B$35</f>
        <v>Detección de defectos</v>
      </c>
      <c r="B45" s="9" t="n">
        <f aca="false">(parametros_manuales!$D$35*('Plan mensual'!D13+'Plan mensual'!D124+IF(parametros_manuales!$H$35="Todos",'Plan mensual'!D17+'Plan mensual'!D128,0))+parametros_manuales!$E$35*('Plan mensual'!D14+'Plan mensual'!D125+IF(parametros_manuales!$H$35="Todos",'Plan mensual'!D18+'Plan mensual'!D129,0))+parametros_manuales!$F$35*('Plan mensual'!D15+'Plan mensual'!D126+IF(parametros_manuales!$H$35="Todos",'Plan mensual'!D19+'Plan mensual'!D130,0))+parametros_manuales!$G$35*('Plan mensual'!D16+'Plan mensual'!D127+IF(parametros_manuales!$H$35="Todos",'Plan mensual'!D20+'Plan mensual'!D131,0)))*parametros_manuales!$I$35*parametros_manuales!$J$35</f>
        <v>1201.51184004</v>
      </c>
      <c r="C45" s="9" t="n">
        <f aca="false">(parametros_manuales!$D$35*('Plan mensual'!E13+'Plan mensual'!E124+IF(parametros_manuales!$H$35="Todos",'Plan mensual'!E17+'Plan mensual'!E128,0))+parametros_manuales!$E$35*('Plan mensual'!E14+'Plan mensual'!E125+IF(parametros_manuales!$H$35="Todos",'Plan mensual'!E18+'Plan mensual'!E129,0))+parametros_manuales!$F$35*('Plan mensual'!E15+'Plan mensual'!E126+IF(parametros_manuales!$H$35="Todos",'Plan mensual'!E19+'Plan mensual'!E130,0))+parametros_manuales!$G$35*('Plan mensual'!E16+'Plan mensual'!E127+IF(parametros_manuales!$H$35="Todos",'Plan mensual'!E20+'Plan mensual'!E131,0)))*parametros_manuales!$I$35*parametros_manuales!$J$35</f>
        <v>925.22564817</v>
      </c>
      <c r="D45" s="9" t="n">
        <f aca="false">(parametros_manuales!$D$35*('Plan mensual'!F13+'Plan mensual'!F124+IF(parametros_manuales!$H$35="Todos",'Plan mensual'!F17+'Plan mensual'!F128,0))+parametros_manuales!$E$35*('Plan mensual'!F14+'Plan mensual'!F125+IF(parametros_manuales!$H$35="Todos",'Plan mensual'!F18+'Plan mensual'!F129,0))+parametros_manuales!$F$35*('Plan mensual'!F15+'Plan mensual'!F126+IF(parametros_manuales!$H$35="Todos",'Plan mensual'!F19+'Plan mensual'!F130,0))+parametros_manuales!$G$35*('Plan mensual'!F16+'Plan mensual'!F127+IF(parametros_manuales!$H$35="Todos",'Plan mensual'!F20+'Plan mensual'!F131,0)))*parametros_manuales!$I$35*parametros_manuales!$J$35</f>
        <v>889.34437654</v>
      </c>
      <c r="E45" s="9" t="n">
        <f aca="false">(parametros_manuales!$D$35*('Plan mensual'!G13+'Plan mensual'!G124+IF(parametros_manuales!$H$35="Todos",'Plan mensual'!G17+'Plan mensual'!G128,0))+parametros_manuales!$E$35*('Plan mensual'!G14+'Plan mensual'!G125+IF(parametros_manuales!$H$35="Todos",'Plan mensual'!G18+'Plan mensual'!G129,0))+parametros_manuales!$F$35*('Plan mensual'!G15+'Plan mensual'!G126+IF(parametros_manuales!$H$35="Todos",'Plan mensual'!G19+'Plan mensual'!G130,0))+parametros_manuales!$G$35*('Plan mensual'!G16+'Plan mensual'!G127+IF(parametros_manuales!$H$35="Todos",'Plan mensual'!G20+'Plan mensual'!G131,0)))*parametros_manuales!$I$35*parametros_manuales!$J$35</f>
        <v>859.357856655</v>
      </c>
      <c r="F45" s="9" t="n">
        <f aca="false">(parametros_manuales!$D$35*('Plan mensual'!H13+'Plan mensual'!H124+IF(parametros_manuales!$H$35="Todos",'Plan mensual'!H17+'Plan mensual'!H128,0))+parametros_manuales!$E$35*('Plan mensual'!H14+'Plan mensual'!H125+IF(parametros_manuales!$H$35="Todos",'Plan mensual'!H18+'Plan mensual'!H129,0))+parametros_manuales!$F$35*('Plan mensual'!H15+'Plan mensual'!H126+IF(parametros_manuales!$H$35="Todos",'Plan mensual'!H19+'Plan mensual'!H130,0))+parametros_manuales!$G$35*('Plan mensual'!H16+'Plan mensual'!H127+IF(parametros_manuales!$H$35="Todos",'Plan mensual'!H20+'Plan mensual'!H131,0)))*parametros_manuales!$I$35*parametros_manuales!$J$35</f>
        <v>805.27956863</v>
      </c>
      <c r="G45" s="9" t="n">
        <f aca="false">(parametros_manuales!$D$35*('Plan mensual'!I13+'Plan mensual'!I124+IF(parametros_manuales!$H$35="Todos",'Plan mensual'!I17+'Plan mensual'!I128,0))+parametros_manuales!$E$35*('Plan mensual'!I14+'Plan mensual'!I125+IF(parametros_manuales!$H$35="Todos",'Plan mensual'!I18+'Plan mensual'!I129,0))+parametros_manuales!$F$35*('Plan mensual'!I15+'Plan mensual'!I126+IF(parametros_manuales!$H$35="Todos",'Plan mensual'!I19+'Plan mensual'!I130,0))+parametros_manuales!$G$35*('Plan mensual'!I16+'Plan mensual'!I127+IF(parametros_manuales!$H$35="Todos",'Plan mensual'!I20+'Plan mensual'!I131,0)))*parametros_manuales!$I$35*parametros_manuales!$J$35</f>
        <v>781.18780049</v>
      </c>
      <c r="H45" s="9" t="n">
        <f aca="false">(parametros_manuales!$D$35*('Plan mensual'!J13+'Plan mensual'!J124+IF(parametros_manuales!$H$35="Todos",'Plan mensual'!J17+'Plan mensual'!J128,0))+parametros_manuales!$E$35*('Plan mensual'!J14+'Plan mensual'!J125+IF(parametros_manuales!$H$35="Todos",'Plan mensual'!J18+'Plan mensual'!J129,0))+parametros_manuales!$F$35*('Plan mensual'!J15+'Plan mensual'!J126+IF(parametros_manuales!$H$35="Todos",'Plan mensual'!J19+'Plan mensual'!J130,0))+parametros_manuales!$G$35*('Plan mensual'!J16+'Plan mensual'!J127+IF(parametros_manuales!$H$35="Todos",'Plan mensual'!J20+'Plan mensual'!J131,0)))*parametros_manuales!$I$35*parametros_manuales!$J$35</f>
        <v>835.266088515</v>
      </c>
      <c r="I45" s="9" t="n">
        <f aca="false">(parametros_manuales!$D$35*('Plan mensual'!K13+'Plan mensual'!K124+IF(parametros_manuales!$H$35="Todos",'Plan mensual'!K17+'Plan mensual'!K128,0))+parametros_manuales!$E$35*('Plan mensual'!K14+'Plan mensual'!K125+IF(parametros_manuales!$H$35="Todos",'Plan mensual'!K18+'Plan mensual'!K129,0))+parametros_manuales!$F$35*('Plan mensual'!K15+'Plan mensual'!K126+IF(parametros_manuales!$H$35="Todos",'Plan mensual'!K19+'Plan mensual'!K130,0))+parametros_manuales!$G$35*('Plan mensual'!K16+'Plan mensual'!K127+IF(parametros_manuales!$H$35="Todos",'Plan mensual'!K20+'Plan mensual'!K131,0)))*parametros_manuales!$I$35*parametros_manuales!$J$35</f>
        <v>835.266088515</v>
      </c>
      <c r="J45" s="9" t="n">
        <f aca="false">(parametros_manuales!$D$35*('Plan mensual'!L13+'Plan mensual'!L124+IF(parametros_manuales!$H$35="Todos",'Plan mensual'!L17+'Plan mensual'!L128,0))+parametros_manuales!$E$35*('Plan mensual'!L14+'Plan mensual'!L125+IF(parametros_manuales!$H$35="Todos",'Plan mensual'!L18+'Plan mensual'!L129,0))+parametros_manuales!$F$35*('Plan mensual'!L15+'Plan mensual'!L126+IF(parametros_manuales!$H$35="Todos",'Plan mensual'!L19+'Plan mensual'!L130,0))+parametros_manuales!$G$35*('Plan mensual'!L16+'Plan mensual'!L127+IF(parametros_manuales!$H$35="Todos",'Plan mensual'!L20+'Plan mensual'!L131,0)))*parametros_manuales!$I$35*parametros_manuales!$J$35</f>
        <v>835.266088515</v>
      </c>
      <c r="K45" s="9" t="n">
        <f aca="false">(parametros_manuales!$D$35*('Plan mensual'!M13+'Plan mensual'!M124+IF(parametros_manuales!$H$35="Todos",'Plan mensual'!M17+'Plan mensual'!M128,0))+parametros_manuales!$E$35*('Plan mensual'!M14+'Plan mensual'!M125+IF(parametros_manuales!$H$35="Todos",'Plan mensual'!M18+'Plan mensual'!M129,0))+parametros_manuales!$F$35*('Plan mensual'!M15+'Plan mensual'!M126+IF(parametros_manuales!$H$35="Todos",'Plan mensual'!M19+'Plan mensual'!M130,0))+parametros_manuales!$G$35*('Plan mensual'!M16+'Plan mensual'!M127+IF(parametros_manuales!$H$35="Todos",'Plan mensual'!M20+'Plan mensual'!M131,0)))*parametros_manuales!$I$35*parametros_manuales!$J$35</f>
        <v>811.174320375</v>
      </c>
      <c r="L45" s="9" t="n">
        <f aca="false">(parametros_manuales!$D$35*('Plan mensual'!N13+'Plan mensual'!N124+IF(parametros_manuales!$H$35="Todos",'Plan mensual'!N17+'Plan mensual'!N128,0))+parametros_manuales!$E$35*('Plan mensual'!N14+'Plan mensual'!N125+IF(parametros_manuales!$H$35="Todos",'Plan mensual'!N18+'Plan mensual'!N129,0))+parametros_manuales!$F$35*('Plan mensual'!N15+'Plan mensual'!N126+IF(parametros_manuales!$H$35="Todos",'Plan mensual'!N19+'Plan mensual'!N130,0))+parametros_manuales!$G$35*('Plan mensual'!N16+'Plan mensual'!N127+IF(parametros_manuales!$H$35="Todos",'Plan mensual'!N20+'Plan mensual'!N131,0)))*parametros_manuales!$I$35*parametros_manuales!$J$35</f>
        <v>787.082552235</v>
      </c>
      <c r="M45" s="9" t="n">
        <f aca="false">(parametros_manuales!$D$35*('Plan mensual'!O13+'Plan mensual'!O124+IF(parametros_manuales!$H$35="Todos",'Plan mensual'!O17+'Plan mensual'!O128,0))+parametros_manuales!$E$35*('Plan mensual'!O14+'Plan mensual'!O125+IF(parametros_manuales!$H$35="Todos",'Plan mensual'!O18+'Plan mensual'!O129,0))+parametros_manuales!$F$35*('Plan mensual'!O15+'Plan mensual'!O126+IF(parametros_manuales!$H$35="Todos",'Plan mensual'!O19+'Plan mensual'!O130,0))+parametros_manuales!$G$35*('Plan mensual'!O16+'Plan mensual'!O127+IF(parametros_manuales!$H$35="Todos",'Plan mensual'!O20+'Plan mensual'!O131,0)))*parametros_manuales!$I$35*parametros_manuales!$J$35</f>
        <v>1249.69537632</v>
      </c>
      <c r="N45" s="9" t="n">
        <f aca="false">SUM(B45:M45)</f>
        <v>10815.657605</v>
      </c>
      <c r="O45" s="9" t="n">
        <f aca="false">MAX(B45:M45)</f>
        <v>1249.69537632</v>
      </c>
      <c r="P45" s="44" t="n">
        <f aca="false">O45/(parametros_manuales!$B$7)</f>
        <v>8.3313025088</v>
      </c>
      <c r="Q45" s="8" t="str">
        <f aca="false">IF(O45=0,"-",INDEX($B$28:$M$28,MATCH(O45,B45:M45,0)))</f>
        <v>Dic</v>
      </c>
    </row>
    <row r="46" customFormat="false" ht="14.25" hidden="false" customHeight="true" outlineLevel="0" collapsed="false">
      <c r="A46" s="8" t="str">
        <f aca="false">parametros_manuales!$B$36</f>
        <v>Corrección de defectos</v>
      </c>
      <c r="B46" s="9" t="n">
        <f aca="false">(parametros_manuales!$D$36*('Plan mensual'!D13+'Plan mensual'!D124+IF(parametros_manuales!$H$36="Todos",'Plan mensual'!D17+'Plan mensual'!D128,0))+parametros_manuales!$E$36*('Plan mensual'!D14+'Plan mensual'!D125+IF(parametros_manuales!$H$36="Todos",'Plan mensual'!D18+'Plan mensual'!D129,0))+parametros_manuales!$F$36*('Plan mensual'!D15+'Plan mensual'!D126+IF(parametros_manuales!$H$36="Todos",'Plan mensual'!D19+'Plan mensual'!D130,0))+parametros_manuales!$G$36*('Plan mensual'!D16+'Plan mensual'!D127+IF(parametros_manuales!$H$36="Todos",'Plan mensual'!D20+'Plan mensual'!D131,0)))*parametros_manuales!$I$36*parametros_manuales!$J$36</f>
        <v>60.075592002</v>
      </c>
      <c r="C46" s="9" t="n">
        <f aca="false">(parametros_manuales!$D$36*('Plan mensual'!E13+'Plan mensual'!E124+IF(parametros_manuales!$H$36="Todos",'Plan mensual'!E17+'Plan mensual'!E128,0))+parametros_manuales!$E$36*('Plan mensual'!E14+'Plan mensual'!E125+IF(parametros_manuales!$H$36="Todos",'Plan mensual'!E18+'Plan mensual'!E129,0))+parametros_manuales!$F$36*('Plan mensual'!E15+'Plan mensual'!E126+IF(parametros_manuales!$H$36="Todos",'Plan mensual'!E19+'Plan mensual'!E130,0))+parametros_manuales!$G$36*('Plan mensual'!E16+'Plan mensual'!E127+IF(parametros_manuales!$H$36="Todos",'Plan mensual'!E20+'Plan mensual'!E131,0)))*parametros_manuales!$I$36*parametros_manuales!$J$36</f>
        <v>46.2612824085</v>
      </c>
      <c r="D46" s="9" t="n">
        <f aca="false">(parametros_manuales!$D$36*('Plan mensual'!F13+'Plan mensual'!F124+IF(parametros_manuales!$H$36="Todos",'Plan mensual'!F17+'Plan mensual'!F128,0))+parametros_manuales!$E$36*('Plan mensual'!F14+'Plan mensual'!F125+IF(parametros_manuales!$H$36="Todos",'Plan mensual'!F18+'Plan mensual'!F129,0))+parametros_manuales!$F$36*('Plan mensual'!F15+'Plan mensual'!F126+IF(parametros_manuales!$H$36="Todos",'Plan mensual'!F19+'Plan mensual'!F130,0))+parametros_manuales!$G$36*('Plan mensual'!F16+'Plan mensual'!F127+IF(parametros_manuales!$H$36="Todos",'Plan mensual'!F20+'Plan mensual'!F131,0)))*parametros_manuales!$I$36*parametros_manuales!$J$36</f>
        <v>44.467218827</v>
      </c>
      <c r="E46" s="9" t="n">
        <f aca="false">(parametros_manuales!$D$36*('Plan mensual'!G13+'Plan mensual'!G124+IF(parametros_manuales!$H$36="Todos",'Plan mensual'!G17+'Plan mensual'!G128,0))+parametros_manuales!$E$36*('Plan mensual'!G14+'Plan mensual'!G125+IF(parametros_manuales!$H$36="Todos",'Plan mensual'!G18+'Plan mensual'!G129,0))+parametros_manuales!$F$36*('Plan mensual'!G15+'Plan mensual'!G126+IF(parametros_manuales!$H$36="Todos",'Plan mensual'!G19+'Plan mensual'!G130,0))+parametros_manuales!$G$36*('Plan mensual'!G16+'Plan mensual'!G127+IF(parametros_manuales!$H$36="Todos",'Plan mensual'!G20+'Plan mensual'!G131,0)))*parametros_manuales!$I$36*parametros_manuales!$J$36</f>
        <v>42.96789283275</v>
      </c>
      <c r="F46" s="9" t="n">
        <f aca="false">(parametros_manuales!$D$36*('Plan mensual'!H13+'Plan mensual'!H124+IF(parametros_manuales!$H$36="Todos",'Plan mensual'!H17+'Plan mensual'!H128,0))+parametros_manuales!$E$36*('Plan mensual'!H14+'Plan mensual'!H125+IF(parametros_manuales!$H$36="Todos",'Plan mensual'!H18+'Plan mensual'!H129,0))+parametros_manuales!$F$36*('Plan mensual'!H15+'Plan mensual'!H126+IF(parametros_manuales!$H$36="Todos",'Plan mensual'!H19+'Plan mensual'!H130,0))+parametros_manuales!$G$36*('Plan mensual'!H16+'Plan mensual'!H127+IF(parametros_manuales!$H$36="Todos",'Plan mensual'!H20+'Plan mensual'!H131,0)))*parametros_manuales!$I$36*parametros_manuales!$J$36</f>
        <v>40.2639784315</v>
      </c>
      <c r="G46" s="9" t="n">
        <f aca="false">(parametros_manuales!$D$36*('Plan mensual'!I13+'Plan mensual'!I124+IF(parametros_manuales!$H$36="Todos",'Plan mensual'!I17+'Plan mensual'!I128,0))+parametros_manuales!$E$36*('Plan mensual'!I14+'Plan mensual'!I125+IF(parametros_manuales!$H$36="Todos",'Plan mensual'!I18+'Plan mensual'!I129,0))+parametros_manuales!$F$36*('Plan mensual'!I15+'Plan mensual'!I126+IF(parametros_manuales!$H$36="Todos",'Plan mensual'!I19+'Plan mensual'!I130,0))+parametros_manuales!$G$36*('Plan mensual'!I16+'Plan mensual'!I127+IF(parametros_manuales!$H$36="Todos",'Plan mensual'!I20+'Plan mensual'!I131,0)))*parametros_manuales!$I$36*parametros_manuales!$J$36</f>
        <v>39.0593900245</v>
      </c>
      <c r="H46" s="9" t="n">
        <f aca="false">(parametros_manuales!$D$36*('Plan mensual'!J13+'Plan mensual'!J124+IF(parametros_manuales!$H$36="Todos",'Plan mensual'!J17+'Plan mensual'!J128,0))+parametros_manuales!$E$36*('Plan mensual'!J14+'Plan mensual'!J125+IF(parametros_manuales!$H$36="Todos",'Plan mensual'!J18+'Plan mensual'!J129,0))+parametros_manuales!$F$36*('Plan mensual'!J15+'Plan mensual'!J126+IF(parametros_manuales!$H$36="Todos",'Plan mensual'!J19+'Plan mensual'!J130,0))+parametros_manuales!$G$36*('Plan mensual'!J16+'Plan mensual'!J127+IF(parametros_manuales!$H$36="Todos",'Plan mensual'!J20+'Plan mensual'!J131,0)))*parametros_manuales!$I$36*parametros_manuales!$J$36</f>
        <v>41.76330442575</v>
      </c>
      <c r="I46" s="9" t="n">
        <f aca="false">(parametros_manuales!$D$36*('Plan mensual'!K13+'Plan mensual'!K124+IF(parametros_manuales!$H$36="Todos",'Plan mensual'!K17+'Plan mensual'!K128,0))+parametros_manuales!$E$36*('Plan mensual'!K14+'Plan mensual'!K125+IF(parametros_manuales!$H$36="Todos",'Plan mensual'!K18+'Plan mensual'!K129,0))+parametros_manuales!$F$36*('Plan mensual'!K15+'Plan mensual'!K126+IF(parametros_manuales!$H$36="Todos",'Plan mensual'!K19+'Plan mensual'!K130,0))+parametros_manuales!$G$36*('Plan mensual'!K16+'Plan mensual'!K127+IF(parametros_manuales!$H$36="Todos",'Plan mensual'!K20+'Plan mensual'!K131,0)))*parametros_manuales!$I$36*parametros_manuales!$J$36</f>
        <v>41.76330442575</v>
      </c>
      <c r="J46" s="9" t="n">
        <f aca="false">(parametros_manuales!$D$36*('Plan mensual'!L13+'Plan mensual'!L124+IF(parametros_manuales!$H$36="Todos",'Plan mensual'!L17+'Plan mensual'!L128,0))+parametros_manuales!$E$36*('Plan mensual'!L14+'Plan mensual'!L125+IF(parametros_manuales!$H$36="Todos",'Plan mensual'!L18+'Plan mensual'!L129,0))+parametros_manuales!$F$36*('Plan mensual'!L15+'Plan mensual'!L126+IF(parametros_manuales!$H$36="Todos",'Plan mensual'!L19+'Plan mensual'!L130,0))+parametros_manuales!$G$36*('Plan mensual'!L16+'Plan mensual'!L127+IF(parametros_manuales!$H$36="Todos",'Plan mensual'!L20+'Plan mensual'!L131,0)))*parametros_manuales!$I$36*parametros_manuales!$J$36</f>
        <v>41.76330442575</v>
      </c>
      <c r="K46" s="9" t="n">
        <f aca="false">(parametros_manuales!$D$36*('Plan mensual'!M13+'Plan mensual'!M124+IF(parametros_manuales!$H$36="Todos",'Plan mensual'!M17+'Plan mensual'!M128,0))+parametros_manuales!$E$36*('Plan mensual'!M14+'Plan mensual'!M125+IF(parametros_manuales!$H$36="Todos",'Plan mensual'!M18+'Plan mensual'!M129,0))+parametros_manuales!$F$36*('Plan mensual'!M15+'Plan mensual'!M126+IF(parametros_manuales!$H$36="Todos",'Plan mensual'!M19+'Plan mensual'!M130,0))+parametros_manuales!$G$36*('Plan mensual'!M16+'Plan mensual'!M127+IF(parametros_manuales!$H$36="Todos",'Plan mensual'!M20+'Plan mensual'!M131,0)))*parametros_manuales!$I$36*parametros_manuales!$J$36</f>
        <v>40.55871601875</v>
      </c>
      <c r="L46" s="9" t="n">
        <f aca="false">(parametros_manuales!$D$36*('Plan mensual'!N13+'Plan mensual'!N124+IF(parametros_manuales!$H$36="Todos",'Plan mensual'!N17+'Plan mensual'!N128,0))+parametros_manuales!$E$36*('Plan mensual'!N14+'Plan mensual'!N125+IF(parametros_manuales!$H$36="Todos",'Plan mensual'!N18+'Plan mensual'!N129,0))+parametros_manuales!$F$36*('Plan mensual'!N15+'Plan mensual'!N126+IF(parametros_manuales!$H$36="Todos",'Plan mensual'!N19+'Plan mensual'!N130,0))+parametros_manuales!$G$36*('Plan mensual'!N16+'Plan mensual'!N127+IF(parametros_manuales!$H$36="Todos",'Plan mensual'!N20+'Plan mensual'!N131,0)))*parametros_manuales!$I$36*parametros_manuales!$J$36</f>
        <v>39.35412761175</v>
      </c>
      <c r="M46" s="9" t="n">
        <f aca="false">(parametros_manuales!$D$36*('Plan mensual'!O13+'Plan mensual'!O124+IF(parametros_manuales!$H$36="Todos",'Plan mensual'!O17+'Plan mensual'!O128,0))+parametros_manuales!$E$36*('Plan mensual'!O14+'Plan mensual'!O125+IF(parametros_manuales!$H$36="Todos",'Plan mensual'!O18+'Plan mensual'!O129,0))+parametros_manuales!$F$36*('Plan mensual'!O15+'Plan mensual'!O126+IF(parametros_manuales!$H$36="Todos",'Plan mensual'!O19+'Plan mensual'!O130,0))+parametros_manuales!$G$36*('Plan mensual'!O16+'Plan mensual'!O127+IF(parametros_manuales!$H$36="Todos",'Plan mensual'!O20+'Plan mensual'!O131,0)))*parametros_manuales!$I$36*parametros_manuales!$J$36</f>
        <v>62.484768816</v>
      </c>
      <c r="N46" s="9" t="n">
        <f aca="false">SUM(B46:M46)</f>
        <v>540.78288025</v>
      </c>
      <c r="O46" s="9" t="n">
        <f aca="false">MAX(B46:M46)</f>
        <v>62.484768816</v>
      </c>
      <c r="P46" s="44" t="n">
        <f aca="false">O46/(parametros_manuales!$B$7)</f>
        <v>0.41656512544</v>
      </c>
      <c r="Q46" s="8" t="str">
        <f aca="false">IF(O46=0,"-",INDEX($B$28:$M$28,MATCH(O46,B46:M46,0)))</f>
        <v>Dic</v>
      </c>
    </row>
    <row r="47" customFormat="false" ht="14.25" hidden="false" customHeight="true" outlineLevel="0" collapsed="false">
      <c r="A47" s="8" t="str">
        <f aca="false">parametros_manuales!$B$37</f>
        <v>Pintura en polvo + horno</v>
      </c>
      <c r="B47" s="9" t="n">
        <f aca="false">(parametros_manuales!$D$37*('Plan mensual'!D13+'Plan mensual'!D124+IF(parametros_manuales!$H$37="Todos",'Plan mensual'!D17+'Plan mensual'!D128,0))+parametros_manuales!$E$37*('Plan mensual'!D14+'Plan mensual'!D125+IF(parametros_manuales!$H$37="Todos",'Plan mensual'!D18+'Plan mensual'!D129,0))+parametros_manuales!$F$37*('Plan mensual'!D15+'Plan mensual'!D126+IF(parametros_manuales!$H$37="Todos",'Plan mensual'!D19+'Plan mensual'!D130,0))+parametros_manuales!$G$37*('Plan mensual'!D16+'Plan mensual'!D127+IF(parametros_manuales!$H$37="Todos",'Plan mensual'!D20+'Plan mensual'!D131,0)))*parametros_manuales!$I$37*parametros_manuales!$J$37</f>
        <v>1201.51184004</v>
      </c>
      <c r="C47" s="9" t="n">
        <f aca="false">(parametros_manuales!$D$37*('Plan mensual'!E13+'Plan mensual'!E124+IF(parametros_manuales!$H$37="Todos",'Plan mensual'!E17+'Plan mensual'!E128,0))+parametros_manuales!$E$37*('Plan mensual'!E14+'Plan mensual'!E125+IF(parametros_manuales!$H$37="Todos",'Plan mensual'!E18+'Plan mensual'!E129,0))+parametros_manuales!$F$37*('Plan mensual'!E15+'Plan mensual'!E126+IF(parametros_manuales!$H$37="Todos",'Plan mensual'!E19+'Plan mensual'!E130,0))+parametros_manuales!$G$37*('Plan mensual'!E16+'Plan mensual'!E127+IF(parametros_manuales!$H$37="Todos",'Plan mensual'!E20+'Plan mensual'!E131,0)))*parametros_manuales!$I$37*parametros_manuales!$J$37</f>
        <v>925.22564817</v>
      </c>
      <c r="D47" s="9" t="n">
        <f aca="false">(parametros_manuales!$D$37*('Plan mensual'!F13+'Plan mensual'!F124+IF(parametros_manuales!$H$37="Todos",'Plan mensual'!F17+'Plan mensual'!F128,0))+parametros_manuales!$E$37*('Plan mensual'!F14+'Plan mensual'!F125+IF(parametros_manuales!$H$37="Todos",'Plan mensual'!F18+'Plan mensual'!F129,0))+parametros_manuales!$F$37*('Plan mensual'!F15+'Plan mensual'!F126+IF(parametros_manuales!$H$37="Todos",'Plan mensual'!F19+'Plan mensual'!F130,0))+parametros_manuales!$G$37*('Plan mensual'!F16+'Plan mensual'!F127+IF(parametros_manuales!$H$37="Todos",'Plan mensual'!F20+'Plan mensual'!F131,0)))*parametros_manuales!$I$37*parametros_manuales!$J$37</f>
        <v>889.34437654</v>
      </c>
      <c r="E47" s="9" t="n">
        <f aca="false">(parametros_manuales!$D$37*('Plan mensual'!G13+'Plan mensual'!G124+IF(parametros_manuales!$H$37="Todos",'Plan mensual'!G17+'Plan mensual'!G128,0))+parametros_manuales!$E$37*('Plan mensual'!G14+'Plan mensual'!G125+IF(parametros_manuales!$H$37="Todos",'Plan mensual'!G18+'Plan mensual'!G129,0))+parametros_manuales!$F$37*('Plan mensual'!G15+'Plan mensual'!G126+IF(parametros_manuales!$H$37="Todos",'Plan mensual'!G19+'Plan mensual'!G130,0))+parametros_manuales!$G$37*('Plan mensual'!G16+'Plan mensual'!G127+IF(parametros_manuales!$H$37="Todos",'Plan mensual'!G20+'Plan mensual'!G131,0)))*parametros_manuales!$I$37*parametros_manuales!$J$37</f>
        <v>859.357856655</v>
      </c>
      <c r="F47" s="9" t="n">
        <f aca="false">(parametros_manuales!$D$37*('Plan mensual'!H13+'Plan mensual'!H124+IF(parametros_manuales!$H$37="Todos",'Plan mensual'!H17+'Plan mensual'!H128,0))+parametros_manuales!$E$37*('Plan mensual'!H14+'Plan mensual'!H125+IF(parametros_manuales!$H$37="Todos",'Plan mensual'!H18+'Plan mensual'!H129,0))+parametros_manuales!$F$37*('Plan mensual'!H15+'Plan mensual'!H126+IF(parametros_manuales!$H$37="Todos",'Plan mensual'!H19+'Plan mensual'!H130,0))+parametros_manuales!$G$37*('Plan mensual'!H16+'Plan mensual'!H127+IF(parametros_manuales!$H$37="Todos",'Plan mensual'!H20+'Plan mensual'!H131,0)))*parametros_manuales!$I$37*parametros_manuales!$J$37</f>
        <v>805.27956863</v>
      </c>
      <c r="G47" s="9" t="n">
        <f aca="false">(parametros_manuales!$D$37*('Plan mensual'!I13+'Plan mensual'!I124+IF(parametros_manuales!$H$37="Todos",'Plan mensual'!I17+'Plan mensual'!I128,0))+parametros_manuales!$E$37*('Plan mensual'!I14+'Plan mensual'!I125+IF(parametros_manuales!$H$37="Todos",'Plan mensual'!I18+'Plan mensual'!I129,0))+parametros_manuales!$F$37*('Plan mensual'!I15+'Plan mensual'!I126+IF(parametros_manuales!$H$37="Todos",'Plan mensual'!I19+'Plan mensual'!I130,0))+parametros_manuales!$G$37*('Plan mensual'!I16+'Plan mensual'!I127+IF(parametros_manuales!$H$37="Todos",'Plan mensual'!I20+'Plan mensual'!I131,0)))*parametros_manuales!$I$37*parametros_manuales!$J$37</f>
        <v>781.18780049</v>
      </c>
      <c r="H47" s="9" t="n">
        <f aca="false">(parametros_manuales!$D$37*('Plan mensual'!J13+'Plan mensual'!J124+IF(parametros_manuales!$H$37="Todos",'Plan mensual'!J17+'Plan mensual'!J128,0))+parametros_manuales!$E$37*('Plan mensual'!J14+'Plan mensual'!J125+IF(parametros_manuales!$H$37="Todos",'Plan mensual'!J18+'Plan mensual'!J129,0))+parametros_manuales!$F$37*('Plan mensual'!J15+'Plan mensual'!J126+IF(parametros_manuales!$H$37="Todos",'Plan mensual'!J19+'Plan mensual'!J130,0))+parametros_manuales!$G$37*('Plan mensual'!J16+'Plan mensual'!J127+IF(parametros_manuales!$H$37="Todos",'Plan mensual'!J20+'Plan mensual'!J131,0)))*parametros_manuales!$I$37*parametros_manuales!$J$37</f>
        <v>835.266088515</v>
      </c>
      <c r="I47" s="9" t="n">
        <f aca="false">(parametros_manuales!$D$37*('Plan mensual'!K13+'Plan mensual'!K124+IF(parametros_manuales!$H$37="Todos",'Plan mensual'!K17+'Plan mensual'!K128,0))+parametros_manuales!$E$37*('Plan mensual'!K14+'Plan mensual'!K125+IF(parametros_manuales!$H$37="Todos",'Plan mensual'!K18+'Plan mensual'!K129,0))+parametros_manuales!$F$37*('Plan mensual'!K15+'Plan mensual'!K126+IF(parametros_manuales!$H$37="Todos",'Plan mensual'!K19+'Plan mensual'!K130,0))+parametros_manuales!$G$37*('Plan mensual'!K16+'Plan mensual'!K127+IF(parametros_manuales!$H$37="Todos",'Plan mensual'!K20+'Plan mensual'!K131,0)))*parametros_manuales!$I$37*parametros_manuales!$J$37</f>
        <v>835.266088515</v>
      </c>
      <c r="J47" s="9" t="n">
        <f aca="false">(parametros_manuales!$D$37*('Plan mensual'!L13+'Plan mensual'!L124+IF(parametros_manuales!$H$37="Todos",'Plan mensual'!L17+'Plan mensual'!L128,0))+parametros_manuales!$E$37*('Plan mensual'!L14+'Plan mensual'!L125+IF(parametros_manuales!$H$37="Todos",'Plan mensual'!L18+'Plan mensual'!L129,0))+parametros_manuales!$F$37*('Plan mensual'!L15+'Plan mensual'!L126+IF(parametros_manuales!$H$37="Todos",'Plan mensual'!L19+'Plan mensual'!L130,0))+parametros_manuales!$G$37*('Plan mensual'!L16+'Plan mensual'!L127+IF(parametros_manuales!$H$37="Todos",'Plan mensual'!L20+'Plan mensual'!L131,0)))*parametros_manuales!$I$37*parametros_manuales!$J$37</f>
        <v>835.266088515</v>
      </c>
      <c r="K47" s="9" t="n">
        <f aca="false">(parametros_manuales!$D$37*('Plan mensual'!M13+'Plan mensual'!M124+IF(parametros_manuales!$H$37="Todos",'Plan mensual'!M17+'Plan mensual'!M128,0))+parametros_manuales!$E$37*('Plan mensual'!M14+'Plan mensual'!M125+IF(parametros_manuales!$H$37="Todos",'Plan mensual'!M18+'Plan mensual'!M129,0))+parametros_manuales!$F$37*('Plan mensual'!M15+'Plan mensual'!M126+IF(parametros_manuales!$H$37="Todos",'Plan mensual'!M19+'Plan mensual'!M130,0))+parametros_manuales!$G$37*('Plan mensual'!M16+'Plan mensual'!M127+IF(parametros_manuales!$H$37="Todos",'Plan mensual'!M20+'Plan mensual'!M131,0)))*parametros_manuales!$I$37*parametros_manuales!$J$37</f>
        <v>811.174320375</v>
      </c>
      <c r="L47" s="9" t="n">
        <f aca="false">(parametros_manuales!$D$37*('Plan mensual'!N13+'Plan mensual'!N124+IF(parametros_manuales!$H$37="Todos",'Plan mensual'!N17+'Plan mensual'!N128,0))+parametros_manuales!$E$37*('Plan mensual'!N14+'Plan mensual'!N125+IF(parametros_manuales!$H$37="Todos",'Plan mensual'!N18+'Plan mensual'!N129,0))+parametros_manuales!$F$37*('Plan mensual'!N15+'Plan mensual'!N126+IF(parametros_manuales!$H$37="Todos",'Plan mensual'!N19+'Plan mensual'!N130,0))+parametros_manuales!$G$37*('Plan mensual'!N16+'Plan mensual'!N127+IF(parametros_manuales!$H$37="Todos",'Plan mensual'!N20+'Plan mensual'!N131,0)))*parametros_manuales!$I$37*parametros_manuales!$J$37</f>
        <v>787.082552235</v>
      </c>
      <c r="M47" s="9" t="n">
        <f aca="false">(parametros_manuales!$D$37*('Plan mensual'!O13+'Plan mensual'!O124+IF(parametros_manuales!$H$37="Todos",'Plan mensual'!O17+'Plan mensual'!O128,0))+parametros_manuales!$E$37*('Plan mensual'!O14+'Plan mensual'!O125+IF(parametros_manuales!$H$37="Todos",'Plan mensual'!O18+'Plan mensual'!O129,0))+parametros_manuales!$F$37*('Plan mensual'!O15+'Plan mensual'!O126+IF(parametros_manuales!$H$37="Todos",'Plan mensual'!O19+'Plan mensual'!O130,0))+parametros_manuales!$G$37*('Plan mensual'!O16+'Plan mensual'!O127+IF(parametros_manuales!$H$37="Todos",'Plan mensual'!O20+'Plan mensual'!O131,0)))*parametros_manuales!$I$37*parametros_manuales!$J$37</f>
        <v>1249.69537632</v>
      </c>
      <c r="N47" s="9" t="n">
        <f aca="false">SUM(B47:M47)</f>
        <v>10815.657605</v>
      </c>
      <c r="O47" s="9" t="n">
        <f aca="false">MAX(B47:M47)</f>
        <v>1249.69537632</v>
      </c>
      <c r="P47" s="44" t="n">
        <f aca="false">O47/(parametros_manuales!$B$7)</f>
        <v>8.3313025088</v>
      </c>
      <c r="Q47" s="8" t="str">
        <f aca="false">IF(O47=0,"-",INDEX($B$28:$M$28,MATCH(O47,B47:M47,0)))</f>
        <v>Dic</v>
      </c>
    </row>
    <row r="48" customFormat="false" ht="14.25" hidden="false" customHeight="true" outlineLevel="0" collapsed="false">
      <c r="A48" s="8" t="str">
        <f aca="false">parametros_manuales!$B$38</f>
        <v>Carga de polvo</v>
      </c>
      <c r="B48" s="9" t="n">
        <f aca="false">(parametros_manuales!$D$38*('Plan mensual'!D13+'Plan mensual'!D124+IF(parametros_manuales!$H$38="Todos",'Plan mensual'!D17+'Plan mensual'!D128,0))+parametros_manuales!$E$38*('Plan mensual'!D14+'Plan mensual'!D125+IF(parametros_manuales!$H$38="Todos",'Plan mensual'!D18+'Plan mensual'!D129,0))+parametros_manuales!$F$38*('Plan mensual'!D15+'Plan mensual'!D126+IF(parametros_manuales!$H$38="Todos",'Plan mensual'!D19+'Plan mensual'!D130,0))+parametros_manuales!$G$38*('Plan mensual'!D16+'Plan mensual'!D127+IF(parametros_manuales!$H$38="Todos",'Plan mensual'!D20+'Plan mensual'!D131,0)))*parametros_manuales!$I$38*parametros_manuales!$J$38</f>
        <v>1195.85984004</v>
      </c>
      <c r="C48" s="9" t="n">
        <f aca="false">(parametros_manuales!$D$38*('Plan mensual'!E13+'Plan mensual'!E124+IF(parametros_manuales!$H$38="Todos",'Plan mensual'!E17+'Plan mensual'!E128,0))+parametros_manuales!$E$38*('Plan mensual'!E14+'Plan mensual'!E125+IF(parametros_manuales!$H$38="Todos",'Plan mensual'!E18+'Plan mensual'!E129,0))+parametros_manuales!$F$38*('Plan mensual'!E15+'Plan mensual'!E126+IF(parametros_manuales!$H$38="Todos",'Plan mensual'!E19+'Plan mensual'!E130,0))+parametros_manuales!$G$38*('Plan mensual'!E16+'Plan mensual'!E127+IF(parametros_manuales!$H$38="Todos",'Plan mensual'!E20+'Plan mensual'!E131,0)))*parametros_manuales!$I$38*parametros_manuales!$J$38</f>
        <v>920.70404817</v>
      </c>
      <c r="D48" s="9" t="n">
        <f aca="false">(parametros_manuales!$D$38*('Plan mensual'!F13+'Plan mensual'!F124+IF(parametros_manuales!$H$38="Todos",'Plan mensual'!F17+'Plan mensual'!F128,0))+parametros_manuales!$E$38*('Plan mensual'!F14+'Plan mensual'!F125+IF(parametros_manuales!$H$38="Todos",'Plan mensual'!F18+'Plan mensual'!F129,0))+parametros_manuales!$F$38*('Plan mensual'!F15+'Plan mensual'!F126+IF(parametros_manuales!$H$38="Todos",'Plan mensual'!F19+'Plan mensual'!F130,0))+parametros_manuales!$G$38*('Plan mensual'!F16+'Plan mensual'!F127+IF(parametros_manuales!$H$38="Todos",'Plan mensual'!F20+'Plan mensual'!F131,0)))*parametros_manuales!$I$38*parametros_manuales!$J$38</f>
        <v>884.54017654</v>
      </c>
      <c r="E48" s="9" t="n">
        <f aca="false">(parametros_manuales!$D$38*('Plan mensual'!G13+'Plan mensual'!G124+IF(parametros_manuales!$H$38="Todos",'Plan mensual'!G17+'Plan mensual'!G128,0))+parametros_manuales!$E$38*('Plan mensual'!G14+'Plan mensual'!G125+IF(parametros_manuales!$H$38="Todos",'Plan mensual'!G18+'Plan mensual'!G129,0))+parametros_manuales!$F$38*('Plan mensual'!G15+'Plan mensual'!G126+IF(parametros_manuales!$H$38="Todos",'Plan mensual'!G19+'Plan mensual'!G130,0))+parametros_manuales!$G$38*('Plan mensual'!G16+'Plan mensual'!G127+IF(parametros_manuales!$H$38="Todos",'Plan mensual'!G20+'Plan mensual'!G131,0)))*parametros_manuales!$I$38*parametros_manuales!$J$38</f>
        <v>854.553656655</v>
      </c>
      <c r="F48" s="9" t="n">
        <f aca="false">(parametros_manuales!$D$38*('Plan mensual'!H13+'Plan mensual'!H124+IF(parametros_manuales!$H$38="Todos",'Plan mensual'!H17+'Plan mensual'!H128,0))+parametros_manuales!$E$38*('Plan mensual'!H14+'Plan mensual'!H125+IF(parametros_manuales!$H$38="Todos",'Plan mensual'!H18+'Plan mensual'!H129,0))+parametros_manuales!$F$38*('Plan mensual'!H15+'Plan mensual'!H126+IF(parametros_manuales!$H$38="Todos",'Plan mensual'!H19+'Plan mensual'!H130,0))+parametros_manuales!$G$38*('Plan mensual'!H16+'Plan mensual'!H127+IF(parametros_manuales!$H$38="Todos",'Plan mensual'!H20+'Plan mensual'!H131,0)))*parametros_manuales!$I$38*parametros_manuales!$J$38</f>
        <v>800.75796863</v>
      </c>
      <c r="G48" s="9" t="n">
        <f aca="false">(parametros_manuales!$D$38*('Plan mensual'!I13+'Plan mensual'!I124+IF(parametros_manuales!$H$38="Todos",'Plan mensual'!I17+'Plan mensual'!I128,0))+parametros_manuales!$E$38*('Plan mensual'!I14+'Plan mensual'!I125+IF(parametros_manuales!$H$38="Todos",'Plan mensual'!I18+'Plan mensual'!I129,0))+parametros_manuales!$F$38*('Plan mensual'!I15+'Plan mensual'!I126+IF(parametros_manuales!$H$38="Todos",'Plan mensual'!I19+'Plan mensual'!I130,0))+parametros_manuales!$G$38*('Plan mensual'!I16+'Plan mensual'!I127+IF(parametros_manuales!$H$38="Todos",'Plan mensual'!I20+'Plan mensual'!I131,0)))*parametros_manuales!$I$38*parametros_manuales!$J$38</f>
        <v>776.94880049</v>
      </c>
      <c r="H48" s="9" t="n">
        <f aca="false">(parametros_manuales!$D$38*('Plan mensual'!J13+'Plan mensual'!J124+IF(parametros_manuales!$H$38="Todos",'Plan mensual'!J17+'Plan mensual'!J128,0))+parametros_manuales!$E$38*('Plan mensual'!J14+'Plan mensual'!J125+IF(parametros_manuales!$H$38="Todos",'Plan mensual'!J18+'Plan mensual'!J129,0))+parametros_manuales!$F$38*('Plan mensual'!J15+'Plan mensual'!J126+IF(parametros_manuales!$H$38="Todos",'Plan mensual'!J19+'Plan mensual'!J130,0))+parametros_manuales!$G$38*('Plan mensual'!J16+'Plan mensual'!J127+IF(parametros_manuales!$H$38="Todos",'Plan mensual'!J20+'Plan mensual'!J131,0)))*parametros_manuales!$I$38*parametros_manuales!$J$38</f>
        <v>830.744488515</v>
      </c>
      <c r="I48" s="9" t="n">
        <f aca="false">(parametros_manuales!$D$38*('Plan mensual'!K13+'Plan mensual'!K124+IF(parametros_manuales!$H$38="Todos",'Plan mensual'!K17+'Plan mensual'!K128,0))+parametros_manuales!$E$38*('Plan mensual'!K14+'Plan mensual'!K125+IF(parametros_manuales!$H$38="Todos",'Plan mensual'!K18+'Plan mensual'!K129,0))+parametros_manuales!$F$38*('Plan mensual'!K15+'Plan mensual'!K126+IF(parametros_manuales!$H$38="Todos",'Plan mensual'!K19+'Plan mensual'!K130,0))+parametros_manuales!$G$38*('Plan mensual'!K16+'Plan mensual'!K127+IF(parametros_manuales!$H$38="Todos",'Plan mensual'!K20+'Plan mensual'!K131,0)))*parametros_manuales!$I$38*parametros_manuales!$J$38</f>
        <v>830.744488515</v>
      </c>
      <c r="J48" s="9" t="n">
        <f aca="false">(parametros_manuales!$D$38*('Plan mensual'!L13+'Plan mensual'!L124+IF(parametros_manuales!$H$38="Todos",'Plan mensual'!L17+'Plan mensual'!L128,0))+parametros_manuales!$E$38*('Plan mensual'!L14+'Plan mensual'!L125+IF(parametros_manuales!$H$38="Todos",'Plan mensual'!L18+'Plan mensual'!L129,0))+parametros_manuales!$F$38*('Plan mensual'!L15+'Plan mensual'!L126+IF(parametros_manuales!$H$38="Todos",'Plan mensual'!L19+'Plan mensual'!L130,0))+parametros_manuales!$G$38*('Plan mensual'!L16+'Plan mensual'!L127+IF(parametros_manuales!$H$38="Todos",'Plan mensual'!L20+'Plan mensual'!L131,0)))*parametros_manuales!$I$38*parametros_manuales!$J$38</f>
        <v>830.744488515</v>
      </c>
      <c r="K48" s="9" t="n">
        <f aca="false">(parametros_manuales!$D$38*('Plan mensual'!M13+'Plan mensual'!M124+IF(parametros_manuales!$H$38="Todos",'Plan mensual'!M17+'Plan mensual'!M128,0))+parametros_manuales!$E$38*('Plan mensual'!M14+'Plan mensual'!M125+IF(parametros_manuales!$H$38="Todos",'Plan mensual'!M18+'Plan mensual'!M129,0))+parametros_manuales!$F$38*('Plan mensual'!M15+'Plan mensual'!M126+IF(parametros_manuales!$H$38="Todos",'Plan mensual'!M19+'Plan mensual'!M130,0))+parametros_manuales!$G$38*('Plan mensual'!M16+'Plan mensual'!M127+IF(parametros_manuales!$H$38="Todos",'Plan mensual'!M20+'Plan mensual'!M131,0)))*parametros_manuales!$I$38*parametros_manuales!$J$38</f>
        <v>806.935320375</v>
      </c>
      <c r="L48" s="9" t="n">
        <f aca="false">(parametros_manuales!$D$38*('Plan mensual'!N13+'Plan mensual'!N124+IF(parametros_manuales!$H$38="Todos",'Plan mensual'!N17+'Plan mensual'!N128,0))+parametros_manuales!$E$38*('Plan mensual'!N14+'Plan mensual'!N125+IF(parametros_manuales!$H$38="Todos",'Plan mensual'!N18+'Plan mensual'!N129,0))+parametros_manuales!$F$38*('Plan mensual'!N15+'Plan mensual'!N126+IF(parametros_manuales!$H$38="Todos",'Plan mensual'!N19+'Plan mensual'!N130,0))+parametros_manuales!$G$38*('Plan mensual'!N16+'Plan mensual'!N127+IF(parametros_manuales!$H$38="Todos",'Plan mensual'!N20+'Plan mensual'!N131,0)))*parametros_manuales!$I$38*parametros_manuales!$J$38</f>
        <v>783.126152235</v>
      </c>
      <c r="M48" s="9" t="n">
        <f aca="false">(parametros_manuales!$D$38*('Plan mensual'!O13+'Plan mensual'!O124+IF(parametros_manuales!$H$38="Todos",'Plan mensual'!O17+'Plan mensual'!O128,0))+parametros_manuales!$E$38*('Plan mensual'!O14+'Plan mensual'!O125+IF(parametros_manuales!$H$38="Todos",'Plan mensual'!O18+'Plan mensual'!O129,0))+parametros_manuales!$F$38*('Plan mensual'!O15+'Plan mensual'!O126+IF(parametros_manuales!$H$38="Todos",'Plan mensual'!O19+'Plan mensual'!O130,0))+parametros_manuales!$G$38*('Plan mensual'!O16+'Plan mensual'!O127+IF(parametros_manuales!$H$38="Todos",'Plan mensual'!O20+'Plan mensual'!O131,0)))*parametros_manuales!$I$38*parametros_manuales!$J$38</f>
        <v>1243.47817632</v>
      </c>
      <c r="N48" s="9" t="n">
        <f aca="false">SUM(B48:M48)</f>
        <v>10759.137605</v>
      </c>
      <c r="O48" s="9" t="n">
        <f aca="false">MAX(B48:M48)</f>
        <v>1243.47817632</v>
      </c>
      <c r="P48" s="44" t="n">
        <f aca="false">O48/(parametros_manuales!$B$7)</f>
        <v>8.2898545088</v>
      </c>
      <c r="Q48" s="8" t="str">
        <f aca="false">IF(O48=0,"-",INDEX($B$28:$M$28,MATCH(O48,B48:M48,0)))</f>
        <v>Dic</v>
      </c>
    </row>
    <row r="49" customFormat="false" ht="14.25" hidden="false" customHeight="true" outlineLevel="0" collapsed="false">
      <c r="A49" s="8" t="str">
        <f aca="false">parametros_manuales!$B$39</f>
        <v>Ensamblaje</v>
      </c>
      <c r="B49" s="9" t="n">
        <f aca="false">(parametros_manuales!$D$39*('Plan mensual'!D13+'Plan mensual'!D124+IF(parametros_manuales!$H$39="Todos",'Plan mensual'!D17+'Plan mensual'!D128,0))+parametros_manuales!$E$39*('Plan mensual'!D14+'Plan mensual'!D125+IF(parametros_manuales!$H$39="Todos",'Plan mensual'!D18+'Plan mensual'!D129,0))+parametros_manuales!$F$39*('Plan mensual'!D15+'Plan mensual'!D126+IF(parametros_manuales!$H$39="Todos",'Plan mensual'!D19+'Plan mensual'!D130,0))+parametros_manuales!$G$39*('Plan mensual'!D16+'Plan mensual'!D127+IF(parametros_manuales!$H$39="Todos",'Plan mensual'!D20+'Plan mensual'!D131,0)))*parametros_manuales!$I$39*parametros_manuales!$J$39</f>
        <v>1195.85984004</v>
      </c>
      <c r="C49" s="9" t="n">
        <f aca="false">(parametros_manuales!$D$39*('Plan mensual'!E13+'Plan mensual'!E124+IF(parametros_manuales!$H$39="Todos",'Plan mensual'!E17+'Plan mensual'!E128,0))+parametros_manuales!$E$39*('Plan mensual'!E14+'Plan mensual'!E125+IF(parametros_manuales!$H$39="Todos",'Plan mensual'!E18+'Plan mensual'!E129,0))+parametros_manuales!$F$39*('Plan mensual'!E15+'Plan mensual'!E126+IF(parametros_manuales!$H$39="Todos",'Plan mensual'!E19+'Plan mensual'!E130,0))+parametros_manuales!$G$39*('Plan mensual'!E16+'Plan mensual'!E127+IF(parametros_manuales!$H$39="Todos",'Plan mensual'!E20+'Plan mensual'!E131,0)))*parametros_manuales!$I$39*parametros_manuales!$J$39</f>
        <v>920.70404817</v>
      </c>
      <c r="D49" s="9" t="n">
        <f aca="false">(parametros_manuales!$D$39*('Plan mensual'!F13+'Plan mensual'!F124+IF(parametros_manuales!$H$39="Todos",'Plan mensual'!F17+'Plan mensual'!F128,0))+parametros_manuales!$E$39*('Plan mensual'!F14+'Plan mensual'!F125+IF(parametros_manuales!$H$39="Todos",'Plan mensual'!F18+'Plan mensual'!F129,0))+parametros_manuales!$F$39*('Plan mensual'!F15+'Plan mensual'!F126+IF(parametros_manuales!$H$39="Todos",'Plan mensual'!F19+'Plan mensual'!F130,0))+parametros_manuales!$G$39*('Plan mensual'!F16+'Plan mensual'!F127+IF(parametros_manuales!$H$39="Todos",'Plan mensual'!F20+'Plan mensual'!F131,0)))*parametros_manuales!$I$39*parametros_manuales!$J$39</f>
        <v>884.54017654</v>
      </c>
      <c r="E49" s="9" t="n">
        <f aca="false">(parametros_manuales!$D$39*('Plan mensual'!G13+'Plan mensual'!G124+IF(parametros_manuales!$H$39="Todos",'Plan mensual'!G17+'Plan mensual'!G128,0))+parametros_manuales!$E$39*('Plan mensual'!G14+'Plan mensual'!G125+IF(parametros_manuales!$H$39="Todos",'Plan mensual'!G18+'Plan mensual'!G129,0))+parametros_manuales!$F$39*('Plan mensual'!G15+'Plan mensual'!G126+IF(parametros_manuales!$H$39="Todos",'Plan mensual'!G19+'Plan mensual'!G130,0))+parametros_manuales!$G$39*('Plan mensual'!G16+'Plan mensual'!G127+IF(parametros_manuales!$H$39="Todos",'Plan mensual'!G20+'Plan mensual'!G131,0)))*parametros_manuales!$I$39*parametros_manuales!$J$39</f>
        <v>854.553656655</v>
      </c>
      <c r="F49" s="9" t="n">
        <f aca="false">(parametros_manuales!$D$39*('Plan mensual'!H13+'Plan mensual'!H124+IF(parametros_manuales!$H$39="Todos",'Plan mensual'!H17+'Plan mensual'!H128,0))+parametros_manuales!$E$39*('Plan mensual'!H14+'Plan mensual'!H125+IF(parametros_manuales!$H$39="Todos",'Plan mensual'!H18+'Plan mensual'!H129,0))+parametros_manuales!$F$39*('Plan mensual'!H15+'Plan mensual'!H126+IF(parametros_manuales!$H$39="Todos",'Plan mensual'!H19+'Plan mensual'!H130,0))+parametros_manuales!$G$39*('Plan mensual'!H16+'Plan mensual'!H127+IF(parametros_manuales!$H$39="Todos",'Plan mensual'!H20+'Plan mensual'!H131,0)))*parametros_manuales!$I$39*parametros_manuales!$J$39</f>
        <v>800.75796863</v>
      </c>
      <c r="G49" s="9" t="n">
        <f aca="false">(parametros_manuales!$D$39*('Plan mensual'!I13+'Plan mensual'!I124+IF(parametros_manuales!$H$39="Todos",'Plan mensual'!I17+'Plan mensual'!I128,0))+parametros_manuales!$E$39*('Plan mensual'!I14+'Plan mensual'!I125+IF(parametros_manuales!$H$39="Todos",'Plan mensual'!I18+'Plan mensual'!I129,0))+parametros_manuales!$F$39*('Plan mensual'!I15+'Plan mensual'!I126+IF(parametros_manuales!$H$39="Todos",'Plan mensual'!I19+'Plan mensual'!I130,0))+parametros_manuales!$G$39*('Plan mensual'!I16+'Plan mensual'!I127+IF(parametros_manuales!$H$39="Todos",'Plan mensual'!I20+'Plan mensual'!I131,0)))*parametros_manuales!$I$39*parametros_manuales!$J$39</f>
        <v>776.94880049</v>
      </c>
      <c r="H49" s="9" t="n">
        <f aca="false">(parametros_manuales!$D$39*('Plan mensual'!J13+'Plan mensual'!J124+IF(parametros_manuales!$H$39="Todos",'Plan mensual'!J17+'Plan mensual'!J128,0))+parametros_manuales!$E$39*('Plan mensual'!J14+'Plan mensual'!J125+IF(parametros_manuales!$H$39="Todos",'Plan mensual'!J18+'Plan mensual'!J129,0))+parametros_manuales!$F$39*('Plan mensual'!J15+'Plan mensual'!J126+IF(parametros_manuales!$H$39="Todos",'Plan mensual'!J19+'Plan mensual'!J130,0))+parametros_manuales!$G$39*('Plan mensual'!J16+'Plan mensual'!J127+IF(parametros_manuales!$H$39="Todos",'Plan mensual'!J20+'Plan mensual'!J131,0)))*parametros_manuales!$I$39*parametros_manuales!$J$39</f>
        <v>830.744488515</v>
      </c>
      <c r="I49" s="9" t="n">
        <f aca="false">(parametros_manuales!$D$39*('Plan mensual'!K13+'Plan mensual'!K124+IF(parametros_manuales!$H$39="Todos",'Plan mensual'!K17+'Plan mensual'!K128,0))+parametros_manuales!$E$39*('Plan mensual'!K14+'Plan mensual'!K125+IF(parametros_manuales!$H$39="Todos",'Plan mensual'!K18+'Plan mensual'!K129,0))+parametros_manuales!$F$39*('Plan mensual'!K15+'Plan mensual'!K126+IF(parametros_manuales!$H$39="Todos",'Plan mensual'!K19+'Plan mensual'!K130,0))+parametros_manuales!$G$39*('Plan mensual'!K16+'Plan mensual'!K127+IF(parametros_manuales!$H$39="Todos",'Plan mensual'!K20+'Plan mensual'!K131,0)))*parametros_manuales!$I$39*parametros_manuales!$J$39</f>
        <v>830.744488515</v>
      </c>
      <c r="J49" s="9" t="n">
        <f aca="false">(parametros_manuales!$D$39*('Plan mensual'!L13+'Plan mensual'!L124+IF(parametros_manuales!$H$39="Todos",'Plan mensual'!L17+'Plan mensual'!L128,0))+parametros_manuales!$E$39*('Plan mensual'!L14+'Plan mensual'!L125+IF(parametros_manuales!$H$39="Todos",'Plan mensual'!L18+'Plan mensual'!L129,0))+parametros_manuales!$F$39*('Plan mensual'!L15+'Plan mensual'!L126+IF(parametros_manuales!$H$39="Todos",'Plan mensual'!L19+'Plan mensual'!L130,0))+parametros_manuales!$G$39*('Plan mensual'!L16+'Plan mensual'!L127+IF(parametros_manuales!$H$39="Todos",'Plan mensual'!L20+'Plan mensual'!L131,0)))*parametros_manuales!$I$39*parametros_manuales!$J$39</f>
        <v>830.744488515</v>
      </c>
      <c r="K49" s="9" t="n">
        <f aca="false">(parametros_manuales!$D$39*('Plan mensual'!M13+'Plan mensual'!M124+IF(parametros_manuales!$H$39="Todos",'Plan mensual'!M17+'Plan mensual'!M128,0))+parametros_manuales!$E$39*('Plan mensual'!M14+'Plan mensual'!M125+IF(parametros_manuales!$H$39="Todos",'Plan mensual'!M18+'Plan mensual'!M129,0))+parametros_manuales!$F$39*('Plan mensual'!M15+'Plan mensual'!M126+IF(parametros_manuales!$H$39="Todos",'Plan mensual'!M19+'Plan mensual'!M130,0))+parametros_manuales!$G$39*('Plan mensual'!M16+'Plan mensual'!M127+IF(parametros_manuales!$H$39="Todos",'Plan mensual'!M20+'Plan mensual'!M131,0)))*parametros_manuales!$I$39*parametros_manuales!$J$39</f>
        <v>806.935320375</v>
      </c>
      <c r="L49" s="9" t="n">
        <f aca="false">(parametros_manuales!$D$39*('Plan mensual'!N13+'Plan mensual'!N124+IF(parametros_manuales!$H$39="Todos",'Plan mensual'!N17+'Plan mensual'!N128,0))+parametros_manuales!$E$39*('Plan mensual'!N14+'Plan mensual'!N125+IF(parametros_manuales!$H$39="Todos",'Plan mensual'!N18+'Plan mensual'!N129,0))+parametros_manuales!$F$39*('Plan mensual'!N15+'Plan mensual'!N126+IF(parametros_manuales!$H$39="Todos",'Plan mensual'!N19+'Plan mensual'!N130,0))+parametros_manuales!$G$39*('Plan mensual'!N16+'Plan mensual'!N127+IF(parametros_manuales!$H$39="Todos",'Plan mensual'!N20+'Plan mensual'!N131,0)))*parametros_manuales!$I$39*parametros_manuales!$J$39</f>
        <v>783.126152235</v>
      </c>
      <c r="M49" s="9" t="n">
        <f aca="false">(parametros_manuales!$D$39*('Plan mensual'!O13+'Plan mensual'!O124+IF(parametros_manuales!$H$39="Todos",'Plan mensual'!O17+'Plan mensual'!O128,0))+parametros_manuales!$E$39*('Plan mensual'!O14+'Plan mensual'!O125+IF(parametros_manuales!$H$39="Todos",'Plan mensual'!O18+'Plan mensual'!O129,0))+parametros_manuales!$F$39*('Plan mensual'!O15+'Plan mensual'!O126+IF(parametros_manuales!$H$39="Todos",'Plan mensual'!O19+'Plan mensual'!O130,0))+parametros_manuales!$G$39*('Plan mensual'!O16+'Plan mensual'!O127+IF(parametros_manuales!$H$39="Todos",'Plan mensual'!O20+'Plan mensual'!O131,0)))*parametros_manuales!$I$39*parametros_manuales!$J$39</f>
        <v>1243.47817632</v>
      </c>
      <c r="N49" s="9" t="n">
        <f aca="false">SUM(B49:M49)</f>
        <v>10759.137605</v>
      </c>
      <c r="O49" s="9" t="n">
        <f aca="false">MAX(B49:M49)</f>
        <v>1243.47817632</v>
      </c>
      <c r="P49" s="44" t="n">
        <f aca="false">O49/(parametros_manuales!$B$7)</f>
        <v>8.2898545088</v>
      </c>
      <c r="Q49" s="8" t="str">
        <f aca="false">IF(O49=0,"-",INDEX($B$28:$M$28,MATCH(O49,B49:M49,0)))</f>
        <v>Dic</v>
      </c>
    </row>
    <row r="50" customFormat="false" ht="14.25" hidden="false" customHeight="true" outlineLevel="0" collapsed="false">
      <c r="A50" s="8" t="str">
        <f aca="false">parametros_manuales!$B$40</f>
        <v>Presurización</v>
      </c>
      <c r="B50" s="9" t="n">
        <f aca="false">(parametros_manuales!$D$40*('Plan mensual'!D13+'Plan mensual'!D124+IF(parametros_manuales!$H$40="Todos",'Plan mensual'!D17+'Plan mensual'!D128,0))+parametros_manuales!$E$40*('Plan mensual'!D14+'Plan mensual'!D125+IF(parametros_manuales!$H$40="Todos",'Plan mensual'!D18+'Plan mensual'!D129,0))+parametros_manuales!$F$40*('Plan mensual'!D15+'Plan mensual'!D126+IF(parametros_manuales!$H$40="Todos",'Plan mensual'!D19+'Plan mensual'!D130,0))+parametros_manuales!$G$40*('Plan mensual'!D16+'Plan mensual'!D127+IF(parametros_manuales!$H$40="Todos",'Plan mensual'!D20+'Plan mensual'!D131,0)))*parametros_manuales!$I$40*parametros_manuales!$J$40</f>
        <v>1195.85984004</v>
      </c>
      <c r="C50" s="9" t="n">
        <f aca="false">(parametros_manuales!$D$40*('Plan mensual'!E13+'Plan mensual'!E124+IF(parametros_manuales!$H$40="Todos",'Plan mensual'!E17+'Plan mensual'!E128,0))+parametros_manuales!$E$40*('Plan mensual'!E14+'Plan mensual'!E125+IF(parametros_manuales!$H$40="Todos",'Plan mensual'!E18+'Plan mensual'!E129,0))+parametros_manuales!$F$40*('Plan mensual'!E15+'Plan mensual'!E126+IF(parametros_manuales!$H$40="Todos",'Plan mensual'!E19+'Plan mensual'!E130,0))+parametros_manuales!$G$40*('Plan mensual'!E16+'Plan mensual'!E127+IF(parametros_manuales!$H$40="Todos",'Plan mensual'!E20+'Plan mensual'!E131,0)))*parametros_manuales!$I$40*parametros_manuales!$J$40</f>
        <v>920.70404817</v>
      </c>
      <c r="D50" s="9" t="n">
        <f aca="false">(parametros_manuales!$D$40*('Plan mensual'!F13+'Plan mensual'!F124+IF(parametros_manuales!$H$40="Todos",'Plan mensual'!F17+'Plan mensual'!F128,0))+parametros_manuales!$E$40*('Plan mensual'!F14+'Plan mensual'!F125+IF(parametros_manuales!$H$40="Todos",'Plan mensual'!F18+'Plan mensual'!F129,0))+parametros_manuales!$F$40*('Plan mensual'!F15+'Plan mensual'!F126+IF(parametros_manuales!$H$40="Todos",'Plan mensual'!F19+'Plan mensual'!F130,0))+parametros_manuales!$G$40*('Plan mensual'!F16+'Plan mensual'!F127+IF(parametros_manuales!$H$40="Todos",'Plan mensual'!F20+'Plan mensual'!F131,0)))*parametros_manuales!$I$40*parametros_manuales!$J$40</f>
        <v>884.54017654</v>
      </c>
      <c r="E50" s="9" t="n">
        <f aca="false">(parametros_manuales!$D$40*('Plan mensual'!G13+'Plan mensual'!G124+IF(parametros_manuales!$H$40="Todos",'Plan mensual'!G17+'Plan mensual'!G128,0))+parametros_manuales!$E$40*('Plan mensual'!G14+'Plan mensual'!G125+IF(parametros_manuales!$H$40="Todos",'Plan mensual'!G18+'Plan mensual'!G129,0))+parametros_manuales!$F$40*('Plan mensual'!G15+'Plan mensual'!G126+IF(parametros_manuales!$H$40="Todos",'Plan mensual'!G19+'Plan mensual'!G130,0))+parametros_manuales!$G$40*('Plan mensual'!G16+'Plan mensual'!G127+IF(parametros_manuales!$H$40="Todos",'Plan mensual'!G20+'Plan mensual'!G131,0)))*parametros_manuales!$I$40*parametros_manuales!$J$40</f>
        <v>854.553656655</v>
      </c>
      <c r="F50" s="9" t="n">
        <f aca="false">(parametros_manuales!$D$40*('Plan mensual'!H13+'Plan mensual'!H124+IF(parametros_manuales!$H$40="Todos",'Plan mensual'!H17+'Plan mensual'!H128,0))+parametros_manuales!$E$40*('Plan mensual'!H14+'Plan mensual'!H125+IF(parametros_manuales!$H$40="Todos",'Plan mensual'!H18+'Plan mensual'!H129,0))+parametros_manuales!$F$40*('Plan mensual'!H15+'Plan mensual'!H126+IF(parametros_manuales!$H$40="Todos",'Plan mensual'!H19+'Plan mensual'!H130,0))+parametros_manuales!$G$40*('Plan mensual'!H16+'Plan mensual'!H127+IF(parametros_manuales!$H$40="Todos",'Plan mensual'!H20+'Plan mensual'!H131,0)))*parametros_manuales!$I$40*parametros_manuales!$J$40</f>
        <v>800.75796863</v>
      </c>
      <c r="G50" s="9" t="n">
        <f aca="false">(parametros_manuales!$D$40*('Plan mensual'!I13+'Plan mensual'!I124+IF(parametros_manuales!$H$40="Todos",'Plan mensual'!I17+'Plan mensual'!I128,0))+parametros_manuales!$E$40*('Plan mensual'!I14+'Plan mensual'!I125+IF(parametros_manuales!$H$40="Todos",'Plan mensual'!I18+'Plan mensual'!I129,0))+parametros_manuales!$F$40*('Plan mensual'!I15+'Plan mensual'!I126+IF(parametros_manuales!$H$40="Todos",'Plan mensual'!I19+'Plan mensual'!I130,0))+parametros_manuales!$G$40*('Plan mensual'!I16+'Plan mensual'!I127+IF(parametros_manuales!$H$40="Todos",'Plan mensual'!I20+'Plan mensual'!I131,0)))*parametros_manuales!$I$40*parametros_manuales!$J$40</f>
        <v>776.94880049</v>
      </c>
      <c r="H50" s="9" t="n">
        <f aca="false">(parametros_manuales!$D$40*('Plan mensual'!J13+'Plan mensual'!J124+IF(parametros_manuales!$H$40="Todos",'Plan mensual'!J17+'Plan mensual'!J128,0))+parametros_manuales!$E$40*('Plan mensual'!J14+'Plan mensual'!J125+IF(parametros_manuales!$H$40="Todos",'Plan mensual'!J18+'Plan mensual'!J129,0))+parametros_manuales!$F$40*('Plan mensual'!J15+'Plan mensual'!J126+IF(parametros_manuales!$H$40="Todos",'Plan mensual'!J19+'Plan mensual'!J130,0))+parametros_manuales!$G$40*('Plan mensual'!J16+'Plan mensual'!J127+IF(parametros_manuales!$H$40="Todos",'Plan mensual'!J20+'Plan mensual'!J131,0)))*parametros_manuales!$I$40*parametros_manuales!$J$40</f>
        <v>830.744488515</v>
      </c>
      <c r="I50" s="9" t="n">
        <f aca="false">(parametros_manuales!$D$40*('Plan mensual'!K13+'Plan mensual'!K124+IF(parametros_manuales!$H$40="Todos",'Plan mensual'!K17+'Plan mensual'!K128,0))+parametros_manuales!$E$40*('Plan mensual'!K14+'Plan mensual'!K125+IF(parametros_manuales!$H$40="Todos",'Plan mensual'!K18+'Plan mensual'!K129,0))+parametros_manuales!$F$40*('Plan mensual'!K15+'Plan mensual'!K126+IF(parametros_manuales!$H$40="Todos",'Plan mensual'!K19+'Plan mensual'!K130,0))+parametros_manuales!$G$40*('Plan mensual'!K16+'Plan mensual'!K127+IF(parametros_manuales!$H$40="Todos",'Plan mensual'!K20+'Plan mensual'!K131,0)))*parametros_manuales!$I$40*parametros_manuales!$J$40</f>
        <v>830.744488515</v>
      </c>
      <c r="J50" s="9" t="n">
        <f aca="false">(parametros_manuales!$D$40*('Plan mensual'!L13+'Plan mensual'!L124+IF(parametros_manuales!$H$40="Todos",'Plan mensual'!L17+'Plan mensual'!L128,0))+parametros_manuales!$E$40*('Plan mensual'!L14+'Plan mensual'!L125+IF(parametros_manuales!$H$40="Todos",'Plan mensual'!L18+'Plan mensual'!L129,0))+parametros_manuales!$F$40*('Plan mensual'!L15+'Plan mensual'!L126+IF(parametros_manuales!$H$40="Todos",'Plan mensual'!L19+'Plan mensual'!L130,0))+parametros_manuales!$G$40*('Plan mensual'!L16+'Plan mensual'!L127+IF(parametros_manuales!$H$40="Todos",'Plan mensual'!L20+'Plan mensual'!L131,0)))*parametros_manuales!$I$40*parametros_manuales!$J$40</f>
        <v>830.744488515</v>
      </c>
      <c r="K50" s="9" t="n">
        <f aca="false">(parametros_manuales!$D$40*('Plan mensual'!M13+'Plan mensual'!M124+IF(parametros_manuales!$H$40="Todos",'Plan mensual'!M17+'Plan mensual'!M128,0))+parametros_manuales!$E$40*('Plan mensual'!M14+'Plan mensual'!M125+IF(parametros_manuales!$H$40="Todos",'Plan mensual'!M18+'Plan mensual'!M129,0))+parametros_manuales!$F$40*('Plan mensual'!M15+'Plan mensual'!M126+IF(parametros_manuales!$H$40="Todos",'Plan mensual'!M19+'Plan mensual'!M130,0))+parametros_manuales!$G$40*('Plan mensual'!M16+'Plan mensual'!M127+IF(parametros_manuales!$H$40="Todos",'Plan mensual'!M20+'Plan mensual'!M131,0)))*parametros_manuales!$I$40*parametros_manuales!$J$40</f>
        <v>806.935320375</v>
      </c>
      <c r="L50" s="9" t="n">
        <f aca="false">(parametros_manuales!$D$40*('Plan mensual'!N13+'Plan mensual'!N124+IF(parametros_manuales!$H$40="Todos",'Plan mensual'!N17+'Plan mensual'!N128,0))+parametros_manuales!$E$40*('Plan mensual'!N14+'Plan mensual'!N125+IF(parametros_manuales!$H$40="Todos",'Plan mensual'!N18+'Plan mensual'!N129,0))+parametros_manuales!$F$40*('Plan mensual'!N15+'Plan mensual'!N126+IF(parametros_manuales!$H$40="Todos",'Plan mensual'!N19+'Plan mensual'!N130,0))+parametros_manuales!$G$40*('Plan mensual'!N16+'Plan mensual'!N127+IF(parametros_manuales!$H$40="Todos",'Plan mensual'!N20+'Plan mensual'!N131,0)))*parametros_manuales!$I$40*parametros_manuales!$J$40</f>
        <v>783.126152235</v>
      </c>
      <c r="M50" s="9" t="n">
        <f aca="false">(parametros_manuales!$D$40*('Plan mensual'!O13+'Plan mensual'!O124+IF(parametros_manuales!$H$40="Todos",'Plan mensual'!O17+'Plan mensual'!O128,0))+parametros_manuales!$E$40*('Plan mensual'!O14+'Plan mensual'!O125+IF(parametros_manuales!$H$40="Todos",'Plan mensual'!O18+'Plan mensual'!O129,0))+parametros_manuales!$F$40*('Plan mensual'!O15+'Plan mensual'!O126+IF(parametros_manuales!$H$40="Todos",'Plan mensual'!O19+'Plan mensual'!O130,0))+parametros_manuales!$G$40*('Plan mensual'!O16+'Plan mensual'!O127+IF(parametros_manuales!$H$40="Todos",'Plan mensual'!O20+'Plan mensual'!O131,0)))*parametros_manuales!$I$40*parametros_manuales!$J$40</f>
        <v>1243.47817632</v>
      </c>
      <c r="N50" s="9" t="n">
        <f aca="false">SUM(B50:M50)</f>
        <v>10759.137605</v>
      </c>
      <c r="O50" s="9" t="n">
        <f aca="false">MAX(B50:M50)</f>
        <v>1243.47817632</v>
      </c>
      <c r="P50" s="44" t="n">
        <f aca="false">O50/(parametros_manuales!$B$7)</f>
        <v>8.2898545088</v>
      </c>
      <c r="Q50" s="8" t="str">
        <f aca="false">IF(O50=0,"-",INDEX($B$28:$M$28,MATCH(O50,B50:M50,0)))</f>
        <v>Dic</v>
      </c>
    </row>
    <row r="51" customFormat="false" ht="14.25" hidden="false" customHeight="true" outlineLevel="0" collapsed="false">
      <c r="A51" s="8" t="str">
        <f aca="false">parametros_manuales!$B$41</f>
        <v>Control de calidad — Ensayo de pérdidas</v>
      </c>
      <c r="B51" s="9" t="n">
        <f aca="false">(parametros_manuales!$D$41*('Plan mensual'!D13+'Plan mensual'!D124+IF(parametros_manuales!$H$41="Todos",'Plan mensual'!D17+'Plan mensual'!D128,0))+parametros_manuales!$E$41*('Plan mensual'!D14+'Plan mensual'!D125+IF(parametros_manuales!$H$41="Todos",'Plan mensual'!D18+'Plan mensual'!D129,0))+parametros_manuales!$F$41*('Plan mensual'!D15+'Plan mensual'!D126+IF(parametros_manuales!$H$41="Todos",'Plan mensual'!D19+'Plan mensual'!D130,0))+parametros_manuales!$G$41*('Plan mensual'!D16+'Plan mensual'!D127+IF(parametros_manuales!$H$41="Todos",'Plan mensual'!D20+'Plan mensual'!D131,0)))*parametros_manuales!$I$41*parametros_manuales!$J$41</f>
        <v>1195.85984004</v>
      </c>
      <c r="C51" s="9" t="n">
        <f aca="false">(parametros_manuales!$D$41*('Plan mensual'!E13+'Plan mensual'!E124+IF(parametros_manuales!$H$41="Todos",'Plan mensual'!E17+'Plan mensual'!E128,0))+parametros_manuales!$E$41*('Plan mensual'!E14+'Plan mensual'!E125+IF(parametros_manuales!$H$41="Todos",'Plan mensual'!E18+'Plan mensual'!E129,0))+parametros_manuales!$F$41*('Plan mensual'!E15+'Plan mensual'!E126+IF(parametros_manuales!$H$41="Todos",'Plan mensual'!E19+'Plan mensual'!E130,0))+parametros_manuales!$G$41*('Plan mensual'!E16+'Plan mensual'!E127+IF(parametros_manuales!$H$41="Todos",'Plan mensual'!E20+'Plan mensual'!E131,0)))*parametros_manuales!$I$41*parametros_manuales!$J$41</f>
        <v>920.70404817</v>
      </c>
      <c r="D51" s="9" t="n">
        <f aca="false">(parametros_manuales!$D$41*('Plan mensual'!F13+'Plan mensual'!F124+IF(parametros_manuales!$H$41="Todos",'Plan mensual'!F17+'Plan mensual'!F128,0))+parametros_manuales!$E$41*('Plan mensual'!F14+'Plan mensual'!F125+IF(parametros_manuales!$H$41="Todos",'Plan mensual'!F18+'Plan mensual'!F129,0))+parametros_manuales!$F$41*('Plan mensual'!F15+'Plan mensual'!F126+IF(parametros_manuales!$H$41="Todos",'Plan mensual'!F19+'Plan mensual'!F130,0))+parametros_manuales!$G$41*('Plan mensual'!F16+'Plan mensual'!F127+IF(parametros_manuales!$H$41="Todos",'Plan mensual'!F20+'Plan mensual'!F131,0)))*parametros_manuales!$I$41*parametros_manuales!$J$41</f>
        <v>884.54017654</v>
      </c>
      <c r="E51" s="9" t="n">
        <f aca="false">(parametros_manuales!$D$41*('Plan mensual'!G13+'Plan mensual'!G124+IF(parametros_manuales!$H$41="Todos",'Plan mensual'!G17+'Plan mensual'!G128,0))+parametros_manuales!$E$41*('Plan mensual'!G14+'Plan mensual'!G125+IF(parametros_manuales!$H$41="Todos",'Plan mensual'!G18+'Plan mensual'!G129,0))+parametros_manuales!$F$41*('Plan mensual'!G15+'Plan mensual'!G126+IF(parametros_manuales!$H$41="Todos",'Plan mensual'!G19+'Plan mensual'!G130,0))+parametros_manuales!$G$41*('Plan mensual'!G16+'Plan mensual'!G127+IF(parametros_manuales!$H$41="Todos",'Plan mensual'!G20+'Plan mensual'!G131,0)))*parametros_manuales!$I$41*parametros_manuales!$J$41</f>
        <v>854.553656655</v>
      </c>
      <c r="F51" s="9" t="n">
        <f aca="false">(parametros_manuales!$D$41*('Plan mensual'!H13+'Plan mensual'!H124+IF(parametros_manuales!$H$41="Todos",'Plan mensual'!H17+'Plan mensual'!H128,0))+parametros_manuales!$E$41*('Plan mensual'!H14+'Plan mensual'!H125+IF(parametros_manuales!$H$41="Todos",'Plan mensual'!H18+'Plan mensual'!H129,0))+parametros_manuales!$F$41*('Plan mensual'!H15+'Plan mensual'!H126+IF(parametros_manuales!$H$41="Todos",'Plan mensual'!H19+'Plan mensual'!H130,0))+parametros_manuales!$G$41*('Plan mensual'!H16+'Plan mensual'!H127+IF(parametros_manuales!$H$41="Todos",'Plan mensual'!H20+'Plan mensual'!H131,0)))*parametros_manuales!$I$41*parametros_manuales!$J$41</f>
        <v>800.75796863</v>
      </c>
      <c r="G51" s="9" t="n">
        <f aca="false">(parametros_manuales!$D$41*('Plan mensual'!I13+'Plan mensual'!I124+IF(parametros_manuales!$H$41="Todos",'Plan mensual'!I17+'Plan mensual'!I128,0))+parametros_manuales!$E$41*('Plan mensual'!I14+'Plan mensual'!I125+IF(parametros_manuales!$H$41="Todos",'Plan mensual'!I18+'Plan mensual'!I129,0))+parametros_manuales!$F$41*('Plan mensual'!I15+'Plan mensual'!I126+IF(parametros_manuales!$H$41="Todos",'Plan mensual'!I19+'Plan mensual'!I130,0))+parametros_manuales!$G$41*('Plan mensual'!I16+'Plan mensual'!I127+IF(parametros_manuales!$H$41="Todos",'Plan mensual'!I20+'Plan mensual'!I131,0)))*parametros_manuales!$I$41*parametros_manuales!$J$41</f>
        <v>776.94880049</v>
      </c>
      <c r="H51" s="9" t="n">
        <f aca="false">(parametros_manuales!$D$41*('Plan mensual'!J13+'Plan mensual'!J124+IF(parametros_manuales!$H$41="Todos",'Plan mensual'!J17+'Plan mensual'!J128,0))+parametros_manuales!$E$41*('Plan mensual'!J14+'Plan mensual'!J125+IF(parametros_manuales!$H$41="Todos",'Plan mensual'!J18+'Plan mensual'!J129,0))+parametros_manuales!$F$41*('Plan mensual'!J15+'Plan mensual'!J126+IF(parametros_manuales!$H$41="Todos",'Plan mensual'!J19+'Plan mensual'!J130,0))+parametros_manuales!$G$41*('Plan mensual'!J16+'Plan mensual'!J127+IF(parametros_manuales!$H$41="Todos",'Plan mensual'!J20+'Plan mensual'!J131,0)))*parametros_manuales!$I$41*parametros_manuales!$J$41</f>
        <v>830.744488515</v>
      </c>
      <c r="I51" s="9" t="n">
        <f aca="false">(parametros_manuales!$D$41*('Plan mensual'!K13+'Plan mensual'!K124+IF(parametros_manuales!$H$41="Todos",'Plan mensual'!K17+'Plan mensual'!K128,0))+parametros_manuales!$E$41*('Plan mensual'!K14+'Plan mensual'!K125+IF(parametros_manuales!$H$41="Todos",'Plan mensual'!K18+'Plan mensual'!K129,0))+parametros_manuales!$F$41*('Plan mensual'!K15+'Plan mensual'!K126+IF(parametros_manuales!$H$41="Todos",'Plan mensual'!K19+'Plan mensual'!K130,0))+parametros_manuales!$G$41*('Plan mensual'!K16+'Plan mensual'!K127+IF(parametros_manuales!$H$41="Todos",'Plan mensual'!K20+'Plan mensual'!K131,0)))*parametros_manuales!$I$41*parametros_manuales!$J$41</f>
        <v>830.744488515</v>
      </c>
      <c r="J51" s="9" t="n">
        <f aca="false">(parametros_manuales!$D$41*('Plan mensual'!L13+'Plan mensual'!L124+IF(parametros_manuales!$H$41="Todos",'Plan mensual'!L17+'Plan mensual'!L128,0))+parametros_manuales!$E$41*('Plan mensual'!L14+'Plan mensual'!L125+IF(parametros_manuales!$H$41="Todos",'Plan mensual'!L18+'Plan mensual'!L129,0))+parametros_manuales!$F$41*('Plan mensual'!L15+'Plan mensual'!L126+IF(parametros_manuales!$H$41="Todos",'Plan mensual'!L19+'Plan mensual'!L130,0))+parametros_manuales!$G$41*('Plan mensual'!L16+'Plan mensual'!L127+IF(parametros_manuales!$H$41="Todos",'Plan mensual'!L20+'Plan mensual'!L131,0)))*parametros_manuales!$I$41*parametros_manuales!$J$41</f>
        <v>830.744488515</v>
      </c>
      <c r="K51" s="9" t="n">
        <f aca="false">(parametros_manuales!$D$41*('Plan mensual'!M13+'Plan mensual'!M124+IF(parametros_manuales!$H$41="Todos",'Plan mensual'!M17+'Plan mensual'!M128,0))+parametros_manuales!$E$41*('Plan mensual'!M14+'Plan mensual'!M125+IF(parametros_manuales!$H$41="Todos",'Plan mensual'!M18+'Plan mensual'!M129,0))+parametros_manuales!$F$41*('Plan mensual'!M15+'Plan mensual'!M126+IF(parametros_manuales!$H$41="Todos",'Plan mensual'!M19+'Plan mensual'!M130,0))+parametros_manuales!$G$41*('Plan mensual'!M16+'Plan mensual'!M127+IF(parametros_manuales!$H$41="Todos",'Plan mensual'!M20+'Plan mensual'!M131,0)))*parametros_manuales!$I$41*parametros_manuales!$J$41</f>
        <v>806.935320375</v>
      </c>
      <c r="L51" s="9" t="n">
        <f aca="false">(parametros_manuales!$D$41*('Plan mensual'!N13+'Plan mensual'!N124+IF(parametros_manuales!$H$41="Todos",'Plan mensual'!N17+'Plan mensual'!N128,0))+parametros_manuales!$E$41*('Plan mensual'!N14+'Plan mensual'!N125+IF(parametros_manuales!$H$41="Todos",'Plan mensual'!N18+'Plan mensual'!N129,0))+parametros_manuales!$F$41*('Plan mensual'!N15+'Plan mensual'!N126+IF(parametros_manuales!$H$41="Todos",'Plan mensual'!N19+'Plan mensual'!N130,0))+parametros_manuales!$G$41*('Plan mensual'!N16+'Plan mensual'!N127+IF(parametros_manuales!$H$41="Todos",'Plan mensual'!N20+'Plan mensual'!N131,0)))*parametros_manuales!$I$41*parametros_manuales!$J$41</f>
        <v>783.126152235</v>
      </c>
      <c r="M51" s="9" t="n">
        <f aca="false">(parametros_manuales!$D$41*('Plan mensual'!O13+'Plan mensual'!O124+IF(parametros_manuales!$H$41="Todos",'Plan mensual'!O17+'Plan mensual'!O128,0))+parametros_manuales!$E$41*('Plan mensual'!O14+'Plan mensual'!O125+IF(parametros_manuales!$H$41="Todos",'Plan mensual'!O18+'Plan mensual'!O129,0))+parametros_manuales!$F$41*('Plan mensual'!O15+'Plan mensual'!O126+IF(parametros_manuales!$H$41="Todos",'Plan mensual'!O19+'Plan mensual'!O130,0))+parametros_manuales!$G$41*('Plan mensual'!O16+'Plan mensual'!O127+IF(parametros_manuales!$H$41="Todos",'Plan mensual'!O20+'Plan mensual'!O131,0)))*parametros_manuales!$I$41*parametros_manuales!$J$41</f>
        <v>1243.47817632</v>
      </c>
      <c r="N51" s="9" t="n">
        <f aca="false">SUM(B51:M51)</f>
        <v>10759.137605</v>
      </c>
      <c r="O51" s="9" t="n">
        <f aca="false">MAX(B51:M51)</f>
        <v>1243.47817632</v>
      </c>
      <c r="P51" s="44" t="n">
        <f aca="false">O51/(parametros_manuales!$B$7)</f>
        <v>8.2898545088</v>
      </c>
      <c r="Q51" s="8" t="str">
        <f aca="false">IF(O51=0,"-",INDEX($B$28:$M$28,MATCH(O51,B51:M51,0)))</f>
        <v>Dic</v>
      </c>
    </row>
    <row r="52" customFormat="false" ht="14.25" hidden="false" customHeight="true" outlineLevel="0" collapsed="false">
      <c r="A52" s="8" t="str">
        <f aca="false">parametros_manuales!$B$42</f>
        <v>Etiquetado</v>
      </c>
      <c r="B52" s="9" t="n">
        <f aca="false">(parametros_manuales!$D$42*('Plan mensual'!D13+'Plan mensual'!D124+IF(parametros_manuales!$H$42="Todos",'Plan mensual'!D17+'Plan mensual'!D128,0))+parametros_manuales!$E$42*('Plan mensual'!D14+'Plan mensual'!D125+IF(parametros_manuales!$H$42="Todos",'Plan mensual'!D18+'Plan mensual'!D129,0))+parametros_manuales!$F$42*('Plan mensual'!D15+'Plan mensual'!D126+IF(parametros_manuales!$H$42="Todos",'Plan mensual'!D19+'Plan mensual'!D130,0))+parametros_manuales!$G$42*('Plan mensual'!D16+'Plan mensual'!D127+IF(parametros_manuales!$H$42="Todos",'Plan mensual'!D20+'Plan mensual'!D131,0)))*parametros_manuales!$I$42*parametros_manuales!$J$42</f>
        <v>1195.85984004</v>
      </c>
      <c r="C52" s="9" t="n">
        <f aca="false">(parametros_manuales!$D$42*('Plan mensual'!E13+'Plan mensual'!E124+IF(parametros_manuales!$H$42="Todos",'Plan mensual'!E17+'Plan mensual'!E128,0))+parametros_manuales!$E$42*('Plan mensual'!E14+'Plan mensual'!E125+IF(parametros_manuales!$H$42="Todos",'Plan mensual'!E18+'Plan mensual'!E129,0))+parametros_manuales!$F$42*('Plan mensual'!E15+'Plan mensual'!E126+IF(parametros_manuales!$H$42="Todos",'Plan mensual'!E19+'Plan mensual'!E130,0))+parametros_manuales!$G$42*('Plan mensual'!E16+'Plan mensual'!E127+IF(parametros_manuales!$H$42="Todos",'Plan mensual'!E20+'Plan mensual'!E131,0)))*parametros_manuales!$I$42*parametros_manuales!$J$42</f>
        <v>920.70404817</v>
      </c>
      <c r="D52" s="9" t="n">
        <f aca="false">(parametros_manuales!$D$42*('Plan mensual'!F13+'Plan mensual'!F124+IF(parametros_manuales!$H$42="Todos",'Plan mensual'!F17+'Plan mensual'!F128,0))+parametros_manuales!$E$42*('Plan mensual'!F14+'Plan mensual'!F125+IF(parametros_manuales!$H$42="Todos",'Plan mensual'!F18+'Plan mensual'!F129,0))+parametros_manuales!$F$42*('Plan mensual'!F15+'Plan mensual'!F126+IF(parametros_manuales!$H$42="Todos",'Plan mensual'!F19+'Plan mensual'!F130,0))+parametros_manuales!$G$42*('Plan mensual'!F16+'Plan mensual'!F127+IF(parametros_manuales!$H$42="Todos",'Plan mensual'!F20+'Plan mensual'!F131,0)))*parametros_manuales!$I$42*parametros_manuales!$J$42</f>
        <v>884.54017654</v>
      </c>
      <c r="E52" s="9" t="n">
        <f aca="false">(parametros_manuales!$D$42*('Plan mensual'!G13+'Plan mensual'!G124+IF(parametros_manuales!$H$42="Todos",'Plan mensual'!G17+'Plan mensual'!G128,0))+parametros_manuales!$E$42*('Plan mensual'!G14+'Plan mensual'!G125+IF(parametros_manuales!$H$42="Todos",'Plan mensual'!G18+'Plan mensual'!G129,0))+parametros_manuales!$F$42*('Plan mensual'!G15+'Plan mensual'!G126+IF(parametros_manuales!$H$42="Todos",'Plan mensual'!G19+'Plan mensual'!G130,0))+parametros_manuales!$G$42*('Plan mensual'!G16+'Plan mensual'!G127+IF(parametros_manuales!$H$42="Todos",'Plan mensual'!G20+'Plan mensual'!G131,0)))*parametros_manuales!$I$42*parametros_manuales!$J$42</f>
        <v>854.553656655</v>
      </c>
      <c r="F52" s="9" t="n">
        <f aca="false">(parametros_manuales!$D$42*('Plan mensual'!H13+'Plan mensual'!H124+IF(parametros_manuales!$H$42="Todos",'Plan mensual'!H17+'Plan mensual'!H128,0))+parametros_manuales!$E$42*('Plan mensual'!H14+'Plan mensual'!H125+IF(parametros_manuales!$H$42="Todos",'Plan mensual'!H18+'Plan mensual'!H129,0))+parametros_manuales!$F$42*('Plan mensual'!H15+'Plan mensual'!H126+IF(parametros_manuales!$H$42="Todos",'Plan mensual'!H19+'Plan mensual'!H130,0))+parametros_manuales!$G$42*('Plan mensual'!H16+'Plan mensual'!H127+IF(parametros_manuales!$H$42="Todos",'Plan mensual'!H20+'Plan mensual'!H131,0)))*parametros_manuales!$I$42*parametros_manuales!$J$42</f>
        <v>800.75796863</v>
      </c>
      <c r="G52" s="9" t="n">
        <f aca="false">(parametros_manuales!$D$42*('Plan mensual'!I13+'Plan mensual'!I124+IF(parametros_manuales!$H$42="Todos",'Plan mensual'!I17+'Plan mensual'!I128,0))+parametros_manuales!$E$42*('Plan mensual'!I14+'Plan mensual'!I125+IF(parametros_manuales!$H$42="Todos",'Plan mensual'!I18+'Plan mensual'!I129,0))+parametros_manuales!$F$42*('Plan mensual'!I15+'Plan mensual'!I126+IF(parametros_manuales!$H$42="Todos",'Plan mensual'!I19+'Plan mensual'!I130,0))+parametros_manuales!$G$42*('Plan mensual'!I16+'Plan mensual'!I127+IF(parametros_manuales!$H$42="Todos",'Plan mensual'!I20+'Plan mensual'!I131,0)))*parametros_manuales!$I$42*parametros_manuales!$J$42</f>
        <v>776.94880049</v>
      </c>
      <c r="H52" s="9" t="n">
        <f aca="false">(parametros_manuales!$D$42*('Plan mensual'!J13+'Plan mensual'!J124+IF(parametros_manuales!$H$42="Todos",'Plan mensual'!J17+'Plan mensual'!J128,0))+parametros_manuales!$E$42*('Plan mensual'!J14+'Plan mensual'!J125+IF(parametros_manuales!$H$42="Todos",'Plan mensual'!J18+'Plan mensual'!J129,0))+parametros_manuales!$F$42*('Plan mensual'!J15+'Plan mensual'!J126+IF(parametros_manuales!$H$42="Todos",'Plan mensual'!J19+'Plan mensual'!J130,0))+parametros_manuales!$G$42*('Plan mensual'!J16+'Plan mensual'!J127+IF(parametros_manuales!$H$42="Todos",'Plan mensual'!J20+'Plan mensual'!J131,0)))*parametros_manuales!$I$42*parametros_manuales!$J$42</f>
        <v>830.744488515</v>
      </c>
      <c r="I52" s="9" t="n">
        <f aca="false">(parametros_manuales!$D$42*('Plan mensual'!K13+'Plan mensual'!K124+IF(parametros_manuales!$H$42="Todos",'Plan mensual'!K17+'Plan mensual'!K128,0))+parametros_manuales!$E$42*('Plan mensual'!K14+'Plan mensual'!K125+IF(parametros_manuales!$H$42="Todos",'Plan mensual'!K18+'Plan mensual'!K129,0))+parametros_manuales!$F$42*('Plan mensual'!K15+'Plan mensual'!K126+IF(parametros_manuales!$H$42="Todos",'Plan mensual'!K19+'Plan mensual'!K130,0))+parametros_manuales!$G$42*('Plan mensual'!K16+'Plan mensual'!K127+IF(parametros_manuales!$H$42="Todos",'Plan mensual'!K20+'Plan mensual'!K131,0)))*parametros_manuales!$I$42*parametros_manuales!$J$42</f>
        <v>830.744488515</v>
      </c>
      <c r="J52" s="9" t="n">
        <f aca="false">(parametros_manuales!$D$42*('Plan mensual'!L13+'Plan mensual'!L124+IF(parametros_manuales!$H$42="Todos",'Plan mensual'!L17+'Plan mensual'!L128,0))+parametros_manuales!$E$42*('Plan mensual'!L14+'Plan mensual'!L125+IF(parametros_manuales!$H$42="Todos",'Plan mensual'!L18+'Plan mensual'!L129,0))+parametros_manuales!$F$42*('Plan mensual'!L15+'Plan mensual'!L126+IF(parametros_manuales!$H$42="Todos",'Plan mensual'!L19+'Plan mensual'!L130,0))+parametros_manuales!$G$42*('Plan mensual'!L16+'Plan mensual'!L127+IF(parametros_manuales!$H$42="Todos",'Plan mensual'!L20+'Plan mensual'!L131,0)))*parametros_manuales!$I$42*parametros_manuales!$J$42</f>
        <v>830.744488515</v>
      </c>
      <c r="K52" s="9" t="n">
        <f aca="false">(parametros_manuales!$D$42*('Plan mensual'!M13+'Plan mensual'!M124+IF(parametros_manuales!$H$42="Todos",'Plan mensual'!M17+'Plan mensual'!M128,0))+parametros_manuales!$E$42*('Plan mensual'!M14+'Plan mensual'!M125+IF(parametros_manuales!$H$42="Todos",'Plan mensual'!M18+'Plan mensual'!M129,0))+parametros_manuales!$F$42*('Plan mensual'!M15+'Plan mensual'!M126+IF(parametros_manuales!$H$42="Todos",'Plan mensual'!M19+'Plan mensual'!M130,0))+parametros_manuales!$G$42*('Plan mensual'!M16+'Plan mensual'!M127+IF(parametros_manuales!$H$42="Todos",'Plan mensual'!M20+'Plan mensual'!M131,0)))*parametros_manuales!$I$42*parametros_manuales!$J$42</f>
        <v>806.935320375</v>
      </c>
      <c r="L52" s="9" t="n">
        <f aca="false">(parametros_manuales!$D$42*('Plan mensual'!N13+'Plan mensual'!N124+IF(parametros_manuales!$H$42="Todos",'Plan mensual'!N17+'Plan mensual'!N128,0))+parametros_manuales!$E$42*('Plan mensual'!N14+'Plan mensual'!N125+IF(parametros_manuales!$H$42="Todos",'Plan mensual'!N18+'Plan mensual'!N129,0))+parametros_manuales!$F$42*('Plan mensual'!N15+'Plan mensual'!N126+IF(parametros_manuales!$H$42="Todos",'Plan mensual'!N19+'Plan mensual'!N130,0))+parametros_manuales!$G$42*('Plan mensual'!N16+'Plan mensual'!N127+IF(parametros_manuales!$H$42="Todos",'Plan mensual'!N20+'Plan mensual'!N131,0)))*parametros_manuales!$I$42*parametros_manuales!$J$42</f>
        <v>783.126152235</v>
      </c>
      <c r="M52" s="9" t="n">
        <f aca="false">(parametros_manuales!$D$42*('Plan mensual'!O13+'Plan mensual'!O124+IF(parametros_manuales!$H$42="Todos",'Plan mensual'!O17+'Plan mensual'!O128,0))+parametros_manuales!$E$42*('Plan mensual'!O14+'Plan mensual'!O125+IF(parametros_manuales!$H$42="Todos",'Plan mensual'!O18+'Plan mensual'!O129,0))+parametros_manuales!$F$42*('Plan mensual'!O15+'Plan mensual'!O126+IF(parametros_manuales!$H$42="Todos",'Plan mensual'!O19+'Plan mensual'!O130,0))+parametros_manuales!$G$42*('Plan mensual'!O16+'Plan mensual'!O127+IF(parametros_manuales!$H$42="Todos",'Plan mensual'!O20+'Plan mensual'!O131,0)))*parametros_manuales!$I$42*parametros_manuales!$J$42</f>
        <v>1243.47817632</v>
      </c>
      <c r="N52" s="9" t="n">
        <f aca="false">SUM(B52:M52)</f>
        <v>10759.137605</v>
      </c>
      <c r="O52" s="9" t="n">
        <f aca="false">MAX(B52:M52)</f>
        <v>1243.47817632</v>
      </c>
      <c r="P52" s="44" t="n">
        <f aca="false">O52/(parametros_manuales!$B$7)</f>
        <v>8.2898545088</v>
      </c>
      <c r="Q52" s="8" t="str">
        <f aca="false">IF(O52=0,"-",INDEX($B$28:$M$28,MATCH(O52,B52:M52,0)))</f>
        <v>Dic</v>
      </c>
    </row>
    <row r="53" customFormat="false" ht="14.25" hidden="false" customHeight="true" outlineLevel="0" collapsed="false">
      <c r="A53" s="8" t="str">
        <f aca="false">parametros_manuales!$B$43</f>
        <v>Embalaje y paletizado</v>
      </c>
      <c r="B53" s="9" t="n">
        <f aca="false">(parametros_manuales!$D$43*('Plan mensual'!D13+'Plan mensual'!D124+IF(parametros_manuales!$H$43="Todos",'Plan mensual'!D17+'Plan mensual'!D128,0))+parametros_manuales!$E$43*('Plan mensual'!D14+'Plan mensual'!D125+IF(parametros_manuales!$H$43="Todos",'Plan mensual'!D18+'Plan mensual'!D129,0))+parametros_manuales!$F$43*('Plan mensual'!D15+'Plan mensual'!D126+IF(parametros_manuales!$H$43="Todos",'Plan mensual'!D19+'Plan mensual'!D130,0))+parametros_manuales!$G$43*('Plan mensual'!D16+'Plan mensual'!D127+IF(parametros_manuales!$H$43="Todos",'Plan mensual'!D20+'Plan mensual'!D131,0)))*parametros_manuales!$I$43*parametros_manuales!$J$43</f>
        <v>1201.51184004</v>
      </c>
      <c r="C53" s="9" t="n">
        <f aca="false">(parametros_manuales!$D$43*('Plan mensual'!E13+'Plan mensual'!E124+IF(parametros_manuales!$H$43="Todos",'Plan mensual'!E17+'Plan mensual'!E128,0))+parametros_manuales!$E$43*('Plan mensual'!E14+'Plan mensual'!E125+IF(parametros_manuales!$H$43="Todos",'Plan mensual'!E18+'Plan mensual'!E129,0))+parametros_manuales!$F$43*('Plan mensual'!E15+'Plan mensual'!E126+IF(parametros_manuales!$H$43="Todos",'Plan mensual'!E19+'Plan mensual'!E130,0))+parametros_manuales!$G$43*('Plan mensual'!E16+'Plan mensual'!E127+IF(parametros_manuales!$H$43="Todos",'Plan mensual'!E20+'Plan mensual'!E131,0)))*parametros_manuales!$I$43*parametros_manuales!$J$43</f>
        <v>925.22564817</v>
      </c>
      <c r="D53" s="9" t="n">
        <f aca="false">(parametros_manuales!$D$43*('Plan mensual'!F13+'Plan mensual'!F124+IF(parametros_manuales!$H$43="Todos",'Plan mensual'!F17+'Plan mensual'!F128,0))+parametros_manuales!$E$43*('Plan mensual'!F14+'Plan mensual'!F125+IF(parametros_manuales!$H$43="Todos",'Plan mensual'!F18+'Plan mensual'!F129,0))+parametros_manuales!$F$43*('Plan mensual'!F15+'Plan mensual'!F126+IF(parametros_manuales!$H$43="Todos",'Plan mensual'!F19+'Plan mensual'!F130,0))+parametros_manuales!$G$43*('Plan mensual'!F16+'Plan mensual'!F127+IF(parametros_manuales!$H$43="Todos",'Plan mensual'!F20+'Plan mensual'!F131,0)))*parametros_manuales!$I$43*parametros_manuales!$J$43</f>
        <v>889.34437654</v>
      </c>
      <c r="E53" s="9" t="n">
        <f aca="false">(parametros_manuales!$D$43*('Plan mensual'!G13+'Plan mensual'!G124+IF(parametros_manuales!$H$43="Todos",'Plan mensual'!G17+'Plan mensual'!G128,0))+parametros_manuales!$E$43*('Plan mensual'!G14+'Plan mensual'!G125+IF(parametros_manuales!$H$43="Todos",'Plan mensual'!G18+'Plan mensual'!G129,0))+parametros_manuales!$F$43*('Plan mensual'!G15+'Plan mensual'!G126+IF(parametros_manuales!$H$43="Todos",'Plan mensual'!G19+'Plan mensual'!G130,0))+parametros_manuales!$G$43*('Plan mensual'!G16+'Plan mensual'!G127+IF(parametros_manuales!$H$43="Todos",'Plan mensual'!G20+'Plan mensual'!G131,0)))*parametros_manuales!$I$43*parametros_manuales!$J$43</f>
        <v>859.357856655</v>
      </c>
      <c r="F53" s="9" t="n">
        <f aca="false">(parametros_manuales!$D$43*('Plan mensual'!H13+'Plan mensual'!H124+IF(parametros_manuales!$H$43="Todos",'Plan mensual'!H17+'Plan mensual'!H128,0))+parametros_manuales!$E$43*('Plan mensual'!H14+'Plan mensual'!H125+IF(parametros_manuales!$H$43="Todos",'Plan mensual'!H18+'Plan mensual'!H129,0))+parametros_manuales!$F$43*('Plan mensual'!H15+'Plan mensual'!H126+IF(parametros_manuales!$H$43="Todos",'Plan mensual'!H19+'Plan mensual'!H130,0))+parametros_manuales!$G$43*('Plan mensual'!H16+'Plan mensual'!H127+IF(parametros_manuales!$H$43="Todos",'Plan mensual'!H20+'Plan mensual'!H131,0)))*parametros_manuales!$I$43*parametros_manuales!$J$43</f>
        <v>805.27956863</v>
      </c>
      <c r="G53" s="9" t="n">
        <f aca="false">(parametros_manuales!$D$43*('Plan mensual'!I13+'Plan mensual'!I124+IF(parametros_manuales!$H$43="Todos",'Plan mensual'!I17+'Plan mensual'!I128,0))+parametros_manuales!$E$43*('Plan mensual'!I14+'Plan mensual'!I125+IF(parametros_manuales!$H$43="Todos",'Plan mensual'!I18+'Plan mensual'!I129,0))+parametros_manuales!$F$43*('Plan mensual'!I15+'Plan mensual'!I126+IF(parametros_manuales!$H$43="Todos",'Plan mensual'!I19+'Plan mensual'!I130,0))+parametros_manuales!$G$43*('Plan mensual'!I16+'Plan mensual'!I127+IF(parametros_manuales!$H$43="Todos",'Plan mensual'!I20+'Plan mensual'!I131,0)))*parametros_manuales!$I$43*parametros_manuales!$J$43</f>
        <v>781.18780049</v>
      </c>
      <c r="H53" s="9" t="n">
        <f aca="false">(parametros_manuales!$D$43*('Plan mensual'!J13+'Plan mensual'!J124+IF(parametros_manuales!$H$43="Todos",'Plan mensual'!J17+'Plan mensual'!J128,0))+parametros_manuales!$E$43*('Plan mensual'!J14+'Plan mensual'!J125+IF(parametros_manuales!$H$43="Todos",'Plan mensual'!J18+'Plan mensual'!J129,0))+parametros_manuales!$F$43*('Plan mensual'!J15+'Plan mensual'!J126+IF(parametros_manuales!$H$43="Todos",'Plan mensual'!J19+'Plan mensual'!J130,0))+parametros_manuales!$G$43*('Plan mensual'!J16+'Plan mensual'!J127+IF(parametros_manuales!$H$43="Todos",'Plan mensual'!J20+'Plan mensual'!J131,0)))*parametros_manuales!$I$43*parametros_manuales!$J$43</f>
        <v>835.266088515</v>
      </c>
      <c r="I53" s="9" t="n">
        <f aca="false">(parametros_manuales!$D$43*('Plan mensual'!K13+'Plan mensual'!K124+IF(parametros_manuales!$H$43="Todos",'Plan mensual'!K17+'Plan mensual'!K128,0))+parametros_manuales!$E$43*('Plan mensual'!K14+'Plan mensual'!K125+IF(parametros_manuales!$H$43="Todos",'Plan mensual'!K18+'Plan mensual'!K129,0))+parametros_manuales!$F$43*('Plan mensual'!K15+'Plan mensual'!K126+IF(parametros_manuales!$H$43="Todos",'Plan mensual'!K19+'Plan mensual'!K130,0))+parametros_manuales!$G$43*('Plan mensual'!K16+'Plan mensual'!K127+IF(parametros_manuales!$H$43="Todos",'Plan mensual'!K20+'Plan mensual'!K131,0)))*parametros_manuales!$I$43*parametros_manuales!$J$43</f>
        <v>835.266088515</v>
      </c>
      <c r="J53" s="9" t="n">
        <f aca="false">(parametros_manuales!$D$43*('Plan mensual'!L13+'Plan mensual'!L124+IF(parametros_manuales!$H$43="Todos",'Plan mensual'!L17+'Plan mensual'!L128,0))+parametros_manuales!$E$43*('Plan mensual'!L14+'Plan mensual'!L125+IF(parametros_manuales!$H$43="Todos",'Plan mensual'!L18+'Plan mensual'!L129,0))+parametros_manuales!$F$43*('Plan mensual'!L15+'Plan mensual'!L126+IF(parametros_manuales!$H$43="Todos",'Plan mensual'!L19+'Plan mensual'!L130,0))+parametros_manuales!$G$43*('Plan mensual'!L16+'Plan mensual'!L127+IF(parametros_manuales!$H$43="Todos",'Plan mensual'!L20+'Plan mensual'!L131,0)))*parametros_manuales!$I$43*parametros_manuales!$J$43</f>
        <v>835.266088515</v>
      </c>
      <c r="K53" s="9" t="n">
        <f aca="false">(parametros_manuales!$D$43*('Plan mensual'!M13+'Plan mensual'!M124+IF(parametros_manuales!$H$43="Todos",'Plan mensual'!M17+'Plan mensual'!M128,0))+parametros_manuales!$E$43*('Plan mensual'!M14+'Plan mensual'!M125+IF(parametros_manuales!$H$43="Todos",'Plan mensual'!M18+'Plan mensual'!M129,0))+parametros_manuales!$F$43*('Plan mensual'!M15+'Plan mensual'!M126+IF(parametros_manuales!$H$43="Todos",'Plan mensual'!M19+'Plan mensual'!M130,0))+parametros_manuales!$G$43*('Plan mensual'!M16+'Plan mensual'!M127+IF(parametros_manuales!$H$43="Todos",'Plan mensual'!M20+'Plan mensual'!M131,0)))*parametros_manuales!$I$43*parametros_manuales!$J$43</f>
        <v>811.174320375</v>
      </c>
      <c r="L53" s="9" t="n">
        <f aca="false">(parametros_manuales!$D$43*('Plan mensual'!N13+'Plan mensual'!N124+IF(parametros_manuales!$H$43="Todos",'Plan mensual'!N17+'Plan mensual'!N128,0))+parametros_manuales!$E$43*('Plan mensual'!N14+'Plan mensual'!N125+IF(parametros_manuales!$H$43="Todos",'Plan mensual'!N18+'Plan mensual'!N129,0))+parametros_manuales!$F$43*('Plan mensual'!N15+'Plan mensual'!N126+IF(parametros_manuales!$H$43="Todos",'Plan mensual'!N19+'Plan mensual'!N130,0))+parametros_manuales!$G$43*('Plan mensual'!N16+'Plan mensual'!N127+IF(parametros_manuales!$H$43="Todos",'Plan mensual'!N20+'Plan mensual'!N131,0)))*parametros_manuales!$I$43*parametros_manuales!$J$43</f>
        <v>787.082552235</v>
      </c>
      <c r="M53" s="9" t="n">
        <f aca="false">(parametros_manuales!$D$43*('Plan mensual'!O13+'Plan mensual'!O124+IF(parametros_manuales!$H$43="Todos",'Plan mensual'!O17+'Plan mensual'!O128,0))+parametros_manuales!$E$43*('Plan mensual'!O14+'Plan mensual'!O125+IF(parametros_manuales!$H$43="Todos",'Plan mensual'!O18+'Plan mensual'!O129,0))+parametros_manuales!$F$43*('Plan mensual'!O15+'Plan mensual'!O126+IF(parametros_manuales!$H$43="Todos",'Plan mensual'!O19+'Plan mensual'!O130,0))+parametros_manuales!$G$43*('Plan mensual'!O16+'Plan mensual'!O127+IF(parametros_manuales!$H$43="Todos",'Plan mensual'!O20+'Plan mensual'!O131,0)))*parametros_manuales!$I$43*parametros_manuales!$J$43</f>
        <v>1249.69537632</v>
      </c>
      <c r="N53" s="9" t="n">
        <f aca="false">SUM(B53:M53)</f>
        <v>10815.657605</v>
      </c>
      <c r="O53" s="9" t="n">
        <f aca="false">MAX(B53:M53)</f>
        <v>1249.69537632</v>
      </c>
      <c r="P53" s="44" t="n">
        <f aca="false">O53/(parametros_manuales!$B$7)</f>
        <v>8.3313025088</v>
      </c>
      <c r="Q53" s="8" t="str">
        <f aca="false">IF(O53=0,"-",INDEX($B$28:$M$28,MATCH(O53,B53:M53,0)))</f>
        <v>Dic</v>
      </c>
    </row>
    <row r="54" customFormat="false" ht="14.25" hidden="false" customHeight="true" outlineLevel="0" collapsed="false"/>
    <row r="55" customFormat="false" ht="14.25" hidden="false" customHeight="true" outlineLevel="0" collapsed="false">
      <c r="A55" s="7" t="s">
        <v>202</v>
      </c>
      <c r="B55" s="7" t="s">
        <v>59</v>
      </c>
      <c r="C55" s="7" t="s">
        <v>60</v>
      </c>
      <c r="D55" s="7" t="s">
        <v>61</v>
      </c>
      <c r="E55" s="7" t="s">
        <v>62</v>
      </c>
      <c r="F55" s="7" t="s">
        <v>63</v>
      </c>
      <c r="G55" s="7" t="s">
        <v>64</v>
      </c>
      <c r="H55" s="7" t="s">
        <v>65</v>
      </c>
      <c r="I55" s="7" t="s">
        <v>66</v>
      </c>
      <c r="J55" s="7" t="s">
        <v>67</v>
      </c>
      <c r="K55" s="7" t="s">
        <v>68</v>
      </c>
      <c r="L55" s="7" t="s">
        <v>69</v>
      </c>
      <c r="M55" s="7" t="s">
        <v>70</v>
      </c>
      <c r="N55" s="7" t="s">
        <v>181</v>
      </c>
      <c r="O55" s="7" t="s">
        <v>198</v>
      </c>
      <c r="P55" s="7" t="s">
        <v>199</v>
      </c>
      <c r="Q55" s="7" t="s">
        <v>200</v>
      </c>
    </row>
    <row r="56" customFormat="false" ht="14.25" hidden="false" customHeight="true" outlineLevel="0" collapsed="false">
      <c r="A56" s="8" t="str">
        <f aca="false">parametros_manuales!$B$19</f>
        <v>Recepción de materia prima</v>
      </c>
      <c r="B56" s="9" t="n">
        <f aca="false">(parametros_manuales!$D$19*('Plan mensual'!D24+'Plan mensual'!D135+IF(parametros_manuales!$H$19="Todos",'Plan mensual'!D28+'Plan mensual'!D139,0))+parametros_manuales!$E$19*('Plan mensual'!D25+'Plan mensual'!D136+IF(parametros_manuales!$H$19="Todos",'Plan mensual'!D29+'Plan mensual'!D140,0))+parametros_manuales!$F$19*('Plan mensual'!D26+'Plan mensual'!D137+IF(parametros_manuales!$H$19="Todos",'Plan mensual'!D30+'Plan mensual'!D141,0))+parametros_manuales!$G$19*('Plan mensual'!D27+'Plan mensual'!D138+IF(parametros_manuales!$H$19="Todos",'Plan mensual'!D31+'Plan mensual'!D142,0)))*parametros_manuales!$I$19*parametros_manuales!$J$19</f>
        <v>2576.4121738</v>
      </c>
      <c r="C56" s="9" t="n">
        <f aca="false">(parametros_manuales!$D$19*('Plan mensual'!E24+'Plan mensual'!E135+IF(parametros_manuales!$H$19="Todos",'Plan mensual'!E28+'Plan mensual'!E139,0))+parametros_manuales!$E$19*('Plan mensual'!E25+'Plan mensual'!E136+IF(parametros_manuales!$H$19="Todos",'Plan mensual'!E29+'Plan mensual'!E140,0))+parametros_manuales!$F$19*('Plan mensual'!E26+'Plan mensual'!E137+IF(parametros_manuales!$H$19="Todos",'Plan mensual'!E30+'Plan mensual'!E141,0))+parametros_manuales!$G$19*('Plan mensual'!E27+'Plan mensual'!E138+IF(parametros_manuales!$H$19="Todos",'Plan mensual'!E31+'Plan mensual'!E142,0)))*parametros_manuales!$I$19*parametros_manuales!$J$19</f>
        <v>1974.044852492</v>
      </c>
      <c r="D56" s="9" t="n">
        <f aca="false">(parametros_manuales!$D$19*('Plan mensual'!F24+'Plan mensual'!F135+IF(parametros_manuales!$H$19="Todos",'Plan mensual'!F28+'Plan mensual'!F139,0))+parametros_manuales!$E$19*('Plan mensual'!F25+'Plan mensual'!F136+IF(parametros_manuales!$H$19="Todos",'Plan mensual'!F29+'Plan mensual'!F140,0))+parametros_manuales!$F$19*('Plan mensual'!F26+'Plan mensual'!F137+IF(parametros_manuales!$H$19="Todos",'Plan mensual'!F30+'Plan mensual'!F141,0))+parametros_manuales!$G$19*('Plan mensual'!F27+'Plan mensual'!F138+IF(parametros_manuales!$H$19="Todos",'Plan mensual'!F31+'Plan mensual'!F142,0)))*parametros_manuales!$I$19*parametros_manuales!$J$19</f>
        <v>1870.639097054</v>
      </c>
      <c r="E56" s="9" t="n">
        <f aca="false">(parametros_manuales!$D$19*('Plan mensual'!G24+'Plan mensual'!G135+IF(parametros_manuales!$H$19="Todos",'Plan mensual'!G28+'Plan mensual'!G139,0))+parametros_manuales!$E$19*('Plan mensual'!G25+'Plan mensual'!G136+IF(parametros_manuales!$H$19="Todos",'Plan mensual'!G29+'Plan mensual'!G140,0))+parametros_manuales!$F$19*('Plan mensual'!G26+'Plan mensual'!G137+IF(parametros_manuales!$H$19="Todos",'Plan mensual'!G30+'Plan mensual'!G141,0))+parametros_manuales!$G$19*('Plan mensual'!G27+'Plan mensual'!G138+IF(parametros_manuales!$H$19="Todos",'Plan mensual'!G31+'Plan mensual'!G142,0)))*parametros_manuales!$I$19*parametros_manuales!$J$19</f>
        <v>1798.068358264</v>
      </c>
      <c r="F56" s="9" t="n">
        <f aca="false">(parametros_manuales!$D$19*('Plan mensual'!H24+'Plan mensual'!H135+IF(parametros_manuales!$H$19="Todos",'Plan mensual'!H28+'Plan mensual'!H139,0))+parametros_manuales!$E$19*('Plan mensual'!H25+'Plan mensual'!H136+IF(parametros_manuales!$H$19="Todos",'Plan mensual'!H29+'Plan mensual'!H140,0))+parametros_manuales!$F$19*('Plan mensual'!H26+'Plan mensual'!H137+IF(parametros_manuales!$H$19="Todos",'Plan mensual'!H30+'Plan mensual'!H141,0))+parametros_manuales!$G$19*('Plan mensual'!H27+'Plan mensual'!H138+IF(parametros_manuales!$H$19="Todos",'Plan mensual'!H31+'Plan mensual'!H142,0)))*parametros_manuales!$I$19*parametros_manuales!$J$19</f>
        <v>1683.761897332</v>
      </c>
      <c r="G56" s="9" t="n">
        <f aca="false">(parametros_manuales!$D$19*('Plan mensual'!I24+'Plan mensual'!I135+IF(parametros_manuales!$H$19="Todos",'Plan mensual'!I28+'Plan mensual'!I139,0))+parametros_manuales!$E$19*('Plan mensual'!I25+'Plan mensual'!I136+IF(parametros_manuales!$H$19="Todos",'Plan mensual'!I29+'Plan mensual'!I140,0))+parametros_manuales!$F$19*('Plan mensual'!I26+'Plan mensual'!I137+IF(parametros_manuales!$H$19="Todos",'Plan mensual'!I30+'Plan mensual'!I141,0))+parametros_manuales!$G$19*('Plan mensual'!I27+'Plan mensual'!I138+IF(parametros_manuales!$H$19="Todos",'Plan mensual'!I31+'Plan mensual'!I142,0)))*parametros_manuales!$I$19*parametros_manuales!$J$19</f>
        <v>1642.02617519</v>
      </c>
      <c r="H56" s="9" t="n">
        <f aca="false">(parametros_manuales!$D$19*('Plan mensual'!J24+'Plan mensual'!J135+IF(parametros_manuales!$H$19="Todos",'Plan mensual'!J28+'Plan mensual'!J139,0))+parametros_manuales!$E$19*('Plan mensual'!J25+'Plan mensual'!J136+IF(parametros_manuales!$H$19="Todos",'Plan mensual'!J29+'Plan mensual'!J140,0))+parametros_manuales!$F$19*('Plan mensual'!J26+'Plan mensual'!J137+IF(parametros_manuales!$H$19="Todos",'Plan mensual'!J30+'Plan mensual'!J141,0))+parametros_manuales!$G$19*('Plan mensual'!J27+'Plan mensual'!J138+IF(parametros_manuales!$H$19="Todos",'Plan mensual'!J31+'Plan mensual'!J142,0)))*parametros_manuales!$I$19*parametros_manuales!$J$19</f>
        <v>1756.332636122</v>
      </c>
      <c r="I56" s="9" t="n">
        <f aca="false">(parametros_manuales!$D$19*('Plan mensual'!K24+'Plan mensual'!K135+IF(parametros_manuales!$H$19="Todos",'Plan mensual'!K28+'Plan mensual'!K139,0))+parametros_manuales!$E$19*('Plan mensual'!K25+'Plan mensual'!K136+IF(parametros_manuales!$H$19="Todos",'Plan mensual'!K29+'Plan mensual'!K140,0))+parametros_manuales!$F$19*('Plan mensual'!K26+'Plan mensual'!K137+IF(parametros_manuales!$H$19="Todos",'Plan mensual'!K30+'Plan mensual'!K141,0))+parametros_manuales!$G$19*('Plan mensual'!K27+'Plan mensual'!K138+IF(parametros_manuales!$H$19="Todos",'Plan mensual'!K31+'Plan mensual'!K142,0)))*parametros_manuales!$I$19*parametros_manuales!$J$19</f>
        <v>1756.332636122</v>
      </c>
      <c r="J56" s="9" t="n">
        <f aca="false">(parametros_manuales!$D$19*('Plan mensual'!L24+'Plan mensual'!L135+IF(parametros_manuales!$H$19="Todos",'Plan mensual'!L28+'Plan mensual'!L139,0))+parametros_manuales!$E$19*('Plan mensual'!L25+'Plan mensual'!L136+IF(parametros_manuales!$H$19="Todos",'Plan mensual'!L29+'Plan mensual'!L140,0))+parametros_manuales!$F$19*('Plan mensual'!L26+'Plan mensual'!L137+IF(parametros_manuales!$H$19="Todos",'Plan mensual'!L30+'Plan mensual'!L141,0))+parametros_manuales!$G$19*('Plan mensual'!L27+'Plan mensual'!L138+IF(parametros_manuales!$H$19="Todos",'Plan mensual'!L31+'Plan mensual'!L142,0)))*parametros_manuales!$I$19*parametros_manuales!$J$19</f>
        <v>1756.332636122</v>
      </c>
      <c r="K56" s="9" t="n">
        <f aca="false">(parametros_manuales!$D$19*('Plan mensual'!M24+'Plan mensual'!M135+IF(parametros_manuales!$H$19="Todos",'Plan mensual'!M28+'Plan mensual'!M139,0))+parametros_manuales!$E$19*('Plan mensual'!M25+'Plan mensual'!M136+IF(parametros_manuales!$H$19="Todos",'Plan mensual'!M29+'Plan mensual'!M140,0))+parametros_manuales!$F$19*('Plan mensual'!M26+'Plan mensual'!M137+IF(parametros_manuales!$H$19="Todos",'Plan mensual'!M30+'Plan mensual'!M141,0))+parametros_manuales!$G$19*('Plan mensual'!M27+'Plan mensual'!M138+IF(parametros_manuales!$H$19="Todos",'Plan mensual'!M31+'Plan mensual'!M142,0)))*parametros_manuales!$I$19*parametros_manuales!$J$19</f>
        <v>1714.59691398</v>
      </c>
      <c r="L56" s="9" t="n">
        <f aca="false">(parametros_manuales!$D$19*('Plan mensual'!N24+'Plan mensual'!N135+IF(parametros_manuales!$H$19="Todos",'Plan mensual'!N28+'Plan mensual'!N139,0))+parametros_manuales!$E$19*('Plan mensual'!N25+'Plan mensual'!N136+IF(parametros_manuales!$H$19="Todos",'Plan mensual'!N29+'Plan mensual'!N140,0))+parametros_manuales!$F$19*('Plan mensual'!N26+'Plan mensual'!N137+IF(parametros_manuales!$H$19="Todos",'Plan mensual'!N30+'Plan mensual'!N141,0))+parametros_manuales!$G$19*('Plan mensual'!N27+'Plan mensual'!N138+IF(parametros_manuales!$H$19="Todos",'Plan mensual'!N31+'Plan mensual'!N142,0)))*parametros_manuales!$I$19*parametros_manuales!$J$19</f>
        <v>1672.861191838</v>
      </c>
      <c r="M56" s="9" t="n">
        <f aca="false">(parametros_manuales!$D$19*('Plan mensual'!O24+'Plan mensual'!O135+IF(parametros_manuales!$H$19="Todos",'Plan mensual'!O28+'Plan mensual'!O139,0))+parametros_manuales!$E$19*('Plan mensual'!O25+'Plan mensual'!O136+IF(parametros_manuales!$H$19="Todos",'Plan mensual'!O29+'Plan mensual'!O140,0))+parametros_manuales!$F$19*('Plan mensual'!O26+'Plan mensual'!O137+IF(parametros_manuales!$H$19="Todos",'Plan mensual'!O30+'Plan mensual'!O141,0))+parametros_manuales!$G$19*('Plan mensual'!O27+'Plan mensual'!O138+IF(parametros_manuales!$H$19="Todos",'Plan mensual'!O31+'Plan mensual'!O142,0)))*parametros_manuales!$I$19*parametros_manuales!$J$19</f>
        <v>2659.883618084</v>
      </c>
      <c r="N56" s="9" t="n">
        <f aca="false">SUM(B56:M56)</f>
        <v>22861.2921864</v>
      </c>
      <c r="O56" s="9" t="n">
        <f aca="false">MAX(B56:M56)</f>
        <v>2659.883618084</v>
      </c>
      <c r="P56" s="44" t="n">
        <f aca="false">O56/(parametros_manuales!$B$7)</f>
        <v>17.7325574538933</v>
      </c>
      <c r="Q56" s="8" t="str">
        <f aca="false">IF(O56=0,"-",INDEX($B$55:$M$55,MATCH(O56,B56:M56,0)))</f>
        <v>Dic</v>
      </c>
    </row>
    <row r="57" customFormat="false" ht="14.25" hidden="false" customHeight="true" outlineLevel="0" collapsed="false">
      <c r="A57" s="8" t="str">
        <f aca="false">parametros_manuales!$B$20</f>
        <v>Corte de chapa (guillotina) — 2,5 a 10 kg</v>
      </c>
      <c r="B57" s="9" t="n">
        <f aca="false">(parametros_manuales!$D$20*('Plan mensual'!D24+'Plan mensual'!D135+IF(parametros_manuales!$H$20="Todos",'Plan mensual'!D28+'Plan mensual'!D139,0))+parametros_manuales!$E$20*('Plan mensual'!D25+'Plan mensual'!D136+IF(parametros_manuales!$H$20="Todos",'Plan mensual'!D29+'Plan mensual'!D140,0))+parametros_manuales!$F$20*('Plan mensual'!D26+'Plan mensual'!D137+IF(parametros_manuales!$H$20="Todos",'Plan mensual'!D30+'Plan mensual'!D141,0))+parametros_manuales!$G$20*('Plan mensual'!D27+'Plan mensual'!D138+IF(parametros_manuales!$H$20="Todos",'Plan mensual'!D31+'Plan mensual'!D142,0)))*parametros_manuales!$I$20*parametros_manuales!$J$20</f>
        <v>834.71444284</v>
      </c>
      <c r="C57" s="9" t="n">
        <f aca="false">(parametros_manuales!$D$20*('Plan mensual'!E24+'Plan mensual'!E135+IF(parametros_manuales!$H$20="Todos",'Plan mensual'!E28+'Plan mensual'!E139,0))+parametros_manuales!$E$20*('Plan mensual'!E25+'Plan mensual'!E136+IF(parametros_manuales!$H$20="Todos",'Plan mensual'!E29+'Plan mensual'!E140,0))+parametros_manuales!$F$20*('Plan mensual'!E26+'Plan mensual'!E137+IF(parametros_manuales!$H$20="Todos",'Plan mensual'!E30+'Plan mensual'!E141,0))+parametros_manuales!$G$20*('Plan mensual'!E27+'Plan mensual'!E138+IF(parametros_manuales!$H$20="Todos",'Plan mensual'!E31+'Plan mensual'!E142,0)))*parametros_manuales!$I$20*parametros_manuales!$J$20</f>
        <v>667.771554272</v>
      </c>
      <c r="D57" s="9" t="n">
        <f aca="false">(parametros_manuales!$D$20*('Plan mensual'!F24+'Plan mensual'!F135+IF(parametros_manuales!$H$20="Todos",'Plan mensual'!F28+'Plan mensual'!F139,0))+parametros_manuales!$E$20*('Plan mensual'!F25+'Plan mensual'!F136+IF(parametros_manuales!$H$20="Todos",'Plan mensual'!F29+'Plan mensual'!F140,0))+parametros_manuales!$F$20*('Plan mensual'!F26+'Plan mensual'!F137+IF(parametros_manuales!$H$20="Todos",'Plan mensual'!F30+'Plan mensual'!F141,0))+parametros_manuales!$G$20*('Plan mensual'!F27+'Plan mensual'!F138+IF(parametros_manuales!$H$20="Todos",'Plan mensual'!F31+'Plan mensual'!F142,0)))*parametros_manuales!$I$20*parametros_manuales!$J$20</f>
        <v>709.507276414</v>
      </c>
      <c r="E57" s="9" t="n">
        <f aca="false">(parametros_manuales!$D$20*('Plan mensual'!G24+'Plan mensual'!G135+IF(parametros_manuales!$H$20="Todos",'Plan mensual'!G28+'Plan mensual'!G139,0))+parametros_manuales!$E$20*('Plan mensual'!G25+'Plan mensual'!G136+IF(parametros_manuales!$H$20="Todos",'Plan mensual'!G29+'Plan mensual'!G140,0))+parametros_manuales!$F$20*('Plan mensual'!G26+'Plan mensual'!G137+IF(parametros_manuales!$H$20="Todos",'Plan mensual'!G30+'Plan mensual'!G141,0))+parametros_manuales!$G$20*('Plan mensual'!G27+'Plan mensual'!G138+IF(parametros_manuales!$H$20="Todos",'Plan mensual'!G31+'Plan mensual'!G142,0)))*parametros_manuales!$I$20*parametros_manuales!$J$20</f>
        <v>709.507276414</v>
      </c>
      <c r="F57" s="9" t="n">
        <f aca="false">(parametros_manuales!$D$20*('Plan mensual'!H24+'Plan mensual'!H135+IF(parametros_manuales!$H$20="Todos",'Plan mensual'!H28+'Plan mensual'!H139,0))+parametros_manuales!$E$20*('Plan mensual'!H25+'Plan mensual'!H136+IF(parametros_manuales!$H$20="Todos",'Plan mensual'!H29+'Plan mensual'!H140,0))+parametros_manuales!$F$20*('Plan mensual'!H26+'Plan mensual'!H137+IF(parametros_manuales!$H$20="Todos",'Plan mensual'!H30+'Plan mensual'!H141,0))+parametros_manuales!$G$20*('Plan mensual'!H27+'Plan mensual'!H138+IF(parametros_manuales!$H$20="Todos",'Plan mensual'!H31+'Plan mensual'!H142,0)))*parametros_manuales!$I$20*parametros_manuales!$J$20</f>
        <v>667.771554272</v>
      </c>
      <c r="G57" s="9" t="n">
        <f aca="false">(parametros_manuales!$D$20*('Plan mensual'!I24+'Plan mensual'!I135+IF(parametros_manuales!$H$20="Todos",'Plan mensual'!I28+'Plan mensual'!I139,0))+parametros_manuales!$E$20*('Plan mensual'!I25+'Plan mensual'!I136+IF(parametros_manuales!$H$20="Todos",'Plan mensual'!I29+'Plan mensual'!I140,0))+parametros_manuales!$F$20*('Plan mensual'!I26+'Plan mensual'!I137+IF(parametros_manuales!$H$20="Todos",'Plan mensual'!I30+'Plan mensual'!I141,0))+parametros_manuales!$G$20*('Plan mensual'!I27+'Plan mensual'!I138+IF(parametros_manuales!$H$20="Todos",'Plan mensual'!I31+'Plan mensual'!I142,0)))*parametros_manuales!$I$20*parametros_manuales!$J$20</f>
        <v>626.03583213</v>
      </c>
      <c r="H57" s="9" t="n">
        <f aca="false">(parametros_manuales!$D$20*('Plan mensual'!J24+'Plan mensual'!J135+IF(parametros_manuales!$H$20="Todos",'Plan mensual'!J28+'Plan mensual'!J139,0))+parametros_manuales!$E$20*('Plan mensual'!J25+'Plan mensual'!J136+IF(parametros_manuales!$H$20="Todos",'Plan mensual'!J29+'Plan mensual'!J140,0))+parametros_manuales!$F$20*('Plan mensual'!J26+'Plan mensual'!J137+IF(parametros_manuales!$H$20="Todos",'Plan mensual'!J30+'Plan mensual'!J141,0))+parametros_manuales!$G$20*('Plan mensual'!J27+'Plan mensual'!J138+IF(parametros_manuales!$H$20="Todos",'Plan mensual'!J31+'Plan mensual'!J142,0)))*parametros_manuales!$I$20*parametros_manuales!$J$20</f>
        <v>667.771554272</v>
      </c>
      <c r="I57" s="9" t="n">
        <f aca="false">(parametros_manuales!$D$20*('Plan mensual'!K24+'Plan mensual'!K135+IF(parametros_manuales!$H$20="Todos",'Plan mensual'!K28+'Plan mensual'!K139,0))+parametros_manuales!$E$20*('Plan mensual'!K25+'Plan mensual'!K136+IF(parametros_manuales!$H$20="Todos",'Plan mensual'!K29+'Plan mensual'!K140,0))+parametros_manuales!$F$20*('Plan mensual'!K26+'Plan mensual'!K137+IF(parametros_manuales!$H$20="Todos",'Plan mensual'!K30+'Plan mensual'!K141,0))+parametros_manuales!$G$20*('Plan mensual'!K27+'Plan mensual'!K138+IF(parametros_manuales!$H$20="Todos",'Plan mensual'!K31+'Plan mensual'!K142,0)))*parametros_manuales!$I$20*parametros_manuales!$J$20</f>
        <v>667.771554272</v>
      </c>
      <c r="J57" s="9" t="n">
        <f aca="false">(parametros_manuales!$D$20*('Plan mensual'!L24+'Plan mensual'!L135+IF(parametros_manuales!$H$20="Todos",'Plan mensual'!L28+'Plan mensual'!L139,0))+parametros_manuales!$E$20*('Plan mensual'!L25+'Plan mensual'!L136+IF(parametros_manuales!$H$20="Todos",'Plan mensual'!L29+'Plan mensual'!L140,0))+parametros_manuales!$F$20*('Plan mensual'!L26+'Plan mensual'!L137+IF(parametros_manuales!$H$20="Todos",'Plan mensual'!L30+'Plan mensual'!L141,0))+parametros_manuales!$G$20*('Plan mensual'!L27+'Plan mensual'!L138+IF(parametros_manuales!$H$20="Todos",'Plan mensual'!L31+'Plan mensual'!L142,0)))*parametros_manuales!$I$20*parametros_manuales!$J$20</f>
        <v>667.771554272</v>
      </c>
      <c r="K57" s="9" t="n">
        <f aca="false">(parametros_manuales!$D$20*('Plan mensual'!M24+'Plan mensual'!M135+IF(parametros_manuales!$H$20="Todos",'Plan mensual'!M28+'Plan mensual'!M139,0))+parametros_manuales!$E$20*('Plan mensual'!M25+'Plan mensual'!M136+IF(parametros_manuales!$H$20="Todos",'Plan mensual'!M29+'Plan mensual'!M140,0))+parametros_manuales!$F$20*('Plan mensual'!M26+'Plan mensual'!M137+IF(parametros_manuales!$H$20="Todos",'Plan mensual'!M30+'Plan mensual'!M141,0))+parametros_manuales!$G$20*('Plan mensual'!M27+'Plan mensual'!M138+IF(parametros_manuales!$H$20="Todos",'Plan mensual'!M31+'Plan mensual'!M142,0)))*parametros_manuales!$I$20*parametros_manuales!$J$20</f>
        <v>626.03583213</v>
      </c>
      <c r="L57" s="9" t="n">
        <f aca="false">(parametros_manuales!$D$20*('Plan mensual'!N24+'Plan mensual'!N135+IF(parametros_manuales!$H$20="Todos",'Plan mensual'!N28+'Plan mensual'!N139,0))+parametros_manuales!$E$20*('Plan mensual'!N25+'Plan mensual'!N136+IF(parametros_manuales!$H$20="Todos",'Plan mensual'!N29+'Plan mensual'!N140,0))+parametros_manuales!$F$20*('Plan mensual'!N26+'Plan mensual'!N137+IF(parametros_manuales!$H$20="Todos",'Plan mensual'!N30+'Plan mensual'!N141,0))+parametros_manuales!$G$20*('Plan mensual'!N27+'Plan mensual'!N138+IF(parametros_manuales!$H$20="Todos",'Plan mensual'!N31+'Plan mensual'!N142,0)))*parametros_manuales!$I$20*parametros_manuales!$J$20</f>
        <v>584.300109988</v>
      </c>
      <c r="M57" s="9" t="n">
        <f aca="false">(parametros_manuales!$D$20*('Plan mensual'!O24+'Plan mensual'!O135+IF(parametros_manuales!$H$20="Todos",'Plan mensual'!O28+'Plan mensual'!O139,0))+parametros_manuales!$E$20*('Plan mensual'!O25+'Plan mensual'!O136+IF(parametros_manuales!$H$20="Todos",'Plan mensual'!O29+'Plan mensual'!O140,0))+parametros_manuales!$F$20*('Plan mensual'!O26+'Plan mensual'!O137+IF(parametros_manuales!$H$20="Todos",'Plan mensual'!O30+'Plan mensual'!O141,0))+parametros_manuales!$G$20*('Plan mensual'!O27+'Plan mensual'!O138+IF(parametros_manuales!$H$20="Todos",'Plan mensual'!O31+'Plan mensual'!O142,0)))*parametros_manuales!$I$20*parametros_manuales!$J$20</f>
        <v>918.185887124</v>
      </c>
      <c r="N57" s="9" t="n">
        <f aca="false">SUM(B57:M57)</f>
        <v>8347.1444284</v>
      </c>
      <c r="O57" s="9" t="n">
        <f aca="false">MAX(B57:M57)</f>
        <v>918.185887124</v>
      </c>
      <c r="P57" s="44" t="n">
        <f aca="false">O57/(parametros_manuales!$B$7)</f>
        <v>6.12123924749333</v>
      </c>
      <c r="Q57" s="8" t="str">
        <f aca="false">IF(O57=0,"-",INDEX($B$55:$M$55,MATCH(O57,B57:M57,0)))</f>
        <v>Dic</v>
      </c>
    </row>
    <row r="58" customFormat="false" ht="14.25" hidden="false" customHeight="true" outlineLevel="0" collapsed="false">
      <c r="A58" s="8" t="str">
        <f aca="false">parametros_manuales!$B$21</f>
        <v>Corte de tubo — 1 kg</v>
      </c>
      <c r="B58" s="9" t="n">
        <f aca="false">(parametros_manuales!$D$21*('Plan mensual'!D24+'Plan mensual'!D135+IF(parametros_manuales!$H$21="Todos",'Plan mensual'!D28+'Plan mensual'!D139,0))+parametros_manuales!$E$21*('Plan mensual'!D25+'Plan mensual'!D136+IF(parametros_manuales!$H$21="Todos",'Plan mensual'!D29+'Plan mensual'!D140,0))+parametros_manuales!$F$21*('Plan mensual'!D26+'Plan mensual'!D137+IF(parametros_manuales!$H$21="Todos",'Plan mensual'!D30+'Plan mensual'!D141,0))+parametros_manuales!$G$21*('Plan mensual'!D27+'Plan mensual'!D138+IF(parametros_manuales!$H$21="Todos",'Plan mensual'!D31+'Plan mensual'!D142,0)))*parametros_manuales!$I$21*parametros_manuales!$J$21</f>
        <v>1741.69773096</v>
      </c>
      <c r="C58" s="9" t="n">
        <f aca="false">(parametros_manuales!$D$21*('Plan mensual'!E24+'Plan mensual'!E135+IF(parametros_manuales!$H$21="Todos",'Plan mensual'!E28+'Plan mensual'!E139,0))+parametros_manuales!$E$21*('Plan mensual'!E25+'Plan mensual'!E136+IF(parametros_manuales!$H$21="Todos",'Plan mensual'!E29+'Plan mensual'!E140,0))+parametros_manuales!$F$21*('Plan mensual'!E26+'Plan mensual'!E137+IF(parametros_manuales!$H$21="Todos",'Plan mensual'!E30+'Plan mensual'!E141,0))+parametros_manuales!$G$21*('Plan mensual'!E27+'Plan mensual'!E138+IF(parametros_manuales!$H$21="Todos",'Plan mensual'!E31+'Plan mensual'!E142,0)))*parametros_manuales!$I$21*parametros_manuales!$J$21</f>
        <v>1306.27329822</v>
      </c>
      <c r="D58" s="9" t="n">
        <f aca="false">(parametros_manuales!$D$21*('Plan mensual'!F24+'Plan mensual'!F135+IF(parametros_manuales!$H$21="Todos",'Plan mensual'!F28+'Plan mensual'!F139,0))+parametros_manuales!$E$21*('Plan mensual'!F25+'Plan mensual'!F136+IF(parametros_manuales!$H$21="Todos",'Plan mensual'!F29+'Plan mensual'!F140,0))+parametros_manuales!$F$21*('Plan mensual'!F26+'Plan mensual'!F137+IF(parametros_manuales!$H$21="Todos",'Plan mensual'!F30+'Plan mensual'!F141,0))+parametros_manuales!$G$21*('Plan mensual'!F27+'Plan mensual'!F138+IF(parametros_manuales!$H$21="Todos",'Plan mensual'!F31+'Plan mensual'!F142,0)))*parametros_manuales!$I$21*parametros_manuales!$J$21</f>
        <v>1161.13182064</v>
      </c>
      <c r="E58" s="9" t="n">
        <f aca="false">(parametros_manuales!$D$21*('Plan mensual'!G24+'Plan mensual'!G135+IF(parametros_manuales!$H$21="Todos",'Plan mensual'!G28+'Plan mensual'!G139,0))+parametros_manuales!$E$21*('Plan mensual'!G25+'Plan mensual'!G136+IF(parametros_manuales!$H$21="Todos",'Plan mensual'!G29+'Plan mensual'!G140,0))+parametros_manuales!$F$21*('Plan mensual'!G26+'Plan mensual'!G137+IF(parametros_manuales!$H$21="Todos",'Plan mensual'!G30+'Plan mensual'!G141,0))+parametros_manuales!$G$21*('Plan mensual'!G27+'Plan mensual'!G138+IF(parametros_manuales!$H$21="Todos",'Plan mensual'!G31+'Plan mensual'!G142,0)))*parametros_manuales!$I$21*parametros_manuales!$J$21</f>
        <v>1088.56108185</v>
      </c>
      <c r="F58" s="9" t="n">
        <f aca="false">(parametros_manuales!$D$21*('Plan mensual'!H24+'Plan mensual'!H135+IF(parametros_manuales!$H$21="Todos",'Plan mensual'!H28+'Plan mensual'!H139,0))+parametros_manuales!$E$21*('Plan mensual'!H25+'Plan mensual'!H136+IF(parametros_manuales!$H$21="Todos",'Plan mensual'!H29+'Plan mensual'!H140,0))+parametros_manuales!$F$21*('Plan mensual'!H26+'Plan mensual'!H137+IF(parametros_manuales!$H$21="Todos",'Plan mensual'!H30+'Plan mensual'!H141,0))+parametros_manuales!$G$21*('Plan mensual'!H27+'Plan mensual'!H138+IF(parametros_manuales!$H$21="Todos",'Plan mensual'!H31+'Plan mensual'!H142,0)))*parametros_manuales!$I$21*parametros_manuales!$J$21</f>
        <v>1015.99034306</v>
      </c>
      <c r="G58" s="9" t="n">
        <f aca="false">(parametros_manuales!$D$21*('Plan mensual'!I24+'Plan mensual'!I135+IF(parametros_manuales!$H$21="Todos",'Plan mensual'!I28+'Plan mensual'!I139,0))+parametros_manuales!$E$21*('Plan mensual'!I25+'Plan mensual'!I136+IF(parametros_manuales!$H$21="Todos",'Plan mensual'!I29+'Plan mensual'!I140,0))+parametros_manuales!$F$21*('Plan mensual'!I26+'Plan mensual'!I137+IF(parametros_manuales!$H$21="Todos",'Plan mensual'!I30+'Plan mensual'!I141,0))+parametros_manuales!$G$21*('Plan mensual'!I27+'Plan mensual'!I138+IF(parametros_manuales!$H$21="Todos",'Plan mensual'!I31+'Plan mensual'!I142,0)))*parametros_manuales!$I$21*parametros_manuales!$J$21</f>
        <v>1015.99034306</v>
      </c>
      <c r="H58" s="9" t="n">
        <f aca="false">(parametros_manuales!$D$21*('Plan mensual'!J24+'Plan mensual'!J135+IF(parametros_manuales!$H$21="Todos",'Plan mensual'!J28+'Plan mensual'!J139,0))+parametros_manuales!$E$21*('Plan mensual'!J25+'Plan mensual'!J136+IF(parametros_manuales!$H$21="Todos",'Plan mensual'!J29+'Plan mensual'!J140,0))+parametros_manuales!$F$21*('Plan mensual'!J26+'Plan mensual'!J137+IF(parametros_manuales!$H$21="Todos",'Plan mensual'!J30+'Plan mensual'!J141,0))+parametros_manuales!$G$21*('Plan mensual'!J27+'Plan mensual'!J138+IF(parametros_manuales!$H$21="Todos",'Plan mensual'!J31+'Plan mensual'!J142,0)))*parametros_manuales!$I$21*parametros_manuales!$J$21</f>
        <v>1088.56108185</v>
      </c>
      <c r="I58" s="9" t="n">
        <f aca="false">(parametros_manuales!$D$21*('Plan mensual'!K24+'Plan mensual'!K135+IF(parametros_manuales!$H$21="Todos",'Plan mensual'!K28+'Plan mensual'!K139,0))+parametros_manuales!$E$21*('Plan mensual'!K25+'Plan mensual'!K136+IF(parametros_manuales!$H$21="Todos",'Plan mensual'!K29+'Plan mensual'!K140,0))+parametros_manuales!$F$21*('Plan mensual'!K26+'Plan mensual'!K137+IF(parametros_manuales!$H$21="Todos",'Plan mensual'!K30+'Plan mensual'!K141,0))+parametros_manuales!$G$21*('Plan mensual'!K27+'Plan mensual'!K138+IF(parametros_manuales!$H$21="Todos",'Plan mensual'!K31+'Plan mensual'!K142,0)))*parametros_manuales!$I$21*parametros_manuales!$J$21</f>
        <v>1088.56108185</v>
      </c>
      <c r="J58" s="9" t="n">
        <f aca="false">(parametros_manuales!$D$21*('Plan mensual'!L24+'Plan mensual'!L135+IF(parametros_manuales!$H$21="Todos",'Plan mensual'!L28+'Plan mensual'!L139,0))+parametros_manuales!$E$21*('Plan mensual'!L25+'Plan mensual'!L136+IF(parametros_manuales!$H$21="Todos",'Plan mensual'!L29+'Plan mensual'!L140,0))+parametros_manuales!$F$21*('Plan mensual'!L26+'Plan mensual'!L137+IF(parametros_manuales!$H$21="Todos",'Plan mensual'!L30+'Plan mensual'!L141,0))+parametros_manuales!$G$21*('Plan mensual'!L27+'Plan mensual'!L138+IF(parametros_manuales!$H$21="Todos",'Plan mensual'!L31+'Plan mensual'!L142,0)))*parametros_manuales!$I$21*parametros_manuales!$J$21</f>
        <v>1088.56108185</v>
      </c>
      <c r="K58" s="9" t="n">
        <f aca="false">(parametros_manuales!$D$21*('Plan mensual'!M24+'Plan mensual'!M135+IF(parametros_manuales!$H$21="Todos",'Plan mensual'!M28+'Plan mensual'!M139,0))+parametros_manuales!$E$21*('Plan mensual'!M25+'Plan mensual'!M136+IF(parametros_manuales!$H$21="Todos",'Plan mensual'!M29+'Plan mensual'!M140,0))+parametros_manuales!$F$21*('Plan mensual'!M26+'Plan mensual'!M137+IF(parametros_manuales!$H$21="Todos",'Plan mensual'!M30+'Plan mensual'!M141,0))+parametros_manuales!$G$21*('Plan mensual'!M27+'Plan mensual'!M138+IF(parametros_manuales!$H$21="Todos",'Plan mensual'!M31+'Plan mensual'!M142,0)))*parametros_manuales!$I$21*parametros_manuales!$J$21</f>
        <v>1088.56108185</v>
      </c>
      <c r="L58" s="9" t="n">
        <f aca="false">(parametros_manuales!$D$21*('Plan mensual'!N24+'Plan mensual'!N135+IF(parametros_manuales!$H$21="Todos",'Plan mensual'!N28+'Plan mensual'!N139,0))+parametros_manuales!$E$21*('Plan mensual'!N25+'Plan mensual'!N136+IF(parametros_manuales!$H$21="Todos",'Plan mensual'!N29+'Plan mensual'!N140,0))+parametros_manuales!$F$21*('Plan mensual'!N26+'Plan mensual'!N137+IF(parametros_manuales!$H$21="Todos",'Plan mensual'!N30+'Plan mensual'!N141,0))+parametros_manuales!$G$21*('Plan mensual'!N27+'Plan mensual'!N138+IF(parametros_manuales!$H$21="Todos",'Plan mensual'!N31+'Plan mensual'!N142,0)))*parametros_manuales!$I$21*parametros_manuales!$J$21</f>
        <v>1088.56108185</v>
      </c>
      <c r="M58" s="9" t="n">
        <f aca="false">(parametros_manuales!$D$21*('Plan mensual'!O24+'Plan mensual'!O135+IF(parametros_manuales!$H$21="Todos",'Plan mensual'!O28+'Plan mensual'!O139,0))+parametros_manuales!$E$21*('Plan mensual'!O25+'Plan mensual'!O136+IF(parametros_manuales!$H$21="Todos",'Plan mensual'!O29+'Plan mensual'!O140,0))+parametros_manuales!$F$21*('Plan mensual'!O26+'Plan mensual'!O137+IF(parametros_manuales!$H$21="Todos",'Plan mensual'!O30+'Plan mensual'!O141,0))+parametros_manuales!$G$21*('Plan mensual'!O27+'Plan mensual'!O138+IF(parametros_manuales!$H$21="Todos",'Plan mensual'!O31+'Plan mensual'!O142,0)))*parametros_manuales!$I$21*parametros_manuales!$J$21</f>
        <v>1741.69773096</v>
      </c>
      <c r="N58" s="9" t="n">
        <f aca="false">SUM(B58:M58)</f>
        <v>14514.147758</v>
      </c>
      <c r="O58" s="9" t="n">
        <f aca="false">MAX(B58:M58)</f>
        <v>1741.69773096</v>
      </c>
      <c r="P58" s="44" t="n">
        <f aca="false">O58/(parametros_manuales!$B$7)</f>
        <v>11.6113182064</v>
      </c>
      <c r="Q58" s="8" t="str">
        <f aca="false">IF(O58=0,"-",INDEX($B$55:$M$55,MATCH(O58,B58:M58,0)))</f>
        <v>Ene</v>
      </c>
    </row>
    <row r="59" customFormat="false" ht="14.25" hidden="false" customHeight="true" outlineLevel="0" collapsed="false">
      <c r="A59" s="8" t="str">
        <f aca="false">parametros_manuales!$B$22</f>
        <v>Corte de disco y embutido (cúpula y fondo)</v>
      </c>
      <c r="B59" s="9" t="n">
        <f aca="false">(parametros_manuales!$D$22*('Plan mensual'!D24+'Plan mensual'!D135+IF(parametros_manuales!$H$22="Todos",'Plan mensual'!D28+'Plan mensual'!D139,0))+parametros_manuales!$E$22*('Plan mensual'!D25+'Plan mensual'!D136+IF(parametros_manuales!$H$22="Todos",'Plan mensual'!D29+'Plan mensual'!D140,0))+parametros_manuales!$F$22*('Plan mensual'!D26+'Plan mensual'!D137+IF(parametros_manuales!$H$22="Todos",'Plan mensual'!D30+'Plan mensual'!D141,0))+parametros_manuales!$G$22*('Plan mensual'!D27+'Plan mensual'!D138+IF(parametros_manuales!$H$22="Todos",'Plan mensual'!D31+'Plan mensual'!D142,0)))*parametros_manuales!$I$22*parametros_manuales!$J$22</f>
        <v>5152.8243476</v>
      </c>
      <c r="C59" s="9" t="n">
        <f aca="false">(parametros_manuales!$D$22*('Plan mensual'!E24+'Plan mensual'!E135+IF(parametros_manuales!$H$22="Todos",'Plan mensual'!E28+'Plan mensual'!E139,0))+parametros_manuales!$E$22*('Plan mensual'!E25+'Plan mensual'!E136+IF(parametros_manuales!$H$22="Todos",'Plan mensual'!E29+'Plan mensual'!E140,0))+parametros_manuales!$F$22*('Plan mensual'!E26+'Plan mensual'!E137+IF(parametros_manuales!$H$22="Todos",'Plan mensual'!E30+'Plan mensual'!E141,0))+parametros_manuales!$G$22*('Plan mensual'!E27+'Plan mensual'!E138+IF(parametros_manuales!$H$22="Todos",'Plan mensual'!E31+'Plan mensual'!E142,0)))*parametros_manuales!$I$22*parametros_manuales!$J$22</f>
        <v>3948.089704984</v>
      </c>
      <c r="D59" s="9" t="n">
        <f aca="false">(parametros_manuales!$D$22*('Plan mensual'!F24+'Plan mensual'!F135+IF(parametros_manuales!$H$22="Todos",'Plan mensual'!F28+'Plan mensual'!F139,0))+parametros_manuales!$E$22*('Plan mensual'!F25+'Plan mensual'!F136+IF(parametros_manuales!$H$22="Todos",'Plan mensual'!F29+'Plan mensual'!F140,0))+parametros_manuales!$F$22*('Plan mensual'!F26+'Plan mensual'!F137+IF(parametros_manuales!$H$22="Todos",'Plan mensual'!F30+'Plan mensual'!F141,0))+parametros_manuales!$G$22*('Plan mensual'!F27+'Plan mensual'!F138+IF(parametros_manuales!$H$22="Todos",'Plan mensual'!F31+'Plan mensual'!F142,0)))*parametros_manuales!$I$22*parametros_manuales!$J$22</f>
        <v>3741.278194108</v>
      </c>
      <c r="E59" s="9" t="n">
        <f aca="false">(parametros_manuales!$D$22*('Plan mensual'!G24+'Plan mensual'!G135+IF(parametros_manuales!$H$22="Todos",'Plan mensual'!G28+'Plan mensual'!G139,0))+parametros_manuales!$E$22*('Plan mensual'!G25+'Plan mensual'!G136+IF(parametros_manuales!$H$22="Todos",'Plan mensual'!G29+'Plan mensual'!G140,0))+parametros_manuales!$F$22*('Plan mensual'!G26+'Plan mensual'!G137+IF(parametros_manuales!$H$22="Todos",'Plan mensual'!G30+'Plan mensual'!G141,0))+parametros_manuales!$G$22*('Plan mensual'!G27+'Plan mensual'!G138+IF(parametros_manuales!$H$22="Todos",'Plan mensual'!G31+'Plan mensual'!G142,0)))*parametros_manuales!$I$22*parametros_manuales!$J$22</f>
        <v>3596.136716528</v>
      </c>
      <c r="F59" s="9" t="n">
        <f aca="false">(parametros_manuales!$D$22*('Plan mensual'!H24+'Plan mensual'!H135+IF(parametros_manuales!$H$22="Todos",'Plan mensual'!H28+'Plan mensual'!H139,0))+parametros_manuales!$E$22*('Plan mensual'!H25+'Plan mensual'!H136+IF(parametros_manuales!$H$22="Todos",'Plan mensual'!H29+'Plan mensual'!H140,0))+parametros_manuales!$F$22*('Plan mensual'!H26+'Plan mensual'!H137+IF(parametros_manuales!$H$22="Todos",'Plan mensual'!H30+'Plan mensual'!H141,0))+parametros_manuales!$G$22*('Plan mensual'!H27+'Plan mensual'!H138+IF(parametros_manuales!$H$22="Todos",'Plan mensual'!H31+'Plan mensual'!H142,0)))*parametros_manuales!$I$22*parametros_manuales!$J$22</f>
        <v>3367.523794664</v>
      </c>
      <c r="G59" s="9" t="n">
        <f aca="false">(parametros_manuales!$D$22*('Plan mensual'!I24+'Plan mensual'!I135+IF(parametros_manuales!$H$22="Todos",'Plan mensual'!I28+'Plan mensual'!I139,0))+parametros_manuales!$E$22*('Plan mensual'!I25+'Plan mensual'!I136+IF(parametros_manuales!$H$22="Todos",'Plan mensual'!I29+'Plan mensual'!I140,0))+parametros_manuales!$F$22*('Plan mensual'!I26+'Plan mensual'!I137+IF(parametros_manuales!$H$22="Todos",'Plan mensual'!I30+'Plan mensual'!I141,0))+parametros_manuales!$G$22*('Plan mensual'!I27+'Plan mensual'!I138+IF(parametros_manuales!$H$22="Todos",'Plan mensual'!I31+'Plan mensual'!I142,0)))*parametros_manuales!$I$22*parametros_manuales!$J$22</f>
        <v>3284.05235038</v>
      </c>
      <c r="H59" s="9" t="n">
        <f aca="false">(parametros_manuales!$D$22*('Plan mensual'!J24+'Plan mensual'!J135+IF(parametros_manuales!$H$22="Todos",'Plan mensual'!J28+'Plan mensual'!J139,0))+parametros_manuales!$E$22*('Plan mensual'!J25+'Plan mensual'!J136+IF(parametros_manuales!$H$22="Todos",'Plan mensual'!J29+'Plan mensual'!J140,0))+parametros_manuales!$F$22*('Plan mensual'!J26+'Plan mensual'!J137+IF(parametros_manuales!$H$22="Todos",'Plan mensual'!J30+'Plan mensual'!J141,0))+parametros_manuales!$G$22*('Plan mensual'!J27+'Plan mensual'!J138+IF(parametros_manuales!$H$22="Todos",'Plan mensual'!J31+'Plan mensual'!J142,0)))*parametros_manuales!$I$22*parametros_manuales!$J$22</f>
        <v>3512.665272244</v>
      </c>
      <c r="I59" s="9" t="n">
        <f aca="false">(parametros_manuales!$D$22*('Plan mensual'!K24+'Plan mensual'!K135+IF(parametros_manuales!$H$22="Todos",'Plan mensual'!K28+'Plan mensual'!K139,0))+parametros_manuales!$E$22*('Plan mensual'!K25+'Plan mensual'!K136+IF(parametros_manuales!$H$22="Todos",'Plan mensual'!K29+'Plan mensual'!K140,0))+parametros_manuales!$F$22*('Plan mensual'!K26+'Plan mensual'!K137+IF(parametros_manuales!$H$22="Todos",'Plan mensual'!K30+'Plan mensual'!K141,0))+parametros_manuales!$G$22*('Plan mensual'!K27+'Plan mensual'!K138+IF(parametros_manuales!$H$22="Todos",'Plan mensual'!K31+'Plan mensual'!K142,0)))*parametros_manuales!$I$22*parametros_manuales!$J$22</f>
        <v>3512.665272244</v>
      </c>
      <c r="J59" s="9" t="n">
        <f aca="false">(parametros_manuales!$D$22*('Plan mensual'!L24+'Plan mensual'!L135+IF(parametros_manuales!$H$22="Todos",'Plan mensual'!L28+'Plan mensual'!L139,0))+parametros_manuales!$E$22*('Plan mensual'!L25+'Plan mensual'!L136+IF(parametros_manuales!$H$22="Todos",'Plan mensual'!L29+'Plan mensual'!L140,0))+parametros_manuales!$F$22*('Plan mensual'!L26+'Plan mensual'!L137+IF(parametros_manuales!$H$22="Todos",'Plan mensual'!L30+'Plan mensual'!L141,0))+parametros_manuales!$G$22*('Plan mensual'!L27+'Plan mensual'!L138+IF(parametros_manuales!$H$22="Todos",'Plan mensual'!L31+'Plan mensual'!L142,0)))*parametros_manuales!$I$22*parametros_manuales!$J$22</f>
        <v>3512.665272244</v>
      </c>
      <c r="K59" s="9" t="n">
        <f aca="false">(parametros_manuales!$D$22*('Plan mensual'!M24+'Plan mensual'!M135+IF(parametros_manuales!$H$22="Todos",'Plan mensual'!M28+'Plan mensual'!M139,0))+parametros_manuales!$E$22*('Plan mensual'!M25+'Plan mensual'!M136+IF(parametros_manuales!$H$22="Todos",'Plan mensual'!M29+'Plan mensual'!M140,0))+parametros_manuales!$F$22*('Plan mensual'!M26+'Plan mensual'!M137+IF(parametros_manuales!$H$22="Todos",'Plan mensual'!M30+'Plan mensual'!M141,0))+parametros_manuales!$G$22*('Plan mensual'!M27+'Plan mensual'!M138+IF(parametros_manuales!$H$22="Todos",'Plan mensual'!M31+'Plan mensual'!M142,0)))*parametros_manuales!$I$22*parametros_manuales!$J$22</f>
        <v>3429.19382796</v>
      </c>
      <c r="L59" s="9" t="n">
        <f aca="false">(parametros_manuales!$D$22*('Plan mensual'!N24+'Plan mensual'!N135+IF(parametros_manuales!$H$22="Todos",'Plan mensual'!N28+'Plan mensual'!N139,0))+parametros_manuales!$E$22*('Plan mensual'!N25+'Plan mensual'!N136+IF(parametros_manuales!$H$22="Todos",'Plan mensual'!N29+'Plan mensual'!N140,0))+parametros_manuales!$F$22*('Plan mensual'!N26+'Plan mensual'!N137+IF(parametros_manuales!$H$22="Todos",'Plan mensual'!N30+'Plan mensual'!N141,0))+parametros_manuales!$G$22*('Plan mensual'!N27+'Plan mensual'!N138+IF(parametros_manuales!$H$22="Todos",'Plan mensual'!N31+'Plan mensual'!N142,0)))*parametros_manuales!$I$22*parametros_manuales!$J$22</f>
        <v>3345.722383676</v>
      </c>
      <c r="M59" s="9" t="n">
        <f aca="false">(parametros_manuales!$D$22*('Plan mensual'!O24+'Plan mensual'!O135+IF(parametros_manuales!$H$22="Todos",'Plan mensual'!O28+'Plan mensual'!O139,0))+parametros_manuales!$E$22*('Plan mensual'!O25+'Plan mensual'!O136+IF(parametros_manuales!$H$22="Todos",'Plan mensual'!O29+'Plan mensual'!O140,0))+parametros_manuales!$F$22*('Plan mensual'!O26+'Plan mensual'!O137+IF(parametros_manuales!$H$22="Todos",'Plan mensual'!O30+'Plan mensual'!O141,0))+parametros_manuales!$G$22*('Plan mensual'!O27+'Plan mensual'!O138+IF(parametros_manuales!$H$22="Todos",'Plan mensual'!O31+'Plan mensual'!O142,0)))*parametros_manuales!$I$22*parametros_manuales!$J$22</f>
        <v>5319.767236168</v>
      </c>
      <c r="N59" s="9" t="n">
        <f aca="false">SUM(B59:M59)</f>
        <v>45722.5843728</v>
      </c>
      <c r="O59" s="9" t="n">
        <f aca="false">MAX(B59:M59)</f>
        <v>5319.767236168</v>
      </c>
      <c r="P59" s="44" t="n">
        <f aca="false">O59/(parametros_manuales!$B$7)</f>
        <v>35.4651149077867</v>
      </c>
      <c r="Q59" s="8" t="str">
        <f aca="false">IF(O59=0,"-",INDEX($B$55:$M$55,MATCH(O59,B59:M59,0)))</f>
        <v>Dic</v>
      </c>
    </row>
    <row r="60" customFormat="false" ht="14.25" hidden="false" customHeight="true" outlineLevel="0" collapsed="false">
      <c r="A60" s="8" t="str">
        <f aca="false">parametros_manuales!$B$23</f>
        <v>Preparación de cuello</v>
      </c>
      <c r="B60" s="9" t="n">
        <f aca="false">(parametros_manuales!$D$23*('Plan mensual'!D24+'Plan mensual'!D135+IF(parametros_manuales!$H$23="Todos",'Plan mensual'!D28+'Plan mensual'!D139,0))+parametros_manuales!$E$23*('Plan mensual'!D25+'Plan mensual'!D136+IF(parametros_manuales!$H$23="Todos",'Plan mensual'!D29+'Plan mensual'!D140,0))+parametros_manuales!$F$23*('Plan mensual'!D26+'Plan mensual'!D137+IF(parametros_manuales!$H$23="Todos",'Plan mensual'!D30+'Plan mensual'!D141,0))+parametros_manuales!$G$23*('Plan mensual'!D27+'Plan mensual'!D138+IF(parametros_manuales!$H$23="Todos",'Plan mensual'!D31+'Plan mensual'!D142,0)))*parametros_manuales!$I$23*parametros_manuales!$J$23</f>
        <v>2576.4121738</v>
      </c>
      <c r="C60" s="9" t="n">
        <f aca="false">(parametros_manuales!$D$23*('Plan mensual'!E24+'Plan mensual'!E135+IF(parametros_manuales!$H$23="Todos",'Plan mensual'!E28+'Plan mensual'!E139,0))+parametros_manuales!$E$23*('Plan mensual'!E25+'Plan mensual'!E136+IF(parametros_manuales!$H$23="Todos",'Plan mensual'!E29+'Plan mensual'!E140,0))+parametros_manuales!$F$23*('Plan mensual'!E26+'Plan mensual'!E137+IF(parametros_manuales!$H$23="Todos",'Plan mensual'!E30+'Plan mensual'!E141,0))+parametros_manuales!$G$23*('Plan mensual'!E27+'Plan mensual'!E138+IF(parametros_manuales!$H$23="Todos",'Plan mensual'!E31+'Plan mensual'!E142,0)))*parametros_manuales!$I$23*parametros_manuales!$J$23</f>
        <v>1974.044852492</v>
      </c>
      <c r="D60" s="9" t="n">
        <f aca="false">(parametros_manuales!$D$23*('Plan mensual'!F24+'Plan mensual'!F135+IF(parametros_manuales!$H$23="Todos",'Plan mensual'!F28+'Plan mensual'!F139,0))+parametros_manuales!$E$23*('Plan mensual'!F25+'Plan mensual'!F136+IF(parametros_manuales!$H$23="Todos",'Plan mensual'!F29+'Plan mensual'!F140,0))+parametros_manuales!$F$23*('Plan mensual'!F26+'Plan mensual'!F137+IF(parametros_manuales!$H$23="Todos",'Plan mensual'!F30+'Plan mensual'!F141,0))+parametros_manuales!$G$23*('Plan mensual'!F27+'Plan mensual'!F138+IF(parametros_manuales!$H$23="Todos",'Plan mensual'!F31+'Plan mensual'!F142,0)))*parametros_manuales!$I$23*parametros_manuales!$J$23</f>
        <v>1870.639097054</v>
      </c>
      <c r="E60" s="9" t="n">
        <f aca="false">(parametros_manuales!$D$23*('Plan mensual'!G24+'Plan mensual'!G135+IF(parametros_manuales!$H$23="Todos",'Plan mensual'!G28+'Plan mensual'!G139,0))+parametros_manuales!$E$23*('Plan mensual'!G25+'Plan mensual'!G136+IF(parametros_manuales!$H$23="Todos",'Plan mensual'!G29+'Plan mensual'!G140,0))+parametros_manuales!$F$23*('Plan mensual'!G26+'Plan mensual'!G137+IF(parametros_manuales!$H$23="Todos",'Plan mensual'!G30+'Plan mensual'!G141,0))+parametros_manuales!$G$23*('Plan mensual'!G27+'Plan mensual'!G138+IF(parametros_manuales!$H$23="Todos",'Plan mensual'!G31+'Plan mensual'!G142,0)))*parametros_manuales!$I$23*parametros_manuales!$J$23</f>
        <v>1798.068358264</v>
      </c>
      <c r="F60" s="9" t="n">
        <f aca="false">(parametros_manuales!$D$23*('Plan mensual'!H24+'Plan mensual'!H135+IF(parametros_manuales!$H$23="Todos",'Plan mensual'!H28+'Plan mensual'!H139,0))+parametros_manuales!$E$23*('Plan mensual'!H25+'Plan mensual'!H136+IF(parametros_manuales!$H$23="Todos",'Plan mensual'!H29+'Plan mensual'!H140,0))+parametros_manuales!$F$23*('Plan mensual'!H26+'Plan mensual'!H137+IF(parametros_manuales!$H$23="Todos",'Plan mensual'!H30+'Plan mensual'!H141,0))+parametros_manuales!$G$23*('Plan mensual'!H27+'Plan mensual'!H138+IF(parametros_manuales!$H$23="Todos",'Plan mensual'!H31+'Plan mensual'!H142,0)))*parametros_manuales!$I$23*parametros_manuales!$J$23</f>
        <v>1683.761897332</v>
      </c>
      <c r="G60" s="9" t="n">
        <f aca="false">(parametros_manuales!$D$23*('Plan mensual'!I24+'Plan mensual'!I135+IF(parametros_manuales!$H$23="Todos",'Plan mensual'!I28+'Plan mensual'!I139,0))+parametros_manuales!$E$23*('Plan mensual'!I25+'Plan mensual'!I136+IF(parametros_manuales!$H$23="Todos",'Plan mensual'!I29+'Plan mensual'!I140,0))+parametros_manuales!$F$23*('Plan mensual'!I26+'Plan mensual'!I137+IF(parametros_manuales!$H$23="Todos",'Plan mensual'!I30+'Plan mensual'!I141,0))+parametros_manuales!$G$23*('Plan mensual'!I27+'Plan mensual'!I138+IF(parametros_manuales!$H$23="Todos",'Plan mensual'!I31+'Plan mensual'!I142,0)))*parametros_manuales!$I$23*parametros_manuales!$J$23</f>
        <v>1642.02617519</v>
      </c>
      <c r="H60" s="9" t="n">
        <f aca="false">(parametros_manuales!$D$23*('Plan mensual'!J24+'Plan mensual'!J135+IF(parametros_manuales!$H$23="Todos",'Plan mensual'!J28+'Plan mensual'!J139,0))+parametros_manuales!$E$23*('Plan mensual'!J25+'Plan mensual'!J136+IF(parametros_manuales!$H$23="Todos",'Plan mensual'!J29+'Plan mensual'!J140,0))+parametros_manuales!$F$23*('Plan mensual'!J26+'Plan mensual'!J137+IF(parametros_manuales!$H$23="Todos",'Plan mensual'!J30+'Plan mensual'!J141,0))+parametros_manuales!$G$23*('Plan mensual'!J27+'Plan mensual'!J138+IF(parametros_manuales!$H$23="Todos",'Plan mensual'!J31+'Plan mensual'!J142,0)))*parametros_manuales!$I$23*parametros_manuales!$J$23</f>
        <v>1756.332636122</v>
      </c>
      <c r="I60" s="9" t="n">
        <f aca="false">(parametros_manuales!$D$23*('Plan mensual'!K24+'Plan mensual'!K135+IF(parametros_manuales!$H$23="Todos",'Plan mensual'!K28+'Plan mensual'!K139,0))+parametros_manuales!$E$23*('Plan mensual'!K25+'Plan mensual'!K136+IF(parametros_manuales!$H$23="Todos",'Plan mensual'!K29+'Plan mensual'!K140,0))+parametros_manuales!$F$23*('Plan mensual'!K26+'Plan mensual'!K137+IF(parametros_manuales!$H$23="Todos",'Plan mensual'!K30+'Plan mensual'!K141,0))+parametros_manuales!$G$23*('Plan mensual'!K27+'Plan mensual'!K138+IF(parametros_manuales!$H$23="Todos",'Plan mensual'!K31+'Plan mensual'!K142,0)))*parametros_manuales!$I$23*parametros_manuales!$J$23</f>
        <v>1756.332636122</v>
      </c>
      <c r="J60" s="9" t="n">
        <f aca="false">(parametros_manuales!$D$23*('Plan mensual'!L24+'Plan mensual'!L135+IF(parametros_manuales!$H$23="Todos",'Plan mensual'!L28+'Plan mensual'!L139,0))+parametros_manuales!$E$23*('Plan mensual'!L25+'Plan mensual'!L136+IF(parametros_manuales!$H$23="Todos",'Plan mensual'!L29+'Plan mensual'!L140,0))+parametros_manuales!$F$23*('Plan mensual'!L26+'Plan mensual'!L137+IF(parametros_manuales!$H$23="Todos",'Plan mensual'!L30+'Plan mensual'!L141,0))+parametros_manuales!$G$23*('Plan mensual'!L27+'Plan mensual'!L138+IF(parametros_manuales!$H$23="Todos",'Plan mensual'!L31+'Plan mensual'!L142,0)))*parametros_manuales!$I$23*parametros_manuales!$J$23</f>
        <v>1756.332636122</v>
      </c>
      <c r="K60" s="9" t="n">
        <f aca="false">(parametros_manuales!$D$23*('Plan mensual'!M24+'Plan mensual'!M135+IF(parametros_manuales!$H$23="Todos",'Plan mensual'!M28+'Plan mensual'!M139,0))+parametros_manuales!$E$23*('Plan mensual'!M25+'Plan mensual'!M136+IF(parametros_manuales!$H$23="Todos",'Plan mensual'!M29+'Plan mensual'!M140,0))+parametros_manuales!$F$23*('Plan mensual'!M26+'Plan mensual'!M137+IF(parametros_manuales!$H$23="Todos",'Plan mensual'!M30+'Plan mensual'!M141,0))+parametros_manuales!$G$23*('Plan mensual'!M27+'Plan mensual'!M138+IF(parametros_manuales!$H$23="Todos",'Plan mensual'!M31+'Plan mensual'!M142,0)))*parametros_manuales!$I$23*parametros_manuales!$J$23</f>
        <v>1714.59691398</v>
      </c>
      <c r="L60" s="9" t="n">
        <f aca="false">(parametros_manuales!$D$23*('Plan mensual'!N24+'Plan mensual'!N135+IF(parametros_manuales!$H$23="Todos",'Plan mensual'!N28+'Plan mensual'!N139,0))+parametros_manuales!$E$23*('Plan mensual'!N25+'Plan mensual'!N136+IF(parametros_manuales!$H$23="Todos",'Plan mensual'!N29+'Plan mensual'!N140,0))+parametros_manuales!$F$23*('Plan mensual'!N26+'Plan mensual'!N137+IF(parametros_manuales!$H$23="Todos",'Plan mensual'!N30+'Plan mensual'!N141,0))+parametros_manuales!$G$23*('Plan mensual'!N27+'Plan mensual'!N138+IF(parametros_manuales!$H$23="Todos",'Plan mensual'!N31+'Plan mensual'!N142,0)))*parametros_manuales!$I$23*parametros_manuales!$J$23</f>
        <v>1672.861191838</v>
      </c>
      <c r="M60" s="9" t="n">
        <f aca="false">(parametros_manuales!$D$23*('Plan mensual'!O24+'Plan mensual'!O135+IF(parametros_manuales!$H$23="Todos",'Plan mensual'!O28+'Plan mensual'!O139,0))+parametros_manuales!$E$23*('Plan mensual'!O25+'Plan mensual'!O136+IF(parametros_manuales!$H$23="Todos",'Plan mensual'!O29+'Plan mensual'!O140,0))+parametros_manuales!$F$23*('Plan mensual'!O26+'Plan mensual'!O137+IF(parametros_manuales!$H$23="Todos",'Plan mensual'!O30+'Plan mensual'!O141,0))+parametros_manuales!$G$23*('Plan mensual'!O27+'Plan mensual'!O138+IF(parametros_manuales!$H$23="Todos",'Plan mensual'!O31+'Plan mensual'!O142,0)))*parametros_manuales!$I$23*parametros_manuales!$J$23</f>
        <v>2659.883618084</v>
      </c>
      <c r="N60" s="9" t="n">
        <f aca="false">SUM(B60:M60)</f>
        <v>22861.2921864</v>
      </c>
      <c r="O60" s="9" t="n">
        <f aca="false">MAX(B60:M60)</f>
        <v>2659.883618084</v>
      </c>
      <c r="P60" s="44" t="n">
        <f aca="false">O60/(parametros_manuales!$B$7)</f>
        <v>17.7325574538933</v>
      </c>
      <c r="Q60" s="8" t="str">
        <f aca="false">IF(O60=0,"-",INDEX($B$55:$M$55,MATCH(O60,B60:M60,0)))</f>
        <v>Dic</v>
      </c>
    </row>
    <row r="61" customFormat="false" ht="14.25" hidden="false" customHeight="true" outlineLevel="0" collapsed="false">
      <c r="A61" s="8" t="str">
        <f aca="false">parametros_manuales!$B$24</f>
        <v>Numerado de cúpula</v>
      </c>
      <c r="B61" s="9" t="n">
        <f aca="false">(parametros_manuales!$D$24*('Plan mensual'!D24+'Plan mensual'!D135+IF(parametros_manuales!$H$24="Todos",'Plan mensual'!D28+'Plan mensual'!D139,0))+parametros_manuales!$E$24*('Plan mensual'!D25+'Plan mensual'!D136+IF(parametros_manuales!$H$24="Todos",'Plan mensual'!D29+'Plan mensual'!D140,0))+parametros_manuales!$F$24*('Plan mensual'!D26+'Plan mensual'!D137+IF(parametros_manuales!$H$24="Todos",'Plan mensual'!D30+'Plan mensual'!D141,0))+parametros_manuales!$G$24*('Plan mensual'!D27+'Plan mensual'!D138+IF(parametros_manuales!$H$24="Todos",'Plan mensual'!D31+'Plan mensual'!D142,0)))*parametros_manuales!$I$24*parametros_manuales!$J$24</f>
        <v>2576.4121738</v>
      </c>
      <c r="C61" s="9" t="n">
        <f aca="false">(parametros_manuales!$D$24*('Plan mensual'!E24+'Plan mensual'!E135+IF(parametros_manuales!$H$24="Todos",'Plan mensual'!E28+'Plan mensual'!E139,0))+parametros_manuales!$E$24*('Plan mensual'!E25+'Plan mensual'!E136+IF(parametros_manuales!$H$24="Todos",'Plan mensual'!E29+'Plan mensual'!E140,0))+parametros_manuales!$F$24*('Plan mensual'!E26+'Plan mensual'!E137+IF(parametros_manuales!$H$24="Todos",'Plan mensual'!E30+'Plan mensual'!E141,0))+parametros_manuales!$G$24*('Plan mensual'!E27+'Plan mensual'!E138+IF(parametros_manuales!$H$24="Todos",'Plan mensual'!E31+'Plan mensual'!E142,0)))*parametros_manuales!$I$24*parametros_manuales!$J$24</f>
        <v>1974.044852492</v>
      </c>
      <c r="D61" s="9" t="n">
        <f aca="false">(parametros_manuales!$D$24*('Plan mensual'!F24+'Plan mensual'!F135+IF(parametros_manuales!$H$24="Todos",'Plan mensual'!F28+'Plan mensual'!F139,0))+parametros_manuales!$E$24*('Plan mensual'!F25+'Plan mensual'!F136+IF(parametros_manuales!$H$24="Todos",'Plan mensual'!F29+'Plan mensual'!F140,0))+parametros_manuales!$F$24*('Plan mensual'!F26+'Plan mensual'!F137+IF(parametros_manuales!$H$24="Todos",'Plan mensual'!F30+'Plan mensual'!F141,0))+parametros_manuales!$G$24*('Plan mensual'!F27+'Plan mensual'!F138+IF(parametros_manuales!$H$24="Todos",'Plan mensual'!F31+'Plan mensual'!F142,0)))*parametros_manuales!$I$24*parametros_manuales!$J$24</f>
        <v>1870.639097054</v>
      </c>
      <c r="E61" s="9" t="n">
        <f aca="false">(parametros_manuales!$D$24*('Plan mensual'!G24+'Plan mensual'!G135+IF(parametros_manuales!$H$24="Todos",'Plan mensual'!G28+'Plan mensual'!G139,0))+parametros_manuales!$E$24*('Plan mensual'!G25+'Plan mensual'!G136+IF(parametros_manuales!$H$24="Todos",'Plan mensual'!G29+'Plan mensual'!G140,0))+parametros_manuales!$F$24*('Plan mensual'!G26+'Plan mensual'!G137+IF(parametros_manuales!$H$24="Todos",'Plan mensual'!G30+'Plan mensual'!G141,0))+parametros_manuales!$G$24*('Plan mensual'!G27+'Plan mensual'!G138+IF(parametros_manuales!$H$24="Todos",'Plan mensual'!G31+'Plan mensual'!G142,0)))*parametros_manuales!$I$24*parametros_manuales!$J$24</f>
        <v>1798.068358264</v>
      </c>
      <c r="F61" s="9" t="n">
        <f aca="false">(parametros_manuales!$D$24*('Plan mensual'!H24+'Plan mensual'!H135+IF(parametros_manuales!$H$24="Todos",'Plan mensual'!H28+'Plan mensual'!H139,0))+parametros_manuales!$E$24*('Plan mensual'!H25+'Plan mensual'!H136+IF(parametros_manuales!$H$24="Todos",'Plan mensual'!H29+'Plan mensual'!H140,0))+parametros_manuales!$F$24*('Plan mensual'!H26+'Plan mensual'!H137+IF(parametros_manuales!$H$24="Todos",'Plan mensual'!H30+'Plan mensual'!H141,0))+parametros_manuales!$G$24*('Plan mensual'!H27+'Plan mensual'!H138+IF(parametros_manuales!$H$24="Todos",'Plan mensual'!H31+'Plan mensual'!H142,0)))*parametros_manuales!$I$24*parametros_manuales!$J$24</f>
        <v>1683.761897332</v>
      </c>
      <c r="G61" s="9" t="n">
        <f aca="false">(parametros_manuales!$D$24*('Plan mensual'!I24+'Plan mensual'!I135+IF(parametros_manuales!$H$24="Todos",'Plan mensual'!I28+'Plan mensual'!I139,0))+parametros_manuales!$E$24*('Plan mensual'!I25+'Plan mensual'!I136+IF(parametros_manuales!$H$24="Todos",'Plan mensual'!I29+'Plan mensual'!I140,0))+parametros_manuales!$F$24*('Plan mensual'!I26+'Plan mensual'!I137+IF(parametros_manuales!$H$24="Todos",'Plan mensual'!I30+'Plan mensual'!I141,0))+parametros_manuales!$G$24*('Plan mensual'!I27+'Plan mensual'!I138+IF(parametros_manuales!$H$24="Todos",'Plan mensual'!I31+'Plan mensual'!I142,0)))*parametros_manuales!$I$24*parametros_manuales!$J$24</f>
        <v>1642.02617519</v>
      </c>
      <c r="H61" s="9" t="n">
        <f aca="false">(parametros_manuales!$D$24*('Plan mensual'!J24+'Plan mensual'!J135+IF(parametros_manuales!$H$24="Todos",'Plan mensual'!J28+'Plan mensual'!J139,0))+parametros_manuales!$E$24*('Plan mensual'!J25+'Plan mensual'!J136+IF(parametros_manuales!$H$24="Todos",'Plan mensual'!J29+'Plan mensual'!J140,0))+parametros_manuales!$F$24*('Plan mensual'!J26+'Plan mensual'!J137+IF(parametros_manuales!$H$24="Todos",'Plan mensual'!J30+'Plan mensual'!J141,0))+parametros_manuales!$G$24*('Plan mensual'!J27+'Plan mensual'!J138+IF(parametros_manuales!$H$24="Todos",'Plan mensual'!J31+'Plan mensual'!J142,0)))*parametros_manuales!$I$24*parametros_manuales!$J$24</f>
        <v>1756.332636122</v>
      </c>
      <c r="I61" s="9" t="n">
        <f aca="false">(parametros_manuales!$D$24*('Plan mensual'!K24+'Plan mensual'!K135+IF(parametros_manuales!$H$24="Todos",'Plan mensual'!K28+'Plan mensual'!K139,0))+parametros_manuales!$E$24*('Plan mensual'!K25+'Plan mensual'!K136+IF(parametros_manuales!$H$24="Todos",'Plan mensual'!K29+'Plan mensual'!K140,0))+parametros_manuales!$F$24*('Plan mensual'!K26+'Plan mensual'!K137+IF(parametros_manuales!$H$24="Todos",'Plan mensual'!K30+'Plan mensual'!K141,0))+parametros_manuales!$G$24*('Plan mensual'!K27+'Plan mensual'!K138+IF(parametros_manuales!$H$24="Todos",'Plan mensual'!K31+'Plan mensual'!K142,0)))*parametros_manuales!$I$24*parametros_manuales!$J$24</f>
        <v>1756.332636122</v>
      </c>
      <c r="J61" s="9" t="n">
        <f aca="false">(parametros_manuales!$D$24*('Plan mensual'!L24+'Plan mensual'!L135+IF(parametros_manuales!$H$24="Todos",'Plan mensual'!L28+'Plan mensual'!L139,0))+parametros_manuales!$E$24*('Plan mensual'!L25+'Plan mensual'!L136+IF(parametros_manuales!$H$24="Todos",'Plan mensual'!L29+'Plan mensual'!L140,0))+parametros_manuales!$F$24*('Plan mensual'!L26+'Plan mensual'!L137+IF(parametros_manuales!$H$24="Todos",'Plan mensual'!L30+'Plan mensual'!L141,0))+parametros_manuales!$G$24*('Plan mensual'!L27+'Plan mensual'!L138+IF(parametros_manuales!$H$24="Todos",'Plan mensual'!L31+'Plan mensual'!L142,0)))*parametros_manuales!$I$24*parametros_manuales!$J$24</f>
        <v>1756.332636122</v>
      </c>
      <c r="K61" s="9" t="n">
        <f aca="false">(parametros_manuales!$D$24*('Plan mensual'!M24+'Plan mensual'!M135+IF(parametros_manuales!$H$24="Todos",'Plan mensual'!M28+'Plan mensual'!M139,0))+parametros_manuales!$E$24*('Plan mensual'!M25+'Plan mensual'!M136+IF(parametros_manuales!$H$24="Todos",'Plan mensual'!M29+'Plan mensual'!M140,0))+parametros_manuales!$F$24*('Plan mensual'!M26+'Plan mensual'!M137+IF(parametros_manuales!$H$24="Todos",'Plan mensual'!M30+'Plan mensual'!M141,0))+parametros_manuales!$G$24*('Plan mensual'!M27+'Plan mensual'!M138+IF(parametros_manuales!$H$24="Todos",'Plan mensual'!M31+'Plan mensual'!M142,0)))*parametros_manuales!$I$24*parametros_manuales!$J$24</f>
        <v>1714.59691398</v>
      </c>
      <c r="L61" s="9" t="n">
        <f aca="false">(parametros_manuales!$D$24*('Plan mensual'!N24+'Plan mensual'!N135+IF(parametros_manuales!$H$24="Todos",'Plan mensual'!N28+'Plan mensual'!N139,0))+parametros_manuales!$E$24*('Plan mensual'!N25+'Plan mensual'!N136+IF(parametros_manuales!$H$24="Todos",'Plan mensual'!N29+'Plan mensual'!N140,0))+parametros_manuales!$F$24*('Plan mensual'!N26+'Plan mensual'!N137+IF(parametros_manuales!$H$24="Todos",'Plan mensual'!N30+'Plan mensual'!N141,0))+parametros_manuales!$G$24*('Plan mensual'!N27+'Plan mensual'!N138+IF(parametros_manuales!$H$24="Todos",'Plan mensual'!N31+'Plan mensual'!N142,0)))*parametros_manuales!$I$24*parametros_manuales!$J$24</f>
        <v>1672.861191838</v>
      </c>
      <c r="M61" s="9" t="n">
        <f aca="false">(parametros_manuales!$D$24*('Plan mensual'!O24+'Plan mensual'!O135+IF(parametros_manuales!$H$24="Todos",'Plan mensual'!O28+'Plan mensual'!O139,0))+parametros_manuales!$E$24*('Plan mensual'!O25+'Plan mensual'!O136+IF(parametros_manuales!$H$24="Todos",'Plan mensual'!O29+'Plan mensual'!O140,0))+parametros_manuales!$F$24*('Plan mensual'!O26+'Plan mensual'!O137+IF(parametros_manuales!$H$24="Todos",'Plan mensual'!O30+'Plan mensual'!O141,0))+parametros_manuales!$G$24*('Plan mensual'!O27+'Plan mensual'!O138+IF(parametros_manuales!$H$24="Todos",'Plan mensual'!O31+'Plan mensual'!O142,0)))*parametros_manuales!$I$24*parametros_manuales!$J$24</f>
        <v>2659.883618084</v>
      </c>
      <c r="N61" s="9" t="n">
        <f aca="false">SUM(B61:M61)</f>
        <v>22861.2921864</v>
      </c>
      <c r="O61" s="9" t="n">
        <f aca="false">MAX(B61:M61)</f>
        <v>2659.883618084</v>
      </c>
      <c r="P61" s="44" t="n">
        <f aca="false">O61/(parametros_manuales!$B$7)</f>
        <v>17.7325574538933</v>
      </c>
      <c r="Q61" s="8" t="str">
        <f aca="false">IF(O61=0,"-",INDEX($B$55:$M$55,MATCH(O61,B61:M61,0)))</f>
        <v>Dic</v>
      </c>
    </row>
    <row r="62" customFormat="false" ht="14.25" hidden="false" customHeight="true" outlineLevel="0" collapsed="false">
      <c r="A62" s="8" t="str">
        <f aca="false">parametros_manuales!$B$25</f>
        <v>Soldadura del cuello a la cúpula</v>
      </c>
      <c r="B62" s="9" t="n">
        <f aca="false">(parametros_manuales!$D$25*('Plan mensual'!D24+'Plan mensual'!D135+IF(parametros_manuales!$H$25="Todos",'Plan mensual'!D28+'Plan mensual'!D139,0))+parametros_manuales!$E$25*('Plan mensual'!D25+'Plan mensual'!D136+IF(parametros_manuales!$H$25="Todos",'Plan mensual'!D29+'Plan mensual'!D140,0))+parametros_manuales!$F$25*('Plan mensual'!D26+'Plan mensual'!D137+IF(parametros_manuales!$H$25="Todos",'Plan mensual'!D30+'Plan mensual'!D141,0))+parametros_manuales!$G$25*('Plan mensual'!D27+'Plan mensual'!D138+IF(parametros_manuales!$H$25="Todos",'Plan mensual'!D31+'Plan mensual'!D142,0)))*parametros_manuales!$I$25*parametros_manuales!$J$25</f>
        <v>2576.4121738</v>
      </c>
      <c r="C62" s="9" t="n">
        <f aca="false">(parametros_manuales!$D$25*('Plan mensual'!E24+'Plan mensual'!E135+IF(parametros_manuales!$H$25="Todos",'Plan mensual'!E28+'Plan mensual'!E139,0))+parametros_manuales!$E$25*('Plan mensual'!E25+'Plan mensual'!E136+IF(parametros_manuales!$H$25="Todos",'Plan mensual'!E29+'Plan mensual'!E140,0))+parametros_manuales!$F$25*('Plan mensual'!E26+'Plan mensual'!E137+IF(parametros_manuales!$H$25="Todos",'Plan mensual'!E30+'Plan mensual'!E141,0))+parametros_manuales!$G$25*('Plan mensual'!E27+'Plan mensual'!E138+IF(parametros_manuales!$H$25="Todos",'Plan mensual'!E31+'Plan mensual'!E142,0)))*parametros_manuales!$I$25*parametros_manuales!$J$25</f>
        <v>1974.044852492</v>
      </c>
      <c r="D62" s="9" t="n">
        <f aca="false">(parametros_manuales!$D$25*('Plan mensual'!F24+'Plan mensual'!F135+IF(parametros_manuales!$H$25="Todos",'Plan mensual'!F28+'Plan mensual'!F139,0))+parametros_manuales!$E$25*('Plan mensual'!F25+'Plan mensual'!F136+IF(parametros_manuales!$H$25="Todos",'Plan mensual'!F29+'Plan mensual'!F140,0))+parametros_manuales!$F$25*('Plan mensual'!F26+'Plan mensual'!F137+IF(parametros_manuales!$H$25="Todos",'Plan mensual'!F30+'Plan mensual'!F141,0))+parametros_manuales!$G$25*('Plan mensual'!F27+'Plan mensual'!F138+IF(parametros_manuales!$H$25="Todos",'Plan mensual'!F31+'Plan mensual'!F142,0)))*parametros_manuales!$I$25*parametros_manuales!$J$25</f>
        <v>1870.639097054</v>
      </c>
      <c r="E62" s="9" t="n">
        <f aca="false">(parametros_manuales!$D$25*('Plan mensual'!G24+'Plan mensual'!G135+IF(parametros_manuales!$H$25="Todos",'Plan mensual'!G28+'Plan mensual'!G139,0))+parametros_manuales!$E$25*('Plan mensual'!G25+'Plan mensual'!G136+IF(parametros_manuales!$H$25="Todos",'Plan mensual'!G29+'Plan mensual'!G140,0))+parametros_manuales!$F$25*('Plan mensual'!G26+'Plan mensual'!G137+IF(parametros_manuales!$H$25="Todos",'Plan mensual'!G30+'Plan mensual'!G141,0))+parametros_manuales!$G$25*('Plan mensual'!G27+'Plan mensual'!G138+IF(parametros_manuales!$H$25="Todos",'Plan mensual'!G31+'Plan mensual'!G142,0)))*parametros_manuales!$I$25*parametros_manuales!$J$25</f>
        <v>1798.068358264</v>
      </c>
      <c r="F62" s="9" t="n">
        <f aca="false">(parametros_manuales!$D$25*('Plan mensual'!H24+'Plan mensual'!H135+IF(parametros_manuales!$H$25="Todos",'Plan mensual'!H28+'Plan mensual'!H139,0))+parametros_manuales!$E$25*('Plan mensual'!H25+'Plan mensual'!H136+IF(parametros_manuales!$H$25="Todos",'Plan mensual'!H29+'Plan mensual'!H140,0))+parametros_manuales!$F$25*('Plan mensual'!H26+'Plan mensual'!H137+IF(parametros_manuales!$H$25="Todos",'Plan mensual'!H30+'Plan mensual'!H141,0))+parametros_manuales!$G$25*('Plan mensual'!H27+'Plan mensual'!H138+IF(parametros_manuales!$H$25="Todos",'Plan mensual'!H31+'Plan mensual'!H142,0)))*parametros_manuales!$I$25*parametros_manuales!$J$25</f>
        <v>1683.761897332</v>
      </c>
      <c r="G62" s="9" t="n">
        <f aca="false">(parametros_manuales!$D$25*('Plan mensual'!I24+'Plan mensual'!I135+IF(parametros_manuales!$H$25="Todos",'Plan mensual'!I28+'Plan mensual'!I139,0))+parametros_manuales!$E$25*('Plan mensual'!I25+'Plan mensual'!I136+IF(parametros_manuales!$H$25="Todos",'Plan mensual'!I29+'Plan mensual'!I140,0))+parametros_manuales!$F$25*('Plan mensual'!I26+'Plan mensual'!I137+IF(parametros_manuales!$H$25="Todos",'Plan mensual'!I30+'Plan mensual'!I141,0))+parametros_manuales!$G$25*('Plan mensual'!I27+'Plan mensual'!I138+IF(parametros_manuales!$H$25="Todos",'Plan mensual'!I31+'Plan mensual'!I142,0)))*parametros_manuales!$I$25*parametros_manuales!$J$25</f>
        <v>1642.02617519</v>
      </c>
      <c r="H62" s="9" t="n">
        <f aca="false">(parametros_manuales!$D$25*('Plan mensual'!J24+'Plan mensual'!J135+IF(parametros_manuales!$H$25="Todos",'Plan mensual'!J28+'Plan mensual'!J139,0))+parametros_manuales!$E$25*('Plan mensual'!J25+'Plan mensual'!J136+IF(parametros_manuales!$H$25="Todos",'Plan mensual'!J29+'Plan mensual'!J140,0))+parametros_manuales!$F$25*('Plan mensual'!J26+'Plan mensual'!J137+IF(parametros_manuales!$H$25="Todos",'Plan mensual'!J30+'Plan mensual'!J141,0))+parametros_manuales!$G$25*('Plan mensual'!J27+'Plan mensual'!J138+IF(parametros_manuales!$H$25="Todos",'Plan mensual'!J31+'Plan mensual'!J142,0)))*parametros_manuales!$I$25*parametros_manuales!$J$25</f>
        <v>1756.332636122</v>
      </c>
      <c r="I62" s="9" t="n">
        <f aca="false">(parametros_manuales!$D$25*('Plan mensual'!K24+'Plan mensual'!K135+IF(parametros_manuales!$H$25="Todos",'Plan mensual'!K28+'Plan mensual'!K139,0))+parametros_manuales!$E$25*('Plan mensual'!K25+'Plan mensual'!K136+IF(parametros_manuales!$H$25="Todos",'Plan mensual'!K29+'Plan mensual'!K140,0))+parametros_manuales!$F$25*('Plan mensual'!K26+'Plan mensual'!K137+IF(parametros_manuales!$H$25="Todos",'Plan mensual'!K30+'Plan mensual'!K141,0))+parametros_manuales!$G$25*('Plan mensual'!K27+'Plan mensual'!K138+IF(parametros_manuales!$H$25="Todos",'Plan mensual'!K31+'Plan mensual'!K142,0)))*parametros_manuales!$I$25*parametros_manuales!$J$25</f>
        <v>1756.332636122</v>
      </c>
      <c r="J62" s="9" t="n">
        <f aca="false">(parametros_manuales!$D$25*('Plan mensual'!L24+'Plan mensual'!L135+IF(parametros_manuales!$H$25="Todos",'Plan mensual'!L28+'Plan mensual'!L139,0))+parametros_manuales!$E$25*('Plan mensual'!L25+'Plan mensual'!L136+IF(parametros_manuales!$H$25="Todos",'Plan mensual'!L29+'Plan mensual'!L140,0))+parametros_manuales!$F$25*('Plan mensual'!L26+'Plan mensual'!L137+IF(parametros_manuales!$H$25="Todos",'Plan mensual'!L30+'Plan mensual'!L141,0))+parametros_manuales!$G$25*('Plan mensual'!L27+'Plan mensual'!L138+IF(parametros_manuales!$H$25="Todos",'Plan mensual'!L31+'Plan mensual'!L142,0)))*parametros_manuales!$I$25*parametros_manuales!$J$25</f>
        <v>1756.332636122</v>
      </c>
      <c r="K62" s="9" t="n">
        <f aca="false">(parametros_manuales!$D$25*('Plan mensual'!M24+'Plan mensual'!M135+IF(parametros_manuales!$H$25="Todos",'Plan mensual'!M28+'Plan mensual'!M139,0))+parametros_manuales!$E$25*('Plan mensual'!M25+'Plan mensual'!M136+IF(parametros_manuales!$H$25="Todos",'Plan mensual'!M29+'Plan mensual'!M140,0))+parametros_manuales!$F$25*('Plan mensual'!M26+'Plan mensual'!M137+IF(parametros_manuales!$H$25="Todos",'Plan mensual'!M30+'Plan mensual'!M141,0))+parametros_manuales!$G$25*('Plan mensual'!M27+'Plan mensual'!M138+IF(parametros_manuales!$H$25="Todos",'Plan mensual'!M31+'Plan mensual'!M142,0)))*parametros_manuales!$I$25*parametros_manuales!$J$25</f>
        <v>1714.59691398</v>
      </c>
      <c r="L62" s="9" t="n">
        <f aca="false">(parametros_manuales!$D$25*('Plan mensual'!N24+'Plan mensual'!N135+IF(parametros_manuales!$H$25="Todos",'Plan mensual'!N28+'Plan mensual'!N139,0))+parametros_manuales!$E$25*('Plan mensual'!N25+'Plan mensual'!N136+IF(parametros_manuales!$H$25="Todos",'Plan mensual'!N29+'Plan mensual'!N140,0))+parametros_manuales!$F$25*('Plan mensual'!N26+'Plan mensual'!N137+IF(parametros_manuales!$H$25="Todos",'Plan mensual'!N30+'Plan mensual'!N141,0))+parametros_manuales!$G$25*('Plan mensual'!N27+'Plan mensual'!N138+IF(parametros_manuales!$H$25="Todos",'Plan mensual'!N31+'Plan mensual'!N142,0)))*parametros_manuales!$I$25*parametros_manuales!$J$25</f>
        <v>1672.861191838</v>
      </c>
      <c r="M62" s="9" t="n">
        <f aca="false">(parametros_manuales!$D$25*('Plan mensual'!O24+'Plan mensual'!O135+IF(parametros_manuales!$H$25="Todos",'Plan mensual'!O28+'Plan mensual'!O139,0))+parametros_manuales!$E$25*('Plan mensual'!O25+'Plan mensual'!O136+IF(parametros_manuales!$H$25="Todos",'Plan mensual'!O29+'Plan mensual'!O140,0))+parametros_manuales!$F$25*('Plan mensual'!O26+'Plan mensual'!O137+IF(parametros_manuales!$H$25="Todos",'Plan mensual'!O30+'Plan mensual'!O141,0))+parametros_manuales!$G$25*('Plan mensual'!O27+'Plan mensual'!O138+IF(parametros_manuales!$H$25="Todos",'Plan mensual'!O31+'Plan mensual'!O142,0)))*parametros_manuales!$I$25*parametros_manuales!$J$25</f>
        <v>2659.883618084</v>
      </c>
      <c r="N62" s="9" t="n">
        <f aca="false">SUM(B62:M62)</f>
        <v>22861.2921864</v>
      </c>
      <c r="O62" s="9" t="n">
        <f aca="false">MAX(B62:M62)</f>
        <v>2659.883618084</v>
      </c>
      <c r="P62" s="44" t="n">
        <f aca="false">O62/(parametros_manuales!$B$7)</f>
        <v>17.7325574538933</v>
      </c>
      <c r="Q62" s="8" t="str">
        <f aca="false">IF(O62=0,"-",INDEX($B$55:$M$55,MATCH(O62,B62:M62,0)))</f>
        <v>Dic</v>
      </c>
    </row>
    <row r="63" customFormat="false" ht="14.25" hidden="false" customHeight="true" outlineLevel="0" collapsed="false">
      <c r="A63" s="8" t="str">
        <f aca="false">parametros_manuales!$B$26</f>
        <v>Cilindrado</v>
      </c>
      <c r="B63" s="9" t="n">
        <f aca="false">(parametros_manuales!$D$26*('Plan mensual'!D24+'Plan mensual'!D135+IF(parametros_manuales!$H$26="Todos",'Plan mensual'!D28+'Plan mensual'!D139,0))+parametros_manuales!$E$26*('Plan mensual'!D25+'Plan mensual'!D136+IF(parametros_manuales!$H$26="Todos",'Plan mensual'!D29+'Plan mensual'!D140,0))+parametros_manuales!$F$26*('Plan mensual'!D26+'Plan mensual'!D137+IF(parametros_manuales!$H$26="Todos",'Plan mensual'!D30+'Plan mensual'!D141,0))+parametros_manuales!$G$26*('Plan mensual'!D27+'Plan mensual'!D138+IF(parametros_manuales!$H$26="Todos",'Plan mensual'!D31+'Plan mensual'!D142,0)))*parametros_manuales!$I$26*parametros_manuales!$J$26</f>
        <v>834.71444284</v>
      </c>
      <c r="C63" s="9" t="n">
        <f aca="false">(parametros_manuales!$D$26*('Plan mensual'!E24+'Plan mensual'!E135+IF(parametros_manuales!$H$26="Todos",'Plan mensual'!E28+'Plan mensual'!E139,0))+parametros_manuales!$E$26*('Plan mensual'!E25+'Plan mensual'!E136+IF(parametros_manuales!$H$26="Todos",'Plan mensual'!E29+'Plan mensual'!E140,0))+parametros_manuales!$F$26*('Plan mensual'!E26+'Plan mensual'!E137+IF(parametros_manuales!$H$26="Todos",'Plan mensual'!E30+'Plan mensual'!E141,0))+parametros_manuales!$G$26*('Plan mensual'!E27+'Plan mensual'!E138+IF(parametros_manuales!$H$26="Todos",'Plan mensual'!E31+'Plan mensual'!E142,0)))*parametros_manuales!$I$26*parametros_manuales!$J$26</f>
        <v>667.771554272</v>
      </c>
      <c r="D63" s="9" t="n">
        <f aca="false">(parametros_manuales!$D$26*('Plan mensual'!F24+'Plan mensual'!F135+IF(parametros_manuales!$H$26="Todos",'Plan mensual'!F28+'Plan mensual'!F139,0))+parametros_manuales!$E$26*('Plan mensual'!F25+'Plan mensual'!F136+IF(parametros_manuales!$H$26="Todos",'Plan mensual'!F29+'Plan mensual'!F140,0))+parametros_manuales!$F$26*('Plan mensual'!F26+'Plan mensual'!F137+IF(parametros_manuales!$H$26="Todos",'Plan mensual'!F30+'Plan mensual'!F141,0))+parametros_manuales!$G$26*('Plan mensual'!F27+'Plan mensual'!F138+IF(parametros_manuales!$H$26="Todos",'Plan mensual'!F31+'Plan mensual'!F142,0)))*parametros_manuales!$I$26*parametros_manuales!$J$26</f>
        <v>709.507276414</v>
      </c>
      <c r="E63" s="9" t="n">
        <f aca="false">(parametros_manuales!$D$26*('Plan mensual'!G24+'Plan mensual'!G135+IF(parametros_manuales!$H$26="Todos",'Plan mensual'!G28+'Plan mensual'!G139,0))+parametros_manuales!$E$26*('Plan mensual'!G25+'Plan mensual'!G136+IF(parametros_manuales!$H$26="Todos",'Plan mensual'!G29+'Plan mensual'!G140,0))+parametros_manuales!$F$26*('Plan mensual'!G26+'Plan mensual'!G137+IF(parametros_manuales!$H$26="Todos",'Plan mensual'!G30+'Plan mensual'!G141,0))+parametros_manuales!$G$26*('Plan mensual'!G27+'Plan mensual'!G138+IF(parametros_manuales!$H$26="Todos",'Plan mensual'!G31+'Plan mensual'!G142,0)))*parametros_manuales!$I$26*parametros_manuales!$J$26</f>
        <v>709.507276414</v>
      </c>
      <c r="F63" s="9" t="n">
        <f aca="false">(parametros_manuales!$D$26*('Plan mensual'!H24+'Plan mensual'!H135+IF(parametros_manuales!$H$26="Todos",'Plan mensual'!H28+'Plan mensual'!H139,0))+parametros_manuales!$E$26*('Plan mensual'!H25+'Plan mensual'!H136+IF(parametros_manuales!$H$26="Todos",'Plan mensual'!H29+'Plan mensual'!H140,0))+parametros_manuales!$F$26*('Plan mensual'!H26+'Plan mensual'!H137+IF(parametros_manuales!$H$26="Todos",'Plan mensual'!H30+'Plan mensual'!H141,0))+parametros_manuales!$G$26*('Plan mensual'!H27+'Plan mensual'!H138+IF(parametros_manuales!$H$26="Todos",'Plan mensual'!H31+'Plan mensual'!H142,0)))*parametros_manuales!$I$26*parametros_manuales!$J$26</f>
        <v>667.771554272</v>
      </c>
      <c r="G63" s="9" t="n">
        <f aca="false">(parametros_manuales!$D$26*('Plan mensual'!I24+'Plan mensual'!I135+IF(parametros_manuales!$H$26="Todos",'Plan mensual'!I28+'Plan mensual'!I139,0))+parametros_manuales!$E$26*('Plan mensual'!I25+'Plan mensual'!I136+IF(parametros_manuales!$H$26="Todos",'Plan mensual'!I29+'Plan mensual'!I140,0))+parametros_manuales!$F$26*('Plan mensual'!I26+'Plan mensual'!I137+IF(parametros_manuales!$H$26="Todos",'Plan mensual'!I30+'Plan mensual'!I141,0))+parametros_manuales!$G$26*('Plan mensual'!I27+'Plan mensual'!I138+IF(parametros_manuales!$H$26="Todos",'Plan mensual'!I31+'Plan mensual'!I142,0)))*parametros_manuales!$I$26*parametros_manuales!$J$26</f>
        <v>626.03583213</v>
      </c>
      <c r="H63" s="9" t="n">
        <f aca="false">(parametros_manuales!$D$26*('Plan mensual'!J24+'Plan mensual'!J135+IF(parametros_manuales!$H$26="Todos",'Plan mensual'!J28+'Plan mensual'!J139,0))+parametros_manuales!$E$26*('Plan mensual'!J25+'Plan mensual'!J136+IF(parametros_manuales!$H$26="Todos",'Plan mensual'!J29+'Plan mensual'!J140,0))+parametros_manuales!$F$26*('Plan mensual'!J26+'Plan mensual'!J137+IF(parametros_manuales!$H$26="Todos",'Plan mensual'!J30+'Plan mensual'!J141,0))+parametros_manuales!$G$26*('Plan mensual'!J27+'Plan mensual'!J138+IF(parametros_manuales!$H$26="Todos",'Plan mensual'!J31+'Plan mensual'!J142,0)))*parametros_manuales!$I$26*parametros_manuales!$J$26</f>
        <v>667.771554272</v>
      </c>
      <c r="I63" s="9" t="n">
        <f aca="false">(parametros_manuales!$D$26*('Plan mensual'!K24+'Plan mensual'!K135+IF(parametros_manuales!$H$26="Todos",'Plan mensual'!K28+'Plan mensual'!K139,0))+parametros_manuales!$E$26*('Plan mensual'!K25+'Plan mensual'!K136+IF(parametros_manuales!$H$26="Todos",'Plan mensual'!K29+'Plan mensual'!K140,0))+parametros_manuales!$F$26*('Plan mensual'!K26+'Plan mensual'!K137+IF(parametros_manuales!$H$26="Todos",'Plan mensual'!K30+'Plan mensual'!K141,0))+parametros_manuales!$G$26*('Plan mensual'!K27+'Plan mensual'!K138+IF(parametros_manuales!$H$26="Todos",'Plan mensual'!K31+'Plan mensual'!K142,0)))*parametros_manuales!$I$26*parametros_manuales!$J$26</f>
        <v>667.771554272</v>
      </c>
      <c r="J63" s="9" t="n">
        <f aca="false">(parametros_manuales!$D$26*('Plan mensual'!L24+'Plan mensual'!L135+IF(parametros_manuales!$H$26="Todos",'Plan mensual'!L28+'Plan mensual'!L139,0))+parametros_manuales!$E$26*('Plan mensual'!L25+'Plan mensual'!L136+IF(parametros_manuales!$H$26="Todos",'Plan mensual'!L29+'Plan mensual'!L140,0))+parametros_manuales!$F$26*('Plan mensual'!L26+'Plan mensual'!L137+IF(parametros_manuales!$H$26="Todos",'Plan mensual'!L30+'Plan mensual'!L141,0))+parametros_manuales!$G$26*('Plan mensual'!L27+'Plan mensual'!L138+IF(parametros_manuales!$H$26="Todos",'Plan mensual'!L31+'Plan mensual'!L142,0)))*parametros_manuales!$I$26*parametros_manuales!$J$26</f>
        <v>667.771554272</v>
      </c>
      <c r="K63" s="9" t="n">
        <f aca="false">(parametros_manuales!$D$26*('Plan mensual'!M24+'Plan mensual'!M135+IF(parametros_manuales!$H$26="Todos",'Plan mensual'!M28+'Plan mensual'!M139,0))+parametros_manuales!$E$26*('Plan mensual'!M25+'Plan mensual'!M136+IF(parametros_manuales!$H$26="Todos",'Plan mensual'!M29+'Plan mensual'!M140,0))+parametros_manuales!$F$26*('Plan mensual'!M26+'Plan mensual'!M137+IF(parametros_manuales!$H$26="Todos",'Plan mensual'!M30+'Plan mensual'!M141,0))+parametros_manuales!$G$26*('Plan mensual'!M27+'Plan mensual'!M138+IF(parametros_manuales!$H$26="Todos",'Plan mensual'!M31+'Plan mensual'!M142,0)))*parametros_manuales!$I$26*parametros_manuales!$J$26</f>
        <v>626.03583213</v>
      </c>
      <c r="L63" s="9" t="n">
        <f aca="false">(parametros_manuales!$D$26*('Plan mensual'!N24+'Plan mensual'!N135+IF(parametros_manuales!$H$26="Todos",'Plan mensual'!N28+'Plan mensual'!N139,0))+parametros_manuales!$E$26*('Plan mensual'!N25+'Plan mensual'!N136+IF(parametros_manuales!$H$26="Todos",'Plan mensual'!N29+'Plan mensual'!N140,0))+parametros_manuales!$F$26*('Plan mensual'!N26+'Plan mensual'!N137+IF(parametros_manuales!$H$26="Todos",'Plan mensual'!N30+'Plan mensual'!N141,0))+parametros_manuales!$G$26*('Plan mensual'!N27+'Plan mensual'!N138+IF(parametros_manuales!$H$26="Todos",'Plan mensual'!N31+'Plan mensual'!N142,0)))*parametros_manuales!$I$26*parametros_manuales!$J$26</f>
        <v>584.300109988</v>
      </c>
      <c r="M63" s="9" t="n">
        <f aca="false">(parametros_manuales!$D$26*('Plan mensual'!O24+'Plan mensual'!O135+IF(parametros_manuales!$H$26="Todos",'Plan mensual'!O28+'Plan mensual'!O139,0))+parametros_manuales!$E$26*('Plan mensual'!O25+'Plan mensual'!O136+IF(parametros_manuales!$H$26="Todos",'Plan mensual'!O29+'Plan mensual'!O140,0))+parametros_manuales!$F$26*('Plan mensual'!O26+'Plan mensual'!O137+IF(parametros_manuales!$H$26="Todos",'Plan mensual'!O30+'Plan mensual'!O141,0))+parametros_manuales!$G$26*('Plan mensual'!O27+'Plan mensual'!O138+IF(parametros_manuales!$H$26="Todos",'Plan mensual'!O31+'Plan mensual'!O142,0)))*parametros_manuales!$I$26*parametros_manuales!$J$26</f>
        <v>918.185887124</v>
      </c>
      <c r="N63" s="9" t="n">
        <f aca="false">SUM(B63:M63)</f>
        <v>8347.1444284</v>
      </c>
      <c r="O63" s="9" t="n">
        <f aca="false">MAX(B63:M63)</f>
        <v>918.185887124</v>
      </c>
      <c r="P63" s="44" t="n">
        <f aca="false">O63/(parametros_manuales!$B$7)</f>
        <v>6.12123924749333</v>
      </c>
      <c r="Q63" s="8" t="str">
        <f aca="false">IF(O63=0,"-",INDEX($B$55:$M$55,MATCH(O63,B63:M63,0)))</f>
        <v>Dic</v>
      </c>
    </row>
    <row r="64" customFormat="false" ht="14.25" hidden="false" customHeight="true" outlineLevel="0" collapsed="false">
      <c r="A64" s="8" t="str">
        <f aca="false">parametros_manuales!$B$27</f>
        <v>Soldadura longitudinal</v>
      </c>
      <c r="B64" s="9" t="n">
        <f aca="false">(parametros_manuales!$D$27*('Plan mensual'!D24+'Plan mensual'!D135+IF(parametros_manuales!$H$27="Todos",'Plan mensual'!D28+'Plan mensual'!D139,0))+parametros_manuales!$E$27*('Plan mensual'!D25+'Plan mensual'!D136+IF(parametros_manuales!$H$27="Todos",'Plan mensual'!D29+'Plan mensual'!D140,0))+parametros_manuales!$F$27*('Plan mensual'!D26+'Plan mensual'!D137+IF(parametros_manuales!$H$27="Todos",'Plan mensual'!D30+'Plan mensual'!D141,0))+parametros_manuales!$G$27*('Plan mensual'!D27+'Plan mensual'!D138+IF(parametros_manuales!$H$27="Todos",'Plan mensual'!D31+'Plan mensual'!D142,0)))*parametros_manuales!$I$27*parametros_manuales!$J$27</f>
        <v>834.71444284</v>
      </c>
      <c r="C64" s="9" t="n">
        <f aca="false">(parametros_manuales!$D$27*('Plan mensual'!E24+'Plan mensual'!E135+IF(parametros_manuales!$H$27="Todos",'Plan mensual'!E28+'Plan mensual'!E139,0))+parametros_manuales!$E$27*('Plan mensual'!E25+'Plan mensual'!E136+IF(parametros_manuales!$H$27="Todos",'Plan mensual'!E29+'Plan mensual'!E140,0))+parametros_manuales!$F$27*('Plan mensual'!E26+'Plan mensual'!E137+IF(parametros_manuales!$H$27="Todos",'Plan mensual'!E30+'Plan mensual'!E141,0))+parametros_manuales!$G$27*('Plan mensual'!E27+'Plan mensual'!E138+IF(parametros_manuales!$H$27="Todos",'Plan mensual'!E31+'Plan mensual'!E142,0)))*parametros_manuales!$I$27*parametros_manuales!$J$27</f>
        <v>667.771554272</v>
      </c>
      <c r="D64" s="9" t="n">
        <f aca="false">(parametros_manuales!$D$27*('Plan mensual'!F24+'Plan mensual'!F135+IF(parametros_manuales!$H$27="Todos",'Plan mensual'!F28+'Plan mensual'!F139,0))+parametros_manuales!$E$27*('Plan mensual'!F25+'Plan mensual'!F136+IF(parametros_manuales!$H$27="Todos",'Plan mensual'!F29+'Plan mensual'!F140,0))+parametros_manuales!$F$27*('Plan mensual'!F26+'Plan mensual'!F137+IF(parametros_manuales!$H$27="Todos",'Plan mensual'!F30+'Plan mensual'!F141,0))+parametros_manuales!$G$27*('Plan mensual'!F27+'Plan mensual'!F138+IF(parametros_manuales!$H$27="Todos",'Plan mensual'!F31+'Plan mensual'!F142,0)))*parametros_manuales!$I$27*parametros_manuales!$J$27</f>
        <v>709.507276414</v>
      </c>
      <c r="E64" s="9" t="n">
        <f aca="false">(parametros_manuales!$D$27*('Plan mensual'!G24+'Plan mensual'!G135+IF(parametros_manuales!$H$27="Todos",'Plan mensual'!G28+'Plan mensual'!G139,0))+parametros_manuales!$E$27*('Plan mensual'!G25+'Plan mensual'!G136+IF(parametros_manuales!$H$27="Todos",'Plan mensual'!G29+'Plan mensual'!G140,0))+parametros_manuales!$F$27*('Plan mensual'!G26+'Plan mensual'!G137+IF(parametros_manuales!$H$27="Todos",'Plan mensual'!G30+'Plan mensual'!G141,0))+parametros_manuales!$G$27*('Plan mensual'!G27+'Plan mensual'!G138+IF(parametros_manuales!$H$27="Todos",'Plan mensual'!G31+'Plan mensual'!G142,0)))*parametros_manuales!$I$27*parametros_manuales!$J$27</f>
        <v>709.507276414</v>
      </c>
      <c r="F64" s="9" t="n">
        <f aca="false">(parametros_manuales!$D$27*('Plan mensual'!H24+'Plan mensual'!H135+IF(parametros_manuales!$H$27="Todos",'Plan mensual'!H28+'Plan mensual'!H139,0))+parametros_manuales!$E$27*('Plan mensual'!H25+'Plan mensual'!H136+IF(parametros_manuales!$H$27="Todos",'Plan mensual'!H29+'Plan mensual'!H140,0))+parametros_manuales!$F$27*('Plan mensual'!H26+'Plan mensual'!H137+IF(parametros_manuales!$H$27="Todos",'Plan mensual'!H30+'Plan mensual'!H141,0))+parametros_manuales!$G$27*('Plan mensual'!H27+'Plan mensual'!H138+IF(parametros_manuales!$H$27="Todos",'Plan mensual'!H31+'Plan mensual'!H142,0)))*parametros_manuales!$I$27*parametros_manuales!$J$27</f>
        <v>667.771554272</v>
      </c>
      <c r="G64" s="9" t="n">
        <f aca="false">(parametros_manuales!$D$27*('Plan mensual'!I24+'Plan mensual'!I135+IF(parametros_manuales!$H$27="Todos",'Plan mensual'!I28+'Plan mensual'!I139,0))+parametros_manuales!$E$27*('Plan mensual'!I25+'Plan mensual'!I136+IF(parametros_manuales!$H$27="Todos",'Plan mensual'!I29+'Plan mensual'!I140,0))+parametros_manuales!$F$27*('Plan mensual'!I26+'Plan mensual'!I137+IF(parametros_manuales!$H$27="Todos",'Plan mensual'!I30+'Plan mensual'!I141,0))+parametros_manuales!$G$27*('Plan mensual'!I27+'Plan mensual'!I138+IF(parametros_manuales!$H$27="Todos",'Plan mensual'!I31+'Plan mensual'!I142,0)))*parametros_manuales!$I$27*parametros_manuales!$J$27</f>
        <v>626.03583213</v>
      </c>
      <c r="H64" s="9" t="n">
        <f aca="false">(parametros_manuales!$D$27*('Plan mensual'!J24+'Plan mensual'!J135+IF(parametros_manuales!$H$27="Todos",'Plan mensual'!J28+'Plan mensual'!J139,0))+parametros_manuales!$E$27*('Plan mensual'!J25+'Plan mensual'!J136+IF(parametros_manuales!$H$27="Todos",'Plan mensual'!J29+'Plan mensual'!J140,0))+parametros_manuales!$F$27*('Plan mensual'!J26+'Plan mensual'!J137+IF(parametros_manuales!$H$27="Todos",'Plan mensual'!J30+'Plan mensual'!J141,0))+parametros_manuales!$G$27*('Plan mensual'!J27+'Plan mensual'!J138+IF(parametros_manuales!$H$27="Todos",'Plan mensual'!J31+'Plan mensual'!J142,0)))*parametros_manuales!$I$27*parametros_manuales!$J$27</f>
        <v>667.771554272</v>
      </c>
      <c r="I64" s="9" t="n">
        <f aca="false">(parametros_manuales!$D$27*('Plan mensual'!K24+'Plan mensual'!K135+IF(parametros_manuales!$H$27="Todos",'Plan mensual'!K28+'Plan mensual'!K139,0))+parametros_manuales!$E$27*('Plan mensual'!K25+'Plan mensual'!K136+IF(parametros_manuales!$H$27="Todos",'Plan mensual'!K29+'Plan mensual'!K140,0))+parametros_manuales!$F$27*('Plan mensual'!K26+'Plan mensual'!K137+IF(parametros_manuales!$H$27="Todos",'Plan mensual'!K30+'Plan mensual'!K141,0))+parametros_manuales!$G$27*('Plan mensual'!K27+'Plan mensual'!K138+IF(parametros_manuales!$H$27="Todos",'Plan mensual'!K31+'Plan mensual'!K142,0)))*parametros_manuales!$I$27*parametros_manuales!$J$27</f>
        <v>667.771554272</v>
      </c>
      <c r="J64" s="9" t="n">
        <f aca="false">(parametros_manuales!$D$27*('Plan mensual'!L24+'Plan mensual'!L135+IF(parametros_manuales!$H$27="Todos",'Plan mensual'!L28+'Plan mensual'!L139,0))+parametros_manuales!$E$27*('Plan mensual'!L25+'Plan mensual'!L136+IF(parametros_manuales!$H$27="Todos",'Plan mensual'!L29+'Plan mensual'!L140,0))+parametros_manuales!$F$27*('Plan mensual'!L26+'Plan mensual'!L137+IF(parametros_manuales!$H$27="Todos",'Plan mensual'!L30+'Plan mensual'!L141,0))+parametros_manuales!$G$27*('Plan mensual'!L27+'Plan mensual'!L138+IF(parametros_manuales!$H$27="Todos",'Plan mensual'!L31+'Plan mensual'!L142,0)))*parametros_manuales!$I$27*parametros_manuales!$J$27</f>
        <v>667.771554272</v>
      </c>
      <c r="K64" s="9" t="n">
        <f aca="false">(parametros_manuales!$D$27*('Plan mensual'!M24+'Plan mensual'!M135+IF(parametros_manuales!$H$27="Todos",'Plan mensual'!M28+'Plan mensual'!M139,0))+parametros_manuales!$E$27*('Plan mensual'!M25+'Plan mensual'!M136+IF(parametros_manuales!$H$27="Todos",'Plan mensual'!M29+'Plan mensual'!M140,0))+parametros_manuales!$F$27*('Plan mensual'!M26+'Plan mensual'!M137+IF(parametros_manuales!$H$27="Todos",'Plan mensual'!M30+'Plan mensual'!M141,0))+parametros_manuales!$G$27*('Plan mensual'!M27+'Plan mensual'!M138+IF(parametros_manuales!$H$27="Todos",'Plan mensual'!M31+'Plan mensual'!M142,0)))*parametros_manuales!$I$27*parametros_manuales!$J$27</f>
        <v>626.03583213</v>
      </c>
      <c r="L64" s="9" t="n">
        <f aca="false">(parametros_manuales!$D$27*('Plan mensual'!N24+'Plan mensual'!N135+IF(parametros_manuales!$H$27="Todos",'Plan mensual'!N28+'Plan mensual'!N139,0))+parametros_manuales!$E$27*('Plan mensual'!N25+'Plan mensual'!N136+IF(parametros_manuales!$H$27="Todos",'Plan mensual'!N29+'Plan mensual'!N140,0))+parametros_manuales!$F$27*('Plan mensual'!N26+'Plan mensual'!N137+IF(parametros_manuales!$H$27="Todos",'Plan mensual'!N30+'Plan mensual'!N141,0))+parametros_manuales!$G$27*('Plan mensual'!N27+'Plan mensual'!N138+IF(parametros_manuales!$H$27="Todos",'Plan mensual'!N31+'Plan mensual'!N142,0)))*parametros_manuales!$I$27*parametros_manuales!$J$27</f>
        <v>584.300109988</v>
      </c>
      <c r="M64" s="9" t="n">
        <f aca="false">(parametros_manuales!$D$27*('Plan mensual'!O24+'Plan mensual'!O135+IF(parametros_manuales!$H$27="Todos",'Plan mensual'!O28+'Plan mensual'!O139,0))+parametros_manuales!$E$27*('Plan mensual'!O25+'Plan mensual'!O136+IF(parametros_manuales!$H$27="Todos",'Plan mensual'!O29+'Plan mensual'!O140,0))+parametros_manuales!$F$27*('Plan mensual'!O26+'Plan mensual'!O137+IF(parametros_manuales!$H$27="Todos",'Plan mensual'!O30+'Plan mensual'!O141,0))+parametros_manuales!$G$27*('Plan mensual'!O27+'Plan mensual'!O138+IF(parametros_manuales!$H$27="Todos",'Plan mensual'!O31+'Plan mensual'!O142,0)))*parametros_manuales!$I$27*parametros_manuales!$J$27</f>
        <v>918.185887124</v>
      </c>
      <c r="N64" s="9" t="n">
        <f aca="false">SUM(B64:M64)</f>
        <v>8347.1444284</v>
      </c>
      <c r="O64" s="9" t="n">
        <f aca="false">MAX(B64:M64)</f>
        <v>918.185887124</v>
      </c>
      <c r="P64" s="44" t="n">
        <f aca="false">O64/(parametros_manuales!$B$7)</f>
        <v>6.12123924749333</v>
      </c>
      <c r="Q64" s="8" t="str">
        <f aca="false">IF(O64=0,"-",INDEX($B$55:$M$55,MATCH(O64,B64:M64,0)))</f>
        <v>Dic</v>
      </c>
    </row>
    <row r="65" customFormat="false" ht="14.25" hidden="false" customHeight="true" outlineLevel="0" collapsed="false">
      <c r="A65" s="8" t="str">
        <f aca="false">parametros_manuales!$B$28</f>
        <v>Encastre de fondo</v>
      </c>
      <c r="B65" s="9" t="n">
        <f aca="false">(parametros_manuales!$D$28*('Plan mensual'!D24+'Plan mensual'!D135+IF(parametros_manuales!$H$28="Todos",'Plan mensual'!D28+'Plan mensual'!D139,0))+parametros_manuales!$E$28*('Plan mensual'!D25+'Plan mensual'!D136+IF(parametros_manuales!$H$28="Todos",'Plan mensual'!D29+'Plan mensual'!D140,0))+parametros_manuales!$F$28*('Plan mensual'!D26+'Plan mensual'!D137+IF(parametros_manuales!$H$28="Todos",'Plan mensual'!D30+'Plan mensual'!D141,0))+parametros_manuales!$G$28*('Plan mensual'!D27+'Plan mensual'!D138+IF(parametros_manuales!$H$28="Todos",'Plan mensual'!D31+'Plan mensual'!D142,0)))*parametros_manuales!$I$28*parametros_manuales!$J$28</f>
        <v>2576.4121738</v>
      </c>
      <c r="C65" s="9" t="n">
        <f aca="false">(parametros_manuales!$D$28*('Plan mensual'!E24+'Plan mensual'!E135+IF(parametros_manuales!$H$28="Todos",'Plan mensual'!E28+'Plan mensual'!E139,0))+parametros_manuales!$E$28*('Plan mensual'!E25+'Plan mensual'!E136+IF(parametros_manuales!$H$28="Todos",'Plan mensual'!E29+'Plan mensual'!E140,0))+parametros_manuales!$F$28*('Plan mensual'!E26+'Plan mensual'!E137+IF(parametros_manuales!$H$28="Todos",'Plan mensual'!E30+'Plan mensual'!E141,0))+parametros_manuales!$G$28*('Plan mensual'!E27+'Plan mensual'!E138+IF(parametros_manuales!$H$28="Todos",'Plan mensual'!E31+'Plan mensual'!E142,0)))*parametros_manuales!$I$28*parametros_manuales!$J$28</f>
        <v>1974.044852492</v>
      </c>
      <c r="D65" s="9" t="n">
        <f aca="false">(parametros_manuales!$D$28*('Plan mensual'!F24+'Plan mensual'!F135+IF(parametros_manuales!$H$28="Todos",'Plan mensual'!F28+'Plan mensual'!F139,0))+parametros_manuales!$E$28*('Plan mensual'!F25+'Plan mensual'!F136+IF(parametros_manuales!$H$28="Todos",'Plan mensual'!F29+'Plan mensual'!F140,0))+parametros_manuales!$F$28*('Plan mensual'!F26+'Plan mensual'!F137+IF(parametros_manuales!$H$28="Todos",'Plan mensual'!F30+'Plan mensual'!F141,0))+parametros_manuales!$G$28*('Plan mensual'!F27+'Plan mensual'!F138+IF(parametros_manuales!$H$28="Todos",'Plan mensual'!F31+'Plan mensual'!F142,0)))*parametros_manuales!$I$28*parametros_manuales!$J$28</f>
        <v>1870.639097054</v>
      </c>
      <c r="E65" s="9" t="n">
        <f aca="false">(parametros_manuales!$D$28*('Plan mensual'!G24+'Plan mensual'!G135+IF(parametros_manuales!$H$28="Todos",'Plan mensual'!G28+'Plan mensual'!G139,0))+parametros_manuales!$E$28*('Plan mensual'!G25+'Plan mensual'!G136+IF(parametros_manuales!$H$28="Todos",'Plan mensual'!G29+'Plan mensual'!G140,0))+parametros_manuales!$F$28*('Plan mensual'!G26+'Plan mensual'!G137+IF(parametros_manuales!$H$28="Todos",'Plan mensual'!G30+'Plan mensual'!G141,0))+parametros_manuales!$G$28*('Plan mensual'!G27+'Plan mensual'!G138+IF(parametros_manuales!$H$28="Todos",'Plan mensual'!G31+'Plan mensual'!G142,0)))*parametros_manuales!$I$28*parametros_manuales!$J$28</f>
        <v>1798.068358264</v>
      </c>
      <c r="F65" s="9" t="n">
        <f aca="false">(parametros_manuales!$D$28*('Plan mensual'!H24+'Plan mensual'!H135+IF(parametros_manuales!$H$28="Todos",'Plan mensual'!H28+'Plan mensual'!H139,0))+parametros_manuales!$E$28*('Plan mensual'!H25+'Plan mensual'!H136+IF(parametros_manuales!$H$28="Todos",'Plan mensual'!H29+'Plan mensual'!H140,0))+parametros_manuales!$F$28*('Plan mensual'!H26+'Plan mensual'!H137+IF(parametros_manuales!$H$28="Todos",'Plan mensual'!H30+'Plan mensual'!H141,0))+parametros_manuales!$G$28*('Plan mensual'!H27+'Plan mensual'!H138+IF(parametros_manuales!$H$28="Todos",'Plan mensual'!H31+'Plan mensual'!H142,0)))*parametros_manuales!$I$28*parametros_manuales!$J$28</f>
        <v>1683.761897332</v>
      </c>
      <c r="G65" s="9" t="n">
        <f aca="false">(parametros_manuales!$D$28*('Plan mensual'!I24+'Plan mensual'!I135+IF(parametros_manuales!$H$28="Todos",'Plan mensual'!I28+'Plan mensual'!I139,0))+parametros_manuales!$E$28*('Plan mensual'!I25+'Plan mensual'!I136+IF(parametros_manuales!$H$28="Todos",'Plan mensual'!I29+'Plan mensual'!I140,0))+parametros_manuales!$F$28*('Plan mensual'!I26+'Plan mensual'!I137+IF(parametros_manuales!$H$28="Todos",'Plan mensual'!I30+'Plan mensual'!I141,0))+parametros_manuales!$G$28*('Plan mensual'!I27+'Plan mensual'!I138+IF(parametros_manuales!$H$28="Todos",'Plan mensual'!I31+'Plan mensual'!I142,0)))*parametros_manuales!$I$28*parametros_manuales!$J$28</f>
        <v>1642.02617519</v>
      </c>
      <c r="H65" s="9" t="n">
        <f aca="false">(parametros_manuales!$D$28*('Plan mensual'!J24+'Plan mensual'!J135+IF(parametros_manuales!$H$28="Todos",'Plan mensual'!J28+'Plan mensual'!J139,0))+parametros_manuales!$E$28*('Plan mensual'!J25+'Plan mensual'!J136+IF(parametros_manuales!$H$28="Todos",'Plan mensual'!J29+'Plan mensual'!J140,0))+parametros_manuales!$F$28*('Plan mensual'!J26+'Plan mensual'!J137+IF(parametros_manuales!$H$28="Todos",'Plan mensual'!J30+'Plan mensual'!J141,0))+parametros_manuales!$G$28*('Plan mensual'!J27+'Plan mensual'!J138+IF(parametros_manuales!$H$28="Todos",'Plan mensual'!J31+'Plan mensual'!J142,0)))*parametros_manuales!$I$28*parametros_manuales!$J$28</f>
        <v>1756.332636122</v>
      </c>
      <c r="I65" s="9" t="n">
        <f aca="false">(parametros_manuales!$D$28*('Plan mensual'!K24+'Plan mensual'!K135+IF(parametros_manuales!$H$28="Todos",'Plan mensual'!K28+'Plan mensual'!K139,0))+parametros_manuales!$E$28*('Plan mensual'!K25+'Plan mensual'!K136+IF(parametros_manuales!$H$28="Todos",'Plan mensual'!K29+'Plan mensual'!K140,0))+parametros_manuales!$F$28*('Plan mensual'!K26+'Plan mensual'!K137+IF(parametros_manuales!$H$28="Todos",'Plan mensual'!K30+'Plan mensual'!K141,0))+parametros_manuales!$G$28*('Plan mensual'!K27+'Plan mensual'!K138+IF(parametros_manuales!$H$28="Todos",'Plan mensual'!K31+'Plan mensual'!K142,0)))*parametros_manuales!$I$28*parametros_manuales!$J$28</f>
        <v>1756.332636122</v>
      </c>
      <c r="J65" s="9" t="n">
        <f aca="false">(parametros_manuales!$D$28*('Plan mensual'!L24+'Plan mensual'!L135+IF(parametros_manuales!$H$28="Todos",'Plan mensual'!L28+'Plan mensual'!L139,0))+parametros_manuales!$E$28*('Plan mensual'!L25+'Plan mensual'!L136+IF(parametros_manuales!$H$28="Todos",'Plan mensual'!L29+'Plan mensual'!L140,0))+parametros_manuales!$F$28*('Plan mensual'!L26+'Plan mensual'!L137+IF(parametros_manuales!$H$28="Todos",'Plan mensual'!L30+'Plan mensual'!L141,0))+parametros_manuales!$G$28*('Plan mensual'!L27+'Plan mensual'!L138+IF(parametros_manuales!$H$28="Todos",'Plan mensual'!L31+'Plan mensual'!L142,0)))*parametros_manuales!$I$28*parametros_manuales!$J$28</f>
        <v>1756.332636122</v>
      </c>
      <c r="K65" s="9" t="n">
        <f aca="false">(parametros_manuales!$D$28*('Plan mensual'!M24+'Plan mensual'!M135+IF(parametros_manuales!$H$28="Todos",'Plan mensual'!M28+'Plan mensual'!M139,0))+parametros_manuales!$E$28*('Plan mensual'!M25+'Plan mensual'!M136+IF(parametros_manuales!$H$28="Todos",'Plan mensual'!M29+'Plan mensual'!M140,0))+parametros_manuales!$F$28*('Plan mensual'!M26+'Plan mensual'!M137+IF(parametros_manuales!$H$28="Todos",'Plan mensual'!M30+'Plan mensual'!M141,0))+parametros_manuales!$G$28*('Plan mensual'!M27+'Plan mensual'!M138+IF(parametros_manuales!$H$28="Todos",'Plan mensual'!M31+'Plan mensual'!M142,0)))*parametros_manuales!$I$28*parametros_manuales!$J$28</f>
        <v>1714.59691398</v>
      </c>
      <c r="L65" s="9" t="n">
        <f aca="false">(parametros_manuales!$D$28*('Plan mensual'!N24+'Plan mensual'!N135+IF(parametros_manuales!$H$28="Todos",'Plan mensual'!N28+'Plan mensual'!N139,0))+parametros_manuales!$E$28*('Plan mensual'!N25+'Plan mensual'!N136+IF(parametros_manuales!$H$28="Todos",'Plan mensual'!N29+'Plan mensual'!N140,0))+parametros_manuales!$F$28*('Plan mensual'!N26+'Plan mensual'!N137+IF(parametros_manuales!$H$28="Todos",'Plan mensual'!N30+'Plan mensual'!N141,0))+parametros_manuales!$G$28*('Plan mensual'!N27+'Plan mensual'!N138+IF(parametros_manuales!$H$28="Todos",'Plan mensual'!N31+'Plan mensual'!N142,0)))*parametros_manuales!$I$28*parametros_manuales!$J$28</f>
        <v>1672.861191838</v>
      </c>
      <c r="M65" s="9" t="n">
        <f aca="false">(parametros_manuales!$D$28*('Plan mensual'!O24+'Plan mensual'!O135+IF(parametros_manuales!$H$28="Todos",'Plan mensual'!O28+'Plan mensual'!O139,0))+parametros_manuales!$E$28*('Plan mensual'!O25+'Plan mensual'!O136+IF(parametros_manuales!$H$28="Todos",'Plan mensual'!O29+'Plan mensual'!O140,0))+parametros_manuales!$F$28*('Plan mensual'!O26+'Plan mensual'!O137+IF(parametros_manuales!$H$28="Todos",'Plan mensual'!O30+'Plan mensual'!O141,0))+parametros_manuales!$G$28*('Plan mensual'!O27+'Plan mensual'!O138+IF(parametros_manuales!$H$28="Todos",'Plan mensual'!O31+'Plan mensual'!O142,0)))*parametros_manuales!$I$28*parametros_manuales!$J$28</f>
        <v>2659.883618084</v>
      </c>
      <c r="N65" s="9" t="n">
        <f aca="false">SUM(B65:M65)</f>
        <v>22861.2921864</v>
      </c>
      <c r="O65" s="9" t="n">
        <f aca="false">MAX(B65:M65)</f>
        <v>2659.883618084</v>
      </c>
      <c r="P65" s="44" t="n">
        <f aca="false">O65/(parametros_manuales!$B$7)</f>
        <v>17.7325574538933</v>
      </c>
      <c r="Q65" s="8" t="str">
        <f aca="false">IF(O65=0,"-",INDEX($B$55:$M$55,MATCH(O65,B65:M65,0)))</f>
        <v>Dic</v>
      </c>
    </row>
    <row r="66" customFormat="false" ht="14.25" hidden="false" customHeight="true" outlineLevel="0" collapsed="false">
      <c r="A66" s="8" t="str">
        <f aca="false">parametros_manuales!$B$29</f>
        <v>Bordoneado</v>
      </c>
      <c r="B66" s="9" t="n">
        <f aca="false">(parametros_manuales!$D$29*('Plan mensual'!D24+'Plan mensual'!D135+IF(parametros_manuales!$H$29="Todos",'Plan mensual'!D28+'Plan mensual'!D139,0))+parametros_manuales!$E$29*('Plan mensual'!D25+'Plan mensual'!D136+IF(parametros_manuales!$H$29="Todos",'Plan mensual'!D29+'Plan mensual'!D140,0))+parametros_manuales!$F$29*('Plan mensual'!D26+'Plan mensual'!D137+IF(parametros_manuales!$H$29="Todos",'Plan mensual'!D30+'Plan mensual'!D141,0))+parametros_manuales!$G$29*('Plan mensual'!D27+'Plan mensual'!D138+IF(parametros_manuales!$H$29="Todos",'Plan mensual'!D31+'Plan mensual'!D142,0)))*parametros_manuales!$I$29*parametros_manuales!$J$29</f>
        <v>2576.4121738</v>
      </c>
      <c r="C66" s="9" t="n">
        <f aca="false">(parametros_manuales!$D$29*('Plan mensual'!E24+'Plan mensual'!E135+IF(parametros_manuales!$H$29="Todos",'Plan mensual'!E28+'Plan mensual'!E139,0))+parametros_manuales!$E$29*('Plan mensual'!E25+'Plan mensual'!E136+IF(parametros_manuales!$H$29="Todos",'Plan mensual'!E29+'Plan mensual'!E140,0))+parametros_manuales!$F$29*('Plan mensual'!E26+'Plan mensual'!E137+IF(parametros_manuales!$H$29="Todos",'Plan mensual'!E30+'Plan mensual'!E141,0))+parametros_manuales!$G$29*('Plan mensual'!E27+'Plan mensual'!E138+IF(parametros_manuales!$H$29="Todos",'Plan mensual'!E31+'Plan mensual'!E142,0)))*parametros_manuales!$I$29*parametros_manuales!$J$29</f>
        <v>1974.044852492</v>
      </c>
      <c r="D66" s="9" t="n">
        <f aca="false">(parametros_manuales!$D$29*('Plan mensual'!F24+'Plan mensual'!F135+IF(parametros_manuales!$H$29="Todos",'Plan mensual'!F28+'Plan mensual'!F139,0))+parametros_manuales!$E$29*('Plan mensual'!F25+'Plan mensual'!F136+IF(parametros_manuales!$H$29="Todos",'Plan mensual'!F29+'Plan mensual'!F140,0))+parametros_manuales!$F$29*('Plan mensual'!F26+'Plan mensual'!F137+IF(parametros_manuales!$H$29="Todos",'Plan mensual'!F30+'Plan mensual'!F141,0))+parametros_manuales!$G$29*('Plan mensual'!F27+'Plan mensual'!F138+IF(parametros_manuales!$H$29="Todos",'Plan mensual'!F31+'Plan mensual'!F142,0)))*parametros_manuales!$I$29*parametros_manuales!$J$29</f>
        <v>1870.639097054</v>
      </c>
      <c r="E66" s="9" t="n">
        <f aca="false">(parametros_manuales!$D$29*('Plan mensual'!G24+'Plan mensual'!G135+IF(parametros_manuales!$H$29="Todos",'Plan mensual'!G28+'Plan mensual'!G139,0))+parametros_manuales!$E$29*('Plan mensual'!G25+'Plan mensual'!G136+IF(parametros_manuales!$H$29="Todos",'Plan mensual'!G29+'Plan mensual'!G140,0))+parametros_manuales!$F$29*('Plan mensual'!G26+'Plan mensual'!G137+IF(parametros_manuales!$H$29="Todos",'Plan mensual'!G30+'Plan mensual'!G141,0))+parametros_manuales!$G$29*('Plan mensual'!G27+'Plan mensual'!G138+IF(parametros_manuales!$H$29="Todos",'Plan mensual'!G31+'Plan mensual'!G142,0)))*parametros_manuales!$I$29*parametros_manuales!$J$29</f>
        <v>1798.068358264</v>
      </c>
      <c r="F66" s="9" t="n">
        <f aca="false">(parametros_manuales!$D$29*('Plan mensual'!H24+'Plan mensual'!H135+IF(parametros_manuales!$H$29="Todos",'Plan mensual'!H28+'Plan mensual'!H139,0))+parametros_manuales!$E$29*('Plan mensual'!H25+'Plan mensual'!H136+IF(parametros_manuales!$H$29="Todos",'Plan mensual'!H29+'Plan mensual'!H140,0))+parametros_manuales!$F$29*('Plan mensual'!H26+'Plan mensual'!H137+IF(parametros_manuales!$H$29="Todos",'Plan mensual'!H30+'Plan mensual'!H141,0))+parametros_manuales!$G$29*('Plan mensual'!H27+'Plan mensual'!H138+IF(parametros_manuales!$H$29="Todos",'Plan mensual'!H31+'Plan mensual'!H142,0)))*parametros_manuales!$I$29*parametros_manuales!$J$29</f>
        <v>1683.761897332</v>
      </c>
      <c r="G66" s="9" t="n">
        <f aca="false">(parametros_manuales!$D$29*('Plan mensual'!I24+'Plan mensual'!I135+IF(parametros_manuales!$H$29="Todos",'Plan mensual'!I28+'Plan mensual'!I139,0))+parametros_manuales!$E$29*('Plan mensual'!I25+'Plan mensual'!I136+IF(parametros_manuales!$H$29="Todos",'Plan mensual'!I29+'Plan mensual'!I140,0))+parametros_manuales!$F$29*('Plan mensual'!I26+'Plan mensual'!I137+IF(parametros_manuales!$H$29="Todos",'Plan mensual'!I30+'Plan mensual'!I141,0))+parametros_manuales!$G$29*('Plan mensual'!I27+'Plan mensual'!I138+IF(parametros_manuales!$H$29="Todos",'Plan mensual'!I31+'Plan mensual'!I142,0)))*parametros_manuales!$I$29*parametros_manuales!$J$29</f>
        <v>1642.02617519</v>
      </c>
      <c r="H66" s="9" t="n">
        <f aca="false">(parametros_manuales!$D$29*('Plan mensual'!J24+'Plan mensual'!J135+IF(parametros_manuales!$H$29="Todos",'Plan mensual'!J28+'Plan mensual'!J139,0))+parametros_manuales!$E$29*('Plan mensual'!J25+'Plan mensual'!J136+IF(parametros_manuales!$H$29="Todos",'Plan mensual'!J29+'Plan mensual'!J140,0))+parametros_manuales!$F$29*('Plan mensual'!J26+'Plan mensual'!J137+IF(parametros_manuales!$H$29="Todos",'Plan mensual'!J30+'Plan mensual'!J141,0))+parametros_manuales!$G$29*('Plan mensual'!J27+'Plan mensual'!J138+IF(parametros_manuales!$H$29="Todos",'Plan mensual'!J31+'Plan mensual'!J142,0)))*parametros_manuales!$I$29*parametros_manuales!$J$29</f>
        <v>1756.332636122</v>
      </c>
      <c r="I66" s="9" t="n">
        <f aca="false">(parametros_manuales!$D$29*('Plan mensual'!K24+'Plan mensual'!K135+IF(parametros_manuales!$H$29="Todos",'Plan mensual'!K28+'Plan mensual'!K139,0))+parametros_manuales!$E$29*('Plan mensual'!K25+'Plan mensual'!K136+IF(parametros_manuales!$H$29="Todos",'Plan mensual'!K29+'Plan mensual'!K140,0))+parametros_manuales!$F$29*('Plan mensual'!K26+'Plan mensual'!K137+IF(parametros_manuales!$H$29="Todos",'Plan mensual'!K30+'Plan mensual'!K141,0))+parametros_manuales!$G$29*('Plan mensual'!K27+'Plan mensual'!K138+IF(parametros_manuales!$H$29="Todos",'Plan mensual'!K31+'Plan mensual'!K142,0)))*parametros_manuales!$I$29*parametros_manuales!$J$29</f>
        <v>1756.332636122</v>
      </c>
      <c r="J66" s="9" t="n">
        <f aca="false">(parametros_manuales!$D$29*('Plan mensual'!L24+'Plan mensual'!L135+IF(parametros_manuales!$H$29="Todos",'Plan mensual'!L28+'Plan mensual'!L139,0))+parametros_manuales!$E$29*('Plan mensual'!L25+'Plan mensual'!L136+IF(parametros_manuales!$H$29="Todos",'Plan mensual'!L29+'Plan mensual'!L140,0))+parametros_manuales!$F$29*('Plan mensual'!L26+'Plan mensual'!L137+IF(parametros_manuales!$H$29="Todos",'Plan mensual'!L30+'Plan mensual'!L141,0))+parametros_manuales!$G$29*('Plan mensual'!L27+'Plan mensual'!L138+IF(parametros_manuales!$H$29="Todos",'Plan mensual'!L31+'Plan mensual'!L142,0)))*parametros_manuales!$I$29*parametros_manuales!$J$29</f>
        <v>1756.332636122</v>
      </c>
      <c r="K66" s="9" t="n">
        <f aca="false">(parametros_manuales!$D$29*('Plan mensual'!M24+'Plan mensual'!M135+IF(parametros_manuales!$H$29="Todos",'Plan mensual'!M28+'Plan mensual'!M139,0))+parametros_manuales!$E$29*('Plan mensual'!M25+'Plan mensual'!M136+IF(parametros_manuales!$H$29="Todos",'Plan mensual'!M29+'Plan mensual'!M140,0))+parametros_manuales!$F$29*('Plan mensual'!M26+'Plan mensual'!M137+IF(parametros_manuales!$H$29="Todos",'Plan mensual'!M30+'Plan mensual'!M141,0))+parametros_manuales!$G$29*('Plan mensual'!M27+'Plan mensual'!M138+IF(parametros_manuales!$H$29="Todos",'Plan mensual'!M31+'Plan mensual'!M142,0)))*parametros_manuales!$I$29*parametros_manuales!$J$29</f>
        <v>1714.59691398</v>
      </c>
      <c r="L66" s="9" t="n">
        <f aca="false">(parametros_manuales!$D$29*('Plan mensual'!N24+'Plan mensual'!N135+IF(parametros_manuales!$H$29="Todos",'Plan mensual'!N28+'Plan mensual'!N139,0))+parametros_manuales!$E$29*('Plan mensual'!N25+'Plan mensual'!N136+IF(parametros_manuales!$H$29="Todos",'Plan mensual'!N29+'Plan mensual'!N140,0))+parametros_manuales!$F$29*('Plan mensual'!N26+'Plan mensual'!N137+IF(parametros_manuales!$H$29="Todos",'Plan mensual'!N30+'Plan mensual'!N141,0))+parametros_manuales!$G$29*('Plan mensual'!N27+'Plan mensual'!N138+IF(parametros_manuales!$H$29="Todos",'Plan mensual'!N31+'Plan mensual'!N142,0)))*parametros_manuales!$I$29*parametros_manuales!$J$29</f>
        <v>1672.861191838</v>
      </c>
      <c r="M66" s="9" t="n">
        <f aca="false">(parametros_manuales!$D$29*('Plan mensual'!O24+'Plan mensual'!O135+IF(parametros_manuales!$H$29="Todos",'Plan mensual'!O28+'Plan mensual'!O139,0))+parametros_manuales!$E$29*('Plan mensual'!O25+'Plan mensual'!O136+IF(parametros_manuales!$H$29="Todos",'Plan mensual'!O29+'Plan mensual'!O140,0))+parametros_manuales!$F$29*('Plan mensual'!O26+'Plan mensual'!O137+IF(parametros_manuales!$H$29="Todos",'Plan mensual'!O30+'Plan mensual'!O141,0))+parametros_manuales!$G$29*('Plan mensual'!O27+'Plan mensual'!O138+IF(parametros_manuales!$H$29="Todos",'Plan mensual'!O31+'Plan mensual'!O142,0)))*parametros_manuales!$I$29*parametros_manuales!$J$29</f>
        <v>2659.883618084</v>
      </c>
      <c r="N66" s="9" t="n">
        <f aca="false">SUM(B66:M66)</f>
        <v>22861.2921864</v>
      </c>
      <c r="O66" s="9" t="n">
        <f aca="false">MAX(B66:M66)</f>
        <v>2659.883618084</v>
      </c>
      <c r="P66" s="44" t="n">
        <f aca="false">O66/(parametros_manuales!$B$7)</f>
        <v>17.7325574538933</v>
      </c>
      <c r="Q66" s="8" t="str">
        <f aca="false">IF(O66=0,"-",INDEX($B$55:$M$55,MATCH(O66,B66:M66,0)))</f>
        <v>Dic</v>
      </c>
    </row>
    <row r="67" customFormat="false" ht="14.25" hidden="false" customHeight="true" outlineLevel="0" collapsed="false">
      <c r="A67" s="8" t="str">
        <f aca="false">parametros_manuales!$B$30</f>
        <v>Soldadura circunferencial de cúpula y fondo</v>
      </c>
      <c r="B67" s="9" t="n">
        <f aca="false">(parametros_manuales!$D$30*('Plan mensual'!D24+'Plan mensual'!D135+IF(parametros_manuales!$H$30="Todos",'Plan mensual'!D28+'Plan mensual'!D139,0))+parametros_manuales!$E$30*('Plan mensual'!D25+'Plan mensual'!D136+IF(parametros_manuales!$H$30="Todos",'Plan mensual'!D29+'Plan mensual'!D140,0))+parametros_manuales!$F$30*('Plan mensual'!D26+'Plan mensual'!D137+IF(parametros_manuales!$H$30="Todos",'Plan mensual'!D30+'Plan mensual'!D141,0))+parametros_manuales!$G$30*('Plan mensual'!D27+'Plan mensual'!D138+IF(parametros_manuales!$H$30="Todos",'Plan mensual'!D31+'Plan mensual'!D142,0)))*parametros_manuales!$I$30*parametros_manuales!$J$30</f>
        <v>2576.4121738</v>
      </c>
      <c r="C67" s="9" t="n">
        <f aca="false">(parametros_manuales!$D$30*('Plan mensual'!E24+'Plan mensual'!E135+IF(parametros_manuales!$H$30="Todos",'Plan mensual'!E28+'Plan mensual'!E139,0))+parametros_manuales!$E$30*('Plan mensual'!E25+'Plan mensual'!E136+IF(parametros_manuales!$H$30="Todos",'Plan mensual'!E29+'Plan mensual'!E140,0))+parametros_manuales!$F$30*('Plan mensual'!E26+'Plan mensual'!E137+IF(parametros_manuales!$H$30="Todos",'Plan mensual'!E30+'Plan mensual'!E141,0))+parametros_manuales!$G$30*('Plan mensual'!E27+'Plan mensual'!E138+IF(parametros_manuales!$H$30="Todos",'Plan mensual'!E31+'Plan mensual'!E142,0)))*parametros_manuales!$I$30*parametros_manuales!$J$30</f>
        <v>1974.044852492</v>
      </c>
      <c r="D67" s="9" t="n">
        <f aca="false">(parametros_manuales!$D$30*('Plan mensual'!F24+'Plan mensual'!F135+IF(parametros_manuales!$H$30="Todos",'Plan mensual'!F28+'Plan mensual'!F139,0))+parametros_manuales!$E$30*('Plan mensual'!F25+'Plan mensual'!F136+IF(parametros_manuales!$H$30="Todos",'Plan mensual'!F29+'Plan mensual'!F140,0))+parametros_manuales!$F$30*('Plan mensual'!F26+'Plan mensual'!F137+IF(parametros_manuales!$H$30="Todos",'Plan mensual'!F30+'Plan mensual'!F141,0))+parametros_manuales!$G$30*('Plan mensual'!F27+'Plan mensual'!F138+IF(parametros_manuales!$H$30="Todos",'Plan mensual'!F31+'Plan mensual'!F142,0)))*parametros_manuales!$I$30*parametros_manuales!$J$30</f>
        <v>1870.639097054</v>
      </c>
      <c r="E67" s="9" t="n">
        <f aca="false">(parametros_manuales!$D$30*('Plan mensual'!G24+'Plan mensual'!G135+IF(parametros_manuales!$H$30="Todos",'Plan mensual'!G28+'Plan mensual'!G139,0))+parametros_manuales!$E$30*('Plan mensual'!G25+'Plan mensual'!G136+IF(parametros_manuales!$H$30="Todos",'Plan mensual'!G29+'Plan mensual'!G140,0))+parametros_manuales!$F$30*('Plan mensual'!G26+'Plan mensual'!G137+IF(parametros_manuales!$H$30="Todos",'Plan mensual'!G30+'Plan mensual'!G141,0))+parametros_manuales!$G$30*('Plan mensual'!G27+'Plan mensual'!G138+IF(parametros_manuales!$H$30="Todos",'Plan mensual'!G31+'Plan mensual'!G142,0)))*parametros_manuales!$I$30*parametros_manuales!$J$30</f>
        <v>1798.068358264</v>
      </c>
      <c r="F67" s="9" t="n">
        <f aca="false">(parametros_manuales!$D$30*('Plan mensual'!H24+'Plan mensual'!H135+IF(parametros_manuales!$H$30="Todos",'Plan mensual'!H28+'Plan mensual'!H139,0))+parametros_manuales!$E$30*('Plan mensual'!H25+'Plan mensual'!H136+IF(parametros_manuales!$H$30="Todos",'Plan mensual'!H29+'Plan mensual'!H140,0))+parametros_manuales!$F$30*('Plan mensual'!H26+'Plan mensual'!H137+IF(parametros_manuales!$H$30="Todos",'Plan mensual'!H30+'Plan mensual'!H141,0))+parametros_manuales!$G$30*('Plan mensual'!H27+'Plan mensual'!H138+IF(parametros_manuales!$H$30="Todos",'Plan mensual'!H31+'Plan mensual'!H142,0)))*parametros_manuales!$I$30*parametros_manuales!$J$30</f>
        <v>1683.761897332</v>
      </c>
      <c r="G67" s="9" t="n">
        <f aca="false">(parametros_manuales!$D$30*('Plan mensual'!I24+'Plan mensual'!I135+IF(parametros_manuales!$H$30="Todos",'Plan mensual'!I28+'Plan mensual'!I139,0))+parametros_manuales!$E$30*('Plan mensual'!I25+'Plan mensual'!I136+IF(parametros_manuales!$H$30="Todos",'Plan mensual'!I29+'Plan mensual'!I140,0))+parametros_manuales!$F$30*('Plan mensual'!I26+'Plan mensual'!I137+IF(parametros_manuales!$H$30="Todos",'Plan mensual'!I30+'Plan mensual'!I141,0))+parametros_manuales!$G$30*('Plan mensual'!I27+'Plan mensual'!I138+IF(parametros_manuales!$H$30="Todos",'Plan mensual'!I31+'Plan mensual'!I142,0)))*parametros_manuales!$I$30*parametros_manuales!$J$30</f>
        <v>1642.02617519</v>
      </c>
      <c r="H67" s="9" t="n">
        <f aca="false">(parametros_manuales!$D$30*('Plan mensual'!J24+'Plan mensual'!J135+IF(parametros_manuales!$H$30="Todos",'Plan mensual'!J28+'Plan mensual'!J139,0))+parametros_manuales!$E$30*('Plan mensual'!J25+'Plan mensual'!J136+IF(parametros_manuales!$H$30="Todos",'Plan mensual'!J29+'Plan mensual'!J140,0))+parametros_manuales!$F$30*('Plan mensual'!J26+'Plan mensual'!J137+IF(parametros_manuales!$H$30="Todos",'Plan mensual'!J30+'Plan mensual'!J141,0))+parametros_manuales!$G$30*('Plan mensual'!J27+'Plan mensual'!J138+IF(parametros_manuales!$H$30="Todos",'Plan mensual'!J31+'Plan mensual'!J142,0)))*parametros_manuales!$I$30*parametros_manuales!$J$30</f>
        <v>1756.332636122</v>
      </c>
      <c r="I67" s="9" t="n">
        <f aca="false">(parametros_manuales!$D$30*('Plan mensual'!K24+'Plan mensual'!K135+IF(parametros_manuales!$H$30="Todos",'Plan mensual'!K28+'Plan mensual'!K139,0))+parametros_manuales!$E$30*('Plan mensual'!K25+'Plan mensual'!K136+IF(parametros_manuales!$H$30="Todos",'Plan mensual'!K29+'Plan mensual'!K140,0))+parametros_manuales!$F$30*('Plan mensual'!K26+'Plan mensual'!K137+IF(parametros_manuales!$H$30="Todos",'Plan mensual'!K30+'Plan mensual'!K141,0))+parametros_manuales!$G$30*('Plan mensual'!K27+'Plan mensual'!K138+IF(parametros_manuales!$H$30="Todos",'Plan mensual'!K31+'Plan mensual'!K142,0)))*parametros_manuales!$I$30*parametros_manuales!$J$30</f>
        <v>1756.332636122</v>
      </c>
      <c r="J67" s="9" t="n">
        <f aca="false">(parametros_manuales!$D$30*('Plan mensual'!L24+'Plan mensual'!L135+IF(parametros_manuales!$H$30="Todos",'Plan mensual'!L28+'Plan mensual'!L139,0))+parametros_manuales!$E$30*('Plan mensual'!L25+'Plan mensual'!L136+IF(parametros_manuales!$H$30="Todos",'Plan mensual'!L29+'Plan mensual'!L140,0))+parametros_manuales!$F$30*('Plan mensual'!L26+'Plan mensual'!L137+IF(parametros_manuales!$H$30="Todos",'Plan mensual'!L30+'Plan mensual'!L141,0))+parametros_manuales!$G$30*('Plan mensual'!L27+'Plan mensual'!L138+IF(parametros_manuales!$H$30="Todos",'Plan mensual'!L31+'Plan mensual'!L142,0)))*parametros_manuales!$I$30*parametros_manuales!$J$30</f>
        <v>1756.332636122</v>
      </c>
      <c r="K67" s="9" t="n">
        <f aca="false">(parametros_manuales!$D$30*('Plan mensual'!M24+'Plan mensual'!M135+IF(parametros_manuales!$H$30="Todos",'Plan mensual'!M28+'Plan mensual'!M139,0))+parametros_manuales!$E$30*('Plan mensual'!M25+'Plan mensual'!M136+IF(parametros_manuales!$H$30="Todos",'Plan mensual'!M29+'Plan mensual'!M140,0))+parametros_manuales!$F$30*('Plan mensual'!M26+'Plan mensual'!M137+IF(parametros_manuales!$H$30="Todos",'Plan mensual'!M30+'Plan mensual'!M141,0))+parametros_manuales!$G$30*('Plan mensual'!M27+'Plan mensual'!M138+IF(parametros_manuales!$H$30="Todos",'Plan mensual'!M31+'Plan mensual'!M142,0)))*parametros_manuales!$I$30*parametros_manuales!$J$30</f>
        <v>1714.59691398</v>
      </c>
      <c r="L67" s="9" t="n">
        <f aca="false">(parametros_manuales!$D$30*('Plan mensual'!N24+'Plan mensual'!N135+IF(parametros_manuales!$H$30="Todos",'Plan mensual'!N28+'Plan mensual'!N139,0))+parametros_manuales!$E$30*('Plan mensual'!N25+'Plan mensual'!N136+IF(parametros_manuales!$H$30="Todos",'Plan mensual'!N29+'Plan mensual'!N140,0))+parametros_manuales!$F$30*('Plan mensual'!N26+'Plan mensual'!N137+IF(parametros_manuales!$H$30="Todos",'Plan mensual'!N30+'Plan mensual'!N141,0))+parametros_manuales!$G$30*('Plan mensual'!N27+'Plan mensual'!N138+IF(parametros_manuales!$H$30="Todos",'Plan mensual'!N31+'Plan mensual'!N142,0)))*parametros_manuales!$I$30*parametros_manuales!$J$30</f>
        <v>1672.861191838</v>
      </c>
      <c r="M67" s="9" t="n">
        <f aca="false">(parametros_manuales!$D$30*('Plan mensual'!O24+'Plan mensual'!O135+IF(parametros_manuales!$H$30="Todos",'Plan mensual'!O28+'Plan mensual'!O139,0))+parametros_manuales!$E$30*('Plan mensual'!O25+'Plan mensual'!O136+IF(parametros_manuales!$H$30="Todos",'Plan mensual'!O29+'Plan mensual'!O140,0))+parametros_manuales!$F$30*('Plan mensual'!O26+'Plan mensual'!O137+IF(parametros_manuales!$H$30="Todos",'Plan mensual'!O30+'Plan mensual'!O141,0))+parametros_manuales!$G$30*('Plan mensual'!O27+'Plan mensual'!O138+IF(parametros_manuales!$H$30="Todos",'Plan mensual'!O31+'Plan mensual'!O142,0)))*parametros_manuales!$I$30*parametros_manuales!$J$30</f>
        <v>2659.883618084</v>
      </c>
      <c r="N67" s="9" t="n">
        <f aca="false">SUM(B67:M67)</f>
        <v>22861.2921864</v>
      </c>
      <c r="O67" s="9" t="n">
        <f aca="false">MAX(B67:M67)</f>
        <v>2659.883618084</v>
      </c>
      <c r="P67" s="44" t="n">
        <f aca="false">O67/(parametros_manuales!$B$7)</f>
        <v>17.7325574538933</v>
      </c>
      <c r="Q67" s="8" t="str">
        <f aca="false">IF(O67=0,"-",INDEX($B$55:$M$55,MATCH(O67,B67:M67,0)))</f>
        <v>Dic</v>
      </c>
    </row>
    <row r="68" customFormat="false" ht="14.25" hidden="false" customHeight="true" outlineLevel="0" collapsed="false">
      <c r="A68" s="8" t="str">
        <f aca="false">parametros_manuales!$B$31</f>
        <v>Control de calidad — Espesor</v>
      </c>
      <c r="B68" s="9" t="n">
        <f aca="false">(parametros_manuales!$D$31*('Plan mensual'!D24+'Plan mensual'!D135+IF(parametros_manuales!$H$31="Todos",'Plan mensual'!D28+'Plan mensual'!D139,0))+parametros_manuales!$E$31*('Plan mensual'!D25+'Plan mensual'!D136+IF(parametros_manuales!$H$31="Todos",'Plan mensual'!D29+'Plan mensual'!D140,0))+parametros_manuales!$F$31*('Plan mensual'!D26+'Plan mensual'!D137+IF(parametros_manuales!$H$31="Todos",'Plan mensual'!D30+'Plan mensual'!D141,0))+parametros_manuales!$G$31*('Plan mensual'!D27+'Plan mensual'!D138+IF(parametros_manuales!$H$31="Todos",'Plan mensual'!D31+'Plan mensual'!D142,0)))*parametros_manuales!$I$31*parametros_manuales!$J$31</f>
        <v>51.528243476</v>
      </c>
      <c r="C68" s="9" t="n">
        <f aca="false">(parametros_manuales!$D$31*('Plan mensual'!E24+'Plan mensual'!E135+IF(parametros_manuales!$H$31="Todos",'Plan mensual'!E28+'Plan mensual'!E139,0))+parametros_manuales!$E$31*('Plan mensual'!E25+'Plan mensual'!E136+IF(parametros_manuales!$H$31="Todos",'Plan mensual'!E29+'Plan mensual'!E140,0))+parametros_manuales!$F$31*('Plan mensual'!E26+'Plan mensual'!E137+IF(parametros_manuales!$H$31="Todos",'Plan mensual'!E30+'Plan mensual'!E141,0))+parametros_manuales!$G$31*('Plan mensual'!E27+'Plan mensual'!E138+IF(parametros_manuales!$H$31="Todos",'Plan mensual'!E31+'Plan mensual'!E142,0)))*parametros_manuales!$I$31*parametros_manuales!$J$31</f>
        <v>39.48089704984</v>
      </c>
      <c r="D68" s="9" t="n">
        <f aca="false">(parametros_manuales!$D$31*('Plan mensual'!F24+'Plan mensual'!F135+IF(parametros_manuales!$H$31="Todos",'Plan mensual'!F28+'Plan mensual'!F139,0))+parametros_manuales!$E$31*('Plan mensual'!F25+'Plan mensual'!F136+IF(parametros_manuales!$H$31="Todos",'Plan mensual'!F29+'Plan mensual'!F140,0))+parametros_manuales!$F$31*('Plan mensual'!F26+'Plan mensual'!F137+IF(parametros_manuales!$H$31="Todos",'Plan mensual'!F30+'Plan mensual'!F141,0))+parametros_manuales!$G$31*('Plan mensual'!F27+'Plan mensual'!F138+IF(parametros_manuales!$H$31="Todos",'Plan mensual'!F31+'Plan mensual'!F142,0)))*parametros_manuales!$I$31*parametros_manuales!$J$31</f>
        <v>37.41278194108</v>
      </c>
      <c r="E68" s="9" t="n">
        <f aca="false">(parametros_manuales!$D$31*('Plan mensual'!G24+'Plan mensual'!G135+IF(parametros_manuales!$H$31="Todos",'Plan mensual'!G28+'Plan mensual'!G139,0))+parametros_manuales!$E$31*('Plan mensual'!G25+'Plan mensual'!G136+IF(parametros_manuales!$H$31="Todos",'Plan mensual'!G29+'Plan mensual'!G140,0))+parametros_manuales!$F$31*('Plan mensual'!G26+'Plan mensual'!G137+IF(parametros_manuales!$H$31="Todos",'Plan mensual'!G30+'Plan mensual'!G141,0))+parametros_manuales!$G$31*('Plan mensual'!G27+'Plan mensual'!G138+IF(parametros_manuales!$H$31="Todos",'Plan mensual'!G31+'Plan mensual'!G142,0)))*parametros_manuales!$I$31*parametros_manuales!$J$31</f>
        <v>35.96136716528</v>
      </c>
      <c r="F68" s="9" t="n">
        <f aca="false">(parametros_manuales!$D$31*('Plan mensual'!H24+'Plan mensual'!H135+IF(parametros_manuales!$H$31="Todos",'Plan mensual'!H28+'Plan mensual'!H139,0))+parametros_manuales!$E$31*('Plan mensual'!H25+'Plan mensual'!H136+IF(parametros_manuales!$H$31="Todos",'Plan mensual'!H29+'Plan mensual'!H140,0))+parametros_manuales!$F$31*('Plan mensual'!H26+'Plan mensual'!H137+IF(parametros_manuales!$H$31="Todos",'Plan mensual'!H30+'Plan mensual'!H141,0))+parametros_manuales!$G$31*('Plan mensual'!H27+'Plan mensual'!H138+IF(parametros_manuales!$H$31="Todos",'Plan mensual'!H31+'Plan mensual'!H142,0)))*parametros_manuales!$I$31*parametros_manuales!$J$31</f>
        <v>33.67523794664</v>
      </c>
      <c r="G68" s="9" t="n">
        <f aca="false">(parametros_manuales!$D$31*('Plan mensual'!I24+'Plan mensual'!I135+IF(parametros_manuales!$H$31="Todos",'Plan mensual'!I28+'Plan mensual'!I139,0))+parametros_manuales!$E$31*('Plan mensual'!I25+'Plan mensual'!I136+IF(parametros_manuales!$H$31="Todos",'Plan mensual'!I29+'Plan mensual'!I140,0))+parametros_manuales!$F$31*('Plan mensual'!I26+'Plan mensual'!I137+IF(parametros_manuales!$H$31="Todos",'Plan mensual'!I30+'Plan mensual'!I141,0))+parametros_manuales!$G$31*('Plan mensual'!I27+'Plan mensual'!I138+IF(parametros_manuales!$H$31="Todos",'Plan mensual'!I31+'Plan mensual'!I142,0)))*parametros_manuales!$I$31*parametros_manuales!$J$31</f>
        <v>32.8405235038</v>
      </c>
      <c r="H68" s="9" t="n">
        <f aca="false">(parametros_manuales!$D$31*('Plan mensual'!J24+'Plan mensual'!J135+IF(parametros_manuales!$H$31="Todos",'Plan mensual'!J28+'Plan mensual'!J139,0))+parametros_manuales!$E$31*('Plan mensual'!J25+'Plan mensual'!J136+IF(parametros_manuales!$H$31="Todos",'Plan mensual'!J29+'Plan mensual'!J140,0))+parametros_manuales!$F$31*('Plan mensual'!J26+'Plan mensual'!J137+IF(parametros_manuales!$H$31="Todos",'Plan mensual'!J30+'Plan mensual'!J141,0))+parametros_manuales!$G$31*('Plan mensual'!J27+'Plan mensual'!J138+IF(parametros_manuales!$H$31="Todos",'Plan mensual'!J31+'Plan mensual'!J142,0)))*parametros_manuales!$I$31*parametros_manuales!$J$31</f>
        <v>35.12665272244</v>
      </c>
      <c r="I68" s="9" t="n">
        <f aca="false">(parametros_manuales!$D$31*('Plan mensual'!K24+'Plan mensual'!K135+IF(parametros_manuales!$H$31="Todos",'Plan mensual'!K28+'Plan mensual'!K139,0))+parametros_manuales!$E$31*('Plan mensual'!K25+'Plan mensual'!K136+IF(parametros_manuales!$H$31="Todos",'Plan mensual'!K29+'Plan mensual'!K140,0))+parametros_manuales!$F$31*('Plan mensual'!K26+'Plan mensual'!K137+IF(parametros_manuales!$H$31="Todos",'Plan mensual'!K30+'Plan mensual'!K141,0))+parametros_manuales!$G$31*('Plan mensual'!K27+'Plan mensual'!K138+IF(parametros_manuales!$H$31="Todos",'Plan mensual'!K31+'Plan mensual'!K142,0)))*parametros_manuales!$I$31*parametros_manuales!$J$31</f>
        <v>35.12665272244</v>
      </c>
      <c r="J68" s="9" t="n">
        <f aca="false">(parametros_manuales!$D$31*('Plan mensual'!L24+'Plan mensual'!L135+IF(parametros_manuales!$H$31="Todos",'Plan mensual'!L28+'Plan mensual'!L139,0))+parametros_manuales!$E$31*('Plan mensual'!L25+'Plan mensual'!L136+IF(parametros_manuales!$H$31="Todos",'Plan mensual'!L29+'Plan mensual'!L140,0))+parametros_manuales!$F$31*('Plan mensual'!L26+'Plan mensual'!L137+IF(parametros_manuales!$H$31="Todos",'Plan mensual'!L30+'Plan mensual'!L141,0))+parametros_manuales!$G$31*('Plan mensual'!L27+'Plan mensual'!L138+IF(parametros_manuales!$H$31="Todos",'Plan mensual'!L31+'Plan mensual'!L142,0)))*parametros_manuales!$I$31*parametros_manuales!$J$31</f>
        <v>35.12665272244</v>
      </c>
      <c r="K68" s="9" t="n">
        <f aca="false">(parametros_manuales!$D$31*('Plan mensual'!M24+'Plan mensual'!M135+IF(parametros_manuales!$H$31="Todos",'Plan mensual'!M28+'Plan mensual'!M139,0))+parametros_manuales!$E$31*('Plan mensual'!M25+'Plan mensual'!M136+IF(parametros_manuales!$H$31="Todos",'Plan mensual'!M29+'Plan mensual'!M140,0))+parametros_manuales!$F$31*('Plan mensual'!M26+'Plan mensual'!M137+IF(parametros_manuales!$H$31="Todos",'Plan mensual'!M30+'Plan mensual'!M141,0))+parametros_manuales!$G$31*('Plan mensual'!M27+'Plan mensual'!M138+IF(parametros_manuales!$H$31="Todos",'Plan mensual'!M31+'Plan mensual'!M142,0)))*parametros_manuales!$I$31*parametros_manuales!$J$31</f>
        <v>34.2919382796</v>
      </c>
      <c r="L68" s="9" t="n">
        <f aca="false">(parametros_manuales!$D$31*('Plan mensual'!N24+'Plan mensual'!N135+IF(parametros_manuales!$H$31="Todos",'Plan mensual'!N28+'Plan mensual'!N139,0))+parametros_manuales!$E$31*('Plan mensual'!N25+'Plan mensual'!N136+IF(parametros_manuales!$H$31="Todos",'Plan mensual'!N29+'Plan mensual'!N140,0))+parametros_manuales!$F$31*('Plan mensual'!N26+'Plan mensual'!N137+IF(parametros_manuales!$H$31="Todos",'Plan mensual'!N30+'Plan mensual'!N141,0))+parametros_manuales!$G$31*('Plan mensual'!N27+'Plan mensual'!N138+IF(parametros_manuales!$H$31="Todos",'Plan mensual'!N31+'Plan mensual'!N142,0)))*parametros_manuales!$I$31*parametros_manuales!$J$31</f>
        <v>33.45722383676</v>
      </c>
      <c r="M68" s="9" t="n">
        <f aca="false">(parametros_manuales!$D$31*('Plan mensual'!O24+'Plan mensual'!O135+IF(parametros_manuales!$H$31="Todos",'Plan mensual'!O28+'Plan mensual'!O139,0))+parametros_manuales!$E$31*('Plan mensual'!O25+'Plan mensual'!O136+IF(parametros_manuales!$H$31="Todos",'Plan mensual'!O29+'Plan mensual'!O140,0))+parametros_manuales!$F$31*('Plan mensual'!O26+'Plan mensual'!O137+IF(parametros_manuales!$H$31="Todos",'Plan mensual'!O30+'Plan mensual'!O141,0))+parametros_manuales!$G$31*('Plan mensual'!O27+'Plan mensual'!O138+IF(parametros_manuales!$H$31="Todos",'Plan mensual'!O31+'Plan mensual'!O142,0)))*parametros_manuales!$I$31*parametros_manuales!$J$31</f>
        <v>53.19767236168</v>
      </c>
      <c r="N68" s="9" t="n">
        <f aca="false">SUM(B68:M68)</f>
        <v>457.225843728</v>
      </c>
      <c r="O68" s="9" t="n">
        <f aca="false">MAX(B68:M68)</f>
        <v>53.19767236168</v>
      </c>
      <c r="P68" s="44" t="n">
        <f aca="false">O68/(parametros_manuales!$B$7)</f>
        <v>0.354651149077867</v>
      </c>
      <c r="Q68" s="8" t="str">
        <f aca="false">IF(O68=0,"-",INDEX($B$55:$M$55,MATCH(O68,B68:M68,0)))</f>
        <v>Dic</v>
      </c>
    </row>
    <row r="69" customFormat="false" ht="14.25" hidden="false" customHeight="true" outlineLevel="0" collapsed="false">
      <c r="A69" s="8" t="str">
        <f aca="false">parametros_manuales!$B$32</f>
        <v>Prueba hidráulica</v>
      </c>
      <c r="B69" s="9" t="n">
        <f aca="false">(parametros_manuales!$D$32*('Plan mensual'!D24+'Plan mensual'!D135+IF(parametros_manuales!$H$32="Todos",'Plan mensual'!D28+'Plan mensual'!D139,0))+parametros_manuales!$E$32*('Plan mensual'!D25+'Plan mensual'!D136+IF(parametros_manuales!$H$32="Todos",'Plan mensual'!D29+'Plan mensual'!D140,0))+parametros_manuales!$F$32*('Plan mensual'!D26+'Plan mensual'!D137+IF(parametros_manuales!$H$32="Todos",'Plan mensual'!D30+'Plan mensual'!D141,0))+parametros_manuales!$G$32*('Plan mensual'!D27+'Plan mensual'!D138+IF(parametros_manuales!$H$32="Todos",'Plan mensual'!D31+'Plan mensual'!D142,0)))*parametros_manuales!$I$32*parametros_manuales!$J$32</f>
        <v>2576.4121738</v>
      </c>
      <c r="C69" s="9" t="n">
        <f aca="false">(parametros_manuales!$D$32*('Plan mensual'!E24+'Plan mensual'!E135+IF(parametros_manuales!$H$32="Todos",'Plan mensual'!E28+'Plan mensual'!E139,0))+parametros_manuales!$E$32*('Plan mensual'!E25+'Plan mensual'!E136+IF(parametros_manuales!$H$32="Todos",'Plan mensual'!E29+'Plan mensual'!E140,0))+parametros_manuales!$F$32*('Plan mensual'!E26+'Plan mensual'!E137+IF(parametros_manuales!$H$32="Todos",'Plan mensual'!E30+'Plan mensual'!E141,0))+parametros_manuales!$G$32*('Plan mensual'!E27+'Plan mensual'!E138+IF(parametros_manuales!$H$32="Todos",'Plan mensual'!E31+'Plan mensual'!E142,0)))*parametros_manuales!$I$32*parametros_manuales!$J$32</f>
        <v>1974.044852492</v>
      </c>
      <c r="D69" s="9" t="n">
        <f aca="false">(parametros_manuales!$D$32*('Plan mensual'!F24+'Plan mensual'!F135+IF(parametros_manuales!$H$32="Todos",'Plan mensual'!F28+'Plan mensual'!F139,0))+parametros_manuales!$E$32*('Plan mensual'!F25+'Plan mensual'!F136+IF(parametros_manuales!$H$32="Todos",'Plan mensual'!F29+'Plan mensual'!F140,0))+parametros_manuales!$F$32*('Plan mensual'!F26+'Plan mensual'!F137+IF(parametros_manuales!$H$32="Todos",'Plan mensual'!F30+'Plan mensual'!F141,0))+parametros_manuales!$G$32*('Plan mensual'!F27+'Plan mensual'!F138+IF(parametros_manuales!$H$32="Todos",'Plan mensual'!F31+'Plan mensual'!F142,0)))*parametros_manuales!$I$32*parametros_manuales!$J$32</f>
        <v>1870.639097054</v>
      </c>
      <c r="E69" s="9" t="n">
        <f aca="false">(parametros_manuales!$D$32*('Plan mensual'!G24+'Plan mensual'!G135+IF(parametros_manuales!$H$32="Todos",'Plan mensual'!G28+'Plan mensual'!G139,0))+parametros_manuales!$E$32*('Plan mensual'!G25+'Plan mensual'!G136+IF(parametros_manuales!$H$32="Todos",'Plan mensual'!G29+'Plan mensual'!G140,0))+parametros_manuales!$F$32*('Plan mensual'!G26+'Plan mensual'!G137+IF(parametros_manuales!$H$32="Todos",'Plan mensual'!G30+'Plan mensual'!G141,0))+parametros_manuales!$G$32*('Plan mensual'!G27+'Plan mensual'!G138+IF(parametros_manuales!$H$32="Todos",'Plan mensual'!G31+'Plan mensual'!G142,0)))*parametros_manuales!$I$32*parametros_manuales!$J$32</f>
        <v>1798.068358264</v>
      </c>
      <c r="F69" s="9" t="n">
        <f aca="false">(parametros_manuales!$D$32*('Plan mensual'!H24+'Plan mensual'!H135+IF(parametros_manuales!$H$32="Todos",'Plan mensual'!H28+'Plan mensual'!H139,0))+parametros_manuales!$E$32*('Plan mensual'!H25+'Plan mensual'!H136+IF(parametros_manuales!$H$32="Todos",'Plan mensual'!H29+'Plan mensual'!H140,0))+parametros_manuales!$F$32*('Plan mensual'!H26+'Plan mensual'!H137+IF(parametros_manuales!$H$32="Todos",'Plan mensual'!H30+'Plan mensual'!H141,0))+parametros_manuales!$G$32*('Plan mensual'!H27+'Plan mensual'!H138+IF(parametros_manuales!$H$32="Todos",'Plan mensual'!H31+'Plan mensual'!H142,0)))*parametros_manuales!$I$32*parametros_manuales!$J$32</f>
        <v>1683.761897332</v>
      </c>
      <c r="G69" s="9" t="n">
        <f aca="false">(parametros_manuales!$D$32*('Plan mensual'!I24+'Plan mensual'!I135+IF(parametros_manuales!$H$32="Todos",'Plan mensual'!I28+'Plan mensual'!I139,0))+parametros_manuales!$E$32*('Plan mensual'!I25+'Plan mensual'!I136+IF(parametros_manuales!$H$32="Todos",'Plan mensual'!I29+'Plan mensual'!I140,0))+parametros_manuales!$F$32*('Plan mensual'!I26+'Plan mensual'!I137+IF(parametros_manuales!$H$32="Todos",'Plan mensual'!I30+'Plan mensual'!I141,0))+parametros_manuales!$G$32*('Plan mensual'!I27+'Plan mensual'!I138+IF(parametros_manuales!$H$32="Todos",'Plan mensual'!I31+'Plan mensual'!I142,0)))*parametros_manuales!$I$32*parametros_manuales!$J$32</f>
        <v>1642.02617519</v>
      </c>
      <c r="H69" s="9" t="n">
        <f aca="false">(parametros_manuales!$D$32*('Plan mensual'!J24+'Plan mensual'!J135+IF(parametros_manuales!$H$32="Todos",'Plan mensual'!J28+'Plan mensual'!J139,0))+parametros_manuales!$E$32*('Plan mensual'!J25+'Plan mensual'!J136+IF(parametros_manuales!$H$32="Todos",'Plan mensual'!J29+'Plan mensual'!J140,0))+parametros_manuales!$F$32*('Plan mensual'!J26+'Plan mensual'!J137+IF(parametros_manuales!$H$32="Todos",'Plan mensual'!J30+'Plan mensual'!J141,0))+parametros_manuales!$G$32*('Plan mensual'!J27+'Plan mensual'!J138+IF(parametros_manuales!$H$32="Todos",'Plan mensual'!J31+'Plan mensual'!J142,0)))*parametros_manuales!$I$32*parametros_manuales!$J$32</f>
        <v>1756.332636122</v>
      </c>
      <c r="I69" s="9" t="n">
        <f aca="false">(parametros_manuales!$D$32*('Plan mensual'!K24+'Plan mensual'!K135+IF(parametros_manuales!$H$32="Todos",'Plan mensual'!K28+'Plan mensual'!K139,0))+parametros_manuales!$E$32*('Plan mensual'!K25+'Plan mensual'!K136+IF(parametros_manuales!$H$32="Todos",'Plan mensual'!K29+'Plan mensual'!K140,0))+parametros_manuales!$F$32*('Plan mensual'!K26+'Plan mensual'!K137+IF(parametros_manuales!$H$32="Todos",'Plan mensual'!K30+'Plan mensual'!K141,0))+parametros_manuales!$G$32*('Plan mensual'!K27+'Plan mensual'!K138+IF(parametros_manuales!$H$32="Todos",'Plan mensual'!K31+'Plan mensual'!K142,0)))*parametros_manuales!$I$32*parametros_manuales!$J$32</f>
        <v>1756.332636122</v>
      </c>
      <c r="J69" s="9" t="n">
        <f aca="false">(parametros_manuales!$D$32*('Plan mensual'!L24+'Plan mensual'!L135+IF(parametros_manuales!$H$32="Todos",'Plan mensual'!L28+'Plan mensual'!L139,0))+parametros_manuales!$E$32*('Plan mensual'!L25+'Plan mensual'!L136+IF(parametros_manuales!$H$32="Todos",'Plan mensual'!L29+'Plan mensual'!L140,0))+parametros_manuales!$F$32*('Plan mensual'!L26+'Plan mensual'!L137+IF(parametros_manuales!$H$32="Todos",'Plan mensual'!L30+'Plan mensual'!L141,0))+parametros_manuales!$G$32*('Plan mensual'!L27+'Plan mensual'!L138+IF(parametros_manuales!$H$32="Todos",'Plan mensual'!L31+'Plan mensual'!L142,0)))*parametros_manuales!$I$32*parametros_manuales!$J$32</f>
        <v>1756.332636122</v>
      </c>
      <c r="K69" s="9" t="n">
        <f aca="false">(parametros_manuales!$D$32*('Plan mensual'!M24+'Plan mensual'!M135+IF(parametros_manuales!$H$32="Todos",'Plan mensual'!M28+'Plan mensual'!M139,0))+parametros_manuales!$E$32*('Plan mensual'!M25+'Plan mensual'!M136+IF(parametros_manuales!$H$32="Todos",'Plan mensual'!M29+'Plan mensual'!M140,0))+parametros_manuales!$F$32*('Plan mensual'!M26+'Plan mensual'!M137+IF(parametros_manuales!$H$32="Todos",'Plan mensual'!M30+'Plan mensual'!M141,0))+parametros_manuales!$G$32*('Plan mensual'!M27+'Plan mensual'!M138+IF(parametros_manuales!$H$32="Todos",'Plan mensual'!M31+'Plan mensual'!M142,0)))*parametros_manuales!$I$32*parametros_manuales!$J$32</f>
        <v>1714.59691398</v>
      </c>
      <c r="L69" s="9" t="n">
        <f aca="false">(parametros_manuales!$D$32*('Plan mensual'!N24+'Plan mensual'!N135+IF(parametros_manuales!$H$32="Todos",'Plan mensual'!N28+'Plan mensual'!N139,0))+parametros_manuales!$E$32*('Plan mensual'!N25+'Plan mensual'!N136+IF(parametros_manuales!$H$32="Todos",'Plan mensual'!N29+'Plan mensual'!N140,0))+parametros_manuales!$F$32*('Plan mensual'!N26+'Plan mensual'!N137+IF(parametros_manuales!$H$32="Todos",'Plan mensual'!N30+'Plan mensual'!N141,0))+parametros_manuales!$G$32*('Plan mensual'!N27+'Plan mensual'!N138+IF(parametros_manuales!$H$32="Todos",'Plan mensual'!N31+'Plan mensual'!N142,0)))*parametros_manuales!$I$32*parametros_manuales!$J$32</f>
        <v>1672.861191838</v>
      </c>
      <c r="M69" s="9" t="n">
        <f aca="false">(parametros_manuales!$D$32*('Plan mensual'!O24+'Plan mensual'!O135+IF(parametros_manuales!$H$32="Todos",'Plan mensual'!O28+'Plan mensual'!O139,0))+parametros_manuales!$E$32*('Plan mensual'!O25+'Plan mensual'!O136+IF(parametros_manuales!$H$32="Todos",'Plan mensual'!O29+'Plan mensual'!O140,0))+parametros_manuales!$F$32*('Plan mensual'!O26+'Plan mensual'!O137+IF(parametros_manuales!$H$32="Todos",'Plan mensual'!O30+'Plan mensual'!O141,0))+parametros_manuales!$G$32*('Plan mensual'!O27+'Plan mensual'!O138+IF(parametros_manuales!$H$32="Todos",'Plan mensual'!O31+'Plan mensual'!O142,0)))*parametros_manuales!$I$32*parametros_manuales!$J$32</f>
        <v>2659.883618084</v>
      </c>
      <c r="N69" s="9" t="n">
        <f aca="false">SUM(B69:M69)</f>
        <v>22861.2921864</v>
      </c>
      <c r="O69" s="9" t="n">
        <f aca="false">MAX(B69:M69)</f>
        <v>2659.883618084</v>
      </c>
      <c r="P69" s="44" t="n">
        <f aca="false">O69/(parametros_manuales!$B$7)</f>
        <v>17.7325574538933</v>
      </c>
      <c r="Q69" s="8" t="str">
        <f aca="false">IF(O69=0,"-",INDEX($B$55:$M$55,MATCH(O69,B69:M69,0)))</f>
        <v>Dic</v>
      </c>
    </row>
    <row r="70" customFormat="false" ht="14.25" hidden="false" customHeight="true" outlineLevel="0" collapsed="false">
      <c r="A70" s="8" t="str">
        <f aca="false">parametros_manuales!$B$33</f>
        <v>Secado</v>
      </c>
      <c r="B70" s="9" t="n">
        <f aca="false">(parametros_manuales!$D$33*('Plan mensual'!D24+'Plan mensual'!D135+IF(parametros_manuales!$H$33="Todos",'Plan mensual'!D28+'Plan mensual'!D139,0))+parametros_manuales!$E$33*('Plan mensual'!D25+'Plan mensual'!D136+IF(parametros_manuales!$H$33="Todos",'Plan mensual'!D29+'Plan mensual'!D140,0))+parametros_manuales!$F$33*('Plan mensual'!D26+'Plan mensual'!D137+IF(parametros_manuales!$H$33="Todos",'Plan mensual'!D30+'Plan mensual'!D141,0))+parametros_manuales!$G$33*('Plan mensual'!D27+'Plan mensual'!D138+IF(parametros_manuales!$H$33="Todos",'Plan mensual'!D31+'Plan mensual'!D142,0)))*parametros_manuales!$I$33*parametros_manuales!$J$33</f>
        <v>2576.4121738</v>
      </c>
      <c r="C70" s="9" t="n">
        <f aca="false">(parametros_manuales!$D$33*('Plan mensual'!E24+'Plan mensual'!E135+IF(parametros_manuales!$H$33="Todos",'Plan mensual'!E28+'Plan mensual'!E139,0))+parametros_manuales!$E$33*('Plan mensual'!E25+'Plan mensual'!E136+IF(parametros_manuales!$H$33="Todos",'Plan mensual'!E29+'Plan mensual'!E140,0))+parametros_manuales!$F$33*('Plan mensual'!E26+'Plan mensual'!E137+IF(parametros_manuales!$H$33="Todos",'Plan mensual'!E30+'Plan mensual'!E141,0))+parametros_manuales!$G$33*('Plan mensual'!E27+'Plan mensual'!E138+IF(parametros_manuales!$H$33="Todos",'Plan mensual'!E31+'Plan mensual'!E142,0)))*parametros_manuales!$I$33*parametros_manuales!$J$33</f>
        <v>1974.044852492</v>
      </c>
      <c r="D70" s="9" t="n">
        <f aca="false">(parametros_manuales!$D$33*('Plan mensual'!F24+'Plan mensual'!F135+IF(parametros_manuales!$H$33="Todos",'Plan mensual'!F28+'Plan mensual'!F139,0))+parametros_manuales!$E$33*('Plan mensual'!F25+'Plan mensual'!F136+IF(parametros_manuales!$H$33="Todos",'Plan mensual'!F29+'Plan mensual'!F140,0))+parametros_manuales!$F$33*('Plan mensual'!F26+'Plan mensual'!F137+IF(parametros_manuales!$H$33="Todos",'Plan mensual'!F30+'Plan mensual'!F141,0))+parametros_manuales!$G$33*('Plan mensual'!F27+'Plan mensual'!F138+IF(parametros_manuales!$H$33="Todos",'Plan mensual'!F31+'Plan mensual'!F142,0)))*parametros_manuales!$I$33*parametros_manuales!$J$33</f>
        <v>1870.639097054</v>
      </c>
      <c r="E70" s="9" t="n">
        <f aca="false">(parametros_manuales!$D$33*('Plan mensual'!G24+'Plan mensual'!G135+IF(parametros_manuales!$H$33="Todos",'Plan mensual'!G28+'Plan mensual'!G139,0))+parametros_manuales!$E$33*('Plan mensual'!G25+'Plan mensual'!G136+IF(parametros_manuales!$H$33="Todos",'Plan mensual'!G29+'Plan mensual'!G140,0))+parametros_manuales!$F$33*('Plan mensual'!G26+'Plan mensual'!G137+IF(parametros_manuales!$H$33="Todos",'Plan mensual'!G30+'Plan mensual'!G141,0))+parametros_manuales!$G$33*('Plan mensual'!G27+'Plan mensual'!G138+IF(parametros_manuales!$H$33="Todos",'Plan mensual'!G31+'Plan mensual'!G142,0)))*parametros_manuales!$I$33*parametros_manuales!$J$33</f>
        <v>1798.068358264</v>
      </c>
      <c r="F70" s="9" t="n">
        <f aca="false">(parametros_manuales!$D$33*('Plan mensual'!H24+'Plan mensual'!H135+IF(parametros_manuales!$H$33="Todos",'Plan mensual'!H28+'Plan mensual'!H139,0))+parametros_manuales!$E$33*('Plan mensual'!H25+'Plan mensual'!H136+IF(parametros_manuales!$H$33="Todos",'Plan mensual'!H29+'Plan mensual'!H140,0))+parametros_manuales!$F$33*('Plan mensual'!H26+'Plan mensual'!H137+IF(parametros_manuales!$H$33="Todos",'Plan mensual'!H30+'Plan mensual'!H141,0))+parametros_manuales!$G$33*('Plan mensual'!H27+'Plan mensual'!H138+IF(parametros_manuales!$H$33="Todos",'Plan mensual'!H31+'Plan mensual'!H142,0)))*parametros_manuales!$I$33*parametros_manuales!$J$33</f>
        <v>1683.761897332</v>
      </c>
      <c r="G70" s="9" t="n">
        <f aca="false">(parametros_manuales!$D$33*('Plan mensual'!I24+'Plan mensual'!I135+IF(parametros_manuales!$H$33="Todos",'Plan mensual'!I28+'Plan mensual'!I139,0))+parametros_manuales!$E$33*('Plan mensual'!I25+'Plan mensual'!I136+IF(parametros_manuales!$H$33="Todos",'Plan mensual'!I29+'Plan mensual'!I140,0))+parametros_manuales!$F$33*('Plan mensual'!I26+'Plan mensual'!I137+IF(parametros_manuales!$H$33="Todos",'Plan mensual'!I30+'Plan mensual'!I141,0))+parametros_manuales!$G$33*('Plan mensual'!I27+'Plan mensual'!I138+IF(parametros_manuales!$H$33="Todos",'Plan mensual'!I31+'Plan mensual'!I142,0)))*parametros_manuales!$I$33*parametros_manuales!$J$33</f>
        <v>1642.02617519</v>
      </c>
      <c r="H70" s="9" t="n">
        <f aca="false">(parametros_manuales!$D$33*('Plan mensual'!J24+'Plan mensual'!J135+IF(parametros_manuales!$H$33="Todos",'Plan mensual'!J28+'Plan mensual'!J139,0))+parametros_manuales!$E$33*('Plan mensual'!J25+'Plan mensual'!J136+IF(parametros_manuales!$H$33="Todos",'Plan mensual'!J29+'Plan mensual'!J140,0))+parametros_manuales!$F$33*('Plan mensual'!J26+'Plan mensual'!J137+IF(parametros_manuales!$H$33="Todos",'Plan mensual'!J30+'Plan mensual'!J141,0))+parametros_manuales!$G$33*('Plan mensual'!J27+'Plan mensual'!J138+IF(parametros_manuales!$H$33="Todos",'Plan mensual'!J31+'Plan mensual'!J142,0)))*parametros_manuales!$I$33*parametros_manuales!$J$33</f>
        <v>1756.332636122</v>
      </c>
      <c r="I70" s="9" t="n">
        <f aca="false">(parametros_manuales!$D$33*('Plan mensual'!K24+'Plan mensual'!K135+IF(parametros_manuales!$H$33="Todos",'Plan mensual'!K28+'Plan mensual'!K139,0))+parametros_manuales!$E$33*('Plan mensual'!K25+'Plan mensual'!K136+IF(parametros_manuales!$H$33="Todos",'Plan mensual'!K29+'Plan mensual'!K140,0))+parametros_manuales!$F$33*('Plan mensual'!K26+'Plan mensual'!K137+IF(parametros_manuales!$H$33="Todos",'Plan mensual'!K30+'Plan mensual'!K141,0))+parametros_manuales!$G$33*('Plan mensual'!K27+'Plan mensual'!K138+IF(parametros_manuales!$H$33="Todos",'Plan mensual'!K31+'Plan mensual'!K142,0)))*parametros_manuales!$I$33*parametros_manuales!$J$33</f>
        <v>1756.332636122</v>
      </c>
      <c r="J70" s="9" t="n">
        <f aca="false">(parametros_manuales!$D$33*('Plan mensual'!L24+'Plan mensual'!L135+IF(parametros_manuales!$H$33="Todos",'Plan mensual'!L28+'Plan mensual'!L139,0))+parametros_manuales!$E$33*('Plan mensual'!L25+'Plan mensual'!L136+IF(parametros_manuales!$H$33="Todos",'Plan mensual'!L29+'Plan mensual'!L140,0))+parametros_manuales!$F$33*('Plan mensual'!L26+'Plan mensual'!L137+IF(parametros_manuales!$H$33="Todos",'Plan mensual'!L30+'Plan mensual'!L141,0))+parametros_manuales!$G$33*('Plan mensual'!L27+'Plan mensual'!L138+IF(parametros_manuales!$H$33="Todos",'Plan mensual'!L31+'Plan mensual'!L142,0)))*parametros_manuales!$I$33*parametros_manuales!$J$33</f>
        <v>1756.332636122</v>
      </c>
      <c r="K70" s="9" t="n">
        <f aca="false">(parametros_manuales!$D$33*('Plan mensual'!M24+'Plan mensual'!M135+IF(parametros_manuales!$H$33="Todos",'Plan mensual'!M28+'Plan mensual'!M139,0))+parametros_manuales!$E$33*('Plan mensual'!M25+'Plan mensual'!M136+IF(parametros_manuales!$H$33="Todos",'Plan mensual'!M29+'Plan mensual'!M140,0))+parametros_manuales!$F$33*('Plan mensual'!M26+'Plan mensual'!M137+IF(parametros_manuales!$H$33="Todos",'Plan mensual'!M30+'Plan mensual'!M141,0))+parametros_manuales!$G$33*('Plan mensual'!M27+'Plan mensual'!M138+IF(parametros_manuales!$H$33="Todos",'Plan mensual'!M31+'Plan mensual'!M142,0)))*parametros_manuales!$I$33*parametros_manuales!$J$33</f>
        <v>1714.59691398</v>
      </c>
      <c r="L70" s="9" t="n">
        <f aca="false">(parametros_manuales!$D$33*('Plan mensual'!N24+'Plan mensual'!N135+IF(parametros_manuales!$H$33="Todos",'Plan mensual'!N28+'Plan mensual'!N139,0))+parametros_manuales!$E$33*('Plan mensual'!N25+'Plan mensual'!N136+IF(parametros_manuales!$H$33="Todos",'Plan mensual'!N29+'Plan mensual'!N140,0))+parametros_manuales!$F$33*('Plan mensual'!N26+'Plan mensual'!N137+IF(parametros_manuales!$H$33="Todos",'Plan mensual'!N30+'Plan mensual'!N141,0))+parametros_manuales!$G$33*('Plan mensual'!N27+'Plan mensual'!N138+IF(parametros_manuales!$H$33="Todos",'Plan mensual'!N31+'Plan mensual'!N142,0)))*parametros_manuales!$I$33*parametros_manuales!$J$33</f>
        <v>1672.861191838</v>
      </c>
      <c r="M70" s="9" t="n">
        <f aca="false">(parametros_manuales!$D$33*('Plan mensual'!O24+'Plan mensual'!O135+IF(parametros_manuales!$H$33="Todos",'Plan mensual'!O28+'Plan mensual'!O139,0))+parametros_manuales!$E$33*('Plan mensual'!O25+'Plan mensual'!O136+IF(parametros_manuales!$H$33="Todos",'Plan mensual'!O29+'Plan mensual'!O140,0))+parametros_manuales!$F$33*('Plan mensual'!O26+'Plan mensual'!O137+IF(parametros_manuales!$H$33="Todos",'Plan mensual'!O30+'Plan mensual'!O141,0))+parametros_manuales!$G$33*('Plan mensual'!O27+'Plan mensual'!O138+IF(parametros_manuales!$H$33="Todos",'Plan mensual'!O31+'Plan mensual'!O142,0)))*parametros_manuales!$I$33*parametros_manuales!$J$33</f>
        <v>2659.883618084</v>
      </c>
      <c r="N70" s="9" t="n">
        <f aca="false">SUM(B70:M70)</f>
        <v>22861.2921864</v>
      </c>
      <c r="O70" s="9" t="n">
        <f aca="false">MAX(B70:M70)</f>
        <v>2659.883618084</v>
      </c>
      <c r="P70" s="44" t="n">
        <f aca="false">O70/(parametros_manuales!$B$7)</f>
        <v>17.7325574538933</v>
      </c>
      <c r="Q70" s="8" t="str">
        <f aca="false">IF(O70=0,"-",INDEX($B$55:$M$55,MATCH(O70,B70:M70,0)))</f>
        <v>Dic</v>
      </c>
    </row>
    <row r="71" customFormat="false" ht="14.25" hidden="false" customHeight="true" outlineLevel="0" collapsed="false">
      <c r="A71" s="8" t="str">
        <f aca="false">parametros_manuales!$B$34</f>
        <v>Granallado</v>
      </c>
      <c r="B71" s="9" t="n">
        <f aca="false">(parametros_manuales!$D$34*('Plan mensual'!D24+'Plan mensual'!D135+IF(parametros_manuales!$H$34="Todos",'Plan mensual'!D28+'Plan mensual'!D139,0))+parametros_manuales!$E$34*('Plan mensual'!D25+'Plan mensual'!D136+IF(parametros_manuales!$H$34="Todos",'Plan mensual'!D29+'Plan mensual'!D140,0))+parametros_manuales!$F$34*('Plan mensual'!D26+'Plan mensual'!D137+IF(parametros_manuales!$H$34="Todos",'Plan mensual'!D30+'Plan mensual'!D141,0))+parametros_manuales!$G$34*('Plan mensual'!D27+'Plan mensual'!D138+IF(parametros_manuales!$H$34="Todos",'Plan mensual'!D31+'Plan mensual'!D142,0)))*parametros_manuales!$I$34*parametros_manuales!$J$34</f>
        <v>2576.4121738</v>
      </c>
      <c r="C71" s="9" t="n">
        <f aca="false">(parametros_manuales!$D$34*('Plan mensual'!E24+'Plan mensual'!E135+IF(parametros_manuales!$H$34="Todos",'Plan mensual'!E28+'Plan mensual'!E139,0))+parametros_manuales!$E$34*('Plan mensual'!E25+'Plan mensual'!E136+IF(parametros_manuales!$H$34="Todos",'Plan mensual'!E29+'Plan mensual'!E140,0))+parametros_manuales!$F$34*('Plan mensual'!E26+'Plan mensual'!E137+IF(parametros_manuales!$H$34="Todos",'Plan mensual'!E30+'Plan mensual'!E141,0))+parametros_manuales!$G$34*('Plan mensual'!E27+'Plan mensual'!E138+IF(parametros_manuales!$H$34="Todos",'Plan mensual'!E31+'Plan mensual'!E142,0)))*parametros_manuales!$I$34*parametros_manuales!$J$34</f>
        <v>1974.044852492</v>
      </c>
      <c r="D71" s="9" t="n">
        <f aca="false">(parametros_manuales!$D$34*('Plan mensual'!F24+'Plan mensual'!F135+IF(parametros_manuales!$H$34="Todos",'Plan mensual'!F28+'Plan mensual'!F139,0))+parametros_manuales!$E$34*('Plan mensual'!F25+'Plan mensual'!F136+IF(parametros_manuales!$H$34="Todos",'Plan mensual'!F29+'Plan mensual'!F140,0))+parametros_manuales!$F$34*('Plan mensual'!F26+'Plan mensual'!F137+IF(parametros_manuales!$H$34="Todos",'Plan mensual'!F30+'Plan mensual'!F141,0))+parametros_manuales!$G$34*('Plan mensual'!F27+'Plan mensual'!F138+IF(parametros_manuales!$H$34="Todos",'Plan mensual'!F31+'Plan mensual'!F142,0)))*parametros_manuales!$I$34*parametros_manuales!$J$34</f>
        <v>1870.639097054</v>
      </c>
      <c r="E71" s="9" t="n">
        <f aca="false">(parametros_manuales!$D$34*('Plan mensual'!G24+'Plan mensual'!G135+IF(parametros_manuales!$H$34="Todos",'Plan mensual'!G28+'Plan mensual'!G139,0))+parametros_manuales!$E$34*('Plan mensual'!G25+'Plan mensual'!G136+IF(parametros_manuales!$H$34="Todos",'Plan mensual'!G29+'Plan mensual'!G140,0))+parametros_manuales!$F$34*('Plan mensual'!G26+'Plan mensual'!G137+IF(parametros_manuales!$H$34="Todos",'Plan mensual'!G30+'Plan mensual'!G141,0))+parametros_manuales!$G$34*('Plan mensual'!G27+'Plan mensual'!G138+IF(parametros_manuales!$H$34="Todos",'Plan mensual'!G31+'Plan mensual'!G142,0)))*parametros_manuales!$I$34*parametros_manuales!$J$34</f>
        <v>1798.068358264</v>
      </c>
      <c r="F71" s="9" t="n">
        <f aca="false">(parametros_manuales!$D$34*('Plan mensual'!H24+'Plan mensual'!H135+IF(parametros_manuales!$H$34="Todos",'Plan mensual'!H28+'Plan mensual'!H139,0))+parametros_manuales!$E$34*('Plan mensual'!H25+'Plan mensual'!H136+IF(parametros_manuales!$H$34="Todos",'Plan mensual'!H29+'Plan mensual'!H140,0))+parametros_manuales!$F$34*('Plan mensual'!H26+'Plan mensual'!H137+IF(parametros_manuales!$H$34="Todos",'Plan mensual'!H30+'Plan mensual'!H141,0))+parametros_manuales!$G$34*('Plan mensual'!H27+'Plan mensual'!H138+IF(parametros_manuales!$H$34="Todos",'Plan mensual'!H31+'Plan mensual'!H142,0)))*parametros_manuales!$I$34*parametros_manuales!$J$34</f>
        <v>1683.761897332</v>
      </c>
      <c r="G71" s="9" t="n">
        <f aca="false">(parametros_manuales!$D$34*('Plan mensual'!I24+'Plan mensual'!I135+IF(parametros_manuales!$H$34="Todos",'Plan mensual'!I28+'Plan mensual'!I139,0))+parametros_manuales!$E$34*('Plan mensual'!I25+'Plan mensual'!I136+IF(parametros_manuales!$H$34="Todos",'Plan mensual'!I29+'Plan mensual'!I140,0))+parametros_manuales!$F$34*('Plan mensual'!I26+'Plan mensual'!I137+IF(parametros_manuales!$H$34="Todos",'Plan mensual'!I30+'Plan mensual'!I141,0))+parametros_manuales!$G$34*('Plan mensual'!I27+'Plan mensual'!I138+IF(parametros_manuales!$H$34="Todos",'Plan mensual'!I31+'Plan mensual'!I142,0)))*parametros_manuales!$I$34*parametros_manuales!$J$34</f>
        <v>1642.02617519</v>
      </c>
      <c r="H71" s="9" t="n">
        <f aca="false">(parametros_manuales!$D$34*('Plan mensual'!J24+'Plan mensual'!J135+IF(parametros_manuales!$H$34="Todos",'Plan mensual'!J28+'Plan mensual'!J139,0))+parametros_manuales!$E$34*('Plan mensual'!J25+'Plan mensual'!J136+IF(parametros_manuales!$H$34="Todos",'Plan mensual'!J29+'Plan mensual'!J140,0))+parametros_manuales!$F$34*('Plan mensual'!J26+'Plan mensual'!J137+IF(parametros_manuales!$H$34="Todos",'Plan mensual'!J30+'Plan mensual'!J141,0))+parametros_manuales!$G$34*('Plan mensual'!J27+'Plan mensual'!J138+IF(parametros_manuales!$H$34="Todos",'Plan mensual'!J31+'Plan mensual'!J142,0)))*parametros_manuales!$I$34*parametros_manuales!$J$34</f>
        <v>1756.332636122</v>
      </c>
      <c r="I71" s="9" t="n">
        <f aca="false">(parametros_manuales!$D$34*('Plan mensual'!K24+'Plan mensual'!K135+IF(parametros_manuales!$H$34="Todos",'Plan mensual'!K28+'Plan mensual'!K139,0))+parametros_manuales!$E$34*('Plan mensual'!K25+'Plan mensual'!K136+IF(parametros_manuales!$H$34="Todos",'Plan mensual'!K29+'Plan mensual'!K140,0))+parametros_manuales!$F$34*('Plan mensual'!K26+'Plan mensual'!K137+IF(parametros_manuales!$H$34="Todos",'Plan mensual'!K30+'Plan mensual'!K141,0))+parametros_manuales!$G$34*('Plan mensual'!K27+'Plan mensual'!K138+IF(parametros_manuales!$H$34="Todos",'Plan mensual'!K31+'Plan mensual'!K142,0)))*parametros_manuales!$I$34*parametros_manuales!$J$34</f>
        <v>1756.332636122</v>
      </c>
      <c r="J71" s="9" t="n">
        <f aca="false">(parametros_manuales!$D$34*('Plan mensual'!L24+'Plan mensual'!L135+IF(parametros_manuales!$H$34="Todos",'Plan mensual'!L28+'Plan mensual'!L139,0))+parametros_manuales!$E$34*('Plan mensual'!L25+'Plan mensual'!L136+IF(parametros_manuales!$H$34="Todos",'Plan mensual'!L29+'Plan mensual'!L140,0))+parametros_manuales!$F$34*('Plan mensual'!L26+'Plan mensual'!L137+IF(parametros_manuales!$H$34="Todos",'Plan mensual'!L30+'Plan mensual'!L141,0))+parametros_manuales!$G$34*('Plan mensual'!L27+'Plan mensual'!L138+IF(parametros_manuales!$H$34="Todos",'Plan mensual'!L31+'Plan mensual'!L142,0)))*parametros_manuales!$I$34*parametros_manuales!$J$34</f>
        <v>1756.332636122</v>
      </c>
      <c r="K71" s="9" t="n">
        <f aca="false">(parametros_manuales!$D$34*('Plan mensual'!M24+'Plan mensual'!M135+IF(parametros_manuales!$H$34="Todos",'Plan mensual'!M28+'Plan mensual'!M139,0))+parametros_manuales!$E$34*('Plan mensual'!M25+'Plan mensual'!M136+IF(parametros_manuales!$H$34="Todos",'Plan mensual'!M29+'Plan mensual'!M140,0))+parametros_manuales!$F$34*('Plan mensual'!M26+'Plan mensual'!M137+IF(parametros_manuales!$H$34="Todos",'Plan mensual'!M30+'Plan mensual'!M141,0))+parametros_manuales!$G$34*('Plan mensual'!M27+'Plan mensual'!M138+IF(parametros_manuales!$H$34="Todos",'Plan mensual'!M31+'Plan mensual'!M142,0)))*parametros_manuales!$I$34*parametros_manuales!$J$34</f>
        <v>1714.59691398</v>
      </c>
      <c r="L71" s="9" t="n">
        <f aca="false">(parametros_manuales!$D$34*('Plan mensual'!N24+'Plan mensual'!N135+IF(parametros_manuales!$H$34="Todos",'Plan mensual'!N28+'Plan mensual'!N139,0))+parametros_manuales!$E$34*('Plan mensual'!N25+'Plan mensual'!N136+IF(parametros_manuales!$H$34="Todos",'Plan mensual'!N29+'Plan mensual'!N140,0))+parametros_manuales!$F$34*('Plan mensual'!N26+'Plan mensual'!N137+IF(parametros_manuales!$H$34="Todos",'Plan mensual'!N30+'Plan mensual'!N141,0))+parametros_manuales!$G$34*('Plan mensual'!N27+'Plan mensual'!N138+IF(parametros_manuales!$H$34="Todos",'Plan mensual'!N31+'Plan mensual'!N142,0)))*parametros_manuales!$I$34*parametros_manuales!$J$34</f>
        <v>1672.861191838</v>
      </c>
      <c r="M71" s="9" t="n">
        <f aca="false">(parametros_manuales!$D$34*('Plan mensual'!O24+'Plan mensual'!O135+IF(parametros_manuales!$H$34="Todos",'Plan mensual'!O28+'Plan mensual'!O139,0))+parametros_manuales!$E$34*('Plan mensual'!O25+'Plan mensual'!O136+IF(parametros_manuales!$H$34="Todos",'Plan mensual'!O29+'Plan mensual'!O140,0))+parametros_manuales!$F$34*('Plan mensual'!O26+'Plan mensual'!O137+IF(parametros_manuales!$H$34="Todos",'Plan mensual'!O30+'Plan mensual'!O141,0))+parametros_manuales!$G$34*('Plan mensual'!O27+'Plan mensual'!O138+IF(parametros_manuales!$H$34="Todos",'Plan mensual'!O31+'Plan mensual'!O142,0)))*parametros_manuales!$I$34*parametros_manuales!$J$34</f>
        <v>2659.883618084</v>
      </c>
      <c r="N71" s="9" t="n">
        <f aca="false">SUM(B71:M71)</f>
        <v>22861.2921864</v>
      </c>
      <c r="O71" s="9" t="n">
        <f aca="false">MAX(B71:M71)</f>
        <v>2659.883618084</v>
      </c>
      <c r="P71" s="44" t="n">
        <f aca="false">O71/(parametros_manuales!$B$7)</f>
        <v>17.7325574538933</v>
      </c>
      <c r="Q71" s="8" t="str">
        <f aca="false">IF(O71=0,"-",INDEX($B$55:$M$55,MATCH(O71,B71:M71,0)))</f>
        <v>Dic</v>
      </c>
    </row>
    <row r="72" customFormat="false" ht="14.25" hidden="false" customHeight="true" outlineLevel="0" collapsed="false">
      <c r="A72" s="8" t="str">
        <f aca="false">parametros_manuales!$B$35</f>
        <v>Detección de defectos</v>
      </c>
      <c r="B72" s="9" t="n">
        <f aca="false">(parametros_manuales!$D$35*('Plan mensual'!D24+'Plan mensual'!D135+IF(parametros_manuales!$H$35="Todos",'Plan mensual'!D28+'Plan mensual'!D139,0))+parametros_manuales!$E$35*('Plan mensual'!D25+'Plan mensual'!D136+IF(parametros_manuales!$H$35="Todos",'Plan mensual'!D29+'Plan mensual'!D140,0))+parametros_manuales!$F$35*('Plan mensual'!D26+'Plan mensual'!D137+IF(parametros_manuales!$H$35="Todos",'Plan mensual'!D30+'Plan mensual'!D141,0))+parametros_manuales!$G$35*('Plan mensual'!D27+'Plan mensual'!D138+IF(parametros_manuales!$H$35="Todos",'Plan mensual'!D31+'Plan mensual'!D142,0)))*parametros_manuales!$I$35*parametros_manuales!$J$35</f>
        <v>2576.4121738</v>
      </c>
      <c r="C72" s="9" t="n">
        <f aca="false">(parametros_manuales!$D$35*('Plan mensual'!E24+'Plan mensual'!E135+IF(parametros_manuales!$H$35="Todos",'Plan mensual'!E28+'Plan mensual'!E139,0))+parametros_manuales!$E$35*('Plan mensual'!E25+'Plan mensual'!E136+IF(parametros_manuales!$H$35="Todos",'Plan mensual'!E29+'Plan mensual'!E140,0))+parametros_manuales!$F$35*('Plan mensual'!E26+'Plan mensual'!E137+IF(parametros_manuales!$H$35="Todos",'Plan mensual'!E30+'Plan mensual'!E141,0))+parametros_manuales!$G$35*('Plan mensual'!E27+'Plan mensual'!E138+IF(parametros_manuales!$H$35="Todos",'Plan mensual'!E31+'Plan mensual'!E142,0)))*parametros_manuales!$I$35*parametros_manuales!$J$35</f>
        <v>1974.044852492</v>
      </c>
      <c r="D72" s="9" t="n">
        <f aca="false">(parametros_manuales!$D$35*('Plan mensual'!F24+'Plan mensual'!F135+IF(parametros_manuales!$H$35="Todos",'Plan mensual'!F28+'Plan mensual'!F139,0))+parametros_manuales!$E$35*('Plan mensual'!F25+'Plan mensual'!F136+IF(parametros_manuales!$H$35="Todos",'Plan mensual'!F29+'Plan mensual'!F140,0))+parametros_manuales!$F$35*('Plan mensual'!F26+'Plan mensual'!F137+IF(parametros_manuales!$H$35="Todos",'Plan mensual'!F30+'Plan mensual'!F141,0))+parametros_manuales!$G$35*('Plan mensual'!F27+'Plan mensual'!F138+IF(parametros_manuales!$H$35="Todos",'Plan mensual'!F31+'Plan mensual'!F142,0)))*parametros_manuales!$I$35*parametros_manuales!$J$35</f>
        <v>1870.639097054</v>
      </c>
      <c r="E72" s="9" t="n">
        <f aca="false">(parametros_manuales!$D$35*('Plan mensual'!G24+'Plan mensual'!G135+IF(parametros_manuales!$H$35="Todos",'Plan mensual'!G28+'Plan mensual'!G139,0))+parametros_manuales!$E$35*('Plan mensual'!G25+'Plan mensual'!G136+IF(parametros_manuales!$H$35="Todos",'Plan mensual'!G29+'Plan mensual'!G140,0))+parametros_manuales!$F$35*('Plan mensual'!G26+'Plan mensual'!G137+IF(parametros_manuales!$H$35="Todos",'Plan mensual'!G30+'Plan mensual'!G141,0))+parametros_manuales!$G$35*('Plan mensual'!G27+'Plan mensual'!G138+IF(parametros_manuales!$H$35="Todos",'Plan mensual'!G31+'Plan mensual'!G142,0)))*parametros_manuales!$I$35*parametros_manuales!$J$35</f>
        <v>1798.068358264</v>
      </c>
      <c r="F72" s="9" t="n">
        <f aca="false">(parametros_manuales!$D$35*('Plan mensual'!H24+'Plan mensual'!H135+IF(parametros_manuales!$H$35="Todos",'Plan mensual'!H28+'Plan mensual'!H139,0))+parametros_manuales!$E$35*('Plan mensual'!H25+'Plan mensual'!H136+IF(parametros_manuales!$H$35="Todos",'Plan mensual'!H29+'Plan mensual'!H140,0))+parametros_manuales!$F$35*('Plan mensual'!H26+'Plan mensual'!H137+IF(parametros_manuales!$H$35="Todos",'Plan mensual'!H30+'Plan mensual'!H141,0))+parametros_manuales!$G$35*('Plan mensual'!H27+'Plan mensual'!H138+IF(parametros_manuales!$H$35="Todos",'Plan mensual'!H31+'Plan mensual'!H142,0)))*parametros_manuales!$I$35*parametros_manuales!$J$35</f>
        <v>1683.761897332</v>
      </c>
      <c r="G72" s="9" t="n">
        <f aca="false">(parametros_manuales!$D$35*('Plan mensual'!I24+'Plan mensual'!I135+IF(parametros_manuales!$H$35="Todos",'Plan mensual'!I28+'Plan mensual'!I139,0))+parametros_manuales!$E$35*('Plan mensual'!I25+'Plan mensual'!I136+IF(parametros_manuales!$H$35="Todos",'Plan mensual'!I29+'Plan mensual'!I140,0))+parametros_manuales!$F$35*('Plan mensual'!I26+'Plan mensual'!I137+IF(parametros_manuales!$H$35="Todos",'Plan mensual'!I30+'Plan mensual'!I141,0))+parametros_manuales!$G$35*('Plan mensual'!I27+'Plan mensual'!I138+IF(parametros_manuales!$H$35="Todos",'Plan mensual'!I31+'Plan mensual'!I142,0)))*parametros_manuales!$I$35*parametros_manuales!$J$35</f>
        <v>1642.02617519</v>
      </c>
      <c r="H72" s="9" t="n">
        <f aca="false">(parametros_manuales!$D$35*('Plan mensual'!J24+'Plan mensual'!J135+IF(parametros_manuales!$H$35="Todos",'Plan mensual'!J28+'Plan mensual'!J139,0))+parametros_manuales!$E$35*('Plan mensual'!J25+'Plan mensual'!J136+IF(parametros_manuales!$H$35="Todos",'Plan mensual'!J29+'Plan mensual'!J140,0))+parametros_manuales!$F$35*('Plan mensual'!J26+'Plan mensual'!J137+IF(parametros_manuales!$H$35="Todos",'Plan mensual'!J30+'Plan mensual'!J141,0))+parametros_manuales!$G$35*('Plan mensual'!J27+'Plan mensual'!J138+IF(parametros_manuales!$H$35="Todos",'Plan mensual'!J31+'Plan mensual'!J142,0)))*parametros_manuales!$I$35*parametros_manuales!$J$35</f>
        <v>1756.332636122</v>
      </c>
      <c r="I72" s="9" t="n">
        <f aca="false">(parametros_manuales!$D$35*('Plan mensual'!K24+'Plan mensual'!K135+IF(parametros_manuales!$H$35="Todos",'Plan mensual'!K28+'Plan mensual'!K139,0))+parametros_manuales!$E$35*('Plan mensual'!K25+'Plan mensual'!K136+IF(parametros_manuales!$H$35="Todos",'Plan mensual'!K29+'Plan mensual'!K140,0))+parametros_manuales!$F$35*('Plan mensual'!K26+'Plan mensual'!K137+IF(parametros_manuales!$H$35="Todos",'Plan mensual'!K30+'Plan mensual'!K141,0))+parametros_manuales!$G$35*('Plan mensual'!K27+'Plan mensual'!K138+IF(parametros_manuales!$H$35="Todos",'Plan mensual'!K31+'Plan mensual'!K142,0)))*parametros_manuales!$I$35*parametros_manuales!$J$35</f>
        <v>1756.332636122</v>
      </c>
      <c r="J72" s="9" t="n">
        <f aca="false">(parametros_manuales!$D$35*('Plan mensual'!L24+'Plan mensual'!L135+IF(parametros_manuales!$H$35="Todos",'Plan mensual'!L28+'Plan mensual'!L139,0))+parametros_manuales!$E$35*('Plan mensual'!L25+'Plan mensual'!L136+IF(parametros_manuales!$H$35="Todos",'Plan mensual'!L29+'Plan mensual'!L140,0))+parametros_manuales!$F$35*('Plan mensual'!L26+'Plan mensual'!L137+IF(parametros_manuales!$H$35="Todos",'Plan mensual'!L30+'Plan mensual'!L141,0))+parametros_manuales!$G$35*('Plan mensual'!L27+'Plan mensual'!L138+IF(parametros_manuales!$H$35="Todos",'Plan mensual'!L31+'Plan mensual'!L142,0)))*parametros_manuales!$I$35*parametros_manuales!$J$35</f>
        <v>1756.332636122</v>
      </c>
      <c r="K72" s="9" t="n">
        <f aca="false">(parametros_manuales!$D$35*('Plan mensual'!M24+'Plan mensual'!M135+IF(parametros_manuales!$H$35="Todos",'Plan mensual'!M28+'Plan mensual'!M139,0))+parametros_manuales!$E$35*('Plan mensual'!M25+'Plan mensual'!M136+IF(parametros_manuales!$H$35="Todos",'Plan mensual'!M29+'Plan mensual'!M140,0))+parametros_manuales!$F$35*('Plan mensual'!M26+'Plan mensual'!M137+IF(parametros_manuales!$H$35="Todos",'Plan mensual'!M30+'Plan mensual'!M141,0))+parametros_manuales!$G$35*('Plan mensual'!M27+'Plan mensual'!M138+IF(parametros_manuales!$H$35="Todos",'Plan mensual'!M31+'Plan mensual'!M142,0)))*parametros_manuales!$I$35*parametros_manuales!$J$35</f>
        <v>1714.59691398</v>
      </c>
      <c r="L72" s="9" t="n">
        <f aca="false">(parametros_manuales!$D$35*('Plan mensual'!N24+'Plan mensual'!N135+IF(parametros_manuales!$H$35="Todos",'Plan mensual'!N28+'Plan mensual'!N139,0))+parametros_manuales!$E$35*('Plan mensual'!N25+'Plan mensual'!N136+IF(parametros_manuales!$H$35="Todos",'Plan mensual'!N29+'Plan mensual'!N140,0))+parametros_manuales!$F$35*('Plan mensual'!N26+'Plan mensual'!N137+IF(parametros_manuales!$H$35="Todos",'Plan mensual'!N30+'Plan mensual'!N141,0))+parametros_manuales!$G$35*('Plan mensual'!N27+'Plan mensual'!N138+IF(parametros_manuales!$H$35="Todos",'Plan mensual'!N31+'Plan mensual'!N142,0)))*parametros_manuales!$I$35*parametros_manuales!$J$35</f>
        <v>1672.861191838</v>
      </c>
      <c r="M72" s="9" t="n">
        <f aca="false">(parametros_manuales!$D$35*('Plan mensual'!O24+'Plan mensual'!O135+IF(parametros_manuales!$H$35="Todos",'Plan mensual'!O28+'Plan mensual'!O139,0))+parametros_manuales!$E$35*('Plan mensual'!O25+'Plan mensual'!O136+IF(parametros_manuales!$H$35="Todos",'Plan mensual'!O29+'Plan mensual'!O140,0))+parametros_manuales!$F$35*('Plan mensual'!O26+'Plan mensual'!O137+IF(parametros_manuales!$H$35="Todos",'Plan mensual'!O30+'Plan mensual'!O141,0))+parametros_manuales!$G$35*('Plan mensual'!O27+'Plan mensual'!O138+IF(parametros_manuales!$H$35="Todos",'Plan mensual'!O31+'Plan mensual'!O142,0)))*parametros_manuales!$I$35*parametros_manuales!$J$35</f>
        <v>2659.883618084</v>
      </c>
      <c r="N72" s="9" t="n">
        <f aca="false">SUM(B72:M72)</f>
        <v>22861.2921864</v>
      </c>
      <c r="O72" s="9" t="n">
        <f aca="false">MAX(B72:M72)</f>
        <v>2659.883618084</v>
      </c>
      <c r="P72" s="44" t="n">
        <f aca="false">O72/(parametros_manuales!$B$7)</f>
        <v>17.7325574538933</v>
      </c>
      <c r="Q72" s="8" t="str">
        <f aca="false">IF(O72=0,"-",INDEX($B$55:$M$55,MATCH(O72,B72:M72,0)))</f>
        <v>Dic</v>
      </c>
    </row>
    <row r="73" customFormat="false" ht="14.25" hidden="false" customHeight="true" outlineLevel="0" collapsed="false">
      <c r="A73" s="8" t="str">
        <f aca="false">parametros_manuales!$B$36</f>
        <v>Corrección de defectos</v>
      </c>
      <c r="B73" s="9" t="n">
        <f aca="false">(parametros_manuales!$D$36*('Plan mensual'!D24+'Plan mensual'!D135+IF(parametros_manuales!$H$36="Todos",'Plan mensual'!D28+'Plan mensual'!D139,0))+parametros_manuales!$E$36*('Plan mensual'!D25+'Plan mensual'!D136+IF(parametros_manuales!$H$36="Todos",'Plan mensual'!D29+'Plan mensual'!D140,0))+parametros_manuales!$F$36*('Plan mensual'!D26+'Plan mensual'!D137+IF(parametros_manuales!$H$36="Todos",'Plan mensual'!D30+'Plan mensual'!D141,0))+parametros_manuales!$G$36*('Plan mensual'!D27+'Plan mensual'!D138+IF(parametros_manuales!$H$36="Todos",'Plan mensual'!D31+'Plan mensual'!D142,0)))*parametros_manuales!$I$36*parametros_manuales!$J$36</f>
        <v>128.82060869</v>
      </c>
      <c r="C73" s="9" t="n">
        <f aca="false">(parametros_manuales!$D$36*('Plan mensual'!E24+'Plan mensual'!E135+IF(parametros_manuales!$H$36="Todos",'Plan mensual'!E28+'Plan mensual'!E139,0))+parametros_manuales!$E$36*('Plan mensual'!E25+'Plan mensual'!E136+IF(parametros_manuales!$H$36="Todos",'Plan mensual'!E29+'Plan mensual'!E140,0))+parametros_manuales!$F$36*('Plan mensual'!E26+'Plan mensual'!E137+IF(parametros_manuales!$H$36="Todos",'Plan mensual'!E30+'Plan mensual'!E141,0))+parametros_manuales!$G$36*('Plan mensual'!E27+'Plan mensual'!E138+IF(parametros_manuales!$H$36="Todos",'Plan mensual'!E31+'Plan mensual'!E142,0)))*parametros_manuales!$I$36*parametros_manuales!$J$36</f>
        <v>98.7022426246</v>
      </c>
      <c r="D73" s="9" t="n">
        <f aca="false">(parametros_manuales!$D$36*('Plan mensual'!F24+'Plan mensual'!F135+IF(parametros_manuales!$H$36="Todos",'Plan mensual'!F28+'Plan mensual'!F139,0))+parametros_manuales!$E$36*('Plan mensual'!F25+'Plan mensual'!F136+IF(parametros_manuales!$H$36="Todos",'Plan mensual'!F29+'Plan mensual'!F140,0))+parametros_manuales!$F$36*('Plan mensual'!F26+'Plan mensual'!F137+IF(parametros_manuales!$H$36="Todos",'Plan mensual'!F30+'Plan mensual'!F141,0))+parametros_manuales!$G$36*('Plan mensual'!F27+'Plan mensual'!F138+IF(parametros_manuales!$H$36="Todos",'Plan mensual'!F31+'Plan mensual'!F142,0)))*parametros_manuales!$I$36*parametros_manuales!$J$36</f>
        <v>93.5319548527</v>
      </c>
      <c r="E73" s="9" t="n">
        <f aca="false">(parametros_manuales!$D$36*('Plan mensual'!G24+'Plan mensual'!G135+IF(parametros_manuales!$H$36="Todos",'Plan mensual'!G28+'Plan mensual'!G139,0))+parametros_manuales!$E$36*('Plan mensual'!G25+'Plan mensual'!G136+IF(parametros_manuales!$H$36="Todos",'Plan mensual'!G29+'Plan mensual'!G140,0))+parametros_manuales!$F$36*('Plan mensual'!G26+'Plan mensual'!G137+IF(parametros_manuales!$H$36="Todos",'Plan mensual'!G30+'Plan mensual'!G141,0))+parametros_manuales!$G$36*('Plan mensual'!G27+'Plan mensual'!G138+IF(parametros_manuales!$H$36="Todos",'Plan mensual'!G31+'Plan mensual'!G142,0)))*parametros_manuales!$I$36*parametros_manuales!$J$36</f>
        <v>89.9034179132</v>
      </c>
      <c r="F73" s="9" t="n">
        <f aca="false">(parametros_manuales!$D$36*('Plan mensual'!H24+'Plan mensual'!H135+IF(parametros_manuales!$H$36="Todos",'Plan mensual'!H28+'Plan mensual'!H139,0))+parametros_manuales!$E$36*('Plan mensual'!H25+'Plan mensual'!H136+IF(parametros_manuales!$H$36="Todos",'Plan mensual'!H29+'Plan mensual'!H140,0))+parametros_manuales!$F$36*('Plan mensual'!H26+'Plan mensual'!H137+IF(parametros_manuales!$H$36="Todos",'Plan mensual'!H30+'Plan mensual'!H141,0))+parametros_manuales!$G$36*('Plan mensual'!H27+'Plan mensual'!H138+IF(parametros_manuales!$H$36="Todos",'Plan mensual'!H31+'Plan mensual'!H142,0)))*parametros_manuales!$I$36*parametros_manuales!$J$36</f>
        <v>84.1880948666</v>
      </c>
      <c r="G73" s="9" t="n">
        <f aca="false">(parametros_manuales!$D$36*('Plan mensual'!I24+'Plan mensual'!I135+IF(parametros_manuales!$H$36="Todos",'Plan mensual'!I28+'Plan mensual'!I139,0))+parametros_manuales!$E$36*('Plan mensual'!I25+'Plan mensual'!I136+IF(parametros_manuales!$H$36="Todos",'Plan mensual'!I29+'Plan mensual'!I140,0))+parametros_manuales!$F$36*('Plan mensual'!I26+'Plan mensual'!I137+IF(parametros_manuales!$H$36="Todos",'Plan mensual'!I30+'Plan mensual'!I141,0))+parametros_manuales!$G$36*('Plan mensual'!I27+'Plan mensual'!I138+IF(parametros_manuales!$H$36="Todos",'Plan mensual'!I31+'Plan mensual'!I142,0)))*parametros_manuales!$I$36*parametros_manuales!$J$36</f>
        <v>82.1013087595</v>
      </c>
      <c r="H73" s="9" t="n">
        <f aca="false">(parametros_manuales!$D$36*('Plan mensual'!J24+'Plan mensual'!J135+IF(parametros_manuales!$H$36="Todos",'Plan mensual'!J28+'Plan mensual'!J139,0))+parametros_manuales!$E$36*('Plan mensual'!J25+'Plan mensual'!J136+IF(parametros_manuales!$H$36="Todos",'Plan mensual'!J29+'Plan mensual'!J140,0))+parametros_manuales!$F$36*('Plan mensual'!J26+'Plan mensual'!J137+IF(parametros_manuales!$H$36="Todos",'Plan mensual'!J30+'Plan mensual'!J141,0))+parametros_manuales!$G$36*('Plan mensual'!J27+'Plan mensual'!J138+IF(parametros_manuales!$H$36="Todos",'Plan mensual'!J31+'Plan mensual'!J142,0)))*parametros_manuales!$I$36*parametros_manuales!$J$36</f>
        <v>87.8166318061</v>
      </c>
      <c r="I73" s="9" t="n">
        <f aca="false">(parametros_manuales!$D$36*('Plan mensual'!K24+'Plan mensual'!K135+IF(parametros_manuales!$H$36="Todos",'Plan mensual'!K28+'Plan mensual'!K139,0))+parametros_manuales!$E$36*('Plan mensual'!K25+'Plan mensual'!K136+IF(parametros_manuales!$H$36="Todos",'Plan mensual'!K29+'Plan mensual'!K140,0))+parametros_manuales!$F$36*('Plan mensual'!K26+'Plan mensual'!K137+IF(parametros_manuales!$H$36="Todos",'Plan mensual'!K30+'Plan mensual'!K141,0))+parametros_manuales!$G$36*('Plan mensual'!K27+'Plan mensual'!K138+IF(parametros_manuales!$H$36="Todos",'Plan mensual'!K31+'Plan mensual'!K142,0)))*parametros_manuales!$I$36*parametros_manuales!$J$36</f>
        <v>87.8166318061</v>
      </c>
      <c r="J73" s="9" t="n">
        <f aca="false">(parametros_manuales!$D$36*('Plan mensual'!L24+'Plan mensual'!L135+IF(parametros_manuales!$H$36="Todos",'Plan mensual'!L28+'Plan mensual'!L139,0))+parametros_manuales!$E$36*('Plan mensual'!L25+'Plan mensual'!L136+IF(parametros_manuales!$H$36="Todos",'Plan mensual'!L29+'Plan mensual'!L140,0))+parametros_manuales!$F$36*('Plan mensual'!L26+'Plan mensual'!L137+IF(parametros_manuales!$H$36="Todos",'Plan mensual'!L30+'Plan mensual'!L141,0))+parametros_manuales!$G$36*('Plan mensual'!L27+'Plan mensual'!L138+IF(parametros_manuales!$H$36="Todos",'Plan mensual'!L31+'Plan mensual'!L142,0)))*parametros_manuales!$I$36*parametros_manuales!$J$36</f>
        <v>87.8166318061</v>
      </c>
      <c r="K73" s="9" t="n">
        <f aca="false">(parametros_manuales!$D$36*('Plan mensual'!M24+'Plan mensual'!M135+IF(parametros_manuales!$H$36="Todos",'Plan mensual'!M28+'Plan mensual'!M139,0))+parametros_manuales!$E$36*('Plan mensual'!M25+'Plan mensual'!M136+IF(parametros_manuales!$H$36="Todos",'Plan mensual'!M29+'Plan mensual'!M140,0))+parametros_manuales!$F$36*('Plan mensual'!M26+'Plan mensual'!M137+IF(parametros_manuales!$H$36="Todos",'Plan mensual'!M30+'Plan mensual'!M141,0))+parametros_manuales!$G$36*('Plan mensual'!M27+'Plan mensual'!M138+IF(parametros_manuales!$H$36="Todos",'Plan mensual'!M31+'Plan mensual'!M142,0)))*parametros_manuales!$I$36*parametros_manuales!$J$36</f>
        <v>85.729845699</v>
      </c>
      <c r="L73" s="9" t="n">
        <f aca="false">(parametros_manuales!$D$36*('Plan mensual'!N24+'Plan mensual'!N135+IF(parametros_manuales!$H$36="Todos",'Plan mensual'!N28+'Plan mensual'!N139,0))+parametros_manuales!$E$36*('Plan mensual'!N25+'Plan mensual'!N136+IF(parametros_manuales!$H$36="Todos",'Plan mensual'!N29+'Plan mensual'!N140,0))+parametros_manuales!$F$36*('Plan mensual'!N26+'Plan mensual'!N137+IF(parametros_manuales!$H$36="Todos",'Plan mensual'!N30+'Plan mensual'!N141,0))+parametros_manuales!$G$36*('Plan mensual'!N27+'Plan mensual'!N138+IF(parametros_manuales!$H$36="Todos",'Plan mensual'!N31+'Plan mensual'!N142,0)))*parametros_manuales!$I$36*parametros_manuales!$J$36</f>
        <v>83.6430595919</v>
      </c>
      <c r="M73" s="9" t="n">
        <f aca="false">(parametros_manuales!$D$36*('Plan mensual'!O24+'Plan mensual'!O135+IF(parametros_manuales!$H$36="Todos",'Plan mensual'!O28+'Plan mensual'!O139,0))+parametros_manuales!$E$36*('Plan mensual'!O25+'Plan mensual'!O136+IF(parametros_manuales!$H$36="Todos",'Plan mensual'!O29+'Plan mensual'!O140,0))+parametros_manuales!$F$36*('Plan mensual'!O26+'Plan mensual'!O137+IF(parametros_manuales!$H$36="Todos",'Plan mensual'!O30+'Plan mensual'!O141,0))+parametros_manuales!$G$36*('Plan mensual'!O27+'Plan mensual'!O138+IF(parametros_manuales!$H$36="Todos",'Plan mensual'!O31+'Plan mensual'!O142,0)))*parametros_manuales!$I$36*parametros_manuales!$J$36</f>
        <v>132.9941809042</v>
      </c>
      <c r="N73" s="9" t="n">
        <f aca="false">SUM(B73:M73)</f>
        <v>1143.06460932</v>
      </c>
      <c r="O73" s="9" t="n">
        <f aca="false">MAX(B73:M73)</f>
        <v>132.9941809042</v>
      </c>
      <c r="P73" s="44" t="n">
        <f aca="false">O73/(parametros_manuales!$B$7)</f>
        <v>0.886627872694667</v>
      </c>
      <c r="Q73" s="8" t="str">
        <f aca="false">IF(O73=0,"-",INDEX($B$55:$M$55,MATCH(O73,B73:M73,0)))</f>
        <v>Dic</v>
      </c>
    </row>
    <row r="74" customFormat="false" ht="14.25" hidden="false" customHeight="true" outlineLevel="0" collapsed="false">
      <c r="A74" s="8" t="str">
        <f aca="false">parametros_manuales!$B$37</f>
        <v>Pintura en polvo + horno</v>
      </c>
      <c r="B74" s="9" t="n">
        <f aca="false">(parametros_manuales!$D$37*('Plan mensual'!D24+'Plan mensual'!D135+IF(parametros_manuales!$H$37="Todos",'Plan mensual'!D28+'Plan mensual'!D139,0))+parametros_manuales!$E$37*('Plan mensual'!D25+'Plan mensual'!D136+IF(parametros_manuales!$H$37="Todos",'Plan mensual'!D29+'Plan mensual'!D140,0))+parametros_manuales!$F$37*('Plan mensual'!D26+'Plan mensual'!D137+IF(parametros_manuales!$H$37="Todos",'Plan mensual'!D30+'Plan mensual'!D141,0))+parametros_manuales!$G$37*('Plan mensual'!D27+'Plan mensual'!D138+IF(parametros_manuales!$H$37="Todos",'Plan mensual'!D31+'Plan mensual'!D142,0)))*parametros_manuales!$I$37*parametros_manuales!$J$37</f>
        <v>2576.4121738</v>
      </c>
      <c r="C74" s="9" t="n">
        <f aca="false">(parametros_manuales!$D$37*('Plan mensual'!E24+'Plan mensual'!E135+IF(parametros_manuales!$H$37="Todos",'Plan mensual'!E28+'Plan mensual'!E139,0))+parametros_manuales!$E$37*('Plan mensual'!E25+'Plan mensual'!E136+IF(parametros_manuales!$H$37="Todos",'Plan mensual'!E29+'Plan mensual'!E140,0))+parametros_manuales!$F$37*('Plan mensual'!E26+'Plan mensual'!E137+IF(parametros_manuales!$H$37="Todos",'Plan mensual'!E30+'Plan mensual'!E141,0))+parametros_manuales!$G$37*('Plan mensual'!E27+'Plan mensual'!E138+IF(parametros_manuales!$H$37="Todos",'Plan mensual'!E31+'Plan mensual'!E142,0)))*parametros_manuales!$I$37*parametros_manuales!$J$37</f>
        <v>1974.044852492</v>
      </c>
      <c r="D74" s="9" t="n">
        <f aca="false">(parametros_manuales!$D$37*('Plan mensual'!F24+'Plan mensual'!F135+IF(parametros_manuales!$H$37="Todos",'Plan mensual'!F28+'Plan mensual'!F139,0))+parametros_manuales!$E$37*('Plan mensual'!F25+'Plan mensual'!F136+IF(parametros_manuales!$H$37="Todos",'Plan mensual'!F29+'Plan mensual'!F140,0))+parametros_manuales!$F$37*('Plan mensual'!F26+'Plan mensual'!F137+IF(parametros_manuales!$H$37="Todos",'Plan mensual'!F30+'Plan mensual'!F141,0))+parametros_manuales!$G$37*('Plan mensual'!F27+'Plan mensual'!F138+IF(parametros_manuales!$H$37="Todos",'Plan mensual'!F31+'Plan mensual'!F142,0)))*parametros_manuales!$I$37*parametros_manuales!$J$37</f>
        <v>1870.639097054</v>
      </c>
      <c r="E74" s="9" t="n">
        <f aca="false">(parametros_manuales!$D$37*('Plan mensual'!G24+'Plan mensual'!G135+IF(parametros_manuales!$H$37="Todos",'Plan mensual'!G28+'Plan mensual'!G139,0))+parametros_manuales!$E$37*('Plan mensual'!G25+'Plan mensual'!G136+IF(parametros_manuales!$H$37="Todos",'Plan mensual'!G29+'Plan mensual'!G140,0))+parametros_manuales!$F$37*('Plan mensual'!G26+'Plan mensual'!G137+IF(parametros_manuales!$H$37="Todos",'Plan mensual'!G30+'Plan mensual'!G141,0))+parametros_manuales!$G$37*('Plan mensual'!G27+'Plan mensual'!G138+IF(parametros_manuales!$H$37="Todos",'Plan mensual'!G31+'Plan mensual'!G142,0)))*parametros_manuales!$I$37*parametros_manuales!$J$37</f>
        <v>1798.068358264</v>
      </c>
      <c r="F74" s="9" t="n">
        <f aca="false">(parametros_manuales!$D$37*('Plan mensual'!H24+'Plan mensual'!H135+IF(parametros_manuales!$H$37="Todos",'Plan mensual'!H28+'Plan mensual'!H139,0))+parametros_manuales!$E$37*('Plan mensual'!H25+'Plan mensual'!H136+IF(parametros_manuales!$H$37="Todos",'Plan mensual'!H29+'Plan mensual'!H140,0))+parametros_manuales!$F$37*('Plan mensual'!H26+'Plan mensual'!H137+IF(parametros_manuales!$H$37="Todos",'Plan mensual'!H30+'Plan mensual'!H141,0))+parametros_manuales!$G$37*('Plan mensual'!H27+'Plan mensual'!H138+IF(parametros_manuales!$H$37="Todos",'Plan mensual'!H31+'Plan mensual'!H142,0)))*parametros_manuales!$I$37*parametros_manuales!$J$37</f>
        <v>1683.761897332</v>
      </c>
      <c r="G74" s="9" t="n">
        <f aca="false">(parametros_manuales!$D$37*('Plan mensual'!I24+'Plan mensual'!I135+IF(parametros_manuales!$H$37="Todos",'Plan mensual'!I28+'Plan mensual'!I139,0))+parametros_manuales!$E$37*('Plan mensual'!I25+'Plan mensual'!I136+IF(parametros_manuales!$H$37="Todos",'Plan mensual'!I29+'Plan mensual'!I140,0))+parametros_manuales!$F$37*('Plan mensual'!I26+'Plan mensual'!I137+IF(parametros_manuales!$H$37="Todos",'Plan mensual'!I30+'Plan mensual'!I141,0))+parametros_manuales!$G$37*('Plan mensual'!I27+'Plan mensual'!I138+IF(parametros_manuales!$H$37="Todos",'Plan mensual'!I31+'Plan mensual'!I142,0)))*parametros_manuales!$I$37*parametros_manuales!$J$37</f>
        <v>1642.02617519</v>
      </c>
      <c r="H74" s="9" t="n">
        <f aca="false">(parametros_manuales!$D$37*('Plan mensual'!J24+'Plan mensual'!J135+IF(parametros_manuales!$H$37="Todos",'Plan mensual'!J28+'Plan mensual'!J139,0))+parametros_manuales!$E$37*('Plan mensual'!J25+'Plan mensual'!J136+IF(parametros_manuales!$H$37="Todos",'Plan mensual'!J29+'Plan mensual'!J140,0))+parametros_manuales!$F$37*('Plan mensual'!J26+'Plan mensual'!J137+IF(parametros_manuales!$H$37="Todos",'Plan mensual'!J30+'Plan mensual'!J141,0))+parametros_manuales!$G$37*('Plan mensual'!J27+'Plan mensual'!J138+IF(parametros_manuales!$H$37="Todos",'Plan mensual'!J31+'Plan mensual'!J142,0)))*parametros_manuales!$I$37*parametros_manuales!$J$37</f>
        <v>1756.332636122</v>
      </c>
      <c r="I74" s="9" t="n">
        <f aca="false">(parametros_manuales!$D$37*('Plan mensual'!K24+'Plan mensual'!K135+IF(parametros_manuales!$H$37="Todos",'Plan mensual'!K28+'Plan mensual'!K139,0))+parametros_manuales!$E$37*('Plan mensual'!K25+'Plan mensual'!K136+IF(parametros_manuales!$H$37="Todos",'Plan mensual'!K29+'Plan mensual'!K140,0))+parametros_manuales!$F$37*('Plan mensual'!K26+'Plan mensual'!K137+IF(parametros_manuales!$H$37="Todos",'Plan mensual'!K30+'Plan mensual'!K141,0))+parametros_manuales!$G$37*('Plan mensual'!K27+'Plan mensual'!K138+IF(parametros_manuales!$H$37="Todos",'Plan mensual'!K31+'Plan mensual'!K142,0)))*parametros_manuales!$I$37*parametros_manuales!$J$37</f>
        <v>1756.332636122</v>
      </c>
      <c r="J74" s="9" t="n">
        <f aca="false">(parametros_manuales!$D$37*('Plan mensual'!L24+'Plan mensual'!L135+IF(parametros_manuales!$H$37="Todos",'Plan mensual'!L28+'Plan mensual'!L139,0))+parametros_manuales!$E$37*('Plan mensual'!L25+'Plan mensual'!L136+IF(parametros_manuales!$H$37="Todos",'Plan mensual'!L29+'Plan mensual'!L140,0))+parametros_manuales!$F$37*('Plan mensual'!L26+'Plan mensual'!L137+IF(parametros_manuales!$H$37="Todos",'Plan mensual'!L30+'Plan mensual'!L141,0))+parametros_manuales!$G$37*('Plan mensual'!L27+'Plan mensual'!L138+IF(parametros_manuales!$H$37="Todos",'Plan mensual'!L31+'Plan mensual'!L142,0)))*parametros_manuales!$I$37*parametros_manuales!$J$37</f>
        <v>1756.332636122</v>
      </c>
      <c r="K74" s="9" t="n">
        <f aca="false">(parametros_manuales!$D$37*('Plan mensual'!M24+'Plan mensual'!M135+IF(parametros_manuales!$H$37="Todos",'Plan mensual'!M28+'Plan mensual'!M139,0))+parametros_manuales!$E$37*('Plan mensual'!M25+'Plan mensual'!M136+IF(parametros_manuales!$H$37="Todos",'Plan mensual'!M29+'Plan mensual'!M140,0))+parametros_manuales!$F$37*('Plan mensual'!M26+'Plan mensual'!M137+IF(parametros_manuales!$H$37="Todos",'Plan mensual'!M30+'Plan mensual'!M141,0))+parametros_manuales!$G$37*('Plan mensual'!M27+'Plan mensual'!M138+IF(parametros_manuales!$H$37="Todos",'Plan mensual'!M31+'Plan mensual'!M142,0)))*parametros_manuales!$I$37*parametros_manuales!$J$37</f>
        <v>1714.59691398</v>
      </c>
      <c r="L74" s="9" t="n">
        <f aca="false">(parametros_manuales!$D$37*('Plan mensual'!N24+'Plan mensual'!N135+IF(parametros_manuales!$H$37="Todos",'Plan mensual'!N28+'Plan mensual'!N139,0))+parametros_manuales!$E$37*('Plan mensual'!N25+'Plan mensual'!N136+IF(parametros_manuales!$H$37="Todos",'Plan mensual'!N29+'Plan mensual'!N140,0))+parametros_manuales!$F$37*('Plan mensual'!N26+'Plan mensual'!N137+IF(parametros_manuales!$H$37="Todos",'Plan mensual'!N30+'Plan mensual'!N141,0))+parametros_manuales!$G$37*('Plan mensual'!N27+'Plan mensual'!N138+IF(parametros_manuales!$H$37="Todos",'Plan mensual'!N31+'Plan mensual'!N142,0)))*parametros_manuales!$I$37*parametros_manuales!$J$37</f>
        <v>1672.861191838</v>
      </c>
      <c r="M74" s="9" t="n">
        <f aca="false">(parametros_manuales!$D$37*('Plan mensual'!O24+'Plan mensual'!O135+IF(parametros_manuales!$H$37="Todos",'Plan mensual'!O28+'Plan mensual'!O139,0))+parametros_manuales!$E$37*('Plan mensual'!O25+'Plan mensual'!O136+IF(parametros_manuales!$H$37="Todos",'Plan mensual'!O29+'Plan mensual'!O140,0))+parametros_manuales!$F$37*('Plan mensual'!O26+'Plan mensual'!O137+IF(parametros_manuales!$H$37="Todos",'Plan mensual'!O30+'Plan mensual'!O141,0))+parametros_manuales!$G$37*('Plan mensual'!O27+'Plan mensual'!O138+IF(parametros_manuales!$H$37="Todos",'Plan mensual'!O31+'Plan mensual'!O142,0)))*parametros_manuales!$I$37*parametros_manuales!$J$37</f>
        <v>2659.883618084</v>
      </c>
      <c r="N74" s="9" t="n">
        <f aca="false">SUM(B74:M74)</f>
        <v>22861.2921864</v>
      </c>
      <c r="O74" s="9" t="n">
        <f aca="false">MAX(B74:M74)</f>
        <v>2659.883618084</v>
      </c>
      <c r="P74" s="44" t="n">
        <f aca="false">O74/(parametros_manuales!$B$7)</f>
        <v>17.7325574538933</v>
      </c>
      <c r="Q74" s="8" t="str">
        <f aca="false">IF(O74=0,"-",INDEX($B$55:$M$55,MATCH(O74,B74:M74,0)))</f>
        <v>Dic</v>
      </c>
    </row>
    <row r="75" customFormat="false" ht="14.25" hidden="false" customHeight="true" outlineLevel="0" collapsed="false">
      <c r="A75" s="8" t="str">
        <f aca="false">parametros_manuales!$B$38</f>
        <v>Carga de polvo</v>
      </c>
      <c r="B75" s="9" t="n">
        <f aca="false">(parametros_manuales!$D$38*('Plan mensual'!D24+'Plan mensual'!D135+IF(parametros_manuales!$H$38="Todos",'Plan mensual'!D28+'Plan mensual'!D139,0))+parametros_manuales!$E$38*('Plan mensual'!D25+'Plan mensual'!D136+IF(parametros_manuales!$H$38="Todos",'Plan mensual'!D29+'Plan mensual'!D140,0))+parametros_manuales!$F$38*('Plan mensual'!D26+'Plan mensual'!D137+IF(parametros_manuales!$H$38="Todos",'Plan mensual'!D30+'Plan mensual'!D141,0))+parametros_manuales!$G$38*('Plan mensual'!D27+'Plan mensual'!D138+IF(parametros_manuales!$H$38="Todos",'Plan mensual'!D31+'Plan mensual'!D142,0)))*parametros_manuales!$I$38*parametros_manuales!$J$38</f>
        <v>1460.4521738</v>
      </c>
      <c r="C75" s="9" t="n">
        <f aca="false">(parametros_manuales!$D$38*('Plan mensual'!E24+'Plan mensual'!E135+IF(parametros_manuales!$H$38="Todos",'Plan mensual'!E28+'Plan mensual'!E139,0))+parametros_manuales!$E$38*('Plan mensual'!E25+'Plan mensual'!E136+IF(parametros_manuales!$H$38="Todos",'Plan mensual'!E29+'Plan mensual'!E140,0))+parametros_manuales!$F$38*('Plan mensual'!E26+'Plan mensual'!E137+IF(parametros_manuales!$H$38="Todos",'Plan mensual'!E30+'Plan mensual'!E141,0))+parametros_manuales!$G$38*('Plan mensual'!E27+'Plan mensual'!E138+IF(parametros_manuales!$H$38="Todos",'Plan mensual'!E31+'Plan mensual'!E142,0)))*parametros_manuales!$I$38*parametros_manuales!$J$38</f>
        <v>1127.251252492</v>
      </c>
      <c r="D75" s="9" t="n">
        <f aca="false">(parametros_manuales!$D$38*('Plan mensual'!F24+'Plan mensual'!F135+IF(parametros_manuales!$H$38="Todos",'Plan mensual'!F28+'Plan mensual'!F139,0))+parametros_manuales!$E$38*('Plan mensual'!F25+'Plan mensual'!F136+IF(parametros_manuales!$H$38="Todos",'Plan mensual'!F29+'Plan mensual'!F140,0))+parametros_manuales!$F$38*('Plan mensual'!F26+'Plan mensual'!F137+IF(parametros_manuales!$H$38="Todos",'Plan mensual'!F30+'Plan mensual'!F141,0))+parametros_manuales!$G$38*('Plan mensual'!F27+'Plan mensual'!F138+IF(parametros_manuales!$H$38="Todos",'Plan mensual'!F31+'Plan mensual'!F142,0)))*parametros_manuales!$I$38*parametros_manuales!$J$38</f>
        <v>1090.645897054</v>
      </c>
      <c r="E75" s="9" t="n">
        <f aca="false">(parametros_manuales!$D$38*('Plan mensual'!G24+'Plan mensual'!G135+IF(parametros_manuales!$H$38="Todos",'Plan mensual'!G28+'Plan mensual'!G139,0))+parametros_manuales!$E$38*('Plan mensual'!G25+'Plan mensual'!G136+IF(parametros_manuales!$H$38="Todos",'Plan mensual'!G29+'Plan mensual'!G140,0))+parametros_manuales!$F$38*('Plan mensual'!G26+'Plan mensual'!G137+IF(parametros_manuales!$H$38="Todos",'Plan mensual'!G30+'Plan mensual'!G141,0))+parametros_manuales!$G$38*('Plan mensual'!G27+'Plan mensual'!G138+IF(parametros_manuales!$H$38="Todos",'Plan mensual'!G31+'Plan mensual'!G142,0)))*parametros_manuales!$I$38*parametros_manuales!$J$38</f>
        <v>1056.387158264</v>
      </c>
      <c r="F75" s="9" t="n">
        <f aca="false">(parametros_manuales!$D$38*('Plan mensual'!H24+'Plan mensual'!H135+IF(parametros_manuales!$H$38="Todos",'Plan mensual'!H28+'Plan mensual'!H139,0))+parametros_manuales!$E$38*('Plan mensual'!H25+'Plan mensual'!H136+IF(parametros_manuales!$H$38="Todos",'Plan mensual'!H29+'Plan mensual'!H140,0))+parametros_manuales!$F$38*('Plan mensual'!H26+'Plan mensual'!H137+IF(parametros_manuales!$H$38="Todos",'Plan mensual'!H30+'Plan mensual'!H141,0))+parametros_manuales!$G$38*('Plan mensual'!H27+'Plan mensual'!H138+IF(parametros_manuales!$H$38="Todos",'Plan mensual'!H31+'Plan mensual'!H142,0)))*parametros_manuales!$I$38*parametros_manuales!$J$38</f>
        <v>990.216297332</v>
      </c>
      <c r="G75" s="9" t="n">
        <f aca="false">(parametros_manuales!$D$38*('Plan mensual'!I24+'Plan mensual'!I135+IF(parametros_manuales!$H$38="Todos",'Plan mensual'!I28+'Plan mensual'!I139,0))+parametros_manuales!$E$38*('Plan mensual'!I25+'Plan mensual'!I136+IF(parametros_manuales!$H$38="Todos",'Plan mensual'!I29+'Plan mensual'!I140,0))+parametros_manuales!$F$38*('Plan mensual'!I26+'Plan mensual'!I137+IF(parametros_manuales!$H$38="Todos",'Plan mensual'!I30+'Plan mensual'!I141,0))+parametros_manuales!$G$38*('Plan mensual'!I27+'Plan mensual'!I138+IF(parametros_manuales!$H$38="Todos",'Plan mensual'!I31+'Plan mensual'!I142,0)))*parametros_manuales!$I$38*parametros_manuales!$J$38</f>
        <v>958.30417519</v>
      </c>
      <c r="H75" s="9" t="n">
        <f aca="false">(parametros_manuales!$D$38*('Plan mensual'!J24+'Plan mensual'!J135+IF(parametros_manuales!$H$38="Todos",'Plan mensual'!J28+'Plan mensual'!J139,0))+parametros_manuales!$E$38*('Plan mensual'!J25+'Plan mensual'!J136+IF(parametros_manuales!$H$38="Todos",'Plan mensual'!J29+'Plan mensual'!J140,0))+parametros_manuales!$F$38*('Plan mensual'!J26+'Plan mensual'!J137+IF(parametros_manuales!$H$38="Todos",'Plan mensual'!J30+'Plan mensual'!J141,0))+parametros_manuales!$G$38*('Plan mensual'!J27+'Plan mensual'!J138+IF(parametros_manuales!$H$38="Todos",'Plan mensual'!J31+'Plan mensual'!J142,0)))*parametros_manuales!$I$38*parametros_manuales!$J$38</f>
        <v>1024.475036122</v>
      </c>
      <c r="I75" s="9" t="n">
        <f aca="false">(parametros_manuales!$D$38*('Plan mensual'!K24+'Plan mensual'!K135+IF(parametros_manuales!$H$38="Todos",'Plan mensual'!K28+'Plan mensual'!K139,0))+parametros_manuales!$E$38*('Plan mensual'!K25+'Plan mensual'!K136+IF(parametros_manuales!$H$38="Todos",'Plan mensual'!K29+'Plan mensual'!K140,0))+parametros_manuales!$F$38*('Plan mensual'!K26+'Plan mensual'!K137+IF(parametros_manuales!$H$38="Todos",'Plan mensual'!K30+'Plan mensual'!K141,0))+parametros_manuales!$G$38*('Plan mensual'!K27+'Plan mensual'!K138+IF(parametros_manuales!$H$38="Todos",'Plan mensual'!K31+'Plan mensual'!K142,0)))*parametros_manuales!$I$38*parametros_manuales!$J$38</f>
        <v>1024.475036122</v>
      </c>
      <c r="J75" s="9" t="n">
        <f aca="false">(parametros_manuales!$D$38*('Plan mensual'!L24+'Plan mensual'!L135+IF(parametros_manuales!$H$38="Todos",'Plan mensual'!L28+'Plan mensual'!L139,0))+parametros_manuales!$E$38*('Plan mensual'!L25+'Plan mensual'!L136+IF(parametros_manuales!$H$38="Todos",'Plan mensual'!L29+'Plan mensual'!L140,0))+parametros_manuales!$F$38*('Plan mensual'!L26+'Plan mensual'!L137+IF(parametros_manuales!$H$38="Todos",'Plan mensual'!L30+'Plan mensual'!L141,0))+parametros_manuales!$G$38*('Plan mensual'!L27+'Plan mensual'!L138+IF(parametros_manuales!$H$38="Todos",'Plan mensual'!L31+'Plan mensual'!L142,0)))*parametros_manuales!$I$38*parametros_manuales!$J$38</f>
        <v>1024.475036122</v>
      </c>
      <c r="K75" s="9" t="n">
        <f aca="false">(parametros_manuales!$D$38*('Plan mensual'!M24+'Plan mensual'!M135+IF(parametros_manuales!$H$38="Todos",'Plan mensual'!M28+'Plan mensual'!M139,0))+parametros_manuales!$E$38*('Plan mensual'!M25+'Plan mensual'!M136+IF(parametros_manuales!$H$38="Todos",'Plan mensual'!M29+'Plan mensual'!M140,0))+parametros_manuales!$F$38*('Plan mensual'!M26+'Plan mensual'!M137+IF(parametros_manuales!$H$38="Todos",'Plan mensual'!M30+'Plan mensual'!M141,0))+parametros_manuales!$G$38*('Plan mensual'!M27+'Plan mensual'!M138+IF(parametros_manuales!$H$38="Todos",'Plan mensual'!M31+'Plan mensual'!M142,0)))*parametros_manuales!$I$38*parametros_manuales!$J$38</f>
        <v>992.56291398</v>
      </c>
      <c r="L75" s="9" t="n">
        <f aca="false">(parametros_manuales!$D$38*('Plan mensual'!N24+'Plan mensual'!N135+IF(parametros_manuales!$H$38="Todos",'Plan mensual'!N28+'Plan mensual'!N139,0))+parametros_manuales!$E$38*('Plan mensual'!N25+'Plan mensual'!N136+IF(parametros_manuales!$H$38="Todos",'Plan mensual'!N29+'Plan mensual'!N140,0))+parametros_manuales!$F$38*('Plan mensual'!N26+'Plan mensual'!N137+IF(parametros_manuales!$H$38="Todos",'Plan mensual'!N30+'Plan mensual'!N141,0))+parametros_manuales!$G$38*('Plan mensual'!N27+'Plan mensual'!N138+IF(parametros_manuales!$H$38="Todos",'Plan mensual'!N31+'Plan mensual'!N142,0)))*parametros_manuales!$I$38*parametros_manuales!$J$38</f>
        <v>960.650791838</v>
      </c>
      <c r="M75" s="9" t="n">
        <f aca="false">(parametros_manuales!$D$38*('Plan mensual'!O24+'Plan mensual'!O135+IF(parametros_manuales!$H$38="Todos",'Plan mensual'!O28+'Plan mensual'!O139,0))+parametros_manuales!$E$38*('Plan mensual'!O25+'Plan mensual'!O136+IF(parametros_manuales!$H$38="Todos",'Plan mensual'!O29+'Plan mensual'!O140,0))+parametros_manuales!$F$38*('Plan mensual'!O26+'Plan mensual'!O137+IF(parametros_manuales!$H$38="Todos",'Plan mensual'!O30+'Plan mensual'!O141,0))+parametros_manuales!$G$38*('Plan mensual'!O27+'Plan mensual'!O138+IF(parametros_manuales!$H$38="Todos",'Plan mensual'!O31+'Plan mensual'!O142,0)))*parametros_manuales!$I$38*parametros_manuales!$J$38</f>
        <v>1524.276418084</v>
      </c>
      <c r="N75" s="9" t="n">
        <f aca="false">SUM(B75:M75)</f>
        <v>13234.1721864</v>
      </c>
      <c r="O75" s="9" t="n">
        <f aca="false">MAX(B75:M75)</f>
        <v>1524.276418084</v>
      </c>
      <c r="P75" s="44" t="n">
        <f aca="false">O75/(parametros_manuales!$B$7)</f>
        <v>10.1618427872267</v>
      </c>
      <c r="Q75" s="8" t="str">
        <f aca="false">IF(O75=0,"-",INDEX($B$55:$M$55,MATCH(O75,B75:M75,0)))</f>
        <v>Dic</v>
      </c>
    </row>
    <row r="76" customFormat="false" ht="14.25" hidden="false" customHeight="true" outlineLevel="0" collapsed="false">
      <c r="A76" s="8" t="str">
        <f aca="false">parametros_manuales!$B$39</f>
        <v>Ensamblaje</v>
      </c>
      <c r="B76" s="9" t="n">
        <f aca="false">(parametros_manuales!$D$39*('Plan mensual'!D24+'Plan mensual'!D135+IF(parametros_manuales!$H$39="Todos",'Plan mensual'!D28+'Plan mensual'!D139,0))+parametros_manuales!$E$39*('Plan mensual'!D25+'Plan mensual'!D136+IF(parametros_manuales!$H$39="Todos",'Plan mensual'!D29+'Plan mensual'!D140,0))+parametros_manuales!$F$39*('Plan mensual'!D26+'Plan mensual'!D137+IF(parametros_manuales!$H$39="Todos",'Plan mensual'!D30+'Plan mensual'!D141,0))+parametros_manuales!$G$39*('Plan mensual'!D27+'Plan mensual'!D138+IF(parametros_manuales!$H$39="Todos",'Plan mensual'!D31+'Plan mensual'!D142,0)))*parametros_manuales!$I$39*parametros_manuales!$J$39</f>
        <v>1460.4521738</v>
      </c>
      <c r="C76" s="9" t="n">
        <f aca="false">(parametros_manuales!$D$39*('Plan mensual'!E24+'Plan mensual'!E135+IF(parametros_manuales!$H$39="Todos",'Plan mensual'!E28+'Plan mensual'!E139,0))+parametros_manuales!$E$39*('Plan mensual'!E25+'Plan mensual'!E136+IF(parametros_manuales!$H$39="Todos",'Plan mensual'!E29+'Plan mensual'!E140,0))+parametros_manuales!$F$39*('Plan mensual'!E26+'Plan mensual'!E137+IF(parametros_manuales!$H$39="Todos",'Plan mensual'!E30+'Plan mensual'!E141,0))+parametros_manuales!$G$39*('Plan mensual'!E27+'Plan mensual'!E138+IF(parametros_manuales!$H$39="Todos",'Plan mensual'!E31+'Plan mensual'!E142,0)))*parametros_manuales!$I$39*parametros_manuales!$J$39</f>
        <v>1127.251252492</v>
      </c>
      <c r="D76" s="9" t="n">
        <f aca="false">(parametros_manuales!$D$39*('Plan mensual'!F24+'Plan mensual'!F135+IF(parametros_manuales!$H$39="Todos",'Plan mensual'!F28+'Plan mensual'!F139,0))+parametros_manuales!$E$39*('Plan mensual'!F25+'Plan mensual'!F136+IF(parametros_manuales!$H$39="Todos",'Plan mensual'!F29+'Plan mensual'!F140,0))+parametros_manuales!$F$39*('Plan mensual'!F26+'Plan mensual'!F137+IF(parametros_manuales!$H$39="Todos",'Plan mensual'!F30+'Plan mensual'!F141,0))+parametros_manuales!$G$39*('Plan mensual'!F27+'Plan mensual'!F138+IF(parametros_manuales!$H$39="Todos",'Plan mensual'!F31+'Plan mensual'!F142,0)))*parametros_manuales!$I$39*parametros_manuales!$J$39</f>
        <v>1090.645897054</v>
      </c>
      <c r="E76" s="9" t="n">
        <f aca="false">(parametros_manuales!$D$39*('Plan mensual'!G24+'Plan mensual'!G135+IF(parametros_manuales!$H$39="Todos",'Plan mensual'!G28+'Plan mensual'!G139,0))+parametros_manuales!$E$39*('Plan mensual'!G25+'Plan mensual'!G136+IF(parametros_manuales!$H$39="Todos",'Plan mensual'!G29+'Plan mensual'!G140,0))+parametros_manuales!$F$39*('Plan mensual'!G26+'Plan mensual'!G137+IF(parametros_manuales!$H$39="Todos",'Plan mensual'!G30+'Plan mensual'!G141,0))+parametros_manuales!$G$39*('Plan mensual'!G27+'Plan mensual'!G138+IF(parametros_manuales!$H$39="Todos",'Plan mensual'!G31+'Plan mensual'!G142,0)))*parametros_manuales!$I$39*parametros_manuales!$J$39</f>
        <v>1056.387158264</v>
      </c>
      <c r="F76" s="9" t="n">
        <f aca="false">(parametros_manuales!$D$39*('Plan mensual'!H24+'Plan mensual'!H135+IF(parametros_manuales!$H$39="Todos",'Plan mensual'!H28+'Plan mensual'!H139,0))+parametros_manuales!$E$39*('Plan mensual'!H25+'Plan mensual'!H136+IF(parametros_manuales!$H$39="Todos",'Plan mensual'!H29+'Plan mensual'!H140,0))+parametros_manuales!$F$39*('Plan mensual'!H26+'Plan mensual'!H137+IF(parametros_manuales!$H$39="Todos",'Plan mensual'!H30+'Plan mensual'!H141,0))+parametros_manuales!$G$39*('Plan mensual'!H27+'Plan mensual'!H138+IF(parametros_manuales!$H$39="Todos",'Plan mensual'!H31+'Plan mensual'!H142,0)))*parametros_manuales!$I$39*parametros_manuales!$J$39</f>
        <v>990.216297332</v>
      </c>
      <c r="G76" s="9" t="n">
        <f aca="false">(parametros_manuales!$D$39*('Plan mensual'!I24+'Plan mensual'!I135+IF(parametros_manuales!$H$39="Todos",'Plan mensual'!I28+'Plan mensual'!I139,0))+parametros_manuales!$E$39*('Plan mensual'!I25+'Plan mensual'!I136+IF(parametros_manuales!$H$39="Todos",'Plan mensual'!I29+'Plan mensual'!I140,0))+parametros_manuales!$F$39*('Plan mensual'!I26+'Plan mensual'!I137+IF(parametros_manuales!$H$39="Todos",'Plan mensual'!I30+'Plan mensual'!I141,0))+parametros_manuales!$G$39*('Plan mensual'!I27+'Plan mensual'!I138+IF(parametros_manuales!$H$39="Todos",'Plan mensual'!I31+'Plan mensual'!I142,0)))*parametros_manuales!$I$39*parametros_manuales!$J$39</f>
        <v>958.30417519</v>
      </c>
      <c r="H76" s="9" t="n">
        <f aca="false">(parametros_manuales!$D$39*('Plan mensual'!J24+'Plan mensual'!J135+IF(parametros_manuales!$H$39="Todos",'Plan mensual'!J28+'Plan mensual'!J139,0))+parametros_manuales!$E$39*('Plan mensual'!J25+'Plan mensual'!J136+IF(parametros_manuales!$H$39="Todos",'Plan mensual'!J29+'Plan mensual'!J140,0))+parametros_manuales!$F$39*('Plan mensual'!J26+'Plan mensual'!J137+IF(parametros_manuales!$H$39="Todos",'Plan mensual'!J30+'Plan mensual'!J141,0))+parametros_manuales!$G$39*('Plan mensual'!J27+'Plan mensual'!J138+IF(parametros_manuales!$H$39="Todos",'Plan mensual'!J31+'Plan mensual'!J142,0)))*parametros_manuales!$I$39*parametros_manuales!$J$39</f>
        <v>1024.475036122</v>
      </c>
      <c r="I76" s="9" t="n">
        <f aca="false">(parametros_manuales!$D$39*('Plan mensual'!K24+'Plan mensual'!K135+IF(parametros_manuales!$H$39="Todos",'Plan mensual'!K28+'Plan mensual'!K139,0))+parametros_manuales!$E$39*('Plan mensual'!K25+'Plan mensual'!K136+IF(parametros_manuales!$H$39="Todos",'Plan mensual'!K29+'Plan mensual'!K140,0))+parametros_manuales!$F$39*('Plan mensual'!K26+'Plan mensual'!K137+IF(parametros_manuales!$H$39="Todos",'Plan mensual'!K30+'Plan mensual'!K141,0))+parametros_manuales!$G$39*('Plan mensual'!K27+'Plan mensual'!K138+IF(parametros_manuales!$H$39="Todos",'Plan mensual'!K31+'Plan mensual'!K142,0)))*parametros_manuales!$I$39*parametros_manuales!$J$39</f>
        <v>1024.475036122</v>
      </c>
      <c r="J76" s="9" t="n">
        <f aca="false">(parametros_manuales!$D$39*('Plan mensual'!L24+'Plan mensual'!L135+IF(parametros_manuales!$H$39="Todos",'Plan mensual'!L28+'Plan mensual'!L139,0))+parametros_manuales!$E$39*('Plan mensual'!L25+'Plan mensual'!L136+IF(parametros_manuales!$H$39="Todos",'Plan mensual'!L29+'Plan mensual'!L140,0))+parametros_manuales!$F$39*('Plan mensual'!L26+'Plan mensual'!L137+IF(parametros_manuales!$H$39="Todos",'Plan mensual'!L30+'Plan mensual'!L141,0))+parametros_manuales!$G$39*('Plan mensual'!L27+'Plan mensual'!L138+IF(parametros_manuales!$H$39="Todos",'Plan mensual'!L31+'Plan mensual'!L142,0)))*parametros_manuales!$I$39*parametros_manuales!$J$39</f>
        <v>1024.475036122</v>
      </c>
      <c r="K76" s="9" t="n">
        <f aca="false">(parametros_manuales!$D$39*('Plan mensual'!M24+'Plan mensual'!M135+IF(parametros_manuales!$H$39="Todos",'Plan mensual'!M28+'Plan mensual'!M139,0))+parametros_manuales!$E$39*('Plan mensual'!M25+'Plan mensual'!M136+IF(parametros_manuales!$H$39="Todos",'Plan mensual'!M29+'Plan mensual'!M140,0))+parametros_manuales!$F$39*('Plan mensual'!M26+'Plan mensual'!M137+IF(parametros_manuales!$H$39="Todos",'Plan mensual'!M30+'Plan mensual'!M141,0))+parametros_manuales!$G$39*('Plan mensual'!M27+'Plan mensual'!M138+IF(parametros_manuales!$H$39="Todos",'Plan mensual'!M31+'Plan mensual'!M142,0)))*parametros_manuales!$I$39*parametros_manuales!$J$39</f>
        <v>992.56291398</v>
      </c>
      <c r="L76" s="9" t="n">
        <f aca="false">(parametros_manuales!$D$39*('Plan mensual'!N24+'Plan mensual'!N135+IF(parametros_manuales!$H$39="Todos",'Plan mensual'!N28+'Plan mensual'!N139,0))+parametros_manuales!$E$39*('Plan mensual'!N25+'Plan mensual'!N136+IF(parametros_manuales!$H$39="Todos",'Plan mensual'!N29+'Plan mensual'!N140,0))+parametros_manuales!$F$39*('Plan mensual'!N26+'Plan mensual'!N137+IF(parametros_manuales!$H$39="Todos",'Plan mensual'!N30+'Plan mensual'!N141,0))+parametros_manuales!$G$39*('Plan mensual'!N27+'Plan mensual'!N138+IF(parametros_manuales!$H$39="Todos",'Plan mensual'!N31+'Plan mensual'!N142,0)))*parametros_manuales!$I$39*parametros_manuales!$J$39</f>
        <v>960.650791838</v>
      </c>
      <c r="M76" s="9" t="n">
        <f aca="false">(parametros_manuales!$D$39*('Plan mensual'!O24+'Plan mensual'!O135+IF(parametros_manuales!$H$39="Todos",'Plan mensual'!O28+'Plan mensual'!O139,0))+parametros_manuales!$E$39*('Plan mensual'!O25+'Plan mensual'!O136+IF(parametros_manuales!$H$39="Todos",'Plan mensual'!O29+'Plan mensual'!O140,0))+parametros_manuales!$F$39*('Plan mensual'!O26+'Plan mensual'!O137+IF(parametros_manuales!$H$39="Todos",'Plan mensual'!O30+'Plan mensual'!O141,0))+parametros_manuales!$G$39*('Plan mensual'!O27+'Plan mensual'!O138+IF(parametros_manuales!$H$39="Todos",'Plan mensual'!O31+'Plan mensual'!O142,0)))*parametros_manuales!$I$39*parametros_manuales!$J$39</f>
        <v>1524.276418084</v>
      </c>
      <c r="N76" s="9" t="n">
        <f aca="false">SUM(B76:M76)</f>
        <v>13234.1721864</v>
      </c>
      <c r="O76" s="9" t="n">
        <f aca="false">MAX(B76:M76)</f>
        <v>1524.276418084</v>
      </c>
      <c r="P76" s="44" t="n">
        <f aca="false">O76/(parametros_manuales!$B$7)</f>
        <v>10.1618427872267</v>
      </c>
      <c r="Q76" s="8" t="str">
        <f aca="false">IF(O76=0,"-",INDEX($B$55:$M$55,MATCH(O76,B76:M76,0)))</f>
        <v>Dic</v>
      </c>
    </row>
    <row r="77" customFormat="false" ht="14.25" hidden="false" customHeight="true" outlineLevel="0" collapsed="false">
      <c r="A77" s="8" t="str">
        <f aca="false">parametros_manuales!$B$40</f>
        <v>Presurización</v>
      </c>
      <c r="B77" s="9" t="n">
        <f aca="false">(parametros_manuales!$D$40*('Plan mensual'!D24+'Plan mensual'!D135+IF(parametros_manuales!$H$40="Todos",'Plan mensual'!D28+'Plan mensual'!D139,0))+parametros_manuales!$E$40*('Plan mensual'!D25+'Plan mensual'!D136+IF(parametros_manuales!$H$40="Todos",'Plan mensual'!D29+'Plan mensual'!D140,0))+parametros_manuales!$F$40*('Plan mensual'!D26+'Plan mensual'!D137+IF(parametros_manuales!$H$40="Todos",'Plan mensual'!D30+'Plan mensual'!D141,0))+parametros_manuales!$G$40*('Plan mensual'!D27+'Plan mensual'!D138+IF(parametros_manuales!$H$40="Todos",'Plan mensual'!D31+'Plan mensual'!D142,0)))*parametros_manuales!$I$40*parametros_manuales!$J$40</f>
        <v>1460.4521738</v>
      </c>
      <c r="C77" s="9" t="n">
        <f aca="false">(parametros_manuales!$D$40*('Plan mensual'!E24+'Plan mensual'!E135+IF(parametros_manuales!$H$40="Todos",'Plan mensual'!E28+'Plan mensual'!E139,0))+parametros_manuales!$E$40*('Plan mensual'!E25+'Plan mensual'!E136+IF(parametros_manuales!$H$40="Todos",'Plan mensual'!E29+'Plan mensual'!E140,0))+parametros_manuales!$F$40*('Plan mensual'!E26+'Plan mensual'!E137+IF(parametros_manuales!$H$40="Todos",'Plan mensual'!E30+'Plan mensual'!E141,0))+parametros_manuales!$G$40*('Plan mensual'!E27+'Plan mensual'!E138+IF(parametros_manuales!$H$40="Todos",'Plan mensual'!E31+'Plan mensual'!E142,0)))*parametros_manuales!$I$40*parametros_manuales!$J$40</f>
        <v>1127.251252492</v>
      </c>
      <c r="D77" s="9" t="n">
        <f aca="false">(parametros_manuales!$D$40*('Plan mensual'!F24+'Plan mensual'!F135+IF(parametros_manuales!$H$40="Todos",'Plan mensual'!F28+'Plan mensual'!F139,0))+parametros_manuales!$E$40*('Plan mensual'!F25+'Plan mensual'!F136+IF(parametros_manuales!$H$40="Todos",'Plan mensual'!F29+'Plan mensual'!F140,0))+parametros_manuales!$F$40*('Plan mensual'!F26+'Plan mensual'!F137+IF(parametros_manuales!$H$40="Todos",'Plan mensual'!F30+'Plan mensual'!F141,0))+parametros_manuales!$G$40*('Plan mensual'!F27+'Plan mensual'!F138+IF(parametros_manuales!$H$40="Todos",'Plan mensual'!F31+'Plan mensual'!F142,0)))*parametros_manuales!$I$40*parametros_manuales!$J$40</f>
        <v>1090.645897054</v>
      </c>
      <c r="E77" s="9" t="n">
        <f aca="false">(parametros_manuales!$D$40*('Plan mensual'!G24+'Plan mensual'!G135+IF(parametros_manuales!$H$40="Todos",'Plan mensual'!G28+'Plan mensual'!G139,0))+parametros_manuales!$E$40*('Plan mensual'!G25+'Plan mensual'!G136+IF(parametros_manuales!$H$40="Todos",'Plan mensual'!G29+'Plan mensual'!G140,0))+parametros_manuales!$F$40*('Plan mensual'!G26+'Plan mensual'!G137+IF(parametros_manuales!$H$40="Todos",'Plan mensual'!G30+'Plan mensual'!G141,0))+parametros_manuales!$G$40*('Plan mensual'!G27+'Plan mensual'!G138+IF(parametros_manuales!$H$40="Todos",'Plan mensual'!G31+'Plan mensual'!G142,0)))*parametros_manuales!$I$40*parametros_manuales!$J$40</f>
        <v>1056.387158264</v>
      </c>
      <c r="F77" s="9" t="n">
        <f aca="false">(parametros_manuales!$D$40*('Plan mensual'!H24+'Plan mensual'!H135+IF(parametros_manuales!$H$40="Todos",'Plan mensual'!H28+'Plan mensual'!H139,0))+parametros_manuales!$E$40*('Plan mensual'!H25+'Plan mensual'!H136+IF(parametros_manuales!$H$40="Todos",'Plan mensual'!H29+'Plan mensual'!H140,0))+parametros_manuales!$F$40*('Plan mensual'!H26+'Plan mensual'!H137+IF(parametros_manuales!$H$40="Todos",'Plan mensual'!H30+'Plan mensual'!H141,0))+parametros_manuales!$G$40*('Plan mensual'!H27+'Plan mensual'!H138+IF(parametros_manuales!$H$40="Todos",'Plan mensual'!H31+'Plan mensual'!H142,0)))*parametros_manuales!$I$40*parametros_manuales!$J$40</f>
        <v>990.216297332</v>
      </c>
      <c r="G77" s="9" t="n">
        <f aca="false">(parametros_manuales!$D$40*('Plan mensual'!I24+'Plan mensual'!I135+IF(parametros_manuales!$H$40="Todos",'Plan mensual'!I28+'Plan mensual'!I139,0))+parametros_manuales!$E$40*('Plan mensual'!I25+'Plan mensual'!I136+IF(parametros_manuales!$H$40="Todos",'Plan mensual'!I29+'Plan mensual'!I140,0))+parametros_manuales!$F$40*('Plan mensual'!I26+'Plan mensual'!I137+IF(parametros_manuales!$H$40="Todos",'Plan mensual'!I30+'Plan mensual'!I141,0))+parametros_manuales!$G$40*('Plan mensual'!I27+'Plan mensual'!I138+IF(parametros_manuales!$H$40="Todos",'Plan mensual'!I31+'Plan mensual'!I142,0)))*parametros_manuales!$I$40*parametros_manuales!$J$40</f>
        <v>958.30417519</v>
      </c>
      <c r="H77" s="9" t="n">
        <f aca="false">(parametros_manuales!$D$40*('Plan mensual'!J24+'Plan mensual'!J135+IF(parametros_manuales!$H$40="Todos",'Plan mensual'!J28+'Plan mensual'!J139,0))+parametros_manuales!$E$40*('Plan mensual'!J25+'Plan mensual'!J136+IF(parametros_manuales!$H$40="Todos",'Plan mensual'!J29+'Plan mensual'!J140,0))+parametros_manuales!$F$40*('Plan mensual'!J26+'Plan mensual'!J137+IF(parametros_manuales!$H$40="Todos",'Plan mensual'!J30+'Plan mensual'!J141,0))+parametros_manuales!$G$40*('Plan mensual'!J27+'Plan mensual'!J138+IF(parametros_manuales!$H$40="Todos",'Plan mensual'!J31+'Plan mensual'!J142,0)))*parametros_manuales!$I$40*parametros_manuales!$J$40</f>
        <v>1024.475036122</v>
      </c>
      <c r="I77" s="9" t="n">
        <f aca="false">(parametros_manuales!$D$40*('Plan mensual'!K24+'Plan mensual'!K135+IF(parametros_manuales!$H$40="Todos",'Plan mensual'!K28+'Plan mensual'!K139,0))+parametros_manuales!$E$40*('Plan mensual'!K25+'Plan mensual'!K136+IF(parametros_manuales!$H$40="Todos",'Plan mensual'!K29+'Plan mensual'!K140,0))+parametros_manuales!$F$40*('Plan mensual'!K26+'Plan mensual'!K137+IF(parametros_manuales!$H$40="Todos",'Plan mensual'!K30+'Plan mensual'!K141,0))+parametros_manuales!$G$40*('Plan mensual'!K27+'Plan mensual'!K138+IF(parametros_manuales!$H$40="Todos",'Plan mensual'!K31+'Plan mensual'!K142,0)))*parametros_manuales!$I$40*parametros_manuales!$J$40</f>
        <v>1024.475036122</v>
      </c>
      <c r="J77" s="9" t="n">
        <f aca="false">(parametros_manuales!$D$40*('Plan mensual'!L24+'Plan mensual'!L135+IF(parametros_manuales!$H$40="Todos",'Plan mensual'!L28+'Plan mensual'!L139,0))+parametros_manuales!$E$40*('Plan mensual'!L25+'Plan mensual'!L136+IF(parametros_manuales!$H$40="Todos",'Plan mensual'!L29+'Plan mensual'!L140,0))+parametros_manuales!$F$40*('Plan mensual'!L26+'Plan mensual'!L137+IF(parametros_manuales!$H$40="Todos",'Plan mensual'!L30+'Plan mensual'!L141,0))+parametros_manuales!$G$40*('Plan mensual'!L27+'Plan mensual'!L138+IF(parametros_manuales!$H$40="Todos",'Plan mensual'!L31+'Plan mensual'!L142,0)))*parametros_manuales!$I$40*parametros_manuales!$J$40</f>
        <v>1024.475036122</v>
      </c>
      <c r="K77" s="9" t="n">
        <f aca="false">(parametros_manuales!$D$40*('Plan mensual'!M24+'Plan mensual'!M135+IF(parametros_manuales!$H$40="Todos",'Plan mensual'!M28+'Plan mensual'!M139,0))+parametros_manuales!$E$40*('Plan mensual'!M25+'Plan mensual'!M136+IF(parametros_manuales!$H$40="Todos",'Plan mensual'!M29+'Plan mensual'!M140,0))+parametros_manuales!$F$40*('Plan mensual'!M26+'Plan mensual'!M137+IF(parametros_manuales!$H$40="Todos",'Plan mensual'!M30+'Plan mensual'!M141,0))+parametros_manuales!$G$40*('Plan mensual'!M27+'Plan mensual'!M138+IF(parametros_manuales!$H$40="Todos",'Plan mensual'!M31+'Plan mensual'!M142,0)))*parametros_manuales!$I$40*parametros_manuales!$J$40</f>
        <v>992.56291398</v>
      </c>
      <c r="L77" s="9" t="n">
        <f aca="false">(parametros_manuales!$D$40*('Plan mensual'!N24+'Plan mensual'!N135+IF(parametros_manuales!$H$40="Todos",'Plan mensual'!N28+'Plan mensual'!N139,0))+parametros_manuales!$E$40*('Plan mensual'!N25+'Plan mensual'!N136+IF(parametros_manuales!$H$40="Todos",'Plan mensual'!N29+'Plan mensual'!N140,0))+parametros_manuales!$F$40*('Plan mensual'!N26+'Plan mensual'!N137+IF(parametros_manuales!$H$40="Todos",'Plan mensual'!N30+'Plan mensual'!N141,0))+parametros_manuales!$G$40*('Plan mensual'!N27+'Plan mensual'!N138+IF(parametros_manuales!$H$40="Todos",'Plan mensual'!N31+'Plan mensual'!N142,0)))*parametros_manuales!$I$40*parametros_manuales!$J$40</f>
        <v>960.650791838</v>
      </c>
      <c r="M77" s="9" t="n">
        <f aca="false">(parametros_manuales!$D$40*('Plan mensual'!O24+'Plan mensual'!O135+IF(parametros_manuales!$H$40="Todos",'Plan mensual'!O28+'Plan mensual'!O139,0))+parametros_manuales!$E$40*('Plan mensual'!O25+'Plan mensual'!O136+IF(parametros_manuales!$H$40="Todos",'Plan mensual'!O29+'Plan mensual'!O140,0))+parametros_manuales!$F$40*('Plan mensual'!O26+'Plan mensual'!O137+IF(parametros_manuales!$H$40="Todos",'Plan mensual'!O30+'Plan mensual'!O141,0))+parametros_manuales!$G$40*('Plan mensual'!O27+'Plan mensual'!O138+IF(parametros_manuales!$H$40="Todos",'Plan mensual'!O31+'Plan mensual'!O142,0)))*parametros_manuales!$I$40*parametros_manuales!$J$40</f>
        <v>1524.276418084</v>
      </c>
      <c r="N77" s="9" t="n">
        <f aca="false">SUM(B77:M77)</f>
        <v>13234.1721864</v>
      </c>
      <c r="O77" s="9" t="n">
        <f aca="false">MAX(B77:M77)</f>
        <v>1524.276418084</v>
      </c>
      <c r="P77" s="44" t="n">
        <f aca="false">O77/(parametros_manuales!$B$7)</f>
        <v>10.1618427872267</v>
      </c>
      <c r="Q77" s="8" t="str">
        <f aca="false">IF(O77=0,"-",INDEX($B$55:$M$55,MATCH(O77,B77:M77,0)))</f>
        <v>Dic</v>
      </c>
    </row>
    <row r="78" customFormat="false" ht="14.25" hidden="false" customHeight="true" outlineLevel="0" collapsed="false">
      <c r="A78" s="8" t="str">
        <f aca="false">parametros_manuales!$B$41</f>
        <v>Control de calidad — Ensayo de pérdidas</v>
      </c>
      <c r="B78" s="9" t="n">
        <f aca="false">(parametros_manuales!$D$41*('Plan mensual'!D24+'Plan mensual'!D135+IF(parametros_manuales!$H$41="Todos",'Plan mensual'!D28+'Plan mensual'!D139,0))+parametros_manuales!$E$41*('Plan mensual'!D25+'Plan mensual'!D136+IF(parametros_manuales!$H$41="Todos",'Plan mensual'!D29+'Plan mensual'!D140,0))+parametros_manuales!$F$41*('Plan mensual'!D26+'Plan mensual'!D137+IF(parametros_manuales!$H$41="Todos",'Plan mensual'!D30+'Plan mensual'!D141,0))+parametros_manuales!$G$41*('Plan mensual'!D27+'Plan mensual'!D138+IF(parametros_manuales!$H$41="Todos",'Plan mensual'!D31+'Plan mensual'!D142,0)))*parametros_manuales!$I$41*parametros_manuales!$J$41</f>
        <v>1460.4521738</v>
      </c>
      <c r="C78" s="9" t="n">
        <f aca="false">(parametros_manuales!$D$41*('Plan mensual'!E24+'Plan mensual'!E135+IF(parametros_manuales!$H$41="Todos",'Plan mensual'!E28+'Plan mensual'!E139,0))+parametros_manuales!$E$41*('Plan mensual'!E25+'Plan mensual'!E136+IF(parametros_manuales!$H$41="Todos",'Plan mensual'!E29+'Plan mensual'!E140,0))+parametros_manuales!$F$41*('Plan mensual'!E26+'Plan mensual'!E137+IF(parametros_manuales!$H$41="Todos",'Plan mensual'!E30+'Plan mensual'!E141,0))+parametros_manuales!$G$41*('Plan mensual'!E27+'Plan mensual'!E138+IF(parametros_manuales!$H$41="Todos",'Plan mensual'!E31+'Plan mensual'!E142,0)))*parametros_manuales!$I$41*parametros_manuales!$J$41</f>
        <v>1127.251252492</v>
      </c>
      <c r="D78" s="9" t="n">
        <f aca="false">(parametros_manuales!$D$41*('Plan mensual'!F24+'Plan mensual'!F135+IF(parametros_manuales!$H$41="Todos",'Plan mensual'!F28+'Plan mensual'!F139,0))+parametros_manuales!$E$41*('Plan mensual'!F25+'Plan mensual'!F136+IF(parametros_manuales!$H$41="Todos",'Plan mensual'!F29+'Plan mensual'!F140,0))+parametros_manuales!$F$41*('Plan mensual'!F26+'Plan mensual'!F137+IF(parametros_manuales!$H$41="Todos",'Plan mensual'!F30+'Plan mensual'!F141,0))+parametros_manuales!$G$41*('Plan mensual'!F27+'Plan mensual'!F138+IF(parametros_manuales!$H$41="Todos",'Plan mensual'!F31+'Plan mensual'!F142,0)))*parametros_manuales!$I$41*parametros_manuales!$J$41</f>
        <v>1090.645897054</v>
      </c>
      <c r="E78" s="9" t="n">
        <f aca="false">(parametros_manuales!$D$41*('Plan mensual'!G24+'Plan mensual'!G135+IF(parametros_manuales!$H$41="Todos",'Plan mensual'!G28+'Plan mensual'!G139,0))+parametros_manuales!$E$41*('Plan mensual'!G25+'Plan mensual'!G136+IF(parametros_manuales!$H$41="Todos",'Plan mensual'!G29+'Plan mensual'!G140,0))+parametros_manuales!$F$41*('Plan mensual'!G26+'Plan mensual'!G137+IF(parametros_manuales!$H$41="Todos",'Plan mensual'!G30+'Plan mensual'!G141,0))+parametros_manuales!$G$41*('Plan mensual'!G27+'Plan mensual'!G138+IF(parametros_manuales!$H$41="Todos",'Plan mensual'!G31+'Plan mensual'!G142,0)))*parametros_manuales!$I$41*parametros_manuales!$J$41</f>
        <v>1056.387158264</v>
      </c>
      <c r="F78" s="9" t="n">
        <f aca="false">(parametros_manuales!$D$41*('Plan mensual'!H24+'Plan mensual'!H135+IF(parametros_manuales!$H$41="Todos",'Plan mensual'!H28+'Plan mensual'!H139,0))+parametros_manuales!$E$41*('Plan mensual'!H25+'Plan mensual'!H136+IF(parametros_manuales!$H$41="Todos",'Plan mensual'!H29+'Plan mensual'!H140,0))+parametros_manuales!$F$41*('Plan mensual'!H26+'Plan mensual'!H137+IF(parametros_manuales!$H$41="Todos",'Plan mensual'!H30+'Plan mensual'!H141,0))+parametros_manuales!$G$41*('Plan mensual'!H27+'Plan mensual'!H138+IF(parametros_manuales!$H$41="Todos",'Plan mensual'!H31+'Plan mensual'!H142,0)))*parametros_manuales!$I$41*parametros_manuales!$J$41</f>
        <v>990.216297332</v>
      </c>
      <c r="G78" s="9" t="n">
        <f aca="false">(parametros_manuales!$D$41*('Plan mensual'!I24+'Plan mensual'!I135+IF(parametros_manuales!$H$41="Todos",'Plan mensual'!I28+'Plan mensual'!I139,0))+parametros_manuales!$E$41*('Plan mensual'!I25+'Plan mensual'!I136+IF(parametros_manuales!$H$41="Todos",'Plan mensual'!I29+'Plan mensual'!I140,0))+parametros_manuales!$F$41*('Plan mensual'!I26+'Plan mensual'!I137+IF(parametros_manuales!$H$41="Todos",'Plan mensual'!I30+'Plan mensual'!I141,0))+parametros_manuales!$G$41*('Plan mensual'!I27+'Plan mensual'!I138+IF(parametros_manuales!$H$41="Todos",'Plan mensual'!I31+'Plan mensual'!I142,0)))*parametros_manuales!$I$41*parametros_manuales!$J$41</f>
        <v>958.30417519</v>
      </c>
      <c r="H78" s="9" t="n">
        <f aca="false">(parametros_manuales!$D$41*('Plan mensual'!J24+'Plan mensual'!J135+IF(parametros_manuales!$H$41="Todos",'Plan mensual'!J28+'Plan mensual'!J139,0))+parametros_manuales!$E$41*('Plan mensual'!J25+'Plan mensual'!J136+IF(parametros_manuales!$H$41="Todos",'Plan mensual'!J29+'Plan mensual'!J140,0))+parametros_manuales!$F$41*('Plan mensual'!J26+'Plan mensual'!J137+IF(parametros_manuales!$H$41="Todos",'Plan mensual'!J30+'Plan mensual'!J141,0))+parametros_manuales!$G$41*('Plan mensual'!J27+'Plan mensual'!J138+IF(parametros_manuales!$H$41="Todos",'Plan mensual'!J31+'Plan mensual'!J142,0)))*parametros_manuales!$I$41*parametros_manuales!$J$41</f>
        <v>1024.475036122</v>
      </c>
      <c r="I78" s="9" t="n">
        <f aca="false">(parametros_manuales!$D$41*('Plan mensual'!K24+'Plan mensual'!K135+IF(parametros_manuales!$H$41="Todos",'Plan mensual'!K28+'Plan mensual'!K139,0))+parametros_manuales!$E$41*('Plan mensual'!K25+'Plan mensual'!K136+IF(parametros_manuales!$H$41="Todos",'Plan mensual'!K29+'Plan mensual'!K140,0))+parametros_manuales!$F$41*('Plan mensual'!K26+'Plan mensual'!K137+IF(parametros_manuales!$H$41="Todos",'Plan mensual'!K30+'Plan mensual'!K141,0))+parametros_manuales!$G$41*('Plan mensual'!K27+'Plan mensual'!K138+IF(parametros_manuales!$H$41="Todos",'Plan mensual'!K31+'Plan mensual'!K142,0)))*parametros_manuales!$I$41*parametros_manuales!$J$41</f>
        <v>1024.475036122</v>
      </c>
      <c r="J78" s="9" t="n">
        <f aca="false">(parametros_manuales!$D$41*('Plan mensual'!L24+'Plan mensual'!L135+IF(parametros_manuales!$H$41="Todos",'Plan mensual'!L28+'Plan mensual'!L139,0))+parametros_manuales!$E$41*('Plan mensual'!L25+'Plan mensual'!L136+IF(parametros_manuales!$H$41="Todos",'Plan mensual'!L29+'Plan mensual'!L140,0))+parametros_manuales!$F$41*('Plan mensual'!L26+'Plan mensual'!L137+IF(parametros_manuales!$H$41="Todos",'Plan mensual'!L30+'Plan mensual'!L141,0))+parametros_manuales!$G$41*('Plan mensual'!L27+'Plan mensual'!L138+IF(parametros_manuales!$H$41="Todos",'Plan mensual'!L31+'Plan mensual'!L142,0)))*parametros_manuales!$I$41*parametros_manuales!$J$41</f>
        <v>1024.475036122</v>
      </c>
      <c r="K78" s="9" t="n">
        <f aca="false">(parametros_manuales!$D$41*('Plan mensual'!M24+'Plan mensual'!M135+IF(parametros_manuales!$H$41="Todos",'Plan mensual'!M28+'Plan mensual'!M139,0))+parametros_manuales!$E$41*('Plan mensual'!M25+'Plan mensual'!M136+IF(parametros_manuales!$H$41="Todos",'Plan mensual'!M29+'Plan mensual'!M140,0))+parametros_manuales!$F$41*('Plan mensual'!M26+'Plan mensual'!M137+IF(parametros_manuales!$H$41="Todos",'Plan mensual'!M30+'Plan mensual'!M141,0))+parametros_manuales!$G$41*('Plan mensual'!M27+'Plan mensual'!M138+IF(parametros_manuales!$H$41="Todos",'Plan mensual'!M31+'Plan mensual'!M142,0)))*parametros_manuales!$I$41*parametros_manuales!$J$41</f>
        <v>992.56291398</v>
      </c>
      <c r="L78" s="9" t="n">
        <f aca="false">(parametros_manuales!$D$41*('Plan mensual'!N24+'Plan mensual'!N135+IF(parametros_manuales!$H$41="Todos",'Plan mensual'!N28+'Plan mensual'!N139,0))+parametros_manuales!$E$41*('Plan mensual'!N25+'Plan mensual'!N136+IF(parametros_manuales!$H$41="Todos",'Plan mensual'!N29+'Plan mensual'!N140,0))+parametros_manuales!$F$41*('Plan mensual'!N26+'Plan mensual'!N137+IF(parametros_manuales!$H$41="Todos",'Plan mensual'!N30+'Plan mensual'!N141,0))+parametros_manuales!$G$41*('Plan mensual'!N27+'Plan mensual'!N138+IF(parametros_manuales!$H$41="Todos",'Plan mensual'!N31+'Plan mensual'!N142,0)))*parametros_manuales!$I$41*parametros_manuales!$J$41</f>
        <v>960.650791838</v>
      </c>
      <c r="M78" s="9" t="n">
        <f aca="false">(parametros_manuales!$D$41*('Plan mensual'!O24+'Plan mensual'!O135+IF(parametros_manuales!$H$41="Todos",'Plan mensual'!O28+'Plan mensual'!O139,0))+parametros_manuales!$E$41*('Plan mensual'!O25+'Plan mensual'!O136+IF(parametros_manuales!$H$41="Todos",'Plan mensual'!O29+'Plan mensual'!O140,0))+parametros_manuales!$F$41*('Plan mensual'!O26+'Plan mensual'!O137+IF(parametros_manuales!$H$41="Todos",'Plan mensual'!O30+'Plan mensual'!O141,0))+parametros_manuales!$G$41*('Plan mensual'!O27+'Plan mensual'!O138+IF(parametros_manuales!$H$41="Todos",'Plan mensual'!O31+'Plan mensual'!O142,0)))*parametros_manuales!$I$41*parametros_manuales!$J$41</f>
        <v>1524.276418084</v>
      </c>
      <c r="N78" s="9" t="n">
        <f aca="false">SUM(B78:M78)</f>
        <v>13234.1721864</v>
      </c>
      <c r="O78" s="9" t="n">
        <f aca="false">MAX(B78:M78)</f>
        <v>1524.276418084</v>
      </c>
      <c r="P78" s="44" t="n">
        <f aca="false">O78/(parametros_manuales!$B$7)</f>
        <v>10.1618427872267</v>
      </c>
      <c r="Q78" s="8" t="str">
        <f aca="false">IF(O78=0,"-",INDEX($B$55:$M$55,MATCH(O78,B78:M78,0)))</f>
        <v>Dic</v>
      </c>
    </row>
    <row r="79" customFormat="false" ht="14.25" hidden="false" customHeight="true" outlineLevel="0" collapsed="false">
      <c r="A79" s="8" t="str">
        <f aca="false">parametros_manuales!$B$42</f>
        <v>Etiquetado</v>
      </c>
      <c r="B79" s="9" t="n">
        <f aca="false">(parametros_manuales!$D$42*('Plan mensual'!D24+'Plan mensual'!D135+IF(parametros_manuales!$H$42="Todos",'Plan mensual'!D28+'Plan mensual'!D139,0))+parametros_manuales!$E$42*('Plan mensual'!D25+'Plan mensual'!D136+IF(parametros_manuales!$H$42="Todos",'Plan mensual'!D29+'Plan mensual'!D140,0))+parametros_manuales!$F$42*('Plan mensual'!D26+'Plan mensual'!D137+IF(parametros_manuales!$H$42="Todos",'Plan mensual'!D30+'Plan mensual'!D141,0))+parametros_manuales!$G$42*('Plan mensual'!D27+'Plan mensual'!D138+IF(parametros_manuales!$H$42="Todos",'Plan mensual'!D31+'Plan mensual'!D142,0)))*parametros_manuales!$I$42*parametros_manuales!$J$42</f>
        <v>1460.4521738</v>
      </c>
      <c r="C79" s="9" t="n">
        <f aca="false">(parametros_manuales!$D$42*('Plan mensual'!E24+'Plan mensual'!E135+IF(parametros_manuales!$H$42="Todos",'Plan mensual'!E28+'Plan mensual'!E139,0))+parametros_manuales!$E$42*('Plan mensual'!E25+'Plan mensual'!E136+IF(parametros_manuales!$H$42="Todos",'Plan mensual'!E29+'Plan mensual'!E140,0))+parametros_manuales!$F$42*('Plan mensual'!E26+'Plan mensual'!E137+IF(parametros_manuales!$H$42="Todos",'Plan mensual'!E30+'Plan mensual'!E141,0))+parametros_manuales!$G$42*('Plan mensual'!E27+'Plan mensual'!E138+IF(parametros_manuales!$H$42="Todos",'Plan mensual'!E31+'Plan mensual'!E142,0)))*parametros_manuales!$I$42*parametros_manuales!$J$42</f>
        <v>1127.251252492</v>
      </c>
      <c r="D79" s="9" t="n">
        <f aca="false">(parametros_manuales!$D$42*('Plan mensual'!F24+'Plan mensual'!F135+IF(parametros_manuales!$H$42="Todos",'Plan mensual'!F28+'Plan mensual'!F139,0))+parametros_manuales!$E$42*('Plan mensual'!F25+'Plan mensual'!F136+IF(parametros_manuales!$H$42="Todos",'Plan mensual'!F29+'Plan mensual'!F140,0))+parametros_manuales!$F$42*('Plan mensual'!F26+'Plan mensual'!F137+IF(parametros_manuales!$H$42="Todos",'Plan mensual'!F30+'Plan mensual'!F141,0))+parametros_manuales!$G$42*('Plan mensual'!F27+'Plan mensual'!F138+IF(parametros_manuales!$H$42="Todos",'Plan mensual'!F31+'Plan mensual'!F142,0)))*parametros_manuales!$I$42*parametros_manuales!$J$42</f>
        <v>1090.645897054</v>
      </c>
      <c r="E79" s="9" t="n">
        <f aca="false">(parametros_manuales!$D$42*('Plan mensual'!G24+'Plan mensual'!G135+IF(parametros_manuales!$H$42="Todos",'Plan mensual'!G28+'Plan mensual'!G139,0))+parametros_manuales!$E$42*('Plan mensual'!G25+'Plan mensual'!G136+IF(parametros_manuales!$H$42="Todos",'Plan mensual'!G29+'Plan mensual'!G140,0))+parametros_manuales!$F$42*('Plan mensual'!G26+'Plan mensual'!G137+IF(parametros_manuales!$H$42="Todos",'Plan mensual'!G30+'Plan mensual'!G141,0))+parametros_manuales!$G$42*('Plan mensual'!G27+'Plan mensual'!G138+IF(parametros_manuales!$H$42="Todos",'Plan mensual'!G31+'Plan mensual'!G142,0)))*parametros_manuales!$I$42*parametros_manuales!$J$42</f>
        <v>1056.387158264</v>
      </c>
      <c r="F79" s="9" t="n">
        <f aca="false">(parametros_manuales!$D$42*('Plan mensual'!H24+'Plan mensual'!H135+IF(parametros_manuales!$H$42="Todos",'Plan mensual'!H28+'Plan mensual'!H139,0))+parametros_manuales!$E$42*('Plan mensual'!H25+'Plan mensual'!H136+IF(parametros_manuales!$H$42="Todos",'Plan mensual'!H29+'Plan mensual'!H140,0))+parametros_manuales!$F$42*('Plan mensual'!H26+'Plan mensual'!H137+IF(parametros_manuales!$H$42="Todos",'Plan mensual'!H30+'Plan mensual'!H141,0))+parametros_manuales!$G$42*('Plan mensual'!H27+'Plan mensual'!H138+IF(parametros_manuales!$H$42="Todos",'Plan mensual'!H31+'Plan mensual'!H142,0)))*parametros_manuales!$I$42*parametros_manuales!$J$42</f>
        <v>990.216297332</v>
      </c>
      <c r="G79" s="9" t="n">
        <f aca="false">(parametros_manuales!$D$42*('Plan mensual'!I24+'Plan mensual'!I135+IF(parametros_manuales!$H$42="Todos",'Plan mensual'!I28+'Plan mensual'!I139,0))+parametros_manuales!$E$42*('Plan mensual'!I25+'Plan mensual'!I136+IF(parametros_manuales!$H$42="Todos",'Plan mensual'!I29+'Plan mensual'!I140,0))+parametros_manuales!$F$42*('Plan mensual'!I26+'Plan mensual'!I137+IF(parametros_manuales!$H$42="Todos",'Plan mensual'!I30+'Plan mensual'!I141,0))+parametros_manuales!$G$42*('Plan mensual'!I27+'Plan mensual'!I138+IF(parametros_manuales!$H$42="Todos",'Plan mensual'!I31+'Plan mensual'!I142,0)))*parametros_manuales!$I$42*parametros_manuales!$J$42</f>
        <v>958.30417519</v>
      </c>
      <c r="H79" s="9" t="n">
        <f aca="false">(parametros_manuales!$D$42*('Plan mensual'!J24+'Plan mensual'!J135+IF(parametros_manuales!$H$42="Todos",'Plan mensual'!J28+'Plan mensual'!J139,0))+parametros_manuales!$E$42*('Plan mensual'!J25+'Plan mensual'!J136+IF(parametros_manuales!$H$42="Todos",'Plan mensual'!J29+'Plan mensual'!J140,0))+parametros_manuales!$F$42*('Plan mensual'!J26+'Plan mensual'!J137+IF(parametros_manuales!$H$42="Todos",'Plan mensual'!J30+'Plan mensual'!J141,0))+parametros_manuales!$G$42*('Plan mensual'!J27+'Plan mensual'!J138+IF(parametros_manuales!$H$42="Todos",'Plan mensual'!J31+'Plan mensual'!J142,0)))*parametros_manuales!$I$42*parametros_manuales!$J$42</f>
        <v>1024.475036122</v>
      </c>
      <c r="I79" s="9" t="n">
        <f aca="false">(parametros_manuales!$D$42*('Plan mensual'!K24+'Plan mensual'!K135+IF(parametros_manuales!$H$42="Todos",'Plan mensual'!K28+'Plan mensual'!K139,0))+parametros_manuales!$E$42*('Plan mensual'!K25+'Plan mensual'!K136+IF(parametros_manuales!$H$42="Todos",'Plan mensual'!K29+'Plan mensual'!K140,0))+parametros_manuales!$F$42*('Plan mensual'!K26+'Plan mensual'!K137+IF(parametros_manuales!$H$42="Todos",'Plan mensual'!K30+'Plan mensual'!K141,0))+parametros_manuales!$G$42*('Plan mensual'!K27+'Plan mensual'!K138+IF(parametros_manuales!$H$42="Todos",'Plan mensual'!K31+'Plan mensual'!K142,0)))*parametros_manuales!$I$42*parametros_manuales!$J$42</f>
        <v>1024.475036122</v>
      </c>
      <c r="J79" s="9" t="n">
        <f aca="false">(parametros_manuales!$D$42*('Plan mensual'!L24+'Plan mensual'!L135+IF(parametros_manuales!$H$42="Todos",'Plan mensual'!L28+'Plan mensual'!L139,0))+parametros_manuales!$E$42*('Plan mensual'!L25+'Plan mensual'!L136+IF(parametros_manuales!$H$42="Todos",'Plan mensual'!L29+'Plan mensual'!L140,0))+parametros_manuales!$F$42*('Plan mensual'!L26+'Plan mensual'!L137+IF(parametros_manuales!$H$42="Todos",'Plan mensual'!L30+'Plan mensual'!L141,0))+parametros_manuales!$G$42*('Plan mensual'!L27+'Plan mensual'!L138+IF(parametros_manuales!$H$42="Todos",'Plan mensual'!L31+'Plan mensual'!L142,0)))*parametros_manuales!$I$42*parametros_manuales!$J$42</f>
        <v>1024.475036122</v>
      </c>
      <c r="K79" s="9" t="n">
        <f aca="false">(parametros_manuales!$D$42*('Plan mensual'!M24+'Plan mensual'!M135+IF(parametros_manuales!$H$42="Todos",'Plan mensual'!M28+'Plan mensual'!M139,0))+parametros_manuales!$E$42*('Plan mensual'!M25+'Plan mensual'!M136+IF(parametros_manuales!$H$42="Todos",'Plan mensual'!M29+'Plan mensual'!M140,0))+parametros_manuales!$F$42*('Plan mensual'!M26+'Plan mensual'!M137+IF(parametros_manuales!$H$42="Todos",'Plan mensual'!M30+'Plan mensual'!M141,0))+parametros_manuales!$G$42*('Plan mensual'!M27+'Plan mensual'!M138+IF(parametros_manuales!$H$42="Todos",'Plan mensual'!M31+'Plan mensual'!M142,0)))*parametros_manuales!$I$42*parametros_manuales!$J$42</f>
        <v>992.56291398</v>
      </c>
      <c r="L79" s="9" t="n">
        <f aca="false">(parametros_manuales!$D$42*('Plan mensual'!N24+'Plan mensual'!N135+IF(parametros_manuales!$H$42="Todos",'Plan mensual'!N28+'Plan mensual'!N139,0))+parametros_manuales!$E$42*('Plan mensual'!N25+'Plan mensual'!N136+IF(parametros_manuales!$H$42="Todos",'Plan mensual'!N29+'Plan mensual'!N140,0))+parametros_manuales!$F$42*('Plan mensual'!N26+'Plan mensual'!N137+IF(parametros_manuales!$H$42="Todos",'Plan mensual'!N30+'Plan mensual'!N141,0))+parametros_manuales!$G$42*('Plan mensual'!N27+'Plan mensual'!N138+IF(parametros_manuales!$H$42="Todos",'Plan mensual'!N31+'Plan mensual'!N142,0)))*parametros_manuales!$I$42*parametros_manuales!$J$42</f>
        <v>960.650791838</v>
      </c>
      <c r="M79" s="9" t="n">
        <f aca="false">(parametros_manuales!$D$42*('Plan mensual'!O24+'Plan mensual'!O135+IF(parametros_manuales!$H$42="Todos",'Plan mensual'!O28+'Plan mensual'!O139,0))+parametros_manuales!$E$42*('Plan mensual'!O25+'Plan mensual'!O136+IF(parametros_manuales!$H$42="Todos",'Plan mensual'!O29+'Plan mensual'!O140,0))+parametros_manuales!$F$42*('Plan mensual'!O26+'Plan mensual'!O137+IF(parametros_manuales!$H$42="Todos",'Plan mensual'!O30+'Plan mensual'!O141,0))+parametros_manuales!$G$42*('Plan mensual'!O27+'Plan mensual'!O138+IF(parametros_manuales!$H$42="Todos",'Plan mensual'!O31+'Plan mensual'!O142,0)))*parametros_manuales!$I$42*parametros_manuales!$J$42</f>
        <v>1524.276418084</v>
      </c>
      <c r="N79" s="9" t="n">
        <f aca="false">SUM(B79:M79)</f>
        <v>13234.1721864</v>
      </c>
      <c r="O79" s="9" t="n">
        <f aca="false">MAX(B79:M79)</f>
        <v>1524.276418084</v>
      </c>
      <c r="P79" s="44" t="n">
        <f aca="false">O79/(parametros_manuales!$B$7)</f>
        <v>10.1618427872267</v>
      </c>
      <c r="Q79" s="8" t="str">
        <f aca="false">IF(O79=0,"-",INDEX($B$55:$M$55,MATCH(O79,B79:M79,0)))</f>
        <v>Dic</v>
      </c>
    </row>
    <row r="80" customFormat="false" ht="14.25" hidden="false" customHeight="true" outlineLevel="0" collapsed="false">
      <c r="A80" s="8" t="str">
        <f aca="false">parametros_manuales!$B$43</f>
        <v>Embalaje y paletizado</v>
      </c>
      <c r="B80" s="9" t="n">
        <f aca="false">(parametros_manuales!$D$43*('Plan mensual'!D24+'Plan mensual'!D135+IF(parametros_manuales!$H$43="Todos",'Plan mensual'!D28+'Plan mensual'!D139,0))+parametros_manuales!$E$43*('Plan mensual'!D25+'Plan mensual'!D136+IF(parametros_manuales!$H$43="Todos",'Plan mensual'!D29+'Plan mensual'!D140,0))+parametros_manuales!$F$43*('Plan mensual'!D26+'Plan mensual'!D137+IF(parametros_manuales!$H$43="Todos",'Plan mensual'!D30+'Plan mensual'!D141,0))+parametros_manuales!$G$43*('Plan mensual'!D27+'Plan mensual'!D138+IF(parametros_manuales!$H$43="Todos",'Plan mensual'!D31+'Plan mensual'!D142,0)))*parametros_manuales!$I$43*parametros_manuales!$J$43</f>
        <v>2576.4121738</v>
      </c>
      <c r="C80" s="9" t="n">
        <f aca="false">(parametros_manuales!$D$43*('Plan mensual'!E24+'Plan mensual'!E135+IF(parametros_manuales!$H$43="Todos",'Plan mensual'!E28+'Plan mensual'!E139,0))+parametros_manuales!$E$43*('Plan mensual'!E25+'Plan mensual'!E136+IF(parametros_manuales!$H$43="Todos",'Plan mensual'!E29+'Plan mensual'!E140,0))+parametros_manuales!$F$43*('Plan mensual'!E26+'Plan mensual'!E137+IF(parametros_manuales!$H$43="Todos",'Plan mensual'!E30+'Plan mensual'!E141,0))+parametros_manuales!$G$43*('Plan mensual'!E27+'Plan mensual'!E138+IF(parametros_manuales!$H$43="Todos",'Plan mensual'!E31+'Plan mensual'!E142,0)))*parametros_manuales!$I$43*parametros_manuales!$J$43</f>
        <v>1974.044852492</v>
      </c>
      <c r="D80" s="9" t="n">
        <f aca="false">(parametros_manuales!$D$43*('Plan mensual'!F24+'Plan mensual'!F135+IF(parametros_manuales!$H$43="Todos",'Plan mensual'!F28+'Plan mensual'!F139,0))+parametros_manuales!$E$43*('Plan mensual'!F25+'Plan mensual'!F136+IF(parametros_manuales!$H$43="Todos",'Plan mensual'!F29+'Plan mensual'!F140,0))+parametros_manuales!$F$43*('Plan mensual'!F26+'Plan mensual'!F137+IF(parametros_manuales!$H$43="Todos",'Plan mensual'!F30+'Plan mensual'!F141,0))+parametros_manuales!$G$43*('Plan mensual'!F27+'Plan mensual'!F138+IF(parametros_manuales!$H$43="Todos",'Plan mensual'!F31+'Plan mensual'!F142,0)))*parametros_manuales!$I$43*parametros_manuales!$J$43</f>
        <v>1870.639097054</v>
      </c>
      <c r="E80" s="9" t="n">
        <f aca="false">(parametros_manuales!$D$43*('Plan mensual'!G24+'Plan mensual'!G135+IF(parametros_manuales!$H$43="Todos",'Plan mensual'!G28+'Plan mensual'!G139,0))+parametros_manuales!$E$43*('Plan mensual'!G25+'Plan mensual'!G136+IF(parametros_manuales!$H$43="Todos",'Plan mensual'!G29+'Plan mensual'!G140,0))+parametros_manuales!$F$43*('Plan mensual'!G26+'Plan mensual'!G137+IF(parametros_manuales!$H$43="Todos",'Plan mensual'!G30+'Plan mensual'!G141,0))+parametros_manuales!$G$43*('Plan mensual'!G27+'Plan mensual'!G138+IF(parametros_manuales!$H$43="Todos",'Plan mensual'!G31+'Plan mensual'!G142,0)))*parametros_manuales!$I$43*parametros_manuales!$J$43</f>
        <v>1798.068358264</v>
      </c>
      <c r="F80" s="9" t="n">
        <f aca="false">(parametros_manuales!$D$43*('Plan mensual'!H24+'Plan mensual'!H135+IF(parametros_manuales!$H$43="Todos",'Plan mensual'!H28+'Plan mensual'!H139,0))+parametros_manuales!$E$43*('Plan mensual'!H25+'Plan mensual'!H136+IF(parametros_manuales!$H$43="Todos",'Plan mensual'!H29+'Plan mensual'!H140,0))+parametros_manuales!$F$43*('Plan mensual'!H26+'Plan mensual'!H137+IF(parametros_manuales!$H$43="Todos",'Plan mensual'!H30+'Plan mensual'!H141,0))+parametros_manuales!$G$43*('Plan mensual'!H27+'Plan mensual'!H138+IF(parametros_manuales!$H$43="Todos",'Plan mensual'!H31+'Plan mensual'!H142,0)))*parametros_manuales!$I$43*parametros_manuales!$J$43</f>
        <v>1683.761897332</v>
      </c>
      <c r="G80" s="9" t="n">
        <f aca="false">(parametros_manuales!$D$43*('Plan mensual'!I24+'Plan mensual'!I135+IF(parametros_manuales!$H$43="Todos",'Plan mensual'!I28+'Plan mensual'!I139,0))+parametros_manuales!$E$43*('Plan mensual'!I25+'Plan mensual'!I136+IF(parametros_manuales!$H$43="Todos",'Plan mensual'!I29+'Plan mensual'!I140,0))+parametros_manuales!$F$43*('Plan mensual'!I26+'Plan mensual'!I137+IF(parametros_manuales!$H$43="Todos",'Plan mensual'!I30+'Plan mensual'!I141,0))+parametros_manuales!$G$43*('Plan mensual'!I27+'Plan mensual'!I138+IF(parametros_manuales!$H$43="Todos",'Plan mensual'!I31+'Plan mensual'!I142,0)))*parametros_manuales!$I$43*parametros_manuales!$J$43</f>
        <v>1642.02617519</v>
      </c>
      <c r="H80" s="9" t="n">
        <f aca="false">(parametros_manuales!$D$43*('Plan mensual'!J24+'Plan mensual'!J135+IF(parametros_manuales!$H$43="Todos",'Plan mensual'!J28+'Plan mensual'!J139,0))+parametros_manuales!$E$43*('Plan mensual'!J25+'Plan mensual'!J136+IF(parametros_manuales!$H$43="Todos",'Plan mensual'!J29+'Plan mensual'!J140,0))+parametros_manuales!$F$43*('Plan mensual'!J26+'Plan mensual'!J137+IF(parametros_manuales!$H$43="Todos",'Plan mensual'!J30+'Plan mensual'!J141,0))+parametros_manuales!$G$43*('Plan mensual'!J27+'Plan mensual'!J138+IF(parametros_manuales!$H$43="Todos",'Plan mensual'!J31+'Plan mensual'!J142,0)))*parametros_manuales!$I$43*parametros_manuales!$J$43</f>
        <v>1756.332636122</v>
      </c>
      <c r="I80" s="9" t="n">
        <f aca="false">(parametros_manuales!$D$43*('Plan mensual'!K24+'Plan mensual'!K135+IF(parametros_manuales!$H$43="Todos",'Plan mensual'!K28+'Plan mensual'!K139,0))+parametros_manuales!$E$43*('Plan mensual'!K25+'Plan mensual'!K136+IF(parametros_manuales!$H$43="Todos",'Plan mensual'!K29+'Plan mensual'!K140,0))+parametros_manuales!$F$43*('Plan mensual'!K26+'Plan mensual'!K137+IF(parametros_manuales!$H$43="Todos",'Plan mensual'!K30+'Plan mensual'!K141,0))+parametros_manuales!$G$43*('Plan mensual'!K27+'Plan mensual'!K138+IF(parametros_manuales!$H$43="Todos",'Plan mensual'!K31+'Plan mensual'!K142,0)))*parametros_manuales!$I$43*parametros_manuales!$J$43</f>
        <v>1756.332636122</v>
      </c>
      <c r="J80" s="9" t="n">
        <f aca="false">(parametros_manuales!$D$43*('Plan mensual'!L24+'Plan mensual'!L135+IF(parametros_manuales!$H$43="Todos",'Plan mensual'!L28+'Plan mensual'!L139,0))+parametros_manuales!$E$43*('Plan mensual'!L25+'Plan mensual'!L136+IF(parametros_manuales!$H$43="Todos",'Plan mensual'!L29+'Plan mensual'!L140,0))+parametros_manuales!$F$43*('Plan mensual'!L26+'Plan mensual'!L137+IF(parametros_manuales!$H$43="Todos",'Plan mensual'!L30+'Plan mensual'!L141,0))+parametros_manuales!$G$43*('Plan mensual'!L27+'Plan mensual'!L138+IF(parametros_manuales!$H$43="Todos",'Plan mensual'!L31+'Plan mensual'!L142,0)))*parametros_manuales!$I$43*parametros_manuales!$J$43</f>
        <v>1756.332636122</v>
      </c>
      <c r="K80" s="9" t="n">
        <f aca="false">(parametros_manuales!$D$43*('Plan mensual'!M24+'Plan mensual'!M135+IF(parametros_manuales!$H$43="Todos",'Plan mensual'!M28+'Plan mensual'!M139,0))+parametros_manuales!$E$43*('Plan mensual'!M25+'Plan mensual'!M136+IF(parametros_manuales!$H$43="Todos",'Plan mensual'!M29+'Plan mensual'!M140,0))+parametros_manuales!$F$43*('Plan mensual'!M26+'Plan mensual'!M137+IF(parametros_manuales!$H$43="Todos",'Plan mensual'!M30+'Plan mensual'!M141,0))+parametros_manuales!$G$43*('Plan mensual'!M27+'Plan mensual'!M138+IF(parametros_manuales!$H$43="Todos",'Plan mensual'!M31+'Plan mensual'!M142,0)))*parametros_manuales!$I$43*parametros_manuales!$J$43</f>
        <v>1714.59691398</v>
      </c>
      <c r="L80" s="9" t="n">
        <f aca="false">(parametros_manuales!$D$43*('Plan mensual'!N24+'Plan mensual'!N135+IF(parametros_manuales!$H$43="Todos",'Plan mensual'!N28+'Plan mensual'!N139,0))+parametros_manuales!$E$43*('Plan mensual'!N25+'Plan mensual'!N136+IF(parametros_manuales!$H$43="Todos",'Plan mensual'!N29+'Plan mensual'!N140,0))+parametros_manuales!$F$43*('Plan mensual'!N26+'Plan mensual'!N137+IF(parametros_manuales!$H$43="Todos",'Plan mensual'!N30+'Plan mensual'!N141,0))+parametros_manuales!$G$43*('Plan mensual'!N27+'Plan mensual'!N138+IF(parametros_manuales!$H$43="Todos",'Plan mensual'!N31+'Plan mensual'!N142,0)))*parametros_manuales!$I$43*parametros_manuales!$J$43</f>
        <v>1672.861191838</v>
      </c>
      <c r="M80" s="9" t="n">
        <f aca="false">(parametros_manuales!$D$43*('Plan mensual'!O24+'Plan mensual'!O135+IF(parametros_manuales!$H$43="Todos",'Plan mensual'!O28+'Plan mensual'!O139,0))+parametros_manuales!$E$43*('Plan mensual'!O25+'Plan mensual'!O136+IF(parametros_manuales!$H$43="Todos",'Plan mensual'!O29+'Plan mensual'!O140,0))+parametros_manuales!$F$43*('Plan mensual'!O26+'Plan mensual'!O137+IF(parametros_manuales!$H$43="Todos",'Plan mensual'!O30+'Plan mensual'!O141,0))+parametros_manuales!$G$43*('Plan mensual'!O27+'Plan mensual'!O138+IF(parametros_manuales!$H$43="Todos",'Plan mensual'!O31+'Plan mensual'!O142,0)))*parametros_manuales!$I$43*parametros_manuales!$J$43</f>
        <v>2659.883618084</v>
      </c>
      <c r="N80" s="9" t="n">
        <f aca="false">SUM(B80:M80)</f>
        <v>22861.2921864</v>
      </c>
      <c r="O80" s="9" t="n">
        <f aca="false">MAX(B80:M80)</f>
        <v>2659.883618084</v>
      </c>
      <c r="P80" s="44" t="n">
        <f aca="false">O80/(parametros_manuales!$B$7)</f>
        <v>17.7325574538933</v>
      </c>
      <c r="Q80" s="8" t="str">
        <f aca="false">IF(O80=0,"-",INDEX($B$55:$M$55,MATCH(O80,B80:M80,0)))</f>
        <v>Dic</v>
      </c>
    </row>
    <row r="81" customFormat="false" ht="14.25" hidden="false" customHeight="true" outlineLevel="0" collapsed="false"/>
    <row r="82" customFormat="false" ht="14.25" hidden="false" customHeight="true" outlineLevel="0" collapsed="false">
      <c r="A82" s="7" t="s">
        <v>203</v>
      </c>
      <c r="B82" s="7" t="s">
        <v>59</v>
      </c>
      <c r="C82" s="7" t="s">
        <v>60</v>
      </c>
      <c r="D82" s="7" t="s">
        <v>61</v>
      </c>
      <c r="E82" s="7" t="s">
        <v>62</v>
      </c>
      <c r="F82" s="7" t="s">
        <v>63</v>
      </c>
      <c r="G82" s="7" t="s">
        <v>64</v>
      </c>
      <c r="H82" s="7" t="s">
        <v>65</v>
      </c>
      <c r="I82" s="7" t="s">
        <v>66</v>
      </c>
      <c r="J82" s="7" t="s">
        <v>67</v>
      </c>
      <c r="K82" s="7" t="s">
        <v>68</v>
      </c>
      <c r="L82" s="7" t="s">
        <v>69</v>
      </c>
      <c r="M82" s="7" t="s">
        <v>70</v>
      </c>
      <c r="N82" s="7" t="s">
        <v>181</v>
      </c>
      <c r="O82" s="7" t="s">
        <v>198</v>
      </c>
      <c r="P82" s="7" t="s">
        <v>199</v>
      </c>
      <c r="Q82" s="7" t="s">
        <v>200</v>
      </c>
    </row>
    <row r="83" customFormat="false" ht="14.25" hidden="false" customHeight="true" outlineLevel="0" collapsed="false">
      <c r="A83" s="8" t="str">
        <f aca="false">parametros_manuales!$B$19</f>
        <v>Recepción de materia prima</v>
      </c>
      <c r="B83" s="9" t="n">
        <f aca="false">(parametros_manuales!$D$19*('Plan mensual'!D35+'Plan mensual'!D146+IF(parametros_manuales!$H$19="Todos",'Plan mensual'!D39+'Plan mensual'!D150,0))+parametros_manuales!$E$19*('Plan mensual'!D36+'Plan mensual'!D147+IF(parametros_manuales!$H$19="Todos",'Plan mensual'!D40+'Plan mensual'!D151,0))+parametros_manuales!$F$19*('Plan mensual'!D37+'Plan mensual'!D148+IF(parametros_manuales!$H$19="Todos",'Plan mensual'!D41+'Plan mensual'!D152,0))+parametros_manuales!$G$19*('Plan mensual'!D38+'Plan mensual'!D149+IF(parametros_manuales!$H$19="Todos",'Plan mensual'!D42+'Plan mensual'!D153,0)))*parametros_manuales!$I$19*parametros_manuales!$J$19</f>
        <v>5762.47366399</v>
      </c>
      <c r="C83" s="9" t="n">
        <f aca="false">(parametros_manuales!$D$19*('Plan mensual'!E35+'Plan mensual'!E146+IF(parametros_manuales!$H$19="Todos",'Plan mensual'!E39+'Plan mensual'!E150,0))+parametros_manuales!$E$19*('Plan mensual'!E36+'Plan mensual'!E147+IF(parametros_manuales!$H$19="Todos",'Plan mensual'!E40+'Plan mensual'!E151,0))+parametros_manuales!$F$19*('Plan mensual'!E37+'Plan mensual'!E148+IF(parametros_manuales!$H$19="Todos",'Plan mensual'!E41+'Plan mensual'!E152,0))+parametros_manuales!$G$19*('Plan mensual'!E38+'Plan mensual'!E149+IF(parametros_manuales!$H$19="Todos",'Plan mensual'!E42+'Plan mensual'!E153,0)))*parametros_manuales!$I$19*parametros_manuales!$J$19</f>
        <v>4399.007317898</v>
      </c>
      <c r="D83" s="9" t="n">
        <f aca="false">(parametros_manuales!$D$19*('Plan mensual'!F35+'Plan mensual'!F146+IF(parametros_manuales!$H$19="Todos",'Plan mensual'!F39+'Plan mensual'!F150,0))+parametros_manuales!$E$19*('Plan mensual'!F36+'Plan mensual'!F147+IF(parametros_manuales!$H$19="Todos",'Plan mensual'!F40+'Plan mensual'!F151,0))+parametros_manuales!$F$19*('Plan mensual'!F37+'Plan mensual'!F148+IF(parametros_manuales!$H$19="Todos",'Plan mensual'!F41+'Plan mensual'!F152,0))+parametros_manuales!$G$19*('Plan mensual'!F38+'Plan mensual'!F149+IF(parametros_manuales!$H$19="Todos",'Plan mensual'!F42+'Plan mensual'!F153,0)))*parametros_manuales!$I$19*parametros_manuales!$J$19</f>
        <v>4124.5400323135</v>
      </c>
      <c r="E83" s="9" t="n">
        <f aca="false">(parametros_manuales!$D$19*('Plan mensual'!G35+'Plan mensual'!G146+IF(parametros_manuales!$H$19="Todos",'Plan mensual'!G39+'Plan mensual'!G150,0))+parametros_manuales!$E$19*('Plan mensual'!G36+'Plan mensual'!G147+IF(parametros_manuales!$H$19="Todos",'Plan mensual'!G40+'Plan mensual'!G151,0))+parametros_manuales!$F$19*('Plan mensual'!G37+'Plan mensual'!G148+IF(parametros_manuales!$H$19="Todos",'Plan mensual'!G41+'Plan mensual'!G152,0))+parametros_manuales!$G$19*('Plan mensual'!G38+'Plan mensual'!G149+IF(parametros_manuales!$H$19="Todos",'Plan mensual'!G42+'Plan mensual'!G153,0)))*parametros_manuales!$I$19*parametros_manuales!$J$19</f>
        <v>3948.7303545685</v>
      </c>
      <c r="F83" s="9" t="n">
        <f aca="false">(parametros_manuales!$D$19*('Plan mensual'!H35+'Plan mensual'!H146+IF(parametros_manuales!$H$19="Todos",'Plan mensual'!H39+'Plan mensual'!H150,0))+parametros_manuales!$E$19*('Plan mensual'!H36+'Plan mensual'!H147+IF(parametros_manuales!$H$19="Todos",'Plan mensual'!H40+'Plan mensual'!H151,0))+parametros_manuales!$F$19*('Plan mensual'!H37+'Plan mensual'!H148+IF(parametros_manuales!$H$19="Todos",'Plan mensual'!H41+'Plan mensual'!H152,0))+parametros_manuales!$G$19*('Plan mensual'!H38+'Plan mensual'!H149+IF(parametros_manuales!$H$19="Todos",'Plan mensual'!H42+'Plan mensual'!H153,0)))*parametros_manuales!$I$19*parametros_manuales!$J$19</f>
        <v>3695.768606918</v>
      </c>
      <c r="G83" s="9" t="n">
        <f aca="false">(parametros_manuales!$D$19*('Plan mensual'!I35+'Plan mensual'!I146+IF(parametros_manuales!$H$19="Todos",'Plan mensual'!I39+'Plan mensual'!I150,0))+parametros_manuales!$E$19*('Plan mensual'!I36+'Plan mensual'!I147+IF(parametros_manuales!$H$19="Todos",'Plan mensual'!I40+'Plan mensual'!I151,0))+parametros_manuales!$F$19*('Plan mensual'!I37+'Plan mensual'!I148+IF(parametros_manuales!$H$19="Todos",'Plan mensual'!I41+'Plan mensual'!I152,0))+parametros_manuales!$G$19*('Plan mensual'!I38+'Plan mensual'!I149+IF(parametros_manuales!$H$19="Todos",'Plan mensual'!I42+'Plan mensual'!I153,0)))*parametros_manuales!$I$19*parametros_manuales!$J$19</f>
        <v>3618.6165370125</v>
      </c>
      <c r="H83" s="9" t="n">
        <f aca="false">(parametros_manuales!$D$19*('Plan mensual'!J35+'Plan mensual'!J146+IF(parametros_manuales!$H$19="Todos",'Plan mensual'!J39+'Plan mensual'!J150,0))+parametros_manuales!$E$19*('Plan mensual'!J36+'Plan mensual'!J147+IF(parametros_manuales!$H$19="Todos",'Plan mensual'!J40+'Plan mensual'!J151,0))+parametros_manuales!$F$19*('Plan mensual'!J37+'Plan mensual'!J148+IF(parametros_manuales!$H$19="Todos",'Plan mensual'!J41+'Plan mensual'!J152,0))+parametros_manuales!$G$19*('Plan mensual'!J38+'Plan mensual'!J149+IF(parametros_manuales!$H$19="Todos",'Plan mensual'!J42+'Plan mensual'!J153,0)))*parametros_manuales!$I$19*parametros_manuales!$J$19</f>
        <v>3871.578284663</v>
      </c>
      <c r="I83" s="9" t="n">
        <f aca="false">(parametros_manuales!$D$19*('Plan mensual'!K35+'Plan mensual'!K146+IF(parametros_manuales!$H$19="Todos",'Plan mensual'!K39+'Plan mensual'!K150,0))+parametros_manuales!$E$19*('Plan mensual'!K36+'Plan mensual'!K147+IF(parametros_manuales!$H$19="Todos",'Plan mensual'!K40+'Plan mensual'!K151,0))+parametros_manuales!$F$19*('Plan mensual'!K37+'Plan mensual'!K148+IF(parametros_manuales!$H$19="Todos",'Plan mensual'!K41+'Plan mensual'!K152,0))+parametros_manuales!$G$19*('Plan mensual'!K38+'Plan mensual'!K149+IF(parametros_manuales!$H$19="Todos",'Plan mensual'!K42+'Plan mensual'!K153,0)))*parametros_manuales!$I$19*parametros_manuales!$J$19</f>
        <v>3871.578284663</v>
      </c>
      <c r="J83" s="9" t="n">
        <f aca="false">(parametros_manuales!$D$19*('Plan mensual'!L35+'Plan mensual'!L146+IF(parametros_manuales!$H$19="Todos",'Plan mensual'!L39+'Plan mensual'!L150,0))+parametros_manuales!$E$19*('Plan mensual'!L36+'Plan mensual'!L147+IF(parametros_manuales!$H$19="Todos",'Plan mensual'!L40+'Plan mensual'!L151,0))+parametros_manuales!$F$19*('Plan mensual'!L37+'Plan mensual'!L148+IF(parametros_manuales!$H$19="Todos",'Plan mensual'!L41+'Plan mensual'!L152,0))+parametros_manuales!$G$19*('Plan mensual'!L38+'Plan mensual'!L149+IF(parametros_manuales!$H$19="Todos",'Plan mensual'!L42+'Plan mensual'!L153,0)))*parametros_manuales!$I$19*parametros_manuales!$J$19</f>
        <v>3871.578284663</v>
      </c>
      <c r="K83" s="9" t="n">
        <f aca="false">(parametros_manuales!$D$19*('Plan mensual'!M35+'Plan mensual'!M146+IF(parametros_manuales!$H$19="Todos",'Plan mensual'!M39+'Plan mensual'!M150,0))+parametros_manuales!$E$19*('Plan mensual'!M36+'Plan mensual'!M147+IF(parametros_manuales!$H$19="Todos",'Plan mensual'!M40+'Plan mensual'!M151,0))+parametros_manuales!$F$19*('Plan mensual'!M37+'Plan mensual'!M148+IF(parametros_manuales!$H$19="Todos",'Plan mensual'!M41+'Plan mensual'!M152,0))+parametros_manuales!$G$19*('Plan mensual'!M38+'Plan mensual'!M149+IF(parametros_manuales!$H$19="Todos",'Plan mensual'!M42+'Plan mensual'!M153,0)))*parametros_manuales!$I$19*parametros_manuales!$J$19</f>
        <v>3794.4262147575</v>
      </c>
      <c r="L83" s="9" t="n">
        <f aca="false">(parametros_manuales!$D$19*('Plan mensual'!N35+'Plan mensual'!N146+IF(parametros_manuales!$H$19="Todos",'Plan mensual'!N39+'Plan mensual'!N150,0))+parametros_manuales!$E$19*('Plan mensual'!N36+'Plan mensual'!N147+IF(parametros_manuales!$H$19="Todos",'Plan mensual'!N40+'Plan mensual'!N151,0))+parametros_manuales!$F$19*('Plan mensual'!N37+'Plan mensual'!N148+IF(parametros_manuales!$H$19="Todos",'Plan mensual'!N41+'Plan mensual'!N152,0))+parametros_manuales!$G$19*('Plan mensual'!N38+'Plan mensual'!N149+IF(parametros_manuales!$H$19="Todos",'Plan mensual'!N42+'Plan mensual'!N153,0)))*parametros_manuales!$I$19*parametros_manuales!$J$19</f>
        <v>3717.274144852</v>
      </c>
      <c r="M83" s="9" t="n">
        <f aca="false">(parametros_manuales!$D$19*('Plan mensual'!O35+'Plan mensual'!O146+IF(parametros_manuales!$H$19="Todos",'Plan mensual'!O39+'Plan mensual'!O150,0))+parametros_manuales!$E$19*('Plan mensual'!O36+'Plan mensual'!O147+IF(parametros_manuales!$H$19="Todos",'Plan mensual'!O40+'Plan mensual'!O151,0))+parametros_manuales!$F$19*('Plan mensual'!O37+'Plan mensual'!O148+IF(parametros_manuales!$H$19="Todos",'Plan mensual'!O41+'Plan mensual'!O152,0))+parametros_manuales!$G$19*('Plan mensual'!O38+'Plan mensual'!O149+IF(parametros_manuales!$H$19="Todos",'Plan mensual'!O42+'Plan mensual'!O153,0)))*parametros_manuales!$I$19*parametros_manuales!$J$19</f>
        <v>5916.777803801</v>
      </c>
      <c r="N83" s="9" t="n">
        <f aca="false">SUM(B83:M83)</f>
        <v>50592.3495301</v>
      </c>
      <c r="O83" s="9" t="n">
        <f aca="false">MAX(B83:M83)</f>
        <v>5916.777803801</v>
      </c>
      <c r="P83" s="44" t="n">
        <f aca="false">O83/(parametros_manuales!$B$7)</f>
        <v>39.4451853586733</v>
      </c>
      <c r="Q83" s="8" t="str">
        <f aca="false">IF(O83=0,"-",INDEX($B$82:$M$82,MATCH(O83,B83:M83,0)))</f>
        <v>Dic</v>
      </c>
    </row>
    <row r="84" customFormat="false" ht="14.25" hidden="false" customHeight="true" outlineLevel="0" collapsed="false">
      <c r="A84" s="8" t="str">
        <f aca="false">parametros_manuales!$B$20</f>
        <v>Corte de chapa (guillotina) — 2,5 a 10 kg</v>
      </c>
      <c r="B84" s="9" t="n">
        <f aca="false">(parametros_manuales!$D$20*('Plan mensual'!D35+'Plan mensual'!D146+IF(parametros_manuales!$H$20="Todos",'Plan mensual'!D39+'Plan mensual'!D150,0))+parametros_manuales!$E$20*('Plan mensual'!D36+'Plan mensual'!D147+IF(parametros_manuales!$H$20="Todos",'Plan mensual'!D40+'Plan mensual'!D151,0))+parametros_manuales!$F$20*('Plan mensual'!D37+'Plan mensual'!D148+IF(parametros_manuales!$H$20="Todos",'Plan mensual'!D41+'Plan mensual'!D152,0))+parametros_manuales!$G$20*('Plan mensual'!D38+'Plan mensual'!D149+IF(parametros_manuales!$H$20="Todos",'Plan mensual'!D42+'Plan mensual'!D153,0)))*parametros_manuales!$I$20*parametros_manuales!$J$20</f>
        <v>1543.04139811</v>
      </c>
      <c r="C84" s="9" t="n">
        <f aca="false">(parametros_manuales!$D$20*('Plan mensual'!E35+'Plan mensual'!E146+IF(parametros_manuales!$H$20="Todos",'Plan mensual'!E39+'Plan mensual'!E150,0))+parametros_manuales!$E$20*('Plan mensual'!E36+'Plan mensual'!E147+IF(parametros_manuales!$H$20="Todos",'Plan mensual'!E40+'Plan mensual'!E151,0))+parametros_manuales!$F$20*('Plan mensual'!E37+'Plan mensual'!E148+IF(parametros_manuales!$H$20="Todos",'Plan mensual'!E41+'Plan mensual'!E152,0))+parametros_manuales!$G$20*('Plan mensual'!E38+'Plan mensual'!E149+IF(parametros_manuales!$H$20="Todos",'Plan mensual'!E42+'Plan mensual'!E153,0)))*parametros_manuales!$I$20*parametros_manuales!$J$20</f>
        <v>1234.433118488</v>
      </c>
      <c r="D84" s="9" t="n">
        <f aca="false">(parametros_manuales!$D$20*('Plan mensual'!F35+'Plan mensual'!F146+IF(parametros_manuales!$H$20="Todos",'Plan mensual'!F39+'Plan mensual'!F150,0))+parametros_manuales!$E$20*('Plan mensual'!F36+'Plan mensual'!F147+IF(parametros_manuales!$H$20="Todos",'Plan mensual'!F40+'Plan mensual'!F151,0))+parametros_manuales!$F$20*('Plan mensual'!F37+'Plan mensual'!F148+IF(parametros_manuales!$H$20="Todos",'Plan mensual'!F41+'Plan mensual'!F152,0))+parametros_manuales!$G$20*('Plan mensual'!F38+'Plan mensual'!F149+IF(parametros_manuales!$H$20="Todos",'Plan mensual'!F42+'Plan mensual'!F153,0)))*parametros_manuales!$I$20*parametros_manuales!$J$20</f>
        <v>1311.5851883935</v>
      </c>
      <c r="E84" s="9" t="n">
        <f aca="false">(parametros_manuales!$D$20*('Plan mensual'!G35+'Plan mensual'!G146+IF(parametros_manuales!$H$20="Todos",'Plan mensual'!G39+'Plan mensual'!G150,0))+parametros_manuales!$E$20*('Plan mensual'!G36+'Plan mensual'!G147+IF(parametros_manuales!$H$20="Todos",'Plan mensual'!G40+'Plan mensual'!G151,0))+parametros_manuales!$F$20*('Plan mensual'!G37+'Plan mensual'!G148+IF(parametros_manuales!$H$20="Todos",'Plan mensual'!G41+'Plan mensual'!G152,0))+parametros_manuales!$G$20*('Plan mensual'!G38+'Plan mensual'!G149+IF(parametros_manuales!$H$20="Todos",'Plan mensual'!G42+'Plan mensual'!G153,0)))*parametros_manuales!$I$20*parametros_manuales!$J$20</f>
        <v>1311.5851883935</v>
      </c>
      <c r="F84" s="9" t="n">
        <f aca="false">(parametros_manuales!$D$20*('Plan mensual'!H35+'Plan mensual'!H146+IF(parametros_manuales!$H$20="Todos",'Plan mensual'!H39+'Plan mensual'!H150,0))+parametros_manuales!$E$20*('Plan mensual'!H36+'Plan mensual'!H147+IF(parametros_manuales!$H$20="Todos",'Plan mensual'!H40+'Plan mensual'!H151,0))+parametros_manuales!$F$20*('Plan mensual'!H37+'Plan mensual'!H148+IF(parametros_manuales!$H$20="Todos",'Plan mensual'!H41+'Plan mensual'!H152,0))+parametros_manuales!$G$20*('Plan mensual'!H38+'Plan mensual'!H149+IF(parametros_manuales!$H$20="Todos",'Plan mensual'!H42+'Plan mensual'!H153,0)))*parametros_manuales!$I$20*parametros_manuales!$J$20</f>
        <v>1234.433118488</v>
      </c>
      <c r="G84" s="9" t="n">
        <f aca="false">(parametros_manuales!$D$20*('Plan mensual'!I35+'Plan mensual'!I146+IF(parametros_manuales!$H$20="Todos",'Plan mensual'!I39+'Plan mensual'!I150,0))+parametros_manuales!$E$20*('Plan mensual'!I36+'Plan mensual'!I147+IF(parametros_manuales!$H$20="Todos",'Plan mensual'!I40+'Plan mensual'!I151,0))+parametros_manuales!$F$20*('Plan mensual'!I37+'Plan mensual'!I148+IF(parametros_manuales!$H$20="Todos",'Plan mensual'!I41+'Plan mensual'!I152,0))+parametros_manuales!$G$20*('Plan mensual'!I38+'Plan mensual'!I149+IF(parametros_manuales!$H$20="Todos",'Plan mensual'!I42+'Plan mensual'!I153,0)))*parametros_manuales!$I$20*parametros_manuales!$J$20</f>
        <v>1157.2810485825</v>
      </c>
      <c r="H84" s="9" t="n">
        <f aca="false">(parametros_manuales!$D$20*('Plan mensual'!J35+'Plan mensual'!J146+IF(parametros_manuales!$H$20="Todos",'Plan mensual'!J39+'Plan mensual'!J150,0))+parametros_manuales!$E$20*('Plan mensual'!J36+'Plan mensual'!J147+IF(parametros_manuales!$H$20="Todos",'Plan mensual'!J40+'Plan mensual'!J151,0))+parametros_manuales!$F$20*('Plan mensual'!J37+'Plan mensual'!J148+IF(parametros_manuales!$H$20="Todos",'Plan mensual'!J41+'Plan mensual'!J152,0))+parametros_manuales!$G$20*('Plan mensual'!J38+'Plan mensual'!J149+IF(parametros_manuales!$H$20="Todos",'Plan mensual'!J42+'Plan mensual'!J153,0)))*parametros_manuales!$I$20*parametros_manuales!$J$20</f>
        <v>1234.433118488</v>
      </c>
      <c r="I84" s="9" t="n">
        <f aca="false">(parametros_manuales!$D$20*('Plan mensual'!K35+'Plan mensual'!K146+IF(parametros_manuales!$H$20="Todos",'Plan mensual'!K39+'Plan mensual'!K150,0))+parametros_manuales!$E$20*('Plan mensual'!K36+'Plan mensual'!K147+IF(parametros_manuales!$H$20="Todos",'Plan mensual'!K40+'Plan mensual'!K151,0))+parametros_manuales!$F$20*('Plan mensual'!K37+'Plan mensual'!K148+IF(parametros_manuales!$H$20="Todos",'Plan mensual'!K41+'Plan mensual'!K152,0))+parametros_manuales!$G$20*('Plan mensual'!K38+'Plan mensual'!K149+IF(parametros_manuales!$H$20="Todos",'Plan mensual'!K42+'Plan mensual'!K153,0)))*parametros_manuales!$I$20*parametros_manuales!$J$20</f>
        <v>1234.433118488</v>
      </c>
      <c r="J84" s="9" t="n">
        <f aca="false">(parametros_manuales!$D$20*('Plan mensual'!L35+'Plan mensual'!L146+IF(parametros_manuales!$H$20="Todos",'Plan mensual'!L39+'Plan mensual'!L150,0))+parametros_manuales!$E$20*('Plan mensual'!L36+'Plan mensual'!L147+IF(parametros_manuales!$H$20="Todos",'Plan mensual'!L40+'Plan mensual'!L151,0))+parametros_manuales!$F$20*('Plan mensual'!L37+'Plan mensual'!L148+IF(parametros_manuales!$H$20="Todos",'Plan mensual'!L41+'Plan mensual'!L152,0))+parametros_manuales!$G$20*('Plan mensual'!L38+'Plan mensual'!L149+IF(parametros_manuales!$H$20="Todos",'Plan mensual'!L42+'Plan mensual'!L153,0)))*parametros_manuales!$I$20*parametros_manuales!$J$20</f>
        <v>1234.433118488</v>
      </c>
      <c r="K84" s="9" t="n">
        <f aca="false">(parametros_manuales!$D$20*('Plan mensual'!M35+'Plan mensual'!M146+IF(parametros_manuales!$H$20="Todos",'Plan mensual'!M39+'Plan mensual'!M150,0))+parametros_manuales!$E$20*('Plan mensual'!M36+'Plan mensual'!M147+IF(parametros_manuales!$H$20="Todos",'Plan mensual'!M40+'Plan mensual'!M151,0))+parametros_manuales!$F$20*('Plan mensual'!M37+'Plan mensual'!M148+IF(parametros_manuales!$H$20="Todos",'Plan mensual'!M41+'Plan mensual'!M152,0))+parametros_manuales!$G$20*('Plan mensual'!M38+'Plan mensual'!M149+IF(parametros_manuales!$H$20="Todos",'Plan mensual'!M42+'Plan mensual'!M153,0)))*parametros_manuales!$I$20*parametros_manuales!$J$20</f>
        <v>1157.2810485825</v>
      </c>
      <c r="L84" s="9" t="n">
        <f aca="false">(parametros_manuales!$D$20*('Plan mensual'!N35+'Plan mensual'!N146+IF(parametros_manuales!$H$20="Todos",'Plan mensual'!N39+'Plan mensual'!N150,0))+parametros_manuales!$E$20*('Plan mensual'!N36+'Plan mensual'!N147+IF(parametros_manuales!$H$20="Todos",'Plan mensual'!N40+'Plan mensual'!N151,0))+parametros_manuales!$F$20*('Plan mensual'!N37+'Plan mensual'!N148+IF(parametros_manuales!$H$20="Todos",'Plan mensual'!N41+'Plan mensual'!N152,0))+parametros_manuales!$G$20*('Plan mensual'!N38+'Plan mensual'!N149+IF(parametros_manuales!$H$20="Todos",'Plan mensual'!N42+'Plan mensual'!N153,0)))*parametros_manuales!$I$20*parametros_manuales!$J$20</f>
        <v>1080.128978677</v>
      </c>
      <c r="M84" s="9" t="n">
        <f aca="false">(parametros_manuales!$D$20*('Plan mensual'!O35+'Plan mensual'!O146+IF(parametros_manuales!$H$20="Todos",'Plan mensual'!O39+'Plan mensual'!O150,0))+parametros_manuales!$E$20*('Plan mensual'!O36+'Plan mensual'!O147+IF(parametros_manuales!$H$20="Todos",'Plan mensual'!O40+'Plan mensual'!O151,0))+parametros_manuales!$F$20*('Plan mensual'!O37+'Plan mensual'!O148+IF(parametros_manuales!$H$20="Todos",'Plan mensual'!O41+'Plan mensual'!O152,0))+parametros_manuales!$G$20*('Plan mensual'!O38+'Plan mensual'!O149+IF(parametros_manuales!$H$20="Todos",'Plan mensual'!O42+'Plan mensual'!O153,0)))*parametros_manuales!$I$20*parametros_manuales!$J$20</f>
        <v>1697.345537921</v>
      </c>
      <c r="N84" s="9" t="n">
        <f aca="false">SUM(B84:M84)</f>
        <v>15430.4139811</v>
      </c>
      <c r="O84" s="9" t="n">
        <f aca="false">MAX(B84:M84)</f>
        <v>1697.345537921</v>
      </c>
      <c r="P84" s="44" t="n">
        <f aca="false">O84/(parametros_manuales!$B$7)</f>
        <v>11.3156369194733</v>
      </c>
      <c r="Q84" s="8" t="str">
        <f aca="false">IF(O84=0,"-",INDEX($B$82:$M$82,MATCH(O84,B84:M84,0)))</f>
        <v>Dic</v>
      </c>
    </row>
    <row r="85" customFormat="false" ht="14.25" hidden="false" customHeight="true" outlineLevel="0" collapsed="false">
      <c r="A85" s="8" t="str">
        <f aca="false">parametros_manuales!$B$21</f>
        <v>Corte de tubo — 1 kg</v>
      </c>
      <c r="B85" s="9" t="n">
        <f aca="false">(parametros_manuales!$D$21*('Plan mensual'!D35+'Plan mensual'!D146+IF(parametros_manuales!$H$21="Todos",'Plan mensual'!D39+'Plan mensual'!D150,0))+parametros_manuales!$E$21*('Plan mensual'!D36+'Plan mensual'!D147+IF(parametros_manuales!$H$21="Todos",'Plan mensual'!D40+'Plan mensual'!D151,0))+parametros_manuales!$F$21*('Plan mensual'!D37+'Plan mensual'!D148+IF(parametros_manuales!$H$21="Todos",'Plan mensual'!D41+'Plan mensual'!D152,0))+parametros_manuales!$G$21*('Plan mensual'!D38+'Plan mensual'!D149+IF(parametros_manuales!$H$21="Todos",'Plan mensual'!D42+'Plan mensual'!D153,0)))*parametros_manuales!$I$21*parametros_manuales!$J$21</f>
        <v>4219.43226588</v>
      </c>
      <c r="C85" s="9" t="n">
        <f aca="false">(parametros_manuales!$D$21*('Plan mensual'!E35+'Plan mensual'!E146+IF(parametros_manuales!$H$21="Todos",'Plan mensual'!E39+'Plan mensual'!E150,0))+parametros_manuales!$E$21*('Plan mensual'!E36+'Plan mensual'!E147+IF(parametros_manuales!$H$21="Todos",'Plan mensual'!E40+'Plan mensual'!E151,0))+parametros_manuales!$F$21*('Plan mensual'!E37+'Plan mensual'!E148+IF(parametros_manuales!$H$21="Todos",'Plan mensual'!E41+'Plan mensual'!E152,0))+parametros_manuales!$G$21*('Plan mensual'!E38+'Plan mensual'!E149+IF(parametros_manuales!$H$21="Todos",'Plan mensual'!E42+'Plan mensual'!E153,0)))*parametros_manuales!$I$21*parametros_manuales!$J$21</f>
        <v>3164.57419941</v>
      </c>
      <c r="D85" s="9" t="n">
        <f aca="false">(parametros_manuales!$D$21*('Plan mensual'!F35+'Plan mensual'!F146+IF(parametros_manuales!$H$21="Todos",'Plan mensual'!F39+'Plan mensual'!F150,0))+parametros_manuales!$E$21*('Plan mensual'!F36+'Plan mensual'!F147+IF(parametros_manuales!$H$21="Todos",'Plan mensual'!F40+'Plan mensual'!F151,0))+parametros_manuales!$F$21*('Plan mensual'!F37+'Plan mensual'!F148+IF(parametros_manuales!$H$21="Todos",'Plan mensual'!F41+'Plan mensual'!F152,0))+parametros_manuales!$G$21*('Plan mensual'!F38+'Plan mensual'!F149+IF(parametros_manuales!$H$21="Todos",'Plan mensual'!F42+'Plan mensual'!F153,0)))*parametros_manuales!$I$21*parametros_manuales!$J$21</f>
        <v>2812.95484392</v>
      </c>
      <c r="E85" s="9" t="n">
        <f aca="false">(parametros_manuales!$D$21*('Plan mensual'!G35+'Plan mensual'!G146+IF(parametros_manuales!$H$21="Todos",'Plan mensual'!G39+'Plan mensual'!G150,0))+parametros_manuales!$E$21*('Plan mensual'!G36+'Plan mensual'!G147+IF(parametros_manuales!$H$21="Todos",'Plan mensual'!G40+'Plan mensual'!G151,0))+parametros_manuales!$F$21*('Plan mensual'!G37+'Plan mensual'!G148+IF(parametros_manuales!$H$21="Todos",'Plan mensual'!G41+'Plan mensual'!G152,0))+parametros_manuales!$G$21*('Plan mensual'!G38+'Plan mensual'!G149+IF(parametros_manuales!$H$21="Todos",'Plan mensual'!G42+'Plan mensual'!G153,0)))*parametros_manuales!$I$21*parametros_manuales!$J$21</f>
        <v>2637.145166175</v>
      </c>
      <c r="F85" s="9" t="n">
        <f aca="false">(parametros_manuales!$D$21*('Plan mensual'!H35+'Plan mensual'!H146+IF(parametros_manuales!$H$21="Todos",'Plan mensual'!H39+'Plan mensual'!H150,0))+parametros_manuales!$E$21*('Plan mensual'!H36+'Plan mensual'!H147+IF(parametros_manuales!$H$21="Todos",'Plan mensual'!H40+'Plan mensual'!H151,0))+parametros_manuales!$F$21*('Plan mensual'!H37+'Plan mensual'!H148+IF(parametros_manuales!$H$21="Todos",'Plan mensual'!H41+'Plan mensual'!H152,0))+parametros_manuales!$G$21*('Plan mensual'!H38+'Plan mensual'!H149+IF(parametros_manuales!$H$21="Todos",'Plan mensual'!H42+'Plan mensual'!H153,0)))*parametros_manuales!$I$21*parametros_manuales!$J$21</f>
        <v>2461.33548843</v>
      </c>
      <c r="G85" s="9" t="n">
        <f aca="false">(parametros_manuales!$D$21*('Plan mensual'!I35+'Plan mensual'!I146+IF(parametros_manuales!$H$21="Todos",'Plan mensual'!I39+'Plan mensual'!I150,0))+parametros_manuales!$E$21*('Plan mensual'!I36+'Plan mensual'!I147+IF(parametros_manuales!$H$21="Todos",'Plan mensual'!I40+'Plan mensual'!I151,0))+parametros_manuales!$F$21*('Plan mensual'!I37+'Plan mensual'!I148+IF(parametros_manuales!$H$21="Todos",'Plan mensual'!I41+'Plan mensual'!I152,0))+parametros_manuales!$G$21*('Plan mensual'!I38+'Plan mensual'!I149+IF(parametros_manuales!$H$21="Todos",'Plan mensual'!I42+'Plan mensual'!I153,0)))*parametros_manuales!$I$21*parametros_manuales!$J$21</f>
        <v>2461.33548843</v>
      </c>
      <c r="H85" s="9" t="n">
        <f aca="false">(parametros_manuales!$D$21*('Plan mensual'!J35+'Plan mensual'!J146+IF(parametros_manuales!$H$21="Todos",'Plan mensual'!J39+'Plan mensual'!J150,0))+parametros_manuales!$E$21*('Plan mensual'!J36+'Plan mensual'!J147+IF(parametros_manuales!$H$21="Todos",'Plan mensual'!J40+'Plan mensual'!J151,0))+parametros_manuales!$F$21*('Plan mensual'!J37+'Plan mensual'!J148+IF(parametros_manuales!$H$21="Todos",'Plan mensual'!J41+'Plan mensual'!J152,0))+parametros_manuales!$G$21*('Plan mensual'!J38+'Plan mensual'!J149+IF(parametros_manuales!$H$21="Todos",'Plan mensual'!J42+'Plan mensual'!J153,0)))*parametros_manuales!$I$21*parametros_manuales!$J$21</f>
        <v>2637.145166175</v>
      </c>
      <c r="I85" s="9" t="n">
        <f aca="false">(parametros_manuales!$D$21*('Plan mensual'!K35+'Plan mensual'!K146+IF(parametros_manuales!$H$21="Todos",'Plan mensual'!K39+'Plan mensual'!K150,0))+parametros_manuales!$E$21*('Plan mensual'!K36+'Plan mensual'!K147+IF(parametros_manuales!$H$21="Todos",'Plan mensual'!K40+'Plan mensual'!K151,0))+parametros_manuales!$F$21*('Plan mensual'!K37+'Plan mensual'!K148+IF(parametros_manuales!$H$21="Todos",'Plan mensual'!K41+'Plan mensual'!K152,0))+parametros_manuales!$G$21*('Plan mensual'!K38+'Plan mensual'!K149+IF(parametros_manuales!$H$21="Todos",'Plan mensual'!K42+'Plan mensual'!K153,0)))*parametros_manuales!$I$21*parametros_manuales!$J$21</f>
        <v>2637.145166175</v>
      </c>
      <c r="J85" s="9" t="n">
        <f aca="false">(parametros_manuales!$D$21*('Plan mensual'!L35+'Plan mensual'!L146+IF(parametros_manuales!$H$21="Todos",'Plan mensual'!L39+'Plan mensual'!L150,0))+parametros_manuales!$E$21*('Plan mensual'!L36+'Plan mensual'!L147+IF(parametros_manuales!$H$21="Todos",'Plan mensual'!L40+'Plan mensual'!L151,0))+parametros_manuales!$F$21*('Plan mensual'!L37+'Plan mensual'!L148+IF(parametros_manuales!$H$21="Todos",'Plan mensual'!L41+'Plan mensual'!L152,0))+parametros_manuales!$G$21*('Plan mensual'!L38+'Plan mensual'!L149+IF(parametros_manuales!$H$21="Todos",'Plan mensual'!L42+'Plan mensual'!L153,0)))*parametros_manuales!$I$21*parametros_manuales!$J$21</f>
        <v>2637.145166175</v>
      </c>
      <c r="K85" s="9" t="n">
        <f aca="false">(parametros_manuales!$D$21*('Plan mensual'!M35+'Plan mensual'!M146+IF(parametros_manuales!$H$21="Todos",'Plan mensual'!M39+'Plan mensual'!M150,0))+parametros_manuales!$E$21*('Plan mensual'!M36+'Plan mensual'!M147+IF(parametros_manuales!$H$21="Todos",'Plan mensual'!M40+'Plan mensual'!M151,0))+parametros_manuales!$F$21*('Plan mensual'!M37+'Plan mensual'!M148+IF(parametros_manuales!$H$21="Todos",'Plan mensual'!M41+'Plan mensual'!M152,0))+parametros_manuales!$G$21*('Plan mensual'!M38+'Plan mensual'!M149+IF(parametros_manuales!$H$21="Todos",'Plan mensual'!M42+'Plan mensual'!M153,0)))*parametros_manuales!$I$21*parametros_manuales!$J$21</f>
        <v>2637.145166175</v>
      </c>
      <c r="L85" s="9" t="n">
        <f aca="false">(parametros_manuales!$D$21*('Plan mensual'!N35+'Plan mensual'!N146+IF(parametros_manuales!$H$21="Todos",'Plan mensual'!N39+'Plan mensual'!N150,0))+parametros_manuales!$E$21*('Plan mensual'!N36+'Plan mensual'!N147+IF(parametros_manuales!$H$21="Todos",'Plan mensual'!N40+'Plan mensual'!N151,0))+parametros_manuales!$F$21*('Plan mensual'!N37+'Plan mensual'!N148+IF(parametros_manuales!$H$21="Todos",'Plan mensual'!N41+'Plan mensual'!N152,0))+parametros_manuales!$G$21*('Plan mensual'!N38+'Plan mensual'!N149+IF(parametros_manuales!$H$21="Todos",'Plan mensual'!N42+'Plan mensual'!N153,0)))*parametros_manuales!$I$21*parametros_manuales!$J$21</f>
        <v>2637.145166175</v>
      </c>
      <c r="M85" s="9" t="n">
        <f aca="false">(parametros_manuales!$D$21*('Plan mensual'!O35+'Plan mensual'!O146+IF(parametros_manuales!$H$21="Todos",'Plan mensual'!O39+'Plan mensual'!O150,0))+parametros_manuales!$E$21*('Plan mensual'!O36+'Plan mensual'!O147+IF(parametros_manuales!$H$21="Todos",'Plan mensual'!O40+'Plan mensual'!O151,0))+parametros_manuales!$F$21*('Plan mensual'!O37+'Plan mensual'!O148+IF(parametros_manuales!$H$21="Todos",'Plan mensual'!O41+'Plan mensual'!O152,0))+parametros_manuales!$G$21*('Plan mensual'!O38+'Plan mensual'!O149+IF(parametros_manuales!$H$21="Todos",'Plan mensual'!O42+'Plan mensual'!O153,0)))*parametros_manuales!$I$21*parametros_manuales!$J$21</f>
        <v>4219.43226588</v>
      </c>
      <c r="N85" s="9" t="n">
        <f aca="false">SUM(B85:M85)</f>
        <v>35161.935549</v>
      </c>
      <c r="O85" s="9" t="n">
        <f aca="false">MAX(B85:M85)</f>
        <v>4219.43226588</v>
      </c>
      <c r="P85" s="44" t="n">
        <f aca="false">O85/(parametros_manuales!$B$7)</f>
        <v>28.1295484392</v>
      </c>
      <c r="Q85" s="8" t="str">
        <f aca="false">IF(O85=0,"-",INDEX($B$82:$M$82,MATCH(O85,B85:M85,0)))</f>
        <v>Ene</v>
      </c>
    </row>
    <row r="86" customFormat="false" ht="14.25" hidden="false" customHeight="true" outlineLevel="0" collapsed="false">
      <c r="A86" s="8" t="str">
        <f aca="false">parametros_manuales!$B$22</f>
        <v>Corte de disco y embutido (cúpula y fondo)</v>
      </c>
      <c r="B86" s="9" t="n">
        <f aca="false">(parametros_manuales!$D$22*('Plan mensual'!D35+'Plan mensual'!D146+IF(parametros_manuales!$H$22="Todos",'Plan mensual'!D39+'Plan mensual'!D150,0))+parametros_manuales!$E$22*('Plan mensual'!D36+'Plan mensual'!D147+IF(parametros_manuales!$H$22="Todos",'Plan mensual'!D40+'Plan mensual'!D151,0))+parametros_manuales!$F$22*('Plan mensual'!D37+'Plan mensual'!D148+IF(parametros_manuales!$H$22="Todos",'Plan mensual'!D41+'Plan mensual'!D152,0))+parametros_manuales!$G$22*('Plan mensual'!D38+'Plan mensual'!D149+IF(parametros_manuales!$H$22="Todos",'Plan mensual'!D42+'Plan mensual'!D153,0)))*parametros_manuales!$I$22*parametros_manuales!$J$22</f>
        <v>11524.94732798</v>
      </c>
      <c r="C86" s="9" t="n">
        <f aca="false">(parametros_manuales!$D$22*('Plan mensual'!E35+'Plan mensual'!E146+IF(parametros_manuales!$H$22="Todos",'Plan mensual'!E39+'Plan mensual'!E150,0))+parametros_manuales!$E$22*('Plan mensual'!E36+'Plan mensual'!E147+IF(parametros_manuales!$H$22="Todos",'Plan mensual'!E40+'Plan mensual'!E151,0))+parametros_manuales!$F$22*('Plan mensual'!E37+'Plan mensual'!E148+IF(parametros_manuales!$H$22="Todos",'Plan mensual'!E41+'Plan mensual'!E152,0))+parametros_manuales!$G$22*('Plan mensual'!E38+'Plan mensual'!E149+IF(parametros_manuales!$H$22="Todos",'Plan mensual'!E42+'Plan mensual'!E153,0)))*parametros_manuales!$I$22*parametros_manuales!$J$22</f>
        <v>8798.014635796</v>
      </c>
      <c r="D86" s="9" t="n">
        <f aca="false">(parametros_manuales!$D$22*('Plan mensual'!F35+'Plan mensual'!F146+IF(parametros_manuales!$H$22="Todos",'Plan mensual'!F39+'Plan mensual'!F150,0))+parametros_manuales!$E$22*('Plan mensual'!F36+'Plan mensual'!F147+IF(parametros_manuales!$H$22="Todos",'Plan mensual'!F40+'Plan mensual'!F151,0))+parametros_manuales!$F$22*('Plan mensual'!F37+'Plan mensual'!F148+IF(parametros_manuales!$H$22="Todos",'Plan mensual'!F41+'Plan mensual'!F152,0))+parametros_manuales!$G$22*('Plan mensual'!F38+'Plan mensual'!F149+IF(parametros_manuales!$H$22="Todos",'Plan mensual'!F42+'Plan mensual'!F153,0)))*parametros_manuales!$I$22*parametros_manuales!$J$22</f>
        <v>8249.080064627</v>
      </c>
      <c r="E86" s="9" t="n">
        <f aca="false">(parametros_manuales!$D$22*('Plan mensual'!G35+'Plan mensual'!G146+IF(parametros_manuales!$H$22="Todos",'Plan mensual'!G39+'Plan mensual'!G150,0))+parametros_manuales!$E$22*('Plan mensual'!G36+'Plan mensual'!G147+IF(parametros_manuales!$H$22="Todos",'Plan mensual'!G40+'Plan mensual'!G151,0))+parametros_manuales!$F$22*('Plan mensual'!G37+'Plan mensual'!G148+IF(parametros_manuales!$H$22="Todos",'Plan mensual'!G41+'Plan mensual'!G152,0))+parametros_manuales!$G$22*('Plan mensual'!G38+'Plan mensual'!G149+IF(parametros_manuales!$H$22="Todos",'Plan mensual'!G42+'Plan mensual'!G153,0)))*parametros_manuales!$I$22*parametros_manuales!$J$22</f>
        <v>7897.460709137</v>
      </c>
      <c r="F86" s="9" t="n">
        <f aca="false">(parametros_manuales!$D$22*('Plan mensual'!H35+'Plan mensual'!H146+IF(parametros_manuales!$H$22="Todos",'Plan mensual'!H39+'Plan mensual'!H150,0))+parametros_manuales!$E$22*('Plan mensual'!H36+'Plan mensual'!H147+IF(parametros_manuales!$H$22="Todos",'Plan mensual'!H40+'Plan mensual'!H151,0))+parametros_manuales!$F$22*('Plan mensual'!H37+'Plan mensual'!H148+IF(parametros_manuales!$H$22="Todos",'Plan mensual'!H41+'Plan mensual'!H152,0))+parametros_manuales!$G$22*('Plan mensual'!H38+'Plan mensual'!H149+IF(parametros_manuales!$H$22="Todos",'Plan mensual'!H42+'Plan mensual'!H153,0)))*parametros_manuales!$I$22*parametros_manuales!$J$22</f>
        <v>7391.537213836</v>
      </c>
      <c r="G86" s="9" t="n">
        <f aca="false">(parametros_manuales!$D$22*('Plan mensual'!I35+'Plan mensual'!I146+IF(parametros_manuales!$H$22="Todos",'Plan mensual'!I39+'Plan mensual'!I150,0))+parametros_manuales!$E$22*('Plan mensual'!I36+'Plan mensual'!I147+IF(parametros_manuales!$H$22="Todos",'Plan mensual'!I40+'Plan mensual'!I151,0))+parametros_manuales!$F$22*('Plan mensual'!I37+'Plan mensual'!I148+IF(parametros_manuales!$H$22="Todos",'Plan mensual'!I41+'Plan mensual'!I152,0))+parametros_manuales!$G$22*('Plan mensual'!I38+'Plan mensual'!I149+IF(parametros_manuales!$H$22="Todos",'Plan mensual'!I42+'Plan mensual'!I153,0)))*parametros_manuales!$I$22*parametros_manuales!$J$22</f>
        <v>7237.233074025</v>
      </c>
      <c r="H86" s="9" t="n">
        <f aca="false">(parametros_manuales!$D$22*('Plan mensual'!J35+'Plan mensual'!J146+IF(parametros_manuales!$H$22="Todos",'Plan mensual'!J39+'Plan mensual'!J150,0))+parametros_manuales!$E$22*('Plan mensual'!J36+'Plan mensual'!J147+IF(parametros_manuales!$H$22="Todos",'Plan mensual'!J40+'Plan mensual'!J151,0))+parametros_manuales!$F$22*('Plan mensual'!J37+'Plan mensual'!J148+IF(parametros_manuales!$H$22="Todos",'Plan mensual'!J41+'Plan mensual'!J152,0))+parametros_manuales!$G$22*('Plan mensual'!J38+'Plan mensual'!J149+IF(parametros_manuales!$H$22="Todos",'Plan mensual'!J42+'Plan mensual'!J153,0)))*parametros_manuales!$I$22*parametros_manuales!$J$22</f>
        <v>7743.156569326</v>
      </c>
      <c r="I86" s="9" t="n">
        <f aca="false">(parametros_manuales!$D$22*('Plan mensual'!K35+'Plan mensual'!K146+IF(parametros_manuales!$H$22="Todos",'Plan mensual'!K39+'Plan mensual'!K150,0))+parametros_manuales!$E$22*('Plan mensual'!K36+'Plan mensual'!K147+IF(parametros_manuales!$H$22="Todos",'Plan mensual'!K40+'Plan mensual'!K151,0))+parametros_manuales!$F$22*('Plan mensual'!K37+'Plan mensual'!K148+IF(parametros_manuales!$H$22="Todos",'Plan mensual'!K41+'Plan mensual'!K152,0))+parametros_manuales!$G$22*('Plan mensual'!K38+'Plan mensual'!K149+IF(parametros_manuales!$H$22="Todos",'Plan mensual'!K42+'Plan mensual'!K153,0)))*parametros_manuales!$I$22*parametros_manuales!$J$22</f>
        <v>7743.156569326</v>
      </c>
      <c r="J86" s="9" t="n">
        <f aca="false">(parametros_manuales!$D$22*('Plan mensual'!L35+'Plan mensual'!L146+IF(parametros_manuales!$H$22="Todos",'Plan mensual'!L39+'Plan mensual'!L150,0))+parametros_manuales!$E$22*('Plan mensual'!L36+'Plan mensual'!L147+IF(parametros_manuales!$H$22="Todos",'Plan mensual'!L40+'Plan mensual'!L151,0))+parametros_manuales!$F$22*('Plan mensual'!L37+'Plan mensual'!L148+IF(parametros_manuales!$H$22="Todos",'Plan mensual'!L41+'Plan mensual'!L152,0))+parametros_manuales!$G$22*('Plan mensual'!L38+'Plan mensual'!L149+IF(parametros_manuales!$H$22="Todos",'Plan mensual'!L42+'Plan mensual'!L153,0)))*parametros_manuales!$I$22*parametros_manuales!$J$22</f>
        <v>7743.156569326</v>
      </c>
      <c r="K86" s="9" t="n">
        <f aca="false">(parametros_manuales!$D$22*('Plan mensual'!M35+'Plan mensual'!M146+IF(parametros_manuales!$H$22="Todos",'Plan mensual'!M39+'Plan mensual'!M150,0))+parametros_manuales!$E$22*('Plan mensual'!M36+'Plan mensual'!M147+IF(parametros_manuales!$H$22="Todos",'Plan mensual'!M40+'Plan mensual'!M151,0))+parametros_manuales!$F$22*('Plan mensual'!M37+'Plan mensual'!M148+IF(parametros_manuales!$H$22="Todos",'Plan mensual'!M41+'Plan mensual'!M152,0))+parametros_manuales!$G$22*('Plan mensual'!M38+'Plan mensual'!M149+IF(parametros_manuales!$H$22="Todos",'Plan mensual'!M42+'Plan mensual'!M153,0)))*parametros_manuales!$I$22*parametros_manuales!$J$22</f>
        <v>7588.852429515</v>
      </c>
      <c r="L86" s="9" t="n">
        <f aca="false">(parametros_manuales!$D$22*('Plan mensual'!N35+'Plan mensual'!N146+IF(parametros_manuales!$H$22="Todos",'Plan mensual'!N39+'Plan mensual'!N150,0))+parametros_manuales!$E$22*('Plan mensual'!N36+'Plan mensual'!N147+IF(parametros_manuales!$H$22="Todos",'Plan mensual'!N40+'Plan mensual'!N151,0))+parametros_manuales!$F$22*('Plan mensual'!N37+'Plan mensual'!N148+IF(parametros_manuales!$H$22="Todos",'Plan mensual'!N41+'Plan mensual'!N152,0))+parametros_manuales!$G$22*('Plan mensual'!N38+'Plan mensual'!N149+IF(parametros_manuales!$H$22="Todos",'Plan mensual'!N42+'Plan mensual'!N153,0)))*parametros_manuales!$I$22*parametros_manuales!$J$22</f>
        <v>7434.548289704</v>
      </c>
      <c r="M86" s="9" t="n">
        <f aca="false">(parametros_manuales!$D$22*('Plan mensual'!O35+'Plan mensual'!O146+IF(parametros_manuales!$H$22="Todos",'Plan mensual'!O39+'Plan mensual'!O150,0))+parametros_manuales!$E$22*('Plan mensual'!O36+'Plan mensual'!O147+IF(parametros_manuales!$H$22="Todos",'Plan mensual'!O40+'Plan mensual'!O151,0))+parametros_manuales!$F$22*('Plan mensual'!O37+'Plan mensual'!O148+IF(parametros_manuales!$H$22="Todos",'Plan mensual'!O41+'Plan mensual'!O152,0))+parametros_manuales!$G$22*('Plan mensual'!O38+'Plan mensual'!O149+IF(parametros_manuales!$H$22="Todos",'Plan mensual'!O42+'Plan mensual'!O153,0)))*parametros_manuales!$I$22*parametros_manuales!$J$22</f>
        <v>11833.555607602</v>
      </c>
      <c r="N86" s="9" t="n">
        <f aca="false">SUM(B86:M86)</f>
        <v>101184.6990602</v>
      </c>
      <c r="O86" s="9" t="n">
        <f aca="false">MAX(B86:M86)</f>
        <v>11833.555607602</v>
      </c>
      <c r="P86" s="44" t="n">
        <f aca="false">O86/(parametros_manuales!$B$7)</f>
        <v>78.8903707173467</v>
      </c>
      <c r="Q86" s="8" t="str">
        <f aca="false">IF(O86=0,"-",INDEX($B$82:$M$82,MATCH(O86,B86:M86,0)))</f>
        <v>Dic</v>
      </c>
    </row>
    <row r="87" customFormat="false" ht="14.25" hidden="false" customHeight="true" outlineLevel="0" collapsed="false">
      <c r="A87" s="8" t="str">
        <f aca="false">parametros_manuales!$B$23</f>
        <v>Preparación de cuello</v>
      </c>
      <c r="B87" s="9" t="n">
        <f aca="false">(parametros_manuales!$D$23*('Plan mensual'!D35+'Plan mensual'!D146+IF(parametros_manuales!$H$23="Todos",'Plan mensual'!D39+'Plan mensual'!D150,0))+parametros_manuales!$E$23*('Plan mensual'!D36+'Plan mensual'!D147+IF(parametros_manuales!$H$23="Todos",'Plan mensual'!D40+'Plan mensual'!D151,0))+parametros_manuales!$F$23*('Plan mensual'!D37+'Plan mensual'!D148+IF(parametros_manuales!$H$23="Todos",'Plan mensual'!D41+'Plan mensual'!D152,0))+parametros_manuales!$G$23*('Plan mensual'!D38+'Plan mensual'!D149+IF(parametros_manuales!$H$23="Todos",'Plan mensual'!D42+'Plan mensual'!D153,0)))*parametros_manuales!$I$23*parametros_manuales!$J$23</f>
        <v>5762.47366399</v>
      </c>
      <c r="C87" s="9" t="n">
        <f aca="false">(parametros_manuales!$D$23*('Plan mensual'!E35+'Plan mensual'!E146+IF(parametros_manuales!$H$23="Todos",'Plan mensual'!E39+'Plan mensual'!E150,0))+parametros_manuales!$E$23*('Plan mensual'!E36+'Plan mensual'!E147+IF(parametros_manuales!$H$23="Todos",'Plan mensual'!E40+'Plan mensual'!E151,0))+parametros_manuales!$F$23*('Plan mensual'!E37+'Plan mensual'!E148+IF(parametros_manuales!$H$23="Todos",'Plan mensual'!E41+'Plan mensual'!E152,0))+parametros_manuales!$G$23*('Plan mensual'!E38+'Plan mensual'!E149+IF(parametros_manuales!$H$23="Todos",'Plan mensual'!E42+'Plan mensual'!E153,0)))*parametros_manuales!$I$23*parametros_manuales!$J$23</f>
        <v>4399.007317898</v>
      </c>
      <c r="D87" s="9" t="n">
        <f aca="false">(parametros_manuales!$D$23*('Plan mensual'!F35+'Plan mensual'!F146+IF(parametros_manuales!$H$23="Todos",'Plan mensual'!F39+'Plan mensual'!F150,0))+parametros_manuales!$E$23*('Plan mensual'!F36+'Plan mensual'!F147+IF(parametros_manuales!$H$23="Todos",'Plan mensual'!F40+'Plan mensual'!F151,0))+parametros_manuales!$F$23*('Plan mensual'!F37+'Plan mensual'!F148+IF(parametros_manuales!$H$23="Todos",'Plan mensual'!F41+'Plan mensual'!F152,0))+parametros_manuales!$G$23*('Plan mensual'!F38+'Plan mensual'!F149+IF(parametros_manuales!$H$23="Todos",'Plan mensual'!F42+'Plan mensual'!F153,0)))*parametros_manuales!$I$23*parametros_manuales!$J$23</f>
        <v>4124.5400323135</v>
      </c>
      <c r="E87" s="9" t="n">
        <f aca="false">(parametros_manuales!$D$23*('Plan mensual'!G35+'Plan mensual'!G146+IF(parametros_manuales!$H$23="Todos",'Plan mensual'!G39+'Plan mensual'!G150,0))+parametros_manuales!$E$23*('Plan mensual'!G36+'Plan mensual'!G147+IF(parametros_manuales!$H$23="Todos",'Plan mensual'!G40+'Plan mensual'!G151,0))+parametros_manuales!$F$23*('Plan mensual'!G37+'Plan mensual'!G148+IF(parametros_manuales!$H$23="Todos",'Plan mensual'!G41+'Plan mensual'!G152,0))+parametros_manuales!$G$23*('Plan mensual'!G38+'Plan mensual'!G149+IF(parametros_manuales!$H$23="Todos",'Plan mensual'!G42+'Plan mensual'!G153,0)))*parametros_manuales!$I$23*parametros_manuales!$J$23</f>
        <v>3948.7303545685</v>
      </c>
      <c r="F87" s="9" t="n">
        <f aca="false">(parametros_manuales!$D$23*('Plan mensual'!H35+'Plan mensual'!H146+IF(parametros_manuales!$H$23="Todos",'Plan mensual'!H39+'Plan mensual'!H150,0))+parametros_manuales!$E$23*('Plan mensual'!H36+'Plan mensual'!H147+IF(parametros_manuales!$H$23="Todos",'Plan mensual'!H40+'Plan mensual'!H151,0))+parametros_manuales!$F$23*('Plan mensual'!H37+'Plan mensual'!H148+IF(parametros_manuales!$H$23="Todos",'Plan mensual'!H41+'Plan mensual'!H152,0))+parametros_manuales!$G$23*('Plan mensual'!H38+'Plan mensual'!H149+IF(parametros_manuales!$H$23="Todos",'Plan mensual'!H42+'Plan mensual'!H153,0)))*parametros_manuales!$I$23*parametros_manuales!$J$23</f>
        <v>3695.768606918</v>
      </c>
      <c r="G87" s="9" t="n">
        <f aca="false">(parametros_manuales!$D$23*('Plan mensual'!I35+'Plan mensual'!I146+IF(parametros_manuales!$H$23="Todos",'Plan mensual'!I39+'Plan mensual'!I150,0))+parametros_manuales!$E$23*('Plan mensual'!I36+'Plan mensual'!I147+IF(parametros_manuales!$H$23="Todos",'Plan mensual'!I40+'Plan mensual'!I151,0))+parametros_manuales!$F$23*('Plan mensual'!I37+'Plan mensual'!I148+IF(parametros_manuales!$H$23="Todos",'Plan mensual'!I41+'Plan mensual'!I152,0))+parametros_manuales!$G$23*('Plan mensual'!I38+'Plan mensual'!I149+IF(parametros_manuales!$H$23="Todos",'Plan mensual'!I42+'Plan mensual'!I153,0)))*parametros_manuales!$I$23*parametros_manuales!$J$23</f>
        <v>3618.6165370125</v>
      </c>
      <c r="H87" s="9" t="n">
        <f aca="false">(parametros_manuales!$D$23*('Plan mensual'!J35+'Plan mensual'!J146+IF(parametros_manuales!$H$23="Todos",'Plan mensual'!J39+'Plan mensual'!J150,0))+parametros_manuales!$E$23*('Plan mensual'!J36+'Plan mensual'!J147+IF(parametros_manuales!$H$23="Todos",'Plan mensual'!J40+'Plan mensual'!J151,0))+parametros_manuales!$F$23*('Plan mensual'!J37+'Plan mensual'!J148+IF(parametros_manuales!$H$23="Todos",'Plan mensual'!J41+'Plan mensual'!J152,0))+parametros_manuales!$G$23*('Plan mensual'!J38+'Plan mensual'!J149+IF(parametros_manuales!$H$23="Todos",'Plan mensual'!J42+'Plan mensual'!J153,0)))*parametros_manuales!$I$23*parametros_manuales!$J$23</f>
        <v>3871.578284663</v>
      </c>
      <c r="I87" s="9" t="n">
        <f aca="false">(parametros_manuales!$D$23*('Plan mensual'!K35+'Plan mensual'!K146+IF(parametros_manuales!$H$23="Todos",'Plan mensual'!K39+'Plan mensual'!K150,0))+parametros_manuales!$E$23*('Plan mensual'!K36+'Plan mensual'!K147+IF(parametros_manuales!$H$23="Todos",'Plan mensual'!K40+'Plan mensual'!K151,0))+parametros_manuales!$F$23*('Plan mensual'!K37+'Plan mensual'!K148+IF(parametros_manuales!$H$23="Todos",'Plan mensual'!K41+'Plan mensual'!K152,0))+parametros_manuales!$G$23*('Plan mensual'!K38+'Plan mensual'!K149+IF(parametros_manuales!$H$23="Todos",'Plan mensual'!K42+'Plan mensual'!K153,0)))*parametros_manuales!$I$23*parametros_manuales!$J$23</f>
        <v>3871.578284663</v>
      </c>
      <c r="J87" s="9" t="n">
        <f aca="false">(parametros_manuales!$D$23*('Plan mensual'!L35+'Plan mensual'!L146+IF(parametros_manuales!$H$23="Todos",'Plan mensual'!L39+'Plan mensual'!L150,0))+parametros_manuales!$E$23*('Plan mensual'!L36+'Plan mensual'!L147+IF(parametros_manuales!$H$23="Todos",'Plan mensual'!L40+'Plan mensual'!L151,0))+parametros_manuales!$F$23*('Plan mensual'!L37+'Plan mensual'!L148+IF(parametros_manuales!$H$23="Todos",'Plan mensual'!L41+'Plan mensual'!L152,0))+parametros_manuales!$G$23*('Plan mensual'!L38+'Plan mensual'!L149+IF(parametros_manuales!$H$23="Todos",'Plan mensual'!L42+'Plan mensual'!L153,0)))*parametros_manuales!$I$23*parametros_manuales!$J$23</f>
        <v>3871.578284663</v>
      </c>
      <c r="K87" s="9" t="n">
        <f aca="false">(parametros_manuales!$D$23*('Plan mensual'!M35+'Plan mensual'!M146+IF(parametros_manuales!$H$23="Todos",'Plan mensual'!M39+'Plan mensual'!M150,0))+parametros_manuales!$E$23*('Plan mensual'!M36+'Plan mensual'!M147+IF(parametros_manuales!$H$23="Todos",'Plan mensual'!M40+'Plan mensual'!M151,0))+parametros_manuales!$F$23*('Plan mensual'!M37+'Plan mensual'!M148+IF(parametros_manuales!$H$23="Todos",'Plan mensual'!M41+'Plan mensual'!M152,0))+parametros_manuales!$G$23*('Plan mensual'!M38+'Plan mensual'!M149+IF(parametros_manuales!$H$23="Todos",'Plan mensual'!M42+'Plan mensual'!M153,0)))*parametros_manuales!$I$23*parametros_manuales!$J$23</f>
        <v>3794.4262147575</v>
      </c>
      <c r="L87" s="9" t="n">
        <f aca="false">(parametros_manuales!$D$23*('Plan mensual'!N35+'Plan mensual'!N146+IF(parametros_manuales!$H$23="Todos",'Plan mensual'!N39+'Plan mensual'!N150,0))+parametros_manuales!$E$23*('Plan mensual'!N36+'Plan mensual'!N147+IF(parametros_manuales!$H$23="Todos",'Plan mensual'!N40+'Plan mensual'!N151,0))+parametros_manuales!$F$23*('Plan mensual'!N37+'Plan mensual'!N148+IF(parametros_manuales!$H$23="Todos",'Plan mensual'!N41+'Plan mensual'!N152,0))+parametros_manuales!$G$23*('Plan mensual'!N38+'Plan mensual'!N149+IF(parametros_manuales!$H$23="Todos",'Plan mensual'!N42+'Plan mensual'!N153,0)))*parametros_manuales!$I$23*parametros_manuales!$J$23</f>
        <v>3717.274144852</v>
      </c>
      <c r="M87" s="9" t="n">
        <f aca="false">(parametros_manuales!$D$23*('Plan mensual'!O35+'Plan mensual'!O146+IF(parametros_manuales!$H$23="Todos",'Plan mensual'!O39+'Plan mensual'!O150,0))+parametros_manuales!$E$23*('Plan mensual'!O36+'Plan mensual'!O147+IF(parametros_manuales!$H$23="Todos",'Plan mensual'!O40+'Plan mensual'!O151,0))+parametros_manuales!$F$23*('Plan mensual'!O37+'Plan mensual'!O148+IF(parametros_manuales!$H$23="Todos",'Plan mensual'!O41+'Plan mensual'!O152,0))+parametros_manuales!$G$23*('Plan mensual'!O38+'Plan mensual'!O149+IF(parametros_manuales!$H$23="Todos",'Plan mensual'!O42+'Plan mensual'!O153,0)))*parametros_manuales!$I$23*parametros_manuales!$J$23</f>
        <v>5916.777803801</v>
      </c>
      <c r="N87" s="9" t="n">
        <f aca="false">SUM(B87:M87)</f>
        <v>50592.3495301</v>
      </c>
      <c r="O87" s="9" t="n">
        <f aca="false">MAX(B87:M87)</f>
        <v>5916.777803801</v>
      </c>
      <c r="P87" s="44" t="n">
        <f aca="false">O87/(parametros_manuales!$B$7)</f>
        <v>39.4451853586733</v>
      </c>
      <c r="Q87" s="8" t="str">
        <f aca="false">IF(O87=0,"-",INDEX($B$82:$M$82,MATCH(O87,B87:M87,0)))</f>
        <v>Dic</v>
      </c>
    </row>
    <row r="88" customFormat="false" ht="14.25" hidden="false" customHeight="true" outlineLevel="0" collapsed="false">
      <c r="A88" s="8" t="str">
        <f aca="false">parametros_manuales!$B$24</f>
        <v>Numerado de cúpula</v>
      </c>
      <c r="B88" s="9" t="n">
        <f aca="false">(parametros_manuales!$D$24*('Plan mensual'!D35+'Plan mensual'!D146+IF(parametros_manuales!$H$24="Todos",'Plan mensual'!D39+'Plan mensual'!D150,0))+parametros_manuales!$E$24*('Plan mensual'!D36+'Plan mensual'!D147+IF(parametros_manuales!$H$24="Todos",'Plan mensual'!D40+'Plan mensual'!D151,0))+parametros_manuales!$F$24*('Plan mensual'!D37+'Plan mensual'!D148+IF(parametros_manuales!$H$24="Todos",'Plan mensual'!D41+'Plan mensual'!D152,0))+parametros_manuales!$G$24*('Plan mensual'!D38+'Plan mensual'!D149+IF(parametros_manuales!$H$24="Todos",'Plan mensual'!D42+'Plan mensual'!D153,0)))*parametros_manuales!$I$24*parametros_manuales!$J$24</f>
        <v>5762.47366399</v>
      </c>
      <c r="C88" s="9" t="n">
        <f aca="false">(parametros_manuales!$D$24*('Plan mensual'!E35+'Plan mensual'!E146+IF(parametros_manuales!$H$24="Todos",'Plan mensual'!E39+'Plan mensual'!E150,0))+parametros_manuales!$E$24*('Plan mensual'!E36+'Plan mensual'!E147+IF(parametros_manuales!$H$24="Todos",'Plan mensual'!E40+'Plan mensual'!E151,0))+parametros_manuales!$F$24*('Plan mensual'!E37+'Plan mensual'!E148+IF(parametros_manuales!$H$24="Todos",'Plan mensual'!E41+'Plan mensual'!E152,0))+parametros_manuales!$G$24*('Plan mensual'!E38+'Plan mensual'!E149+IF(parametros_manuales!$H$24="Todos",'Plan mensual'!E42+'Plan mensual'!E153,0)))*parametros_manuales!$I$24*parametros_manuales!$J$24</f>
        <v>4399.007317898</v>
      </c>
      <c r="D88" s="9" t="n">
        <f aca="false">(parametros_manuales!$D$24*('Plan mensual'!F35+'Plan mensual'!F146+IF(parametros_manuales!$H$24="Todos",'Plan mensual'!F39+'Plan mensual'!F150,0))+parametros_manuales!$E$24*('Plan mensual'!F36+'Plan mensual'!F147+IF(parametros_manuales!$H$24="Todos",'Plan mensual'!F40+'Plan mensual'!F151,0))+parametros_manuales!$F$24*('Plan mensual'!F37+'Plan mensual'!F148+IF(parametros_manuales!$H$24="Todos",'Plan mensual'!F41+'Plan mensual'!F152,0))+parametros_manuales!$G$24*('Plan mensual'!F38+'Plan mensual'!F149+IF(parametros_manuales!$H$24="Todos",'Plan mensual'!F42+'Plan mensual'!F153,0)))*parametros_manuales!$I$24*parametros_manuales!$J$24</f>
        <v>4124.5400323135</v>
      </c>
      <c r="E88" s="9" t="n">
        <f aca="false">(parametros_manuales!$D$24*('Plan mensual'!G35+'Plan mensual'!G146+IF(parametros_manuales!$H$24="Todos",'Plan mensual'!G39+'Plan mensual'!G150,0))+parametros_manuales!$E$24*('Plan mensual'!G36+'Plan mensual'!G147+IF(parametros_manuales!$H$24="Todos",'Plan mensual'!G40+'Plan mensual'!G151,0))+parametros_manuales!$F$24*('Plan mensual'!G37+'Plan mensual'!G148+IF(parametros_manuales!$H$24="Todos",'Plan mensual'!G41+'Plan mensual'!G152,0))+parametros_manuales!$G$24*('Plan mensual'!G38+'Plan mensual'!G149+IF(parametros_manuales!$H$24="Todos",'Plan mensual'!G42+'Plan mensual'!G153,0)))*parametros_manuales!$I$24*parametros_manuales!$J$24</f>
        <v>3948.7303545685</v>
      </c>
      <c r="F88" s="9" t="n">
        <f aca="false">(parametros_manuales!$D$24*('Plan mensual'!H35+'Plan mensual'!H146+IF(parametros_manuales!$H$24="Todos",'Plan mensual'!H39+'Plan mensual'!H150,0))+parametros_manuales!$E$24*('Plan mensual'!H36+'Plan mensual'!H147+IF(parametros_manuales!$H$24="Todos",'Plan mensual'!H40+'Plan mensual'!H151,0))+parametros_manuales!$F$24*('Plan mensual'!H37+'Plan mensual'!H148+IF(parametros_manuales!$H$24="Todos",'Plan mensual'!H41+'Plan mensual'!H152,0))+parametros_manuales!$G$24*('Plan mensual'!H38+'Plan mensual'!H149+IF(parametros_manuales!$H$24="Todos",'Plan mensual'!H42+'Plan mensual'!H153,0)))*parametros_manuales!$I$24*parametros_manuales!$J$24</f>
        <v>3695.768606918</v>
      </c>
      <c r="G88" s="9" t="n">
        <f aca="false">(parametros_manuales!$D$24*('Plan mensual'!I35+'Plan mensual'!I146+IF(parametros_manuales!$H$24="Todos",'Plan mensual'!I39+'Plan mensual'!I150,0))+parametros_manuales!$E$24*('Plan mensual'!I36+'Plan mensual'!I147+IF(parametros_manuales!$H$24="Todos",'Plan mensual'!I40+'Plan mensual'!I151,0))+parametros_manuales!$F$24*('Plan mensual'!I37+'Plan mensual'!I148+IF(parametros_manuales!$H$24="Todos",'Plan mensual'!I41+'Plan mensual'!I152,0))+parametros_manuales!$G$24*('Plan mensual'!I38+'Plan mensual'!I149+IF(parametros_manuales!$H$24="Todos",'Plan mensual'!I42+'Plan mensual'!I153,0)))*parametros_manuales!$I$24*parametros_manuales!$J$24</f>
        <v>3618.6165370125</v>
      </c>
      <c r="H88" s="9" t="n">
        <f aca="false">(parametros_manuales!$D$24*('Plan mensual'!J35+'Plan mensual'!J146+IF(parametros_manuales!$H$24="Todos",'Plan mensual'!J39+'Plan mensual'!J150,0))+parametros_manuales!$E$24*('Plan mensual'!J36+'Plan mensual'!J147+IF(parametros_manuales!$H$24="Todos",'Plan mensual'!J40+'Plan mensual'!J151,0))+parametros_manuales!$F$24*('Plan mensual'!J37+'Plan mensual'!J148+IF(parametros_manuales!$H$24="Todos",'Plan mensual'!J41+'Plan mensual'!J152,0))+parametros_manuales!$G$24*('Plan mensual'!J38+'Plan mensual'!J149+IF(parametros_manuales!$H$24="Todos",'Plan mensual'!J42+'Plan mensual'!J153,0)))*parametros_manuales!$I$24*parametros_manuales!$J$24</f>
        <v>3871.578284663</v>
      </c>
      <c r="I88" s="9" t="n">
        <f aca="false">(parametros_manuales!$D$24*('Plan mensual'!K35+'Plan mensual'!K146+IF(parametros_manuales!$H$24="Todos",'Plan mensual'!K39+'Plan mensual'!K150,0))+parametros_manuales!$E$24*('Plan mensual'!K36+'Plan mensual'!K147+IF(parametros_manuales!$H$24="Todos",'Plan mensual'!K40+'Plan mensual'!K151,0))+parametros_manuales!$F$24*('Plan mensual'!K37+'Plan mensual'!K148+IF(parametros_manuales!$H$24="Todos",'Plan mensual'!K41+'Plan mensual'!K152,0))+parametros_manuales!$G$24*('Plan mensual'!K38+'Plan mensual'!K149+IF(parametros_manuales!$H$24="Todos",'Plan mensual'!K42+'Plan mensual'!K153,0)))*parametros_manuales!$I$24*parametros_manuales!$J$24</f>
        <v>3871.578284663</v>
      </c>
      <c r="J88" s="9" t="n">
        <f aca="false">(parametros_manuales!$D$24*('Plan mensual'!L35+'Plan mensual'!L146+IF(parametros_manuales!$H$24="Todos",'Plan mensual'!L39+'Plan mensual'!L150,0))+parametros_manuales!$E$24*('Plan mensual'!L36+'Plan mensual'!L147+IF(parametros_manuales!$H$24="Todos",'Plan mensual'!L40+'Plan mensual'!L151,0))+parametros_manuales!$F$24*('Plan mensual'!L37+'Plan mensual'!L148+IF(parametros_manuales!$H$24="Todos",'Plan mensual'!L41+'Plan mensual'!L152,0))+parametros_manuales!$G$24*('Plan mensual'!L38+'Plan mensual'!L149+IF(parametros_manuales!$H$24="Todos",'Plan mensual'!L42+'Plan mensual'!L153,0)))*parametros_manuales!$I$24*parametros_manuales!$J$24</f>
        <v>3871.578284663</v>
      </c>
      <c r="K88" s="9" t="n">
        <f aca="false">(parametros_manuales!$D$24*('Plan mensual'!M35+'Plan mensual'!M146+IF(parametros_manuales!$H$24="Todos",'Plan mensual'!M39+'Plan mensual'!M150,0))+parametros_manuales!$E$24*('Plan mensual'!M36+'Plan mensual'!M147+IF(parametros_manuales!$H$24="Todos",'Plan mensual'!M40+'Plan mensual'!M151,0))+parametros_manuales!$F$24*('Plan mensual'!M37+'Plan mensual'!M148+IF(parametros_manuales!$H$24="Todos",'Plan mensual'!M41+'Plan mensual'!M152,0))+parametros_manuales!$G$24*('Plan mensual'!M38+'Plan mensual'!M149+IF(parametros_manuales!$H$24="Todos",'Plan mensual'!M42+'Plan mensual'!M153,0)))*parametros_manuales!$I$24*parametros_manuales!$J$24</f>
        <v>3794.4262147575</v>
      </c>
      <c r="L88" s="9" t="n">
        <f aca="false">(parametros_manuales!$D$24*('Plan mensual'!N35+'Plan mensual'!N146+IF(parametros_manuales!$H$24="Todos",'Plan mensual'!N39+'Plan mensual'!N150,0))+parametros_manuales!$E$24*('Plan mensual'!N36+'Plan mensual'!N147+IF(parametros_manuales!$H$24="Todos",'Plan mensual'!N40+'Plan mensual'!N151,0))+parametros_manuales!$F$24*('Plan mensual'!N37+'Plan mensual'!N148+IF(parametros_manuales!$H$24="Todos",'Plan mensual'!N41+'Plan mensual'!N152,0))+parametros_manuales!$G$24*('Plan mensual'!N38+'Plan mensual'!N149+IF(parametros_manuales!$H$24="Todos",'Plan mensual'!N42+'Plan mensual'!N153,0)))*parametros_manuales!$I$24*parametros_manuales!$J$24</f>
        <v>3717.274144852</v>
      </c>
      <c r="M88" s="9" t="n">
        <f aca="false">(parametros_manuales!$D$24*('Plan mensual'!O35+'Plan mensual'!O146+IF(parametros_manuales!$H$24="Todos",'Plan mensual'!O39+'Plan mensual'!O150,0))+parametros_manuales!$E$24*('Plan mensual'!O36+'Plan mensual'!O147+IF(parametros_manuales!$H$24="Todos",'Plan mensual'!O40+'Plan mensual'!O151,0))+parametros_manuales!$F$24*('Plan mensual'!O37+'Plan mensual'!O148+IF(parametros_manuales!$H$24="Todos",'Plan mensual'!O41+'Plan mensual'!O152,0))+parametros_manuales!$G$24*('Plan mensual'!O38+'Plan mensual'!O149+IF(parametros_manuales!$H$24="Todos",'Plan mensual'!O42+'Plan mensual'!O153,0)))*parametros_manuales!$I$24*parametros_manuales!$J$24</f>
        <v>5916.777803801</v>
      </c>
      <c r="N88" s="9" t="n">
        <f aca="false">SUM(B88:M88)</f>
        <v>50592.3495301</v>
      </c>
      <c r="O88" s="9" t="n">
        <f aca="false">MAX(B88:M88)</f>
        <v>5916.777803801</v>
      </c>
      <c r="P88" s="44" t="n">
        <f aca="false">O88/(parametros_manuales!$B$7)</f>
        <v>39.4451853586733</v>
      </c>
      <c r="Q88" s="8" t="str">
        <f aca="false">IF(O88=0,"-",INDEX($B$82:$M$82,MATCH(O88,B88:M88,0)))</f>
        <v>Dic</v>
      </c>
    </row>
    <row r="89" customFormat="false" ht="14.25" hidden="false" customHeight="true" outlineLevel="0" collapsed="false">
      <c r="A89" s="8" t="str">
        <f aca="false">parametros_manuales!$B$25</f>
        <v>Soldadura del cuello a la cúpula</v>
      </c>
      <c r="B89" s="9" t="n">
        <f aca="false">(parametros_manuales!$D$25*('Plan mensual'!D35+'Plan mensual'!D146+IF(parametros_manuales!$H$25="Todos",'Plan mensual'!D39+'Plan mensual'!D150,0))+parametros_manuales!$E$25*('Plan mensual'!D36+'Plan mensual'!D147+IF(parametros_manuales!$H$25="Todos",'Plan mensual'!D40+'Plan mensual'!D151,0))+parametros_manuales!$F$25*('Plan mensual'!D37+'Plan mensual'!D148+IF(parametros_manuales!$H$25="Todos",'Plan mensual'!D41+'Plan mensual'!D152,0))+parametros_manuales!$G$25*('Plan mensual'!D38+'Plan mensual'!D149+IF(parametros_manuales!$H$25="Todos",'Plan mensual'!D42+'Plan mensual'!D153,0)))*parametros_manuales!$I$25*parametros_manuales!$J$25</f>
        <v>5762.47366399</v>
      </c>
      <c r="C89" s="9" t="n">
        <f aca="false">(parametros_manuales!$D$25*('Plan mensual'!E35+'Plan mensual'!E146+IF(parametros_manuales!$H$25="Todos",'Plan mensual'!E39+'Plan mensual'!E150,0))+parametros_manuales!$E$25*('Plan mensual'!E36+'Plan mensual'!E147+IF(parametros_manuales!$H$25="Todos",'Plan mensual'!E40+'Plan mensual'!E151,0))+parametros_manuales!$F$25*('Plan mensual'!E37+'Plan mensual'!E148+IF(parametros_manuales!$H$25="Todos",'Plan mensual'!E41+'Plan mensual'!E152,0))+parametros_manuales!$G$25*('Plan mensual'!E38+'Plan mensual'!E149+IF(parametros_manuales!$H$25="Todos",'Plan mensual'!E42+'Plan mensual'!E153,0)))*parametros_manuales!$I$25*parametros_manuales!$J$25</f>
        <v>4399.007317898</v>
      </c>
      <c r="D89" s="9" t="n">
        <f aca="false">(parametros_manuales!$D$25*('Plan mensual'!F35+'Plan mensual'!F146+IF(parametros_manuales!$H$25="Todos",'Plan mensual'!F39+'Plan mensual'!F150,0))+parametros_manuales!$E$25*('Plan mensual'!F36+'Plan mensual'!F147+IF(parametros_manuales!$H$25="Todos",'Plan mensual'!F40+'Plan mensual'!F151,0))+parametros_manuales!$F$25*('Plan mensual'!F37+'Plan mensual'!F148+IF(parametros_manuales!$H$25="Todos",'Plan mensual'!F41+'Plan mensual'!F152,0))+parametros_manuales!$G$25*('Plan mensual'!F38+'Plan mensual'!F149+IF(parametros_manuales!$H$25="Todos",'Plan mensual'!F42+'Plan mensual'!F153,0)))*parametros_manuales!$I$25*parametros_manuales!$J$25</f>
        <v>4124.5400323135</v>
      </c>
      <c r="E89" s="9" t="n">
        <f aca="false">(parametros_manuales!$D$25*('Plan mensual'!G35+'Plan mensual'!G146+IF(parametros_manuales!$H$25="Todos",'Plan mensual'!G39+'Plan mensual'!G150,0))+parametros_manuales!$E$25*('Plan mensual'!G36+'Plan mensual'!G147+IF(parametros_manuales!$H$25="Todos",'Plan mensual'!G40+'Plan mensual'!G151,0))+parametros_manuales!$F$25*('Plan mensual'!G37+'Plan mensual'!G148+IF(parametros_manuales!$H$25="Todos",'Plan mensual'!G41+'Plan mensual'!G152,0))+parametros_manuales!$G$25*('Plan mensual'!G38+'Plan mensual'!G149+IF(parametros_manuales!$H$25="Todos",'Plan mensual'!G42+'Plan mensual'!G153,0)))*parametros_manuales!$I$25*parametros_manuales!$J$25</f>
        <v>3948.7303545685</v>
      </c>
      <c r="F89" s="9" t="n">
        <f aca="false">(parametros_manuales!$D$25*('Plan mensual'!H35+'Plan mensual'!H146+IF(parametros_manuales!$H$25="Todos",'Plan mensual'!H39+'Plan mensual'!H150,0))+parametros_manuales!$E$25*('Plan mensual'!H36+'Plan mensual'!H147+IF(parametros_manuales!$H$25="Todos",'Plan mensual'!H40+'Plan mensual'!H151,0))+parametros_manuales!$F$25*('Plan mensual'!H37+'Plan mensual'!H148+IF(parametros_manuales!$H$25="Todos",'Plan mensual'!H41+'Plan mensual'!H152,0))+parametros_manuales!$G$25*('Plan mensual'!H38+'Plan mensual'!H149+IF(parametros_manuales!$H$25="Todos",'Plan mensual'!H42+'Plan mensual'!H153,0)))*parametros_manuales!$I$25*parametros_manuales!$J$25</f>
        <v>3695.768606918</v>
      </c>
      <c r="G89" s="9" t="n">
        <f aca="false">(parametros_manuales!$D$25*('Plan mensual'!I35+'Plan mensual'!I146+IF(parametros_manuales!$H$25="Todos",'Plan mensual'!I39+'Plan mensual'!I150,0))+parametros_manuales!$E$25*('Plan mensual'!I36+'Plan mensual'!I147+IF(parametros_manuales!$H$25="Todos",'Plan mensual'!I40+'Plan mensual'!I151,0))+parametros_manuales!$F$25*('Plan mensual'!I37+'Plan mensual'!I148+IF(parametros_manuales!$H$25="Todos",'Plan mensual'!I41+'Plan mensual'!I152,0))+parametros_manuales!$G$25*('Plan mensual'!I38+'Plan mensual'!I149+IF(parametros_manuales!$H$25="Todos",'Plan mensual'!I42+'Plan mensual'!I153,0)))*parametros_manuales!$I$25*parametros_manuales!$J$25</f>
        <v>3618.6165370125</v>
      </c>
      <c r="H89" s="9" t="n">
        <f aca="false">(parametros_manuales!$D$25*('Plan mensual'!J35+'Plan mensual'!J146+IF(parametros_manuales!$H$25="Todos",'Plan mensual'!J39+'Plan mensual'!J150,0))+parametros_manuales!$E$25*('Plan mensual'!J36+'Plan mensual'!J147+IF(parametros_manuales!$H$25="Todos",'Plan mensual'!J40+'Plan mensual'!J151,0))+parametros_manuales!$F$25*('Plan mensual'!J37+'Plan mensual'!J148+IF(parametros_manuales!$H$25="Todos",'Plan mensual'!J41+'Plan mensual'!J152,0))+parametros_manuales!$G$25*('Plan mensual'!J38+'Plan mensual'!J149+IF(parametros_manuales!$H$25="Todos",'Plan mensual'!J42+'Plan mensual'!J153,0)))*parametros_manuales!$I$25*parametros_manuales!$J$25</f>
        <v>3871.578284663</v>
      </c>
      <c r="I89" s="9" t="n">
        <f aca="false">(parametros_manuales!$D$25*('Plan mensual'!K35+'Plan mensual'!K146+IF(parametros_manuales!$H$25="Todos",'Plan mensual'!K39+'Plan mensual'!K150,0))+parametros_manuales!$E$25*('Plan mensual'!K36+'Plan mensual'!K147+IF(parametros_manuales!$H$25="Todos",'Plan mensual'!K40+'Plan mensual'!K151,0))+parametros_manuales!$F$25*('Plan mensual'!K37+'Plan mensual'!K148+IF(parametros_manuales!$H$25="Todos",'Plan mensual'!K41+'Plan mensual'!K152,0))+parametros_manuales!$G$25*('Plan mensual'!K38+'Plan mensual'!K149+IF(parametros_manuales!$H$25="Todos",'Plan mensual'!K42+'Plan mensual'!K153,0)))*parametros_manuales!$I$25*parametros_manuales!$J$25</f>
        <v>3871.578284663</v>
      </c>
      <c r="J89" s="9" t="n">
        <f aca="false">(parametros_manuales!$D$25*('Plan mensual'!L35+'Plan mensual'!L146+IF(parametros_manuales!$H$25="Todos",'Plan mensual'!L39+'Plan mensual'!L150,0))+parametros_manuales!$E$25*('Plan mensual'!L36+'Plan mensual'!L147+IF(parametros_manuales!$H$25="Todos",'Plan mensual'!L40+'Plan mensual'!L151,0))+parametros_manuales!$F$25*('Plan mensual'!L37+'Plan mensual'!L148+IF(parametros_manuales!$H$25="Todos",'Plan mensual'!L41+'Plan mensual'!L152,0))+parametros_manuales!$G$25*('Plan mensual'!L38+'Plan mensual'!L149+IF(parametros_manuales!$H$25="Todos",'Plan mensual'!L42+'Plan mensual'!L153,0)))*parametros_manuales!$I$25*parametros_manuales!$J$25</f>
        <v>3871.578284663</v>
      </c>
      <c r="K89" s="9" t="n">
        <f aca="false">(parametros_manuales!$D$25*('Plan mensual'!M35+'Plan mensual'!M146+IF(parametros_manuales!$H$25="Todos",'Plan mensual'!M39+'Plan mensual'!M150,0))+parametros_manuales!$E$25*('Plan mensual'!M36+'Plan mensual'!M147+IF(parametros_manuales!$H$25="Todos",'Plan mensual'!M40+'Plan mensual'!M151,0))+parametros_manuales!$F$25*('Plan mensual'!M37+'Plan mensual'!M148+IF(parametros_manuales!$H$25="Todos",'Plan mensual'!M41+'Plan mensual'!M152,0))+parametros_manuales!$G$25*('Plan mensual'!M38+'Plan mensual'!M149+IF(parametros_manuales!$H$25="Todos",'Plan mensual'!M42+'Plan mensual'!M153,0)))*parametros_manuales!$I$25*parametros_manuales!$J$25</f>
        <v>3794.4262147575</v>
      </c>
      <c r="L89" s="9" t="n">
        <f aca="false">(parametros_manuales!$D$25*('Plan mensual'!N35+'Plan mensual'!N146+IF(parametros_manuales!$H$25="Todos",'Plan mensual'!N39+'Plan mensual'!N150,0))+parametros_manuales!$E$25*('Plan mensual'!N36+'Plan mensual'!N147+IF(parametros_manuales!$H$25="Todos",'Plan mensual'!N40+'Plan mensual'!N151,0))+parametros_manuales!$F$25*('Plan mensual'!N37+'Plan mensual'!N148+IF(parametros_manuales!$H$25="Todos",'Plan mensual'!N41+'Plan mensual'!N152,0))+parametros_manuales!$G$25*('Plan mensual'!N38+'Plan mensual'!N149+IF(parametros_manuales!$H$25="Todos",'Plan mensual'!N42+'Plan mensual'!N153,0)))*parametros_manuales!$I$25*parametros_manuales!$J$25</f>
        <v>3717.274144852</v>
      </c>
      <c r="M89" s="9" t="n">
        <f aca="false">(parametros_manuales!$D$25*('Plan mensual'!O35+'Plan mensual'!O146+IF(parametros_manuales!$H$25="Todos",'Plan mensual'!O39+'Plan mensual'!O150,0))+parametros_manuales!$E$25*('Plan mensual'!O36+'Plan mensual'!O147+IF(parametros_manuales!$H$25="Todos",'Plan mensual'!O40+'Plan mensual'!O151,0))+parametros_manuales!$F$25*('Plan mensual'!O37+'Plan mensual'!O148+IF(parametros_manuales!$H$25="Todos",'Plan mensual'!O41+'Plan mensual'!O152,0))+parametros_manuales!$G$25*('Plan mensual'!O38+'Plan mensual'!O149+IF(parametros_manuales!$H$25="Todos",'Plan mensual'!O42+'Plan mensual'!O153,0)))*parametros_manuales!$I$25*parametros_manuales!$J$25</f>
        <v>5916.777803801</v>
      </c>
      <c r="N89" s="9" t="n">
        <f aca="false">SUM(B89:M89)</f>
        <v>50592.3495301</v>
      </c>
      <c r="O89" s="9" t="n">
        <f aca="false">MAX(B89:M89)</f>
        <v>5916.777803801</v>
      </c>
      <c r="P89" s="44" t="n">
        <f aca="false">O89/(parametros_manuales!$B$7)</f>
        <v>39.4451853586733</v>
      </c>
      <c r="Q89" s="8" t="str">
        <f aca="false">IF(O89=0,"-",INDEX($B$82:$M$82,MATCH(O89,B89:M89,0)))</f>
        <v>Dic</v>
      </c>
    </row>
    <row r="90" customFormat="false" ht="14.25" hidden="false" customHeight="true" outlineLevel="0" collapsed="false">
      <c r="A90" s="8" t="str">
        <f aca="false">parametros_manuales!$B$26</f>
        <v>Cilindrado</v>
      </c>
      <c r="B90" s="9" t="n">
        <f aca="false">(parametros_manuales!$D$26*('Plan mensual'!D35+'Plan mensual'!D146+IF(parametros_manuales!$H$26="Todos",'Plan mensual'!D39+'Plan mensual'!D150,0))+parametros_manuales!$E$26*('Plan mensual'!D36+'Plan mensual'!D147+IF(parametros_manuales!$H$26="Todos",'Plan mensual'!D40+'Plan mensual'!D151,0))+parametros_manuales!$F$26*('Plan mensual'!D37+'Plan mensual'!D148+IF(parametros_manuales!$H$26="Todos",'Plan mensual'!D41+'Plan mensual'!D152,0))+parametros_manuales!$G$26*('Plan mensual'!D38+'Plan mensual'!D149+IF(parametros_manuales!$H$26="Todos",'Plan mensual'!D42+'Plan mensual'!D153,0)))*parametros_manuales!$I$26*parametros_manuales!$J$26</f>
        <v>1543.04139811</v>
      </c>
      <c r="C90" s="9" t="n">
        <f aca="false">(parametros_manuales!$D$26*('Plan mensual'!E35+'Plan mensual'!E146+IF(parametros_manuales!$H$26="Todos",'Plan mensual'!E39+'Plan mensual'!E150,0))+parametros_manuales!$E$26*('Plan mensual'!E36+'Plan mensual'!E147+IF(parametros_manuales!$H$26="Todos",'Plan mensual'!E40+'Plan mensual'!E151,0))+parametros_manuales!$F$26*('Plan mensual'!E37+'Plan mensual'!E148+IF(parametros_manuales!$H$26="Todos",'Plan mensual'!E41+'Plan mensual'!E152,0))+parametros_manuales!$G$26*('Plan mensual'!E38+'Plan mensual'!E149+IF(parametros_manuales!$H$26="Todos",'Plan mensual'!E42+'Plan mensual'!E153,0)))*parametros_manuales!$I$26*parametros_manuales!$J$26</f>
        <v>1234.433118488</v>
      </c>
      <c r="D90" s="9" t="n">
        <f aca="false">(parametros_manuales!$D$26*('Plan mensual'!F35+'Plan mensual'!F146+IF(parametros_manuales!$H$26="Todos",'Plan mensual'!F39+'Plan mensual'!F150,0))+parametros_manuales!$E$26*('Plan mensual'!F36+'Plan mensual'!F147+IF(parametros_manuales!$H$26="Todos",'Plan mensual'!F40+'Plan mensual'!F151,0))+parametros_manuales!$F$26*('Plan mensual'!F37+'Plan mensual'!F148+IF(parametros_manuales!$H$26="Todos",'Plan mensual'!F41+'Plan mensual'!F152,0))+parametros_manuales!$G$26*('Plan mensual'!F38+'Plan mensual'!F149+IF(parametros_manuales!$H$26="Todos",'Plan mensual'!F42+'Plan mensual'!F153,0)))*parametros_manuales!$I$26*parametros_manuales!$J$26</f>
        <v>1311.5851883935</v>
      </c>
      <c r="E90" s="9" t="n">
        <f aca="false">(parametros_manuales!$D$26*('Plan mensual'!G35+'Plan mensual'!G146+IF(parametros_manuales!$H$26="Todos",'Plan mensual'!G39+'Plan mensual'!G150,0))+parametros_manuales!$E$26*('Plan mensual'!G36+'Plan mensual'!G147+IF(parametros_manuales!$H$26="Todos",'Plan mensual'!G40+'Plan mensual'!G151,0))+parametros_manuales!$F$26*('Plan mensual'!G37+'Plan mensual'!G148+IF(parametros_manuales!$H$26="Todos",'Plan mensual'!G41+'Plan mensual'!G152,0))+parametros_manuales!$G$26*('Plan mensual'!G38+'Plan mensual'!G149+IF(parametros_manuales!$H$26="Todos",'Plan mensual'!G42+'Plan mensual'!G153,0)))*parametros_manuales!$I$26*parametros_manuales!$J$26</f>
        <v>1311.5851883935</v>
      </c>
      <c r="F90" s="9" t="n">
        <f aca="false">(parametros_manuales!$D$26*('Plan mensual'!H35+'Plan mensual'!H146+IF(parametros_manuales!$H$26="Todos",'Plan mensual'!H39+'Plan mensual'!H150,0))+parametros_manuales!$E$26*('Plan mensual'!H36+'Plan mensual'!H147+IF(parametros_manuales!$H$26="Todos",'Plan mensual'!H40+'Plan mensual'!H151,0))+parametros_manuales!$F$26*('Plan mensual'!H37+'Plan mensual'!H148+IF(parametros_manuales!$H$26="Todos",'Plan mensual'!H41+'Plan mensual'!H152,0))+parametros_manuales!$G$26*('Plan mensual'!H38+'Plan mensual'!H149+IF(parametros_manuales!$H$26="Todos",'Plan mensual'!H42+'Plan mensual'!H153,0)))*parametros_manuales!$I$26*parametros_manuales!$J$26</f>
        <v>1234.433118488</v>
      </c>
      <c r="G90" s="9" t="n">
        <f aca="false">(parametros_manuales!$D$26*('Plan mensual'!I35+'Plan mensual'!I146+IF(parametros_manuales!$H$26="Todos",'Plan mensual'!I39+'Plan mensual'!I150,0))+parametros_manuales!$E$26*('Plan mensual'!I36+'Plan mensual'!I147+IF(parametros_manuales!$H$26="Todos",'Plan mensual'!I40+'Plan mensual'!I151,0))+parametros_manuales!$F$26*('Plan mensual'!I37+'Plan mensual'!I148+IF(parametros_manuales!$H$26="Todos",'Plan mensual'!I41+'Plan mensual'!I152,0))+parametros_manuales!$G$26*('Plan mensual'!I38+'Plan mensual'!I149+IF(parametros_manuales!$H$26="Todos",'Plan mensual'!I42+'Plan mensual'!I153,0)))*parametros_manuales!$I$26*parametros_manuales!$J$26</f>
        <v>1157.2810485825</v>
      </c>
      <c r="H90" s="9" t="n">
        <f aca="false">(parametros_manuales!$D$26*('Plan mensual'!J35+'Plan mensual'!J146+IF(parametros_manuales!$H$26="Todos",'Plan mensual'!J39+'Plan mensual'!J150,0))+parametros_manuales!$E$26*('Plan mensual'!J36+'Plan mensual'!J147+IF(parametros_manuales!$H$26="Todos",'Plan mensual'!J40+'Plan mensual'!J151,0))+parametros_manuales!$F$26*('Plan mensual'!J37+'Plan mensual'!J148+IF(parametros_manuales!$H$26="Todos",'Plan mensual'!J41+'Plan mensual'!J152,0))+parametros_manuales!$G$26*('Plan mensual'!J38+'Plan mensual'!J149+IF(parametros_manuales!$H$26="Todos",'Plan mensual'!J42+'Plan mensual'!J153,0)))*parametros_manuales!$I$26*parametros_manuales!$J$26</f>
        <v>1234.433118488</v>
      </c>
      <c r="I90" s="9" t="n">
        <f aca="false">(parametros_manuales!$D$26*('Plan mensual'!K35+'Plan mensual'!K146+IF(parametros_manuales!$H$26="Todos",'Plan mensual'!K39+'Plan mensual'!K150,0))+parametros_manuales!$E$26*('Plan mensual'!K36+'Plan mensual'!K147+IF(parametros_manuales!$H$26="Todos",'Plan mensual'!K40+'Plan mensual'!K151,0))+parametros_manuales!$F$26*('Plan mensual'!K37+'Plan mensual'!K148+IF(parametros_manuales!$H$26="Todos",'Plan mensual'!K41+'Plan mensual'!K152,0))+parametros_manuales!$G$26*('Plan mensual'!K38+'Plan mensual'!K149+IF(parametros_manuales!$H$26="Todos",'Plan mensual'!K42+'Plan mensual'!K153,0)))*parametros_manuales!$I$26*parametros_manuales!$J$26</f>
        <v>1234.433118488</v>
      </c>
      <c r="J90" s="9" t="n">
        <f aca="false">(parametros_manuales!$D$26*('Plan mensual'!L35+'Plan mensual'!L146+IF(parametros_manuales!$H$26="Todos",'Plan mensual'!L39+'Plan mensual'!L150,0))+parametros_manuales!$E$26*('Plan mensual'!L36+'Plan mensual'!L147+IF(parametros_manuales!$H$26="Todos",'Plan mensual'!L40+'Plan mensual'!L151,0))+parametros_manuales!$F$26*('Plan mensual'!L37+'Plan mensual'!L148+IF(parametros_manuales!$H$26="Todos",'Plan mensual'!L41+'Plan mensual'!L152,0))+parametros_manuales!$G$26*('Plan mensual'!L38+'Plan mensual'!L149+IF(parametros_manuales!$H$26="Todos",'Plan mensual'!L42+'Plan mensual'!L153,0)))*parametros_manuales!$I$26*parametros_manuales!$J$26</f>
        <v>1234.433118488</v>
      </c>
      <c r="K90" s="9" t="n">
        <f aca="false">(parametros_manuales!$D$26*('Plan mensual'!M35+'Plan mensual'!M146+IF(parametros_manuales!$H$26="Todos",'Plan mensual'!M39+'Plan mensual'!M150,0))+parametros_manuales!$E$26*('Plan mensual'!M36+'Plan mensual'!M147+IF(parametros_manuales!$H$26="Todos",'Plan mensual'!M40+'Plan mensual'!M151,0))+parametros_manuales!$F$26*('Plan mensual'!M37+'Plan mensual'!M148+IF(parametros_manuales!$H$26="Todos",'Plan mensual'!M41+'Plan mensual'!M152,0))+parametros_manuales!$G$26*('Plan mensual'!M38+'Plan mensual'!M149+IF(parametros_manuales!$H$26="Todos",'Plan mensual'!M42+'Plan mensual'!M153,0)))*parametros_manuales!$I$26*parametros_manuales!$J$26</f>
        <v>1157.2810485825</v>
      </c>
      <c r="L90" s="9" t="n">
        <f aca="false">(parametros_manuales!$D$26*('Plan mensual'!N35+'Plan mensual'!N146+IF(parametros_manuales!$H$26="Todos",'Plan mensual'!N39+'Plan mensual'!N150,0))+parametros_manuales!$E$26*('Plan mensual'!N36+'Plan mensual'!N147+IF(parametros_manuales!$H$26="Todos",'Plan mensual'!N40+'Plan mensual'!N151,0))+parametros_manuales!$F$26*('Plan mensual'!N37+'Plan mensual'!N148+IF(parametros_manuales!$H$26="Todos",'Plan mensual'!N41+'Plan mensual'!N152,0))+parametros_manuales!$G$26*('Plan mensual'!N38+'Plan mensual'!N149+IF(parametros_manuales!$H$26="Todos",'Plan mensual'!N42+'Plan mensual'!N153,0)))*parametros_manuales!$I$26*parametros_manuales!$J$26</f>
        <v>1080.128978677</v>
      </c>
      <c r="M90" s="9" t="n">
        <f aca="false">(parametros_manuales!$D$26*('Plan mensual'!O35+'Plan mensual'!O146+IF(parametros_manuales!$H$26="Todos",'Plan mensual'!O39+'Plan mensual'!O150,0))+parametros_manuales!$E$26*('Plan mensual'!O36+'Plan mensual'!O147+IF(parametros_manuales!$H$26="Todos",'Plan mensual'!O40+'Plan mensual'!O151,0))+parametros_manuales!$F$26*('Plan mensual'!O37+'Plan mensual'!O148+IF(parametros_manuales!$H$26="Todos",'Plan mensual'!O41+'Plan mensual'!O152,0))+parametros_manuales!$G$26*('Plan mensual'!O38+'Plan mensual'!O149+IF(parametros_manuales!$H$26="Todos",'Plan mensual'!O42+'Plan mensual'!O153,0)))*parametros_manuales!$I$26*parametros_manuales!$J$26</f>
        <v>1697.345537921</v>
      </c>
      <c r="N90" s="9" t="n">
        <f aca="false">SUM(B90:M90)</f>
        <v>15430.4139811</v>
      </c>
      <c r="O90" s="9" t="n">
        <f aca="false">MAX(B90:M90)</f>
        <v>1697.345537921</v>
      </c>
      <c r="P90" s="44" t="n">
        <f aca="false">O90/(parametros_manuales!$B$7)</f>
        <v>11.3156369194733</v>
      </c>
      <c r="Q90" s="8" t="str">
        <f aca="false">IF(O90=0,"-",INDEX($B$82:$M$82,MATCH(O90,B90:M90,0)))</f>
        <v>Dic</v>
      </c>
    </row>
    <row r="91" customFormat="false" ht="14.25" hidden="false" customHeight="true" outlineLevel="0" collapsed="false">
      <c r="A91" s="8" t="str">
        <f aca="false">parametros_manuales!$B$27</f>
        <v>Soldadura longitudinal</v>
      </c>
      <c r="B91" s="9" t="n">
        <f aca="false">(parametros_manuales!$D$27*('Plan mensual'!D35+'Plan mensual'!D146+IF(parametros_manuales!$H$27="Todos",'Plan mensual'!D39+'Plan mensual'!D150,0))+parametros_manuales!$E$27*('Plan mensual'!D36+'Plan mensual'!D147+IF(parametros_manuales!$H$27="Todos",'Plan mensual'!D40+'Plan mensual'!D151,0))+parametros_manuales!$F$27*('Plan mensual'!D37+'Plan mensual'!D148+IF(parametros_manuales!$H$27="Todos",'Plan mensual'!D41+'Plan mensual'!D152,0))+parametros_manuales!$G$27*('Plan mensual'!D38+'Plan mensual'!D149+IF(parametros_manuales!$H$27="Todos",'Plan mensual'!D42+'Plan mensual'!D153,0)))*parametros_manuales!$I$27*parametros_manuales!$J$27</f>
        <v>1543.04139811</v>
      </c>
      <c r="C91" s="9" t="n">
        <f aca="false">(parametros_manuales!$D$27*('Plan mensual'!E35+'Plan mensual'!E146+IF(parametros_manuales!$H$27="Todos",'Plan mensual'!E39+'Plan mensual'!E150,0))+parametros_manuales!$E$27*('Plan mensual'!E36+'Plan mensual'!E147+IF(parametros_manuales!$H$27="Todos",'Plan mensual'!E40+'Plan mensual'!E151,0))+parametros_manuales!$F$27*('Plan mensual'!E37+'Plan mensual'!E148+IF(parametros_manuales!$H$27="Todos",'Plan mensual'!E41+'Plan mensual'!E152,0))+parametros_manuales!$G$27*('Plan mensual'!E38+'Plan mensual'!E149+IF(parametros_manuales!$H$27="Todos",'Plan mensual'!E42+'Plan mensual'!E153,0)))*parametros_manuales!$I$27*parametros_manuales!$J$27</f>
        <v>1234.433118488</v>
      </c>
      <c r="D91" s="9" t="n">
        <f aca="false">(parametros_manuales!$D$27*('Plan mensual'!F35+'Plan mensual'!F146+IF(parametros_manuales!$H$27="Todos",'Plan mensual'!F39+'Plan mensual'!F150,0))+parametros_manuales!$E$27*('Plan mensual'!F36+'Plan mensual'!F147+IF(parametros_manuales!$H$27="Todos",'Plan mensual'!F40+'Plan mensual'!F151,0))+parametros_manuales!$F$27*('Plan mensual'!F37+'Plan mensual'!F148+IF(parametros_manuales!$H$27="Todos",'Plan mensual'!F41+'Plan mensual'!F152,0))+parametros_manuales!$G$27*('Plan mensual'!F38+'Plan mensual'!F149+IF(parametros_manuales!$H$27="Todos",'Plan mensual'!F42+'Plan mensual'!F153,0)))*parametros_manuales!$I$27*parametros_manuales!$J$27</f>
        <v>1311.5851883935</v>
      </c>
      <c r="E91" s="9" t="n">
        <f aca="false">(parametros_manuales!$D$27*('Plan mensual'!G35+'Plan mensual'!G146+IF(parametros_manuales!$H$27="Todos",'Plan mensual'!G39+'Plan mensual'!G150,0))+parametros_manuales!$E$27*('Plan mensual'!G36+'Plan mensual'!G147+IF(parametros_manuales!$H$27="Todos",'Plan mensual'!G40+'Plan mensual'!G151,0))+parametros_manuales!$F$27*('Plan mensual'!G37+'Plan mensual'!G148+IF(parametros_manuales!$H$27="Todos",'Plan mensual'!G41+'Plan mensual'!G152,0))+parametros_manuales!$G$27*('Plan mensual'!G38+'Plan mensual'!G149+IF(parametros_manuales!$H$27="Todos",'Plan mensual'!G42+'Plan mensual'!G153,0)))*parametros_manuales!$I$27*parametros_manuales!$J$27</f>
        <v>1311.5851883935</v>
      </c>
      <c r="F91" s="9" t="n">
        <f aca="false">(parametros_manuales!$D$27*('Plan mensual'!H35+'Plan mensual'!H146+IF(parametros_manuales!$H$27="Todos",'Plan mensual'!H39+'Plan mensual'!H150,0))+parametros_manuales!$E$27*('Plan mensual'!H36+'Plan mensual'!H147+IF(parametros_manuales!$H$27="Todos",'Plan mensual'!H40+'Plan mensual'!H151,0))+parametros_manuales!$F$27*('Plan mensual'!H37+'Plan mensual'!H148+IF(parametros_manuales!$H$27="Todos",'Plan mensual'!H41+'Plan mensual'!H152,0))+parametros_manuales!$G$27*('Plan mensual'!H38+'Plan mensual'!H149+IF(parametros_manuales!$H$27="Todos",'Plan mensual'!H42+'Plan mensual'!H153,0)))*parametros_manuales!$I$27*parametros_manuales!$J$27</f>
        <v>1234.433118488</v>
      </c>
      <c r="G91" s="9" t="n">
        <f aca="false">(parametros_manuales!$D$27*('Plan mensual'!I35+'Plan mensual'!I146+IF(parametros_manuales!$H$27="Todos",'Plan mensual'!I39+'Plan mensual'!I150,0))+parametros_manuales!$E$27*('Plan mensual'!I36+'Plan mensual'!I147+IF(parametros_manuales!$H$27="Todos",'Plan mensual'!I40+'Plan mensual'!I151,0))+parametros_manuales!$F$27*('Plan mensual'!I37+'Plan mensual'!I148+IF(parametros_manuales!$H$27="Todos",'Plan mensual'!I41+'Plan mensual'!I152,0))+parametros_manuales!$G$27*('Plan mensual'!I38+'Plan mensual'!I149+IF(parametros_manuales!$H$27="Todos",'Plan mensual'!I42+'Plan mensual'!I153,0)))*parametros_manuales!$I$27*parametros_manuales!$J$27</f>
        <v>1157.2810485825</v>
      </c>
      <c r="H91" s="9" t="n">
        <f aca="false">(parametros_manuales!$D$27*('Plan mensual'!J35+'Plan mensual'!J146+IF(parametros_manuales!$H$27="Todos",'Plan mensual'!J39+'Plan mensual'!J150,0))+parametros_manuales!$E$27*('Plan mensual'!J36+'Plan mensual'!J147+IF(parametros_manuales!$H$27="Todos",'Plan mensual'!J40+'Plan mensual'!J151,0))+parametros_manuales!$F$27*('Plan mensual'!J37+'Plan mensual'!J148+IF(parametros_manuales!$H$27="Todos",'Plan mensual'!J41+'Plan mensual'!J152,0))+parametros_manuales!$G$27*('Plan mensual'!J38+'Plan mensual'!J149+IF(parametros_manuales!$H$27="Todos",'Plan mensual'!J42+'Plan mensual'!J153,0)))*parametros_manuales!$I$27*parametros_manuales!$J$27</f>
        <v>1234.433118488</v>
      </c>
      <c r="I91" s="9" t="n">
        <f aca="false">(parametros_manuales!$D$27*('Plan mensual'!K35+'Plan mensual'!K146+IF(parametros_manuales!$H$27="Todos",'Plan mensual'!K39+'Plan mensual'!K150,0))+parametros_manuales!$E$27*('Plan mensual'!K36+'Plan mensual'!K147+IF(parametros_manuales!$H$27="Todos",'Plan mensual'!K40+'Plan mensual'!K151,0))+parametros_manuales!$F$27*('Plan mensual'!K37+'Plan mensual'!K148+IF(parametros_manuales!$H$27="Todos",'Plan mensual'!K41+'Plan mensual'!K152,0))+parametros_manuales!$G$27*('Plan mensual'!K38+'Plan mensual'!K149+IF(parametros_manuales!$H$27="Todos",'Plan mensual'!K42+'Plan mensual'!K153,0)))*parametros_manuales!$I$27*parametros_manuales!$J$27</f>
        <v>1234.433118488</v>
      </c>
      <c r="J91" s="9" t="n">
        <f aca="false">(parametros_manuales!$D$27*('Plan mensual'!L35+'Plan mensual'!L146+IF(parametros_manuales!$H$27="Todos",'Plan mensual'!L39+'Plan mensual'!L150,0))+parametros_manuales!$E$27*('Plan mensual'!L36+'Plan mensual'!L147+IF(parametros_manuales!$H$27="Todos",'Plan mensual'!L40+'Plan mensual'!L151,0))+parametros_manuales!$F$27*('Plan mensual'!L37+'Plan mensual'!L148+IF(parametros_manuales!$H$27="Todos",'Plan mensual'!L41+'Plan mensual'!L152,0))+parametros_manuales!$G$27*('Plan mensual'!L38+'Plan mensual'!L149+IF(parametros_manuales!$H$27="Todos",'Plan mensual'!L42+'Plan mensual'!L153,0)))*parametros_manuales!$I$27*parametros_manuales!$J$27</f>
        <v>1234.433118488</v>
      </c>
      <c r="K91" s="9" t="n">
        <f aca="false">(parametros_manuales!$D$27*('Plan mensual'!M35+'Plan mensual'!M146+IF(parametros_manuales!$H$27="Todos",'Plan mensual'!M39+'Plan mensual'!M150,0))+parametros_manuales!$E$27*('Plan mensual'!M36+'Plan mensual'!M147+IF(parametros_manuales!$H$27="Todos",'Plan mensual'!M40+'Plan mensual'!M151,0))+parametros_manuales!$F$27*('Plan mensual'!M37+'Plan mensual'!M148+IF(parametros_manuales!$H$27="Todos",'Plan mensual'!M41+'Plan mensual'!M152,0))+parametros_manuales!$G$27*('Plan mensual'!M38+'Plan mensual'!M149+IF(parametros_manuales!$H$27="Todos",'Plan mensual'!M42+'Plan mensual'!M153,0)))*parametros_manuales!$I$27*parametros_manuales!$J$27</f>
        <v>1157.2810485825</v>
      </c>
      <c r="L91" s="9" t="n">
        <f aca="false">(parametros_manuales!$D$27*('Plan mensual'!N35+'Plan mensual'!N146+IF(parametros_manuales!$H$27="Todos",'Plan mensual'!N39+'Plan mensual'!N150,0))+parametros_manuales!$E$27*('Plan mensual'!N36+'Plan mensual'!N147+IF(parametros_manuales!$H$27="Todos",'Plan mensual'!N40+'Plan mensual'!N151,0))+parametros_manuales!$F$27*('Plan mensual'!N37+'Plan mensual'!N148+IF(parametros_manuales!$H$27="Todos",'Plan mensual'!N41+'Plan mensual'!N152,0))+parametros_manuales!$G$27*('Plan mensual'!N38+'Plan mensual'!N149+IF(parametros_manuales!$H$27="Todos",'Plan mensual'!N42+'Plan mensual'!N153,0)))*parametros_manuales!$I$27*parametros_manuales!$J$27</f>
        <v>1080.128978677</v>
      </c>
      <c r="M91" s="9" t="n">
        <f aca="false">(parametros_manuales!$D$27*('Plan mensual'!O35+'Plan mensual'!O146+IF(parametros_manuales!$H$27="Todos",'Plan mensual'!O39+'Plan mensual'!O150,0))+parametros_manuales!$E$27*('Plan mensual'!O36+'Plan mensual'!O147+IF(parametros_manuales!$H$27="Todos",'Plan mensual'!O40+'Plan mensual'!O151,0))+parametros_manuales!$F$27*('Plan mensual'!O37+'Plan mensual'!O148+IF(parametros_manuales!$H$27="Todos",'Plan mensual'!O41+'Plan mensual'!O152,0))+parametros_manuales!$G$27*('Plan mensual'!O38+'Plan mensual'!O149+IF(parametros_manuales!$H$27="Todos",'Plan mensual'!O42+'Plan mensual'!O153,0)))*parametros_manuales!$I$27*parametros_manuales!$J$27</f>
        <v>1697.345537921</v>
      </c>
      <c r="N91" s="9" t="n">
        <f aca="false">SUM(B91:M91)</f>
        <v>15430.4139811</v>
      </c>
      <c r="O91" s="9" t="n">
        <f aca="false">MAX(B91:M91)</f>
        <v>1697.345537921</v>
      </c>
      <c r="P91" s="44" t="n">
        <f aca="false">O91/(parametros_manuales!$B$7)</f>
        <v>11.3156369194733</v>
      </c>
      <c r="Q91" s="8" t="str">
        <f aca="false">IF(O91=0,"-",INDEX($B$82:$M$82,MATCH(O91,B91:M91,0)))</f>
        <v>Dic</v>
      </c>
    </row>
    <row r="92" customFormat="false" ht="14.25" hidden="false" customHeight="true" outlineLevel="0" collapsed="false">
      <c r="A92" s="8" t="str">
        <f aca="false">parametros_manuales!$B$28</f>
        <v>Encastre de fondo</v>
      </c>
      <c r="B92" s="9" t="n">
        <f aca="false">(parametros_manuales!$D$28*('Plan mensual'!D35+'Plan mensual'!D146+IF(parametros_manuales!$H$28="Todos",'Plan mensual'!D39+'Plan mensual'!D150,0))+parametros_manuales!$E$28*('Plan mensual'!D36+'Plan mensual'!D147+IF(parametros_manuales!$H$28="Todos",'Plan mensual'!D40+'Plan mensual'!D151,0))+parametros_manuales!$F$28*('Plan mensual'!D37+'Plan mensual'!D148+IF(parametros_manuales!$H$28="Todos",'Plan mensual'!D41+'Plan mensual'!D152,0))+parametros_manuales!$G$28*('Plan mensual'!D38+'Plan mensual'!D149+IF(parametros_manuales!$H$28="Todos",'Plan mensual'!D42+'Plan mensual'!D153,0)))*parametros_manuales!$I$28*parametros_manuales!$J$28</f>
        <v>5762.47366399</v>
      </c>
      <c r="C92" s="9" t="n">
        <f aca="false">(parametros_manuales!$D$28*('Plan mensual'!E35+'Plan mensual'!E146+IF(parametros_manuales!$H$28="Todos",'Plan mensual'!E39+'Plan mensual'!E150,0))+parametros_manuales!$E$28*('Plan mensual'!E36+'Plan mensual'!E147+IF(parametros_manuales!$H$28="Todos",'Plan mensual'!E40+'Plan mensual'!E151,0))+parametros_manuales!$F$28*('Plan mensual'!E37+'Plan mensual'!E148+IF(parametros_manuales!$H$28="Todos",'Plan mensual'!E41+'Plan mensual'!E152,0))+parametros_manuales!$G$28*('Plan mensual'!E38+'Plan mensual'!E149+IF(parametros_manuales!$H$28="Todos",'Plan mensual'!E42+'Plan mensual'!E153,0)))*parametros_manuales!$I$28*parametros_manuales!$J$28</f>
        <v>4399.007317898</v>
      </c>
      <c r="D92" s="9" t="n">
        <f aca="false">(parametros_manuales!$D$28*('Plan mensual'!F35+'Plan mensual'!F146+IF(parametros_manuales!$H$28="Todos",'Plan mensual'!F39+'Plan mensual'!F150,0))+parametros_manuales!$E$28*('Plan mensual'!F36+'Plan mensual'!F147+IF(parametros_manuales!$H$28="Todos",'Plan mensual'!F40+'Plan mensual'!F151,0))+parametros_manuales!$F$28*('Plan mensual'!F37+'Plan mensual'!F148+IF(parametros_manuales!$H$28="Todos",'Plan mensual'!F41+'Plan mensual'!F152,0))+parametros_manuales!$G$28*('Plan mensual'!F38+'Plan mensual'!F149+IF(parametros_manuales!$H$28="Todos",'Plan mensual'!F42+'Plan mensual'!F153,0)))*parametros_manuales!$I$28*parametros_manuales!$J$28</f>
        <v>4124.5400323135</v>
      </c>
      <c r="E92" s="9" t="n">
        <f aca="false">(parametros_manuales!$D$28*('Plan mensual'!G35+'Plan mensual'!G146+IF(parametros_manuales!$H$28="Todos",'Plan mensual'!G39+'Plan mensual'!G150,0))+parametros_manuales!$E$28*('Plan mensual'!G36+'Plan mensual'!G147+IF(parametros_manuales!$H$28="Todos",'Plan mensual'!G40+'Plan mensual'!G151,0))+parametros_manuales!$F$28*('Plan mensual'!G37+'Plan mensual'!G148+IF(parametros_manuales!$H$28="Todos",'Plan mensual'!G41+'Plan mensual'!G152,0))+parametros_manuales!$G$28*('Plan mensual'!G38+'Plan mensual'!G149+IF(parametros_manuales!$H$28="Todos",'Plan mensual'!G42+'Plan mensual'!G153,0)))*parametros_manuales!$I$28*parametros_manuales!$J$28</f>
        <v>3948.7303545685</v>
      </c>
      <c r="F92" s="9" t="n">
        <f aca="false">(parametros_manuales!$D$28*('Plan mensual'!H35+'Plan mensual'!H146+IF(parametros_manuales!$H$28="Todos",'Plan mensual'!H39+'Plan mensual'!H150,0))+parametros_manuales!$E$28*('Plan mensual'!H36+'Plan mensual'!H147+IF(parametros_manuales!$H$28="Todos",'Plan mensual'!H40+'Plan mensual'!H151,0))+parametros_manuales!$F$28*('Plan mensual'!H37+'Plan mensual'!H148+IF(parametros_manuales!$H$28="Todos",'Plan mensual'!H41+'Plan mensual'!H152,0))+parametros_manuales!$G$28*('Plan mensual'!H38+'Plan mensual'!H149+IF(parametros_manuales!$H$28="Todos",'Plan mensual'!H42+'Plan mensual'!H153,0)))*parametros_manuales!$I$28*parametros_manuales!$J$28</f>
        <v>3695.768606918</v>
      </c>
      <c r="G92" s="9" t="n">
        <f aca="false">(parametros_manuales!$D$28*('Plan mensual'!I35+'Plan mensual'!I146+IF(parametros_manuales!$H$28="Todos",'Plan mensual'!I39+'Plan mensual'!I150,0))+parametros_manuales!$E$28*('Plan mensual'!I36+'Plan mensual'!I147+IF(parametros_manuales!$H$28="Todos",'Plan mensual'!I40+'Plan mensual'!I151,0))+parametros_manuales!$F$28*('Plan mensual'!I37+'Plan mensual'!I148+IF(parametros_manuales!$H$28="Todos",'Plan mensual'!I41+'Plan mensual'!I152,0))+parametros_manuales!$G$28*('Plan mensual'!I38+'Plan mensual'!I149+IF(parametros_manuales!$H$28="Todos",'Plan mensual'!I42+'Plan mensual'!I153,0)))*parametros_manuales!$I$28*parametros_manuales!$J$28</f>
        <v>3618.6165370125</v>
      </c>
      <c r="H92" s="9" t="n">
        <f aca="false">(parametros_manuales!$D$28*('Plan mensual'!J35+'Plan mensual'!J146+IF(parametros_manuales!$H$28="Todos",'Plan mensual'!J39+'Plan mensual'!J150,0))+parametros_manuales!$E$28*('Plan mensual'!J36+'Plan mensual'!J147+IF(parametros_manuales!$H$28="Todos",'Plan mensual'!J40+'Plan mensual'!J151,0))+parametros_manuales!$F$28*('Plan mensual'!J37+'Plan mensual'!J148+IF(parametros_manuales!$H$28="Todos",'Plan mensual'!J41+'Plan mensual'!J152,0))+parametros_manuales!$G$28*('Plan mensual'!J38+'Plan mensual'!J149+IF(parametros_manuales!$H$28="Todos",'Plan mensual'!J42+'Plan mensual'!J153,0)))*parametros_manuales!$I$28*parametros_manuales!$J$28</f>
        <v>3871.578284663</v>
      </c>
      <c r="I92" s="9" t="n">
        <f aca="false">(parametros_manuales!$D$28*('Plan mensual'!K35+'Plan mensual'!K146+IF(parametros_manuales!$H$28="Todos",'Plan mensual'!K39+'Plan mensual'!K150,0))+parametros_manuales!$E$28*('Plan mensual'!K36+'Plan mensual'!K147+IF(parametros_manuales!$H$28="Todos",'Plan mensual'!K40+'Plan mensual'!K151,0))+parametros_manuales!$F$28*('Plan mensual'!K37+'Plan mensual'!K148+IF(parametros_manuales!$H$28="Todos",'Plan mensual'!K41+'Plan mensual'!K152,0))+parametros_manuales!$G$28*('Plan mensual'!K38+'Plan mensual'!K149+IF(parametros_manuales!$H$28="Todos",'Plan mensual'!K42+'Plan mensual'!K153,0)))*parametros_manuales!$I$28*parametros_manuales!$J$28</f>
        <v>3871.578284663</v>
      </c>
      <c r="J92" s="9" t="n">
        <f aca="false">(parametros_manuales!$D$28*('Plan mensual'!L35+'Plan mensual'!L146+IF(parametros_manuales!$H$28="Todos",'Plan mensual'!L39+'Plan mensual'!L150,0))+parametros_manuales!$E$28*('Plan mensual'!L36+'Plan mensual'!L147+IF(parametros_manuales!$H$28="Todos",'Plan mensual'!L40+'Plan mensual'!L151,0))+parametros_manuales!$F$28*('Plan mensual'!L37+'Plan mensual'!L148+IF(parametros_manuales!$H$28="Todos",'Plan mensual'!L41+'Plan mensual'!L152,0))+parametros_manuales!$G$28*('Plan mensual'!L38+'Plan mensual'!L149+IF(parametros_manuales!$H$28="Todos",'Plan mensual'!L42+'Plan mensual'!L153,0)))*parametros_manuales!$I$28*parametros_manuales!$J$28</f>
        <v>3871.578284663</v>
      </c>
      <c r="K92" s="9" t="n">
        <f aca="false">(parametros_manuales!$D$28*('Plan mensual'!M35+'Plan mensual'!M146+IF(parametros_manuales!$H$28="Todos",'Plan mensual'!M39+'Plan mensual'!M150,0))+parametros_manuales!$E$28*('Plan mensual'!M36+'Plan mensual'!M147+IF(parametros_manuales!$H$28="Todos",'Plan mensual'!M40+'Plan mensual'!M151,0))+parametros_manuales!$F$28*('Plan mensual'!M37+'Plan mensual'!M148+IF(parametros_manuales!$H$28="Todos",'Plan mensual'!M41+'Plan mensual'!M152,0))+parametros_manuales!$G$28*('Plan mensual'!M38+'Plan mensual'!M149+IF(parametros_manuales!$H$28="Todos",'Plan mensual'!M42+'Plan mensual'!M153,0)))*parametros_manuales!$I$28*parametros_manuales!$J$28</f>
        <v>3794.4262147575</v>
      </c>
      <c r="L92" s="9" t="n">
        <f aca="false">(parametros_manuales!$D$28*('Plan mensual'!N35+'Plan mensual'!N146+IF(parametros_manuales!$H$28="Todos",'Plan mensual'!N39+'Plan mensual'!N150,0))+parametros_manuales!$E$28*('Plan mensual'!N36+'Plan mensual'!N147+IF(parametros_manuales!$H$28="Todos",'Plan mensual'!N40+'Plan mensual'!N151,0))+parametros_manuales!$F$28*('Plan mensual'!N37+'Plan mensual'!N148+IF(parametros_manuales!$H$28="Todos",'Plan mensual'!N41+'Plan mensual'!N152,0))+parametros_manuales!$G$28*('Plan mensual'!N38+'Plan mensual'!N149+IF(parametros_manuales!$H$28="Todos",'Plan mensual'!N42+'Plan mensual'!N153,0)))*parametros_manuales!$I$28*parametros_manuales!$J$28</f>
        <v>3717.274144852</v>
      </c>
      <c r="M92" s="9" t="n">
        <f aca="false">(parametros_manuales!$D$28*('Plan mensual'!O35+'Plan mensual'!O146+IF(parametros_manuales!$H$28="Todos",'Plan mensual'!O39+'Plan mensual'!O150,0))+parametros_manuales!$E$28*('Plan mensual'!O36+'Plan mensual'!O147+IF(parametros_manuales!$H$28="Todos",'Plan mensual'!O40+'Plan mensual'!O151,0))+parametros_manuales!$F$28*('Plan mensual'!O37+'Plan mensual'!O148+IF(parametros_manuales!$H$28="Todos",'Plan mensual'!O41+'Plan mensual'!O152,0))+parametros_manuales!$G$28*('Plan mensual'!O38+'Plan mensual'!O149+IF(parametros_manuales!$H$28="Todos",'Plan mensual'!O42+'Plan mensual'!O153,0)))*parametros_manuales!$I$28*parametros_manuales!$J$28</f>
        <v>5916.777803801</v>
      </c>
      <c r="N92" s="9" t="n">
        <f aca="false">SUM(B92:M92)</f>
        <v>50592.3495301</v>
      </c>
      <c r="O92" s="9" t="n">
        <f aca="false">MAX(B92:M92)</f>
        <v>5916.777803801</v>
      </c>
      <c r="P92" s="44" t="n">
        <f aca="false">O92/(parametros_manuales!$B$7)</f>
        <v>39.4451853586733</v>
      </c>
      <c r="Q92" s="8" t="str">
        <f aca="false">IF(O92=0,"-",INDEX($B$82:$M$82,MATCH(O92,B92:M92,0)))</f>
        <v>Dic</v>
      </c>
    </row>
    <row r="93" customFormat="false" ht="14.25" hidden="false" customHeight="true" outlineLevel="0" collapsed="false">
      <c r="A93" s="8" t="str">
        <f aca="false">parametros_manuales!$B$29</f>
        <v>Bordoneado</v>
      </c>
      <c r="B93" s="9" t="n">
        <f aca="false">(parametros_manuales!$D$29*('Plan mensual'!D35+'Plan mensual'!D146+IF(parametros_manuales!$H$29="Todos",'Plan mensual'!D39+'Plan mensual'!D150,0))+parametros_manuales!$E$29*('Plan mensual'!D36+'Plan mensual'!D147+IF(parametros_manuales!$H$29="Todos",'Plan mensual'!D40+'Plan mensual'!D151,0))+parametros_manuales!$F$29*('Plan mensual'!D37+'Plan mensual'!D148+IF(parametros_manuales!$H$29="Todos",'Plan mensual'!D41+'Plan mensual'!D152,0))+parametros_manuales!$G$29*('Plan mensual'!D38+'Plan mensual'!D149+IF(parametros_manuales!$H$29="Todos",'Plan mensual'!D42+'Plan mensual'!D153,0)))*parametros_manuales!$I$29*parametros_manuales!$J$29</f>
        <v>5762.47366399</v>
      </c>
      <c r="C93" s="9" t="n">
        <f aca="false">(parametros_manuales!$D$29*('Plan mensual'!E35+'Plan mensual'!E146+IF(parametros_manuales!$H$29="Todos",'Plan mensual'!E39+'Plan mensual'!E150,0))+parametros_manuales!$E$29*('Plan mensual'!E36+'Plan mensual'!E147+IF(parametros_manuales!$H$29="Todos",'Plan mensual'!E40+'Plan mensual'!E151,0))+parametros_manuales!$F$29*('Plan mensual'!E37+'Plan mensual'!E148+IF(parametros_manuales!$H$29="Todos",'Plan mensual'!E41+'Plan mensual'!E152,0))+parametros_manuales!$G$29*('Plan mensual'!E38+'Plan mensual'!E149+IF(parametros_manuales!$H$29="Todos",'Plan mensual'!E42+'Plan mensual'!E153,0)))*parametros_manuales!$I$29*parametros_manuales!$J$29</f>
        <v>4399.007317898</v>
      </c>
      <c r="D93" s="9" t="n">
        <f aca="false">(parametros_manuales!$D$29*('Plan mensual'!F35+'Plan mensual'!F146+IF(parametros_manuales!$H$29="Todos",'Plan mensual'!F39+'Plan mensual'!F150,0))+parametros_manuales!$E$29*('Plan mensual'!F36+'Plan mensual'!F147+IF(parametros_manuales!$H$29="Todos",'Plan mensual'!F40+'Plan mensual'!F151,0))+parametros_manuales!$F$29*('Plan mensual'!F37+'Plan mensual'!F148+IF(parametros_manuales!$H$29="Todos",'Plan mensual'!F41+'Plan mensual'!F152,0))+parametros_manuales!$G$29*('Plan mensual'!F38+'Plan mensual'!F149+IF(parametros_manuales!$H$29="Todos",'Plan mensual'!F42+'Plan mensual'!F153,0)))*parametros_manuales!$I$29*parametros_manuales!$J$29</f>
        <v>4124.5400323135</v>
      </c>
      <c r="E93" s="9" t="n">
        <f aca="false">(parametros_manuales!$D$29*('Plan mensual'!G35+'Plan mensual'!G146+IF(parametros_manuales!$H$29="Todos",'Plan mensual'!G39+'Plan mensual'!G150,0))+parametros_manuales!$E$29*('Plan mensual'!G36+'Plan mensual'!G147+IF(parametros_manuales!$H$29="Todos",'Plan mensual'!G40+'Plan mensual'!G151,0))+parametros_manuales!$F$29*('Plan mensual'!G37+'Plan mensual'!G148+IF(parametros_manuales!$H$29="Todos",'Plan mensual'!G41+'Plan mensual'!G152,0))+parametros_manuales!$G$29*('Plan mensual'!G38+'Plan mensual'!G149+IF(parametros_manuales!$H$29="Todos",'Plan mensual'!G42+'Plan mensual'!G153,0)))*parametros_manuales!$I$29*parametros_manuales!$J$29</f>
        <v>3948.7303545685</v>
      </c>
      <c r="F93" s="9" t="n">
        <f aca="false">(parametros_manuales!$D$29*('Plan mensual'!H35+'Plan mensual'!H146+IF(parametros_manuales!$H$29="Todos",'Plan mensual'!H39+'Plan mensual'!H150,0))+parametros_manuales!$E$29*('Plan mensual'!H36+'Plan mensual'!H147+IF(parametros_manuales!$H$29="Todos",'Plan mensual'!H40+'Plan mensual'!H151,0))+parametros_manuales!$F$29*('Plan mensual'!H37+'Plan mensual'!H148+IF(parametros_manuales!$H$29="Todos",'Plan mensual'!H41+'Plan mensual'!H152,0))+parametros_manuales!$G$29*('Plan mensual'!H38+'Plan mensual'!H149+IF(parametros_manuales!$H$29="Todos",'Plan mensual'!H42+'Plan mensual'!H153,0)))*parametros_manuales!$I$29*parametros_manuales!$J$29</f>
        <v>3695.768606918</v>
      </c>
      <c r="G93" s="9" t="n">
        <f aca="false">(parametros_manuales!$D$29*('Plan mensual'!I35+'Plan mensual'!I146+IF(parametros_manuales!$H$29="Todos",'Plan mensual'!I39+'Plan mensual'!I150,0))+parametros_manuales!$E$29*('Plan mensual'!I36+'Plan mensual'!I147+IF(parametros_manuales!$H$29="Todos",'Plan mensual'!I40+'Plan mensual'!I151,0))+parametros_manuales!$F$29*('Plan mensual'!I37+'Plan mensual'!I148+IF(parametros_manuales!$H$29="Todos",'Plan mensual'!I41+'Plan mensual'!I152,0))+parametros_manuales!$G$29*('Plan mensual'!I38+'Plan mensual'!I149+IF(parametros_manuales!$H$29="Todos",'Plan mensual'!I42+'Plan mensual'!I153,0)))*parametros_manuales!$I$29*parametros_manuales!$J$29</f>
        <v>3618.6165370125</v>
      </c>
      <c r="H93" s="9" t="n">
        <f aca="false">(parametros_manuales!$D$29*('Plan mensual'!J35+'Plan mensual'!J146+IF(parametros_manuales!$H$29="Todos",'Plan mensual'!J39+'Plan mensual'!J150,0))+parametros_manuales!$E$29*('Plan mensual'!J36+'Plan mensual'!J147+IF(parametros_manuales!$H$29="Todos",'Plan mensual'!J40+'Plan mensual'!J151,0))+parametros_manuales!$F$29*('Plan mensual'!J37+'Plan mensual'!J148+IF(parametros_manuales!$H$29="Todos",'Plan mensual'!J41+'Plan mensual'!J152,0))+parametros_manuales!$G$29*('Plan mensual'!J38+'Plan mensual'!J149+IF(parametros_manuales!$H$29="Todos",'Plan mensual'!J42+'Plan mensual'!J153,0)))*parametros_manuales!$I$29*parametros_manuales!$J$29</f>
        <v>3871.578284663</v>
      </c>
      <c r="I93" s="9" t="n">
        <f aca="false">(parametros_manuales!$D$29*('Plan mensual'!K35+'Plan mensual'!K146+IF(parametros_manuales!$H$29="Todos",'Plan mensual'!K39+'Plan mensual'!K150,0))+parametros_manuales!$E$29*('Plan mensual'!K36+'Plan mensual'!K147+IF(parametros_manuales!$H$29="Todos",'Plan mensual'!K40+'Plan mensual'!K151,0))+parametros_manuales!$F$29*('Plan mensual'!K37+'Plan mensual'!K148+IF(parametros_manuales!$H$29="Todos",'Plan mensual'!K41+'Plan mensual'!K152,0))+parametros_manuales!$G$29*('Plan mensual'!K38+'Plan mensual'!K149+IF(parametros_manuales!$H$29="Todos",'Plan mensual'!K42+'Plan mensual'!K153,0)))*parametros_manuales!$I$29*parametros_manuales!$J$29</f>
        <v>3871.578284663</v>
      </c>
      <c r="J93" s="9" t="n">
        <f aca="false">(parametros_manuales!$D$29*('Plan mensual'!L35+'Plan mensual'!L146+IF(parametros_manuales!$H$29="Todos",'Plan mensual'!L39+'Plan mensual'!L150,0))+parametros_manuales!$E$29*('Plan mensual'!L36+'Plan mensual'!L147+IF(parametros_manuales!$H$29="Todos",'Plan mensual'!L40+'Plan mensual'!L151,0))+parametros_manuales!$F$29*('Plan mensual'!L37+'Plan mensual'!L148+IF(parametros_manuales!$H$29="Todos",'Plan mensual'!L41+'Plan mensual'!L152,0))+parametros_manuales!$G$29*('Plan mensual'!L38+'Plan mensual'!L149+IF(parametros_manuales!$H$29="Todos",'Plan mensual'!L42+'Plan mensual'!L153,0)))*parametros_manuales!$I$29*parametros_manuales!$J$29</f>
        <v>3871.578284663</v>
      </c>
      <c r="K93" s="9" t="n">
        <f aca="false">(parametros_manuales!$D$29*('Plan mensual'!M35+'Plan mensual'!M146+IF(parametros_manuales!$H$29="Todos",'Plan mensual'!M39+'Plan mensual'!M150,0))+parametros_manuales!$E$29*('Plan mensual'!M36+'Plan mensual'!M147+IF(parametros_manuales!$H$29="Todos",'Plan mensual'!M40+'Plan mensual'!M151,0))+parametros_manuales!$F$29*('Plan mensual'!M37+'Plan mensual'!M148+IF(parametros_manuales!$H$29="Todos",'Plan mensual'!M41+'Plan mensual'!M152,0))+parametros_manuales!$G$29*('Plan mensual'!M38+'Plan mensual'!M149+IF(parametros_manuales!$H$29="Todos",'Plan mensual'!M42+'Plan mensual'!M153,0)))*parametros_manuales!$I$29*parametros_manuales!$J$29</f>
        <v>3794.4262147575</v>
      </c>
      <c r="L93" s="9" t="n">
        <f aca="false">(parametros_manuales!$D$29*('Plan mensual'!N35+'Plan mensual'!N146+IF(parametros_manuales!$H$29="Todos",'Plan mensual'!N39+'Plan mensual'!N150,0))+parametros_manuales!$E$29*('Plan mensual'!N36+'Plan mensual'!N147+IF(parametros_manuales!$H$29="Todos",'Plan mensual'!N40+'Plan mensual'!N151,0))+parametros_manuales!$F$29*('Plan mensual'!N37+'Plan mensual'!N148+IF(parametros_manuales!$H$29="Todos",'Plan mensual'!N41+'Plan mensual'!N152,0))+parametros_manuales!$G$29*('Plan mensual'!N38+'Plan mensual'!N149+IF(parametros_manuales!$H$29="Todos",'Plan mensual'!N42+'Plan mensual'!N153,0)))*parametros_manuales!$I$29*parametros_manuales!$J$29</f>
        <v>3717.274144852</v>
      </c>
      <c r="M93" s="9" t="n">
        <f aca="false">(parametros_manuales!$D$29*('Plan mensual'!O35+'Plan mensual'!O146+IF(parametros_manuales!$H$29="Todos",'Plan mensual'!O39+'Plan mensual'!O150,0))+parametros_manuales!$E$29*('Plan mensual'!O36+'Plan mensual'!O147+IF(parametros_manuales!$H$29="Todos",'Plan mensual'!O40+'Plan mensual'!O151,0))+parametros_manuales!$F$29*('Plan mensual'!O37+'Plan mensual'!O148+IF(parametros_manuales!$H$29="Todos",'Plan mensual'!O41+'Plan mensual'!O152,0))+parametros_manuales!$G$29*('Plan mensual'!O38+'Plan mensual'!O149+IF(parametros_manuales!$H$29="Todos",'Plan mensual'!O42+'Plan mensual'!O153,0)))*parametros_manuales!$I$29*parametros_manuales!$J$29</f>
        <v>5916.777803801</v>
      </c>
      <c r="N93" s="9" t="n">
        <f aca="false">SUM(B93:M93)</f>
        <v>50592.3495301</v>
      </c>
      <c r="O93" s="9" t="n">
        <f aca="false">MAX(B93:M93)</f>
        <v>5916.777803801</v>
      </c>
      <c r="P93" s="44" t="n">
        <f aca="false">O93/(parametros_manuales!$B$7)</f>
        <v>39.4451853586733</v>
      </c>
      <c r="Q93" s="8" t="str">
        <f aca="false">IF(O93=0,"-",INDEX($B$82:$M$82,MATCH(O93,B93:M93,0)))</f>
        <v>Dic</v>
      </c>
    </row>
    <row r="94" customFormat="false" ht="14.25" hidden="false" customHeight="true" outlineLevel="0" collapsed="false">
      <c r="A94" s="8" t="str">
        <f aca="false">parametros_manuales!$B$30</f>
        <v>Soldadura circunferencial de cúpula y fondo</v>
      </c>
      <c r="B94" s="9" t="n">
        <f aca="false">(parametros_manuales!$D$30*('Plan mensual'!D35+'Plan mensual'!D146+IF(parametros_manuales!$H$30="Todos",'Plan mensual'!D39+'Plan mensual'!D150,0))+parametros_manuales!$E$30*('Plan mensual'!D36+'Plan mensual'!D147+IF(parametros_manuales!$H$30="Todos",'Plan mensual'!D40+'Plan mensual'!D151,0))+parametros_manuales!$F$30*('Plan mensual'!D37+'Plan mensual'!D148+IF(parametros_manuales!$H$30="Todos",'Plan mensual'!D41+'Plan mensual'!D152,0))+parametros_manuales!$G$30*('Plan mensual'!D38+'Plan mensual'!D149+IF(parametros_manuales!$H$30="Todos",'Plan mensual'!D42+'Plan mensual'!D153,0)))*parametros_manuales!$I$30*parametros_manuales!$J$30</f>
        <v>5762.47366399</v>
      </c>
      <c r="C94" s="9" t="n">
        <f aca="false">(parametros_manuales!$D$30*('Plan mensual'!E35+'Plan mensual'!E146+IF(parametros_manuales!$H$30="Todos",'Plan mensual'!E39+'Plan mensual'!E150,0))+parametros_manuales!$E$30*('Plan mensual'!E36+'Plan mensual'!E147+IF(parametros_manuales!$H$30="Todos",'Plan mensual'!E40+'Plan mensual'!E151,0))+parametros_manuales!$F$30*('Plan mensual'!E37+'Plan mensual'!E148+IF(parametros_manuales!$H$30="Todos",'Plan mensual'!E41+'Plan mensual'!E152,0))+parametros_manuales!$G$30*('Plan mensual'!E38+'Plan mensual'!E149+IF(parametros_manuales!$H$30="Todos",'Plan mensual'!E42+'Plan mensual'!E153,0)))*parametros_manuales!$I$30*parametros_manuales!$J$30</f>
        <v>4399.007317898</v>
      </c>
      <c r="D94" s="9" t="n">
        <f aca="false">(parametros_manuales!$D$30*('Plan mensual'!F35+'Plan mensual'!F146+IF(parametros_manuales!$H$30="Todos",'Plan mensual'!F39+'Plan mensual'!F150,0))+parametros_manuales!$E$30*('Plan mensual'!F36+'Plan mensual'!F147+IF(parametros_manuales!$H$30="Todos",'Plan mensual'!F40+'Plan mensual'!F151,0))+parametros_manuales!$F$30*('Plan mensual'!F37+'Plan mensual'!F148+IF(parametros_manuales!$H$30="Todos",'Plan mensual'!F41+'Plan mensual'!F152,0))+parametros_manuales!$G$30*('Plan mensual'!F38+'Plan mensual'!F149+IF(parametros_manuales!$H$30="Todos",'Plan mensual'!F42+'Plan mensual'!F153,0)))*parametros_manuales!$I$30*parametros_manuales!$J$30</f>
        <v>4124.5400323135</v>
      </c>
      <c r="E94" s="9" t="n">
        <f aca="false">(parametros_manuales!$D$30*('Plan mensual'!G35+'Plan mensual'!G146+IF(parametros_manuales!$H$30="Todos",'Plan mensual'!G39+'Plan mensual'!G150,0))+parametros_manuales!$E$30*('Plan mensual'!G36+'Plan mensual'!G147+IF(parametros_manuales!$H$30="Todos",'Plan mensual'!G40+'Plan mensual'!G151,0))+parametros_manuales!$F$30*('Plan mensual'!G37+'Plan mensual'!G148+IF(parametros_manuales!$H$30="Todos",'Plan mensual'!G41+'Plan mensual'!G152,0))+parametros_manuales!$G$30*('Plan mensual'!G38+'Plan mensual'!G149+IF(parametros_manuales!$H$30="Todos",'Plan mensual'!G42+'Plan mensual'!G153,0)))*parametros_manuales!$I$30*parametros_manuales!$J$30</f>
        <v>3948.7303545685</v>
      </c>
      <c r="F94" s="9" t="n">
        <f aca="false">(parametros_manuales!$D$30*('Plan mensual'!H35+'Plan mensual'!H146+IF(parametros_manuales!$H$30="Todos",'Plan mensual'!H39+'Plan mensual'!H150,0))+parametros_manuales!$E$30*('Plan mensual'!H36+'Plan mensual'!H147+IF(parametros_manuales!$H$30="Todos",'Plan mensual'!H40+'Plan mensual'!H151,0))+parametros_manuales!$F$30*('Plan mensual'!H37+'Plan mensual'!H148+IF(parametros_manuales!$H$30="Todos",'Plan mensual'!H41+'Plan mensual'!H152,0))+parametros_manuales!$G$30*('Plan mensual'!H38+'Plan mensual'!H149+IF(parametros_manuales!$H$30="Todos",'Plan mensual'!H42+'Plan mensual'!H153,0)))*parametros_manuales!$I$30*parametros_manuales!$J$30</f>
        <v>3695.768606918</v>
      </c>
      <c r="G94" s="9" t="n">
        <f aca="false">(parametros_manuales!$D$30*('Plan mensual'!I35+'Plan mensual'!I146+IF(parametros_manuales!$H$30="Todos",'Plan mensual'!I39+'Plan mensual'!I150,0))+parametros_manuales!$E$30*('Plan mensual'!I36+'Plan mensual'!I147+IF(parametros_manuales!$H$30="Todos",'Plan mensual'!I40+'Plan mensual'!I151,0))+parametros_manuales!$F$30*('Plan mensual'!I37+'Plan mensual'!I148+IF(parametros_manuales!$H$30="Todos",'Plan mensual'!I41+'Plan mensual'!I152,0))+parametros_manuales!$G$30*('Plan mensual'!I38+'Plan mensual'!I149+IF(parametros_manuales!$H$30="Todos",'Plan mensual'!I42+'Plan mensual'!I153,0)))*parametros_manuales!$I$30*parametros_manuales!$J$30</f>
        <v>3618.6165370125</v>
      </c>
      <c r="H94" s="9" t="n">
        <f aca="false">(parametros_manuales!$D$30*('Plan mensual'!J35+'Plan mensual'!J146+IF(parametros_manuales!$H$30="Todos",'Plan mensual'!J39+'Plan mensual'!J150,0))+parametros_manuales!$E$30*('Plan mensual'!J36+'Plan mensual'!J147+IF(parametros_manuales!$H$30="Todos",'Plan mensual'!J40+'Plan mensual'!J151,0))+parametros_manuales!$F$30*('Plan mensual'!J37+'Plan mensual'!J148+IF(parametros_manuales!$H$30="Todos",'Plan mensual'!J41+'Plan mensual'!J152,0))+parametros_manuales!$G$30*('Plan mensual'!J38+'Plan mensual'!J149+IF(parametros_manuales!$H$30="Todos",'Plan mensual'!J42+'Plan mensual'!J153,0)))*parametros_manuales!$I$30*parametros_manuales!$J$30</f>
        <v>3871.578284663</v>
      </c>
      <c r="I94" s="9" t="n">
        <f aca="false">(parametros_manuales!$D$30*('Plan mensual'!K35+'Plan mensual'!K146+IF(parametros_manuales!$H$30="Todos",'Plan mensual'!K39+'Plan mensual'!K150,0))+parametros_manuales!$E$30*('Plan mensual'!K36+'Plan mensual'!K147+IF(parametros_manuales!$H$30="Todos",'Plan mensual'!K40+'Plan mensual'!K151,0))+parametros_manuales!$F$30*('Plan mensual'!K37+'Plan mensual'!K148+IF(parametros_manuales!$H$30="Todos",'Plan mensual'!K41+'Plan mensual'!K152,0))+parametros_manuales!$G$30*('Plan mensual'!K38+'Plan mensual'!K149+IF(parametros_manuales!$H$30="Todos",'Plan mensual'!K42+'Plan mensual'!K153,0)))*parametros_manuales!$I$30*parametros_manuales!$J$30</f>
        <v>3871.578284663</v>
      </c>
      <c r="J94" s="9" t="n">
        <f aca="false">(parametros_manuales!$D$30*('Plan mensual'!L35+'Plan mensual'!L146+IF(parametros_manuales!$H$30="Todos",'Plan mensual'!L39+'Plan mensual'!L150,0))+parametros_manuales!$E$30*('Plan mensual'!L36+'Plan mensual'!L147+IF(parametros_manuales!$H$30="Todos",'Plan mensual'!L40+'Plan mensual'!L151,0))+parametros_manuales!$F$30*('Plan mensual'!L37+'Plan mensual'!L148+IF(parametros_manuales!$H$30="Todos",'Plan mensual'!L41+'Plan mensual'!L152,0))+parametros_manuales!$G$30*('Plan mensual'!L38+'Plan mensual'!L149+IF(parametros_manuales!$H$30="Todos",'Plan mensual'!L42+'Plan mensual'!L153,0)))*parametros_manuales!$I$30*parametros_manuales!$J$30</f>
        <v>3871.578284663</v>
      </c>
      <c r="K94" s="9" t="n">
        <f aca="false">(parametros_manuales!$D$30*('Plan mensual'!M35+'Plan mensual'!M146+IF(parametros_manuales!$H$30="Todos",'Plan mensual'!M39+'Plan mensual'!M150,0))+parametros_manuales!$E$30*('Plan mensual'!M36+'Plan mensual'!M147+IF(parametros_manuales!$H$30="Todos",'Plan mensual'!M40+'Plan mensual'!M151,0))+parametros_manuales!$F$30*('Plan mensual'!M37+'Plan mensual'!M148+IF(parametros_manuales!$H$30="Todos",'Plan mensual'!M41+'Plan mensual'!M152,0))+parametros_manuales!$G$30*('Plan mensual'!M38+'Plan mensual'!M149+IF(parametros_manuales!$H$30="Todos",'Plan mensual'!M42+'Plan mensual'!M153,0)))*parametros_manuales!$I$30*parametros_manuales!$J$30</f>
        <v>3794.4262147575</v>
      </c>
      <c r="L94" s="9" t="n">
        <f aca="false">(parametros_manuales!$D$30*('Plan mensual'!N35+'Plan mensual'!N146+IF(parametros_manuales!$H$30="Todos",'Plan mensual'!N39+'Plan mensual'!N150,0))+parametros_manuales!$E$30*('Plan mensual'!N36+'Plan mensual'!N147+IF(parametros_manuales!$H$30="Todos",'Plan mensual'!N40+'Plan mensual'!N151,0))+parametros_manuales!$F$30*('Plan mensual'!N37+'Plan mensual'!N148+IF(parametros_manuales!$H$30="Todos",'Plan mensual'!N41+'Plan mensual'!N152,0))+parametros_manuales!$G$30*('Plan mensual'!N38+'Plan mensual'!N149+IF(parametros_manuales!$H$30="Todos",'Plan mensual'!N42+'Plan mensual'!N153,0)))*parametros_manuales!$I$30*parametros_manuales!$J$30</f>
        <v>3717.274144852</v>
      </c>
      <c r="M94" s="9" t="n">
        <f aca="false">(parametros_manuales!$D$30*('Plan mensual'!O35+'Plan mensual'!O146+IF(parametros_manuales!$H$30="Todos",'Plan mensual'!O39+'Plan mensual'!O150,0))+parametros_manuales!$E$30*('Plan mensual'!O36+'Plan mensual'!O147+IF(parametros_manuales!$H$30="Todos",'Plan mensual'!O40+'Plan mensual'!O151,0))+parametros_manuales!$F$30*('Plan mensual'!O37+'Plan mensual'!O148+IF(parametros_manuales!$H$30="Todos",'Plan mensual'!O41+'Plan mensual'!O152,0))+parametros_manuales!$G$30*('Plan mensual'!O38+'Plan mensual'!O149+IF(parametros_manuales!$H$30="Todos",'Plan mensual'!O42+'Plan mensual'!O153,0)))*parametros_manuales!$I$30*parametros_manuales!$J$30</f>
        <v>5916.777803801</v>
      </c>
      <c r="N94" s="9" t="n">
        <f aca="false">SUM(B94:M94)</f>
        <v>50592.3495301</v>
      </c>
      <c r="O94" s="9" t="n">
        <f aca="false">MAX(B94:M94)</f>
        <v>5916.777803801</v>
      </c>
      <c r="P94" s="44" t="n">
        <f aca="false">O94/(parametros_manuales!$B$7)</f>
        <v>39.4451853586733</v>
      </c>
      <c r="Q94" s="8" t="str">
        <f aca="false">IF(O94=0,"-",INDEX($B$82:$M$82,MATCH(O94,B94:M94,0)))</f>
        <v>Dic</v>
      </c>
    </row>
    <row r="95" customFormat="false" ht="14.25" hidden="false" customHeight="true" outlineLevel="0" collapsed="false">
      <c r="A95" s="8" t="str">
        <f aca="false">parametros_manuales!$B$31</f>
        <v>Control de calidad — Espesor</v>
      </c>
      <c r="B95" s="9" t="n">
        <f aca="false">(parametros_manuales!$D$31*('Plan mensual'!D35+'Plan mensual'!D146+IF(parametros_manuales!$H$31="Todos",'Plan mensual'!D39+'Plan mensual'!D150,0))+parametros_manuales!$E$31*('Plan mensual'!D36+'Plan mensual'!D147+IF(parametros_manuales!$H$31="Todos",'Plan mensual'!D40+'Plan mensual'!D151,0))+parametros_manuales!$F$31*('Plan mensual'!D37+'Plan mensual'!D148+IF(parametros_manuales!$H$31="Todos",'Plan mensual'!D41+'Plan mensual'!D152,0))+parametros_manuales!$G$31*('Plan mensual'!D38+'Plan mensual'!D149+IF(parametros_manuales!$H$31="Todos",'Plan mensual'!D42+'Plan mensual'!D153,0)))*parametros_manuales!$I$31*parametros_manuales!$J$31</f>
        <v>115.2494732798</v>
      </c>
      <c r="C95" s="9" t="n">
        <f aca="false">(parametros_manuales!$D$31*('Plan mensual'!E35+'Plan mensual'!E146+IF(parametros_manuales!$H$31="Todos",'Plan mensual'!E39+'Plan mensual'!E150,0))+parametros_manuales!$E$31*('Plan mensual'!E36+'Plan mensual'!E147+IF(parametros_manuales!$H$31="Todos",'Plan mensual'!E40+'Plan mensual'!E151,0))+parametros_manuales!$F$31*('Plan mensual'!E37+'Plan mensual'!E148+IF(parametros_manuales!$H$31="Todos",'Plan mensual'!E41+'Plan mensual'!E152,0))+parametros_manuales!$G$31*('Plan mensual'!E38+'Plan mensual'!E149+IF(parametros_manuales!$H$31="Todos",'Plan mensual'!E42+'Plan mensual'!E153,0)))*parametros_manuales!$I$31*parametros_manuales!$J$31</f>
        <v>87.98014635796</v>
      </c>
      <c r="D95" s="9" t="n">
        <f aca="false">(parametros_manuales!$D$31*('Plan mensual'!F35+'Plan mensual'!F146+IF(parametros_manuales!$H$31="Todos",'Plan mensual'!F39+'Plan mensual'!F150,0))+parametros_manuales!$E$31*('Plan mensual'!F36+'Plan mensual'!F147+IF(parametros_manuales!$H$31="Todos",'Plan mensual'!F40+'Plan mensual'!F151,0))+parametros_manuales!$F$31*('Plan mensual'!F37+'Plan mensual'!F148+IF(parametros_manuales!$H$31="Todos",'Plan mensual'!F41+'Plan mensual'!F152,0))+parametros_manuales!$G$31*('Plan mensual'!F38+'Plan mensual'!F149+IF(parametros_manuales!$H$31="Todos",'Plan mensual'!F42+'Plan mensual'!F153,0)))*parametros_manuales!$I$31*parametros_manuales!$J$31</f>
        <v>82.49080064627</v>
      </c>
      <c r="E95" s="9" t="n">
        <f aca="false">(parametros_manuales!$D$31*('Plan mensual'!G35+'Plan mensual'!G146+IF(parametros_manuales!$H$31="Todos",'Plan mensual'!G39+'Plan mensual'!G150,0))+parametros_manuales!$E$31*('Plan mensual'!G36+'Plan mensual'!G147+IF(parametros_manuales!$H$31="Todos",'Plan mensual'!G40+'Plan mensual'!G151,0))+parametros_manuales!$F$31*('Plan mensual'!G37+'Plan mensual'!G148+IF(parametros_manuales!$H$31="Todos",'Plan mensual'!G41+'Plan mensual'!G152,0))+parametros_manuales!$G$31*('Plan mensual'!G38+'Plan mensual'!G149+IF(parametros_manuales!$H$31="Todos",'Plan mensual'!G42+'Plan mensual'!G153,0)))*parametros_manuales!$I$31*parametros_manuales!$J$31</f>
        <v>78.97460709137</v>
      </c>
      <c r="F95" s="9" t="n">
        <f aca="false">(parametros_manuales!$D$31*('Plan mensual'!H35+'Plan mensual'!H146+IF(parametros_manuales!$H$31="Todos",'Plan mensual'!H39+'Plan mensual'!H150,0))+parametros_manuales!$E$31*('Plan mensual'!H36+'Plan mensual'!H147+IF(parametros_manuales!$H$31="Todos",'Plan mensual'!H40+'Plan mensual'!H151,0))+parametros_manuales!$F$31*('Plan mensual'!H37+'Plan mensual'!H148+IF(parametros_manuales!$H$31="Todos",'Plan mensual'!H41+'Plan mensual'!H152,0))+parametros_manuales!$G$31*('Plan mensual'!H38+'Plan mensual'!H149+IF(parametros_manuales!$H$31="Todos",'Plan mensual'!H42+'Plan mensual'!H153,0)))*parametros_manuales!$I$31*parametros_manuales!$J$31</f>
        <v>73.91537213836</v>
      </c>
      <c r="G95" s="9" t="n">
        <f aca="false">(parametros_manuales!$D$31*('Plan mensual'!I35+'Plan mensual'!I146+IF(parametros_manuales!$H$31="Todos",'Plan mensual'!I39+'Plan mensual'!I150,0))+parametros_manuales!$E$31*('Plan mensual'!I36+'Plan mensual'!I147+IF(parametros_manuales!$H$31="Todos",'Plan mensual'!I40+'Plan mensual'!I151,0))+parametros_manuales!$F$31*('Plan mensual'!I37+'Plan mensual'!I148+IF(parametros_manuales!$H$31="Todos",'Plan mensual'!I41+'Plan mensual'!I152,0))+parametros_manuales!$G$31*('Plan mensual'!I38+'Plan mensual'!I149+IF(parametros_manuales!$H$31="Todos",'Plan mensual'!I42+'Plan mensual'!I153,0)))*parametros_manuales!$I$31*parametros_manuales!$J$31</f>
        <v>72.37233074025</v>
      </c>
      <c r="H95" s="9" t="n">
        <f aca="false">(parametros_manuales!$D$31*('Plan mensual'!J35+'Plan mensual'!J146+IF(parametros_manuales!$H$31="Todos",'Plan mensual'!J39+'Plan mensual'!J150,0))+parametros_manuales!$E$31*('Plan mensual'!J36+'Plan mensual'!J147+IF(parametros_manuales!$H$31="Todos",'Plan mensual'!J40+'Plan mensual'!J151,0))+parametros_manuales!$F$31*('Plan mensual'!J37+'Plan mensual'!J148+IF(parametros_manuales!$H$31="Todos",'Plan mensual'!J41+'Plan mensual'!J152,0))+parametros_manuales!$G$31*('Plan mensual'!J38+'Plan mensual'!J149+IF(parametros_manuales!$H$31="Todos",'Plan mensual'!J42+'Plan mensual'!J153,0)))*parametros_manuales!$I$31*parametros_manuales!$J$31</f>
        <v>77.43156569326</v>
      </c>
      <c r="I95" s="9" t="n">
        <f aca="false">(parametros_manuales!$D$31*('Plan mensual'!K35+'Plan mensual'!K146+IF(parametros_manuales!$H$31="Todos",'Plan mensual'!K39+'Plan mensual'!K150,0))+parametros_manuales!$E$31*('Plan mensual'!K36+'Plan mensual'!K147+IF(parametros_manuales!$H$31="Todos",'Plan mensual'!K40+'Plan mensual'!K151,0))+parametros_manuales!$F$31*('Plan mensual'!K37+'Plan mensual'!K148+IF(parametros_manuales!$H$31="Todos",'Plan mensual'!K41+'Plan mensual'!K152,0))+parametros_manuales!$G$31*('Plan mensual'!K38+'Plan mensual'!K149+IF(parametros_manuales!$H$31="Todos",'Plan mensual'!K42+'Plan mensual'!K153,0)))*parametros_manuales!$I$31*parametros_manuales!$J$31</f>
        <v>77.43156569326</v>
      </c>
      <c r="J95" s="9" t="n">
        <f aca="false">(parametros_manuales!$D$31*('Plan mensual'!L35+'Plan mensual'!L146+IF(parametros_manuales!$H$31="Todos",'Plan mensual'!L39+'Plan mensual'!L150,0))+parametros_manuales!$E$31*('Plan mensual'!L36+'Plan mensual'!L147+IF(parametros_manuales!$H$31="Todos",'Plan mensual'!L40+'Plan mensual'!L151,0))+parametros_manuales!$F$31*('Plan mensual'!L37+'Plan mensual'!L148+IF(parametros_manuales!$H$31="Todos",'Plan mensual'!L41+'Plan mensual'!L152,0))+parametros_manuales!$G$31*('Plan mensual'!L38+'Plan mensual'!L149+IF(parametros_manuales!$H$31="Todos",'Plan mensual'!L42+'Plan mensual'!L153,0)))*parametros_manuales!$I$31*parametros_manuales!$J$31</f>
        <v>77.43156569326</v>
      </c>
      <c r="K95" s="9" t="n">
        <f aca="false">(parametros_manuales!$D$31*('Plan mensual'!M35+'Plan mensual'!M146+IF(parametros_manuales!$H$31="Todos",'Plan mensual'!M39+'Plan mensual'!M150,0))+parametros_manuales!$E$31*('Plan mensual'!M36+'Plan mensual'!M147+IF(parametros_manuales!$H$31="Todos",'Plan mensual'!M40+'Plan mensual'!M151,0))+parametros_manuales!$F$31*('Plan mensual'!M37+'Plan mensual'!M148+IF(parametros_manuales!$H$31="Todos",'Plan mensual'!M41+'Plan mensual'!M152,0))+parametros_manuales!$G$31*('Plan mensual'!M38+'Plan mensual'!M149+IF(parametros_manuales!$H$31="Todos",'Plan mensual'!M42+'Plan mensual'!M153,0)))*parametros_manuales!$I$31*parametros_manuales!$J$31</f>
        <v>75.88852429515</v>
      </c>
      <c r="L95" s="9" t="n">
        <f aca="false">(parametros_manuales!$D$31*('Plan mensual'!N35+'Plan mensual'!N146+IF(parametros_manuales!$H$31="Todos",'Plan mensual'!N39+'Plan mensual'!N150,0))+parametros_manuales!$E$31*('Plan mensual'!N36+'Plan mensual'!N147+IF(parametros_manuales!$H$31="Todos",'Plan mensual'!N40+'Plan mensual'!N151,0))+parametros_manuales!$F$31*('Plan mensual'!N37+'Plan mensual'!N148+IF(parametros_manuales!$H$31="Todos",'Plan mensual'!N41+'Plan mensual'!N152,0))+parametros_manuales!$G$31*('Plan mensual'!N38+'Plan mensual'!N149+IF(parametros_manuales!$H$31="Todos",'Plan mensual'!N42+'Plan mensual'!N153,0)))*parametros_manuales!$I$31*parametros_manuales!$J$31</f>
        <v>74.34548289704</v>
      </c>
      <c r="M95" s="9" t="n">
        <f aca="false">(parametros_manuales!$D$31*('Plan mensual'!O35+'Plan mensual'!O146+IF(parametros_manuales!$H$31="Todos",'Plan mensual'!O39+'Plan mensual'!O150,0))+parametros_manuales!$E$31*('Plan mensual'!O36+'Plan mensual'!O147+IF(parametros_manuales!$H$31="Todos",'Plan mensual'!O40+'Plan mensual'!O151,0))+parametros_manuales!$F$31*('Plan mensual'!O37+'Plan mensual'!O148+IF(parametros_manuales!$H$31="Todos",'Plan mensual'!O41+'Plan mensual'!O152,0))+parametros_manuales!$G$31*('Plan mensual'!O38+'Plan mensual'!O149+IF(parametros_manuales!$H$31="Todos",'Plan mensual'!O42+'Plan mensual'!O153,0)))*parametros_manuales!$I$31*parametros_manuales!$J$31</f>
        <v>118.33555607602</v>
      </c>
      <c r="N95" s="9" t="n">
        <f aca="false">SUM(B95:M95)</f>
        <v>1011.846990602</v>
      </c>
      <c r="O95" s="9" t="n">
        <f aca="false">MAX(B95:M95)</f>
        <v>118.33555607602</v>
      </c>
      <c r="P95" s="44" t="n">
        <f aca="false">O95/(parametros_manuales!$B$7)</f>
        <v>0.788903707173467</v>
      </c>
      <c r="Q95" s="8" t="str">
        <f aca="false">IF(O95=0,"-",INDEX($B$82:$M$82,MATCH(O95,B95:M95,0)))</f>
        <v>Dic</v>
      </c>
    </row>
    <row r="96" customFormat="false" ht="14.25" hidden="false" customHeight="true" outlineLevel="0" collapsed="false">
      <c r="A96" s="8" t="str">
        <f aca="false">parametros_manuales!$B$32</f>
        <v>Prueba hidráulica</v>
      </c>
      <c r="B96" s="9" t="n">
        <f aca="false">(parametros_manuales!$D$32*('Plan mensual'!D35+'Plan mensual'!D146+IF(parametros_manuales!$H$32="Todos",'Plan mensual'!D39+'Plan mensual'!D150,0))+parametros_manuales!$E$32*('Plan mensual'!D36+'Plan mensual'!D147+IF(parametros_manuales!$H$32="Todos",'Plan mensual'!D40+'Plan mensual'!D151,0))+parametros_manuales!$F$32*('Plan mensual'!D37+'Plan mensual'!D148+IF(parametros_manuales!$H$32="Todos",'Plan mensual'!D41+'Plan mensual'!D152,0))+parametros_manuales!$G$32*('Plan mensual'!D38+'Plan mensual'!D149+IF(parametros_manuales!$H$32="Todos",'Plan mensual'!D42+'Plan mensual'!D153,0)))*parametros_manuales!$I$32*parametros_manuales!$J$32</f>
        <v>5762.47366399</v>
      </c>
      <c r="C96" s="9" t="n">
        <f aca="false">(parametros_manuales!$D$32*('Plan mensual'!E35+'Plan mensual'!E146+IF(parametros_manuales!$H$32="Todos",'Plan mensual'!E39+'Plan mensual'!E150,0))+parametros_manuales!$E$32*('Plan mensual'!E36+'Plan mensual'!E147+IF(parametros_manuales!$H$32="Todos",'Plan mensual'!E40+'Plan mensual'!E151,0))+parametros_manuales!$F$32*('Plan mensual'!E37+'Plan mensual'!E148+IF(parametros_manuales!$H$32="Todos",'Plan mensual'!E41+'Plan mensual'!E152,0))+parametros_manuales!$G$32*('Plan mensual'!E38+'Plan mensual'!E149+IF(parametros_manuales!$H$32="Todos",'Plan mensual'!E42+'Plan mensual'!E153,0)))*parametros_manuales!$I$32*parametros_manuales!$J$32</f>
        <v>4399.007317898</v>
      </c>
      <c r="D96" s="9" t="n">
        <f aca="false">(parametros_manuales!$D$32*('Plan mensual'!F35+'Plan mensual'!F146+IF(parametros_manuales!$H$32="Todos",'Plan mensual'!F39+'Plan mensual'!F150,0))+parametros_manuales!$E$32*('Plan mensual'!F36+'Plan mensual'!F147+IF(parametros_manuales!$H$32="Todos",'Plan mensual'!F40+'Plan mensual'!F151,0))+parametros_manuales!$F$32*('Plan mensual'!F37+'Plan mensual'!F148+IF(parametros_manuales!$H$32="Todos",'Plan mensual'!F41+'Plan mensual'!F152,0))+parametros_manuales!$G$32*('Plan mensual'!F38+'Plan mensual'!F149+IF(parametros_manuales!$H$32="Todos",'Plan mensual'!F42+'Plan mensual'!F153,0)))*parametros_manuales!$I$32*parametros_manuales!$J$32</f>
        <v>4124.5400323135</v>
      </c>
      <c r="E96" s="9" t="n">
        <f aca="false">(parametros_manuales!$D$32*('Plan mensual'!G35+'Plan mensual'!G146+IF(parametros_manuales!$H$32="Todos",'Plan mensual'!G39+'Plan mensual'!G150,0))+parametros_manuales!$E$32*('Plan mensual'!G36+'Plan mensual'!G147+IF(parametros_manuales!$H$32="Todos",'Plan mensual'!G40+'Plan mensual'!G151,0))+parametros_manuales!$F$32*('Plan mensual'!G37+'Plan mensual'!G148+IF(parametros_manuales!$H$32="Todos",'Plan mensual'!G41+'Plan mensual'!G152,0))+parametros_manuales!$G$32*('Plan mensual'!G38+'Plan mensual'!G149+IF(parametros_manuales!$H$32="Todos",'Plan mensual'!G42+'Plan mensual'!G153,0)))*parametros_manuales!$I$32*parametros_manuales!$J$32</f>
        <v>3948.7303545685</v>
      </c>
      <c r="F96" s="9" t="n">
        <f aca="false">(parametros_manuales!$D$32*('Plan mensual'!H35+'Plan mensual'!H146+IF(parametros_manuales!$H$32="Todos",'Plan mensual'!H39+'Plan mensual'!H150,0))+parametros_manuales!$E$32*('Plan mensual'!H36+'Plan mensual'!H147+IF(parametros_manuales!$H$32="Todos",'Plan mensual'!H40+'Plan mensual'!H151,0))+parametros_manuales!$F$32*('Plan mensual'!H37+'Plan mensual'!H148+IF(parametros_manuales!$H$32="Todos",'Plan mensual'!H41+'Plan mensual'!H152,0))+parametros_manuales!$G$32*('Plan mensual'!H38+'Plan mensual'!H149+IF(parametros_manuales!$H$32="Todos",'Plan mensual'!H42+'Plan mensual'!H153,0)))*parametros_manuales!$I$32*parametros_manuales!$J$32</f>
        <v>3695.768606918</v>
      </c>
      <c r="G96" s="9" t="n">
        <f aca="false">(parametros_manuales!$D$32*('Plan mensual'!I35+'Plan mensual'!I146+IF(parametros_manuales!$H$32="Todos",'Plan mensual'!I39+'Plan mensual'!I150,0))+parametros_manuales!$E$32*('Plan mensual'!I36+'Plan mensual'!I147+IF(parametros_manuales!$H$32="Todos",'Plan mensual'!I40+'Plan mensual'!I151,0))+parametros_manuales!$F$32*('Plan mensual'!I37+'Plan mensual'!I148+IF(parametros_manuales!$H$32="Todos",'Plan mensual'!I41+'Plan mensual'!I152,0))+parametros_manuales!$G$32*('Plan mensual'!I38+'Plan mensual'!I149+IF(parametros_manuales!$H$32="Todos",'Plan mensual'!I42+'Plan mensual'!I153,0)))*parametros_manuales!$I$32*parametros_manuales!$J$32</f>
        <v>3618.6165370125</v>
      </c>
      <c r="H96" s="9" t="n">
        <f aca="false">(parametros_manuales!$D$32*('Plan mensual'!J35+'Plan mensual'!J146+IF(parametros_manuales!$H$32="Todos",'Plan mensual'!J39+'Plan mensual'!J150,0))+parametros_manuales!$E$32*('Plan mensual'!J36+'Plan mensual'!J147+IF(parametros_manuales!$H$32="Todos",'Plan mensual'!J40+'Plan mensual'!J151,0))+parametros_manuales!$F$32*('Plan mensual'!J37+'Plan mensual'!J148+IF(parametros_manuales!$H$32="Todos",'Plan mensual'!J41+'Plan mensual'!J152,0))+parametros_manuales!$G$32*('Plan mensual'!J38+'Plan mensual'!J149+IF(parametros_manuales!$H$32="Todos",'Plan mensual'!J42+'Plan mensual'!J153,0)))*parametros_manuales!$I$32*parametros_manuales!$J$32</f>
        <v>3871.578284663</v>
      </c>
      <c r="I96" s="9" t="n">
        <f aca="false">(parametros_manuales!$D$32*('Plan mensual'!K35+'Plan mensual'!K146+IF(parametros_manuales!$H$32="Todos",'Plan mensual'!K39+'Plan mensual'!K150,0))+parametros_manuales!$E$32*('Plan mensual'!K36+'Plan mensual'!K147+IF(parametros_manuales!$H$32="Todos",'Plan mensual'!K40+'Plan mensual'!K151,0))+parametros_manuales!$F$32*('Plan mensual'!K37+'Plan mensual'!K148+IF(parametros_manuales!$H$32="Todos",'Plan mensual'!K41+'Plan mensual'!K152,0))+parametros_manuales!$G$32*('Plan mensual'!K38+'Plan mensual'!K149+IF(parametros_manuales!$H$32="Todos",'Plan mensual'!K42+'Plan mensual'!K153,0)))*parametros_manuales!$I$32*parametros_manuales!$J$32</f>
        <v>3871.578284663</v>
      </c>
      <c r="J96" s="9" t="n">
        <f aca="false">(parametros_manuales!$D$32*('Plan mensual'!L35+'Plan mensual'!L146+IF(parametros_manuales!$H$32="Todos",'Plan mensual'!L39+'Plan mensual'!L150,0))+parametros_manuales!$E$32*('Plan mensual'!L36+'Plan mensual'!L147+IF(parametros_manuales!$H$32="Todos",'Plan mensual'!L40+'Plan mensual'!L151,0))+parametros_manuales!$F$32*('Plan mensual'!L37+'Plan mensual'!L148+IF(parametros_manuales!$H$32="Todos",'Plan mensual'!L41+'Plan mensual'!L152,0))+parametros_manuales!$G$32*('Plan mensual'!L38+'Plan mensual'!L149+IF(parametros_manuales!$H$32="Todos",'Plan mensual'!L42+'Plan mensual'!L153,0)))*parametros_manuales!$I$32*parametros_manuales!$J$32</f>
        <v>3871.578284663</v>
      </c>
      <c r="K96" s="9" t="n">
        <f aca="false">(parametros_manuales!$D$32*('Plan mensual'!M35+'Plan mensual'!M146+IF(parametros_manuales!$H$32="Todos",'Plan mensual'!M39+'Plan mensual'!M150,0))+parametros_manuales!$E$32*('Plan mensual'!M36+'Plan mensual'!M147+IF(parametros_manuales!$H$32="Todos",'Plan mensual'!M40+'Plan mensual'!M151,0))+parametros_manuales!$F$32*('Plan mensual'!M37+'Plan mensual'!M148+IF(parametros_manuales!$H$32="Todos",'Plan mensual'!M41+'Plan mensual'!M152,0))+parametros_manuales!$G$32*('Plan mensual'!M38+'Plan mensual'!M149+IF(parametros_manuales!$H$32="Todos",'Plan mensual'!M42+'Plan mensual'!M153,0)))*parametros_manuales!$I$32*parametros_manuales!$J$32</f>
        <v>3794.4262147575</v>
      </c>
      <c r="L96" s="9" t="n">
        <f aca="false">(parametros_manuales!$D$32*('Plan mensual'!N35+'Plan mensual'!N146+IF(parametros_manuales!$H$32="Todos",'Plan mensual'!N39+'Plan mensual'!N150,0))+parametros_manuales!$E$32*('Plan mensual'!N36+'Plan mensual'!N147+IF(parametros_manuales!$H$32="Todos",'Plan mensual'!N40+'Plan mensual'!N151,0))+parametros_manuales!$F$32*('Plan mensual'!N37+'Plan mensual'!N148+IF(parametros_manuales!$H$32="Todos",'Plan mensual'!N41+'Plan mensual'!N152,0))+parametros_manuales!$G$32*('Plan mensual'!N38+'Plan mensual'!N149+IF(parametros_manuales!$H$32="Todos",'Plan mensual'!N42+'Plan mensual'!N153,0)))*parametros_manuales!$I$32*parametros_manuales!$J$32</f>
        <v>3717.274144852</v>
      </c>
      <c r="M96" s="9" t="n">
        <f aca="false">(parametros_manuales!$D$32*('Plan mensual'!O35+'Plan mensual'!O146+IF(parametros_manuales!$H$32="Todos",'Plan mensual'!O39+'Plan mensual'!O150,0))+parametros_manuales!$E$32*('Plan mensual'!O36+'Plan mensual'!O147+IF(parametros_manuales!$H$32="Todos",'Plan mensual'!O40+'Plan mensual'!O151,0))+parametros_manuales!$F$32*('Plan mensual'!O37+'Plan mensual'!O148+IF(parametros_manuales!$H$32="Todos",'Plan mensual'!O41+'Plan mensual'!O152,0))+parametros_manuales!$G$32*('Plan mensual'!O38+'Plan mensual'!O149+IF(parametros_manuales!$H$32="Todos",'Plan mensual'!O42+'Plan mensual'!O153,0)))*parametros_manuales!$I$32*parametros_manuales!$J$32</f>
        <v>5916.777803801</v>
      </c>
      <c r="N96" s="9" t="n">
        <f aca="false">SUM(B96:M96)</f>
        <v>50592.3495301</v>
      </c>
      <c r="O96" s="9" t="n">
        <f aca="false">MAX(B96:M96)</f>
        <v>5916.777803801</v>
      </c>
      <c r="P96" s="44" t="n">
        <f aca="false">O96/(parametros_manuales!$B$7)</f>
        <v>39.4451853586733</v>
      </c>
      <c r="Q96" s="8" t="str">
        <f aca="false">IF(O96=0,"-",INDEX($B$82:$M$82,MATCH(O96,B96:M96,0)))</f>
        <v>Dic</v>
      </c>
    </row>
    <row r="97" customFormat="false" ht="14.25" hidden="false" customHeight="true" outlineLevel="0" collapsed="false">
      <c r="A97" s="8" t="str">
        <f aca="false">parametros_manuales!$B$33</f>
        <v>Secado</v>
      </c>
      <c r="B97" s="9" t="n">
        <f aca="false">(parametros_manuales!$D$33*('Plan mensual'!D35+'Plan mensual'!D146+IF(parametros_manuales!$H$33="Todos",'Plan mensual'!D39+'Plan mensual'!D150,0))+parametros_manuales!$E$33*('Plan mensual'!D36+'Plan mensual'!D147+IF(parametros_manuales!$H$33="Todos",'Plan mensual'!D40+'Plan mensual'!D151,0))+parametros_manuales!$F$33*('Plan mensual'!D37+'Plan mensual'!D148+IF(parametros_manuales!$H$33="Todos",'Plan mensual'!D41+'Plan mensual'!D152,0))+parametros_manuales!$G$33*('Plan mensual'!D38+'Plan mensual'!D149+IF(parametros_manuales!$H$33="Todos",'Plan mensual'!D42+'Plan mensual'!D153,0)))*parametros_manuales!$I$33*parametros_manuales!$J$33</f>
        <v>5762.47366399</v>
      </c>
      <c r="C97" s="9" t="n">
        <f aca="false">(parametros_manuales!$D$33*('Plan mensual'!E35+'Plan mensual'!E146+IF(parametros_manuales!$H$33="Todos",'Plan mensual'!E39+'Plan mensual'!E150,0))+parametros_manuales!$E$33*('Plan mensual'!E36+'Plan mensual'!E147+IF(parametros_manuales!$H$33="Todos",'Plan mensual'!E40+'Plan mensual'!E151,0))+parametros_manuales!$F$33*('Plan mensual'!E37+'Plan mensual'!E148+IF(parametros_manuales!$H$33="Todos",'Plan mensual'!E41+'Plan mensual'!E152,0))+parametros_manuales!$G$33*('Plan mensual'!E38+'Plan mensual'!E149+IF(parametros_manuales!$H$33="Todos",'Plan mensual'!E42+'Plan mensual'!E153,0)))*parametros_manuales!$I$33*parametros_manuales!$J$33</f>
        <v>4399.007317898</v>
      </c>
      <c r="D97" s="9" t="n">
        <f aca="false">(parametros_manuales!$D$33*('Plan mensual'!F35+'Plan mensual'!F146+IF(parametros_manuales!$H$33="Todos",'Plan mensual'!F39+'Plan mensual'!F150,0))+parametros_manuales!$E$33*('Plan mensual'!F36+'Plan mensual'!F147+IF(parametros_manuales!$H$33="Todos",'Plan mensual'!F40+'Plan mensual'!F151,0))+parametros_manuales!$F$33*('Plan mensual'!F37+'Plan mensual'!F148+IF(parametros_manuales!$H$33="Todos",'Plan mensual'!F41+'Plan mensual'!F152,0))+parametros_manuales!$G$33*('Plan mensual'!F38+'Plan mensual'!F149+IF(parametros_manuales!$H$33="Todos",'Plan mensual'!F42+'Plan mensual'!F153,0)))*parametros_manuales!$I$33*parametros_manuales!$J$33</f>
        <v>4124.5400323135</v>
      </c>
      <c r="E97" s="9" t="n">
        <f aca="false">(parametros_manuales!$D$33*('Plan mensual'!G35+'Plan mensual'!G146+IF(parametros_manuales!$H$33="Todos",'Plan mensual'!G39+'Plan mensual'!G150,0))+parametros_manuales!$E$33*('Plan mensual'!G36+'Plan mensual'!G147+IF(parametros_manuales!$H$33="Todos",'Plan mensual'!G40+'Plan mensual'!G151,0))+parametros_manuales!$F$33*('Plan mensual'!G37+'Plan mensual'!G148+IF(parametros_manuales!$H$33="Todos",'Plan mensual'!G41+'Plan mensual'!G152,0))+parametros_manuales!$G$33*('Plan mensual'!G38+'Plan mensual'!G149+IF(parametros_manuales!$H$33="Todos",'Plan mensual'!G42+'Plan mensual'!G153,0)))*parametros_manuales!$I$33*parametros_manuales!$J$33</f>
        <v>3948.7303545685</v>
      </c>
      <c r="F97" s="9" t="n">
        <f aca="false">(parametros_manuales!$D$33*('Plan mensual'!H35+'Plan mensual'!H146+IF(parametros_manuales!$H$33="Todos",'Plan mensual'!H39+'Plan mensual'!H150,0))+parametros_manuales!$E$33*('Plan mensual'!H36+'Plan mensual'!H147+IF(parametros_manuales!$H$33="Todos",'Plan mensual'!H40+'Plan mensual'!H151,0))+parametros_manuales!$F$33*('Plan mensual'!H37+'Plan mensual'!H148+IF(parametros_manuales!$H$33="Todos",'Plan mensual'!H41+'Plan mensual'!H152,0))+parametros_manuales!$G$33*('Plan mensual'!H38+'Plan mensual'!H149+IF(parametros_manuales!$H$33="Todos",'Plan mensual'!H42+'Plan mensual'!H153,0)))*parametros_manuales!$I$33*parametros_manuales!$J$33</f>
        <v>3695.768606918</v>
      </c>
      <c r="G97" s="9" t="n">
        <f aca="false">(parametros_manuales!$D$33*('Plan mensual'!I35+'Plan mensual'!I146+IF(parametros_manuales!$H$33="Todos",'Plan mensual'!I39+'Plan mensual'!I150,0))+parametros_manuales!$E$33*('Plan mensual'!I36+'Plan mensual'!I147+IF(parametros_manuales!$H$33="Todos",'Plan mensual'!I40+'Plan mensual'!I151,0))+parametros_manuales!$F$33*('Plan mensual'!I37+'Plan mensual'!I148+IF(parametros_manuales!$H$33="Todos",'Plan mensual'!I41+'Plan mensual'!I152,0))+parametros_manuales!$G$33*('Plan mensual'!I38+'Plan mensual'!I149+IF(parametros_manuales!$H$33="Todos",'Plan mensual'!I42+'Plan mensual'!I153,0)))*parametros_manuales!$I$33*parametros_manuales!$J$33</f>
        <v>3618.6165370125</v>
      </c>
      <c r="H97" s="9" t="n">
        <f aca="false">(parametros_manuales!$D$33*('Plan mensual'!J35+'Plan mensual'!J146+IF(parametros_manuales!$H$33="Todos",'Plan mensual'!J39+'Plan mensual'!J150,0))+parametros_manuales!$E$33*('Plan mensual'!J36+'Plan mensual'!J147+IF(parametros_manuales!$H$33="Todos",'Plan mensual'!J40+'Plan mensual'!J151,0))+parametros_manuales!$F$33*('Plan mensual'!J37+'Plan mensual'!J148+IF(parametros_manuales!$H$33="Todos",'Plan mensual'!J41+'Plan mensual'!J152,0))+parametros_manuales!$G$33*('Plan mensual'!J38+'Plan mensual'!J149+IF(parametros_manuales!$H$33="Todos",'Plan mensual'!J42+'Plan mensual'!J153,0)))*parametros_manuales!$I$33*parametros_manuales!$J$33</f>
        <v>3871.578284663</v>
      </c>
      <c r="I97" s="9" t="n">
        <f aca="false">(parametros_manuales!$D$33*('Plan mensual'!K35+'Plan mensual'!K146+IF(parametros_manuales!$H$33="Todos",'Plan mensual'!K39+'Plan mensual'!K150,0))+parametros_manuales!$E$33*('Plan mensual'!K36+'Plan mensual'!K147+IF(parametros_manuales!$H$33="Todos",'Plan mensual'!K40+'Plan mensual'!K151,0))+parametros_manuales!$F$33*('Plan mensual'!K37+'Plan mensual'!K148+IF(parametros_manuales!$H$33="Todos",'Plan mensual'!K41+'Plan mensual'!K152,0))+parametros_manuales!$G$33*('Plan mensual'!K38+'Plan mensual'!K149+IF(parametros_manuales!$H$33="Todos",'Plan mensual'!K42+'Plan mensual'!K153,0)))*parametros_manuales!$I$33*parametros_manuales!$J$33</f>
        <v>3871.578284663</v>
      </c>
      <c r="J97" s="9" t="n">
        <f aca="false">(parametros_manuales!$D$33*('Plan mensual'!L35+'Plan mensual'!L146+IF(parametros_manuales!$H$33="Todos",'Plan mensual'!L39+'Plan mensual'!L150,0))+parametros_manuales!$E$33*('Plan mensual'!L36+'Plan mensual'!L147+IF(parametros_manuales!$H$33="Todos",'Plan mensual'!L40+'Plan mensual'!L151,0))+parametros_manuales!$F$33*('Plan mensual'!L37+'Plan mensual'!L148+IF(parametros_manuales!$H$33="Todos",'Plan mensual'!L41+'Plan mensual'!L152,0))+parametros_manuales!$G$33*('Plan mensual'!L38+'Plan mensual'!L149+IF(parametros_manuales!$H$33="Todos",'Plan mensual'!L42+'Plan mensual'!L153,0)))*parametros_manuales!$I$33*parametros_manuales!$J$33</f>
        <v>3871.578284663</v>
      </c>
      <c r="K97" s="9" t="n">
        <f aca="false">(parametros_manuales!$D$33*('Plan mensual'!M35+'Plan mensual'!M146+IF(parametros_manuales!$H$33="Todos",'Plan mensual'!M39+'Plan mensual'!M150,0))+parametros_manuales!$E$33*('Plan mensual'!M36+'Plan mensual'!M147+IF(parametros_manuales!$H$33="Todos",'Plan mensual'!M40+'Plan mensual'!M151,0))+parametros_manuales!$F$33*('Plan mensual'!M37+'Plan mensual'!M148+IF(parametros_manuales!$H$33="Todos",'Plan mensual'!M41+'Plan mensual'!M152,0))+parametros_manuales!$G$33*('Plan mensual'!M38+'Plan mensual'!M149+IF(parametros_manuales!$H$33="Todos",'Plan mensual'!M42+'Plan mensual'!M153,0)))*parametros_manuales!$I$33*parametros_manuales!$J$33</f>
        <v>3794.4262147575</v>
      </c>
      <c r="L97" s="9" t="n">
        <f aca="false">(parametros_manuales!$D$33*('Plan mensual'!N35+'Plan mensual'!N146+IF(parametros_manuales!$H$33="Todos",'Plan mensual'!N39+'Plan mensual'!N150,0))+parametros_manuales!$E$33*('Plan mensual'!N36+'Plan mensual'!N147+IF(parametros_manuales!$H$33="Todos",'Plan mensual'!N40+'Plan mensual'!N151,0))+parametros_manuales!$F$33*('Plan mensual'!N37+'Plan mensual'!N148+IF(parametros_manuales!$H$33="Todos",'Plan mensual'!N41+'Plan mensual'!N152,0))+parametros_manuales!$G$33*('Plan mensual'!N38+'Plan mensual'!N149+IF(parametros_manuales!$H$33="Todos",'Plan mensual'!N42+'Plan mensual'!N153,0)))*parametros_manuales!$I$33*parametros_manuales!$J$33</f>
        <v>3717.274144852</v>
      </c>
      <c r="M97" s="9" t="n">
        <f aca="false">(parametros_manuales!$D$33*('Plan mensual'!O35+'Plan mensual'!O146+IF(parametros_manuales!$H$33="Todos",'Plan mensual'!O39+'Plan mensual'!O150,0))+parametros_manuales!$E$33*('Plan mensual'!O36+'Plan mensual'!O147+IF(parametros_manuales!$H$33="Todos",'Plan mensual'!O40+'Plan mensual'!O151,0))+parametros_manuales!$F$33*('Plan mensual'!O37+'Plan mensual'!O148+IF(parametros_manuales!$H$33="Todos",'Plan mensual'!O41+'Plan mensual'!O152,0))+parametros_manuales!$G$33*('Plan mensual'!O38+'Plan mensual'!O149+IF(parametros_manuales!$H$33="Todos",'Plan mensual'!O42+'Plan mensual'!O153,0)))*parametros_manuales!$I$33*parametros_manuales!$J$33</f>
        <v>5916.777803801</v>
      </c>
      <c r="N97" s="9" t="n">
        <f aca="false">SUM(B97:M97)</f>
        <v>50592.3495301</v>
      </c>
      <c r="O97" s="9" t="n">
        <f aca="false">MAX(B97:M97)</f>
        <v>5916.777803801</v>
      </c>
      <c r="P97" s="44" t="n">
        <f aca="false">O97/(parametros_manuales!$B$7)</f>
        <v>39.4451853586733</v>
      </c>
      <c r="Q97" s="8" t="str">
        <f aca="false">IF(O97=0,"-",INDEX($B$82:$M$82,MATCH(O97,B97:M97,0)))</f>
        <v>Dic</v>
      </c>
    </row>
    <row r="98" customFormat="false" ht="14.25" hidden="false" customHeight="true" outlineLevel="0" collapsed="false">
      <c r="A98" s="8" t="str">
        <f aca="false">parametros_manuales!$B$34</f>
        <v>Granallado</v>
      </c>
      <c r="B98" s="9" t="n">
        <f aca="false">(parametros_manuales!$D$34*('Plan mensual'!D35+'Plan mensual'!D146+IF(parametros_manuales!$H$34="Todos",'Plan mensual'!D39+'Plan mensual'!D150,0))+parametros_manuales!$E$34*('Plan mensual'!D36+'Plan mensual'!D147+IF(parametros_manuales!$H$34="Todos",'Plan mensual'!D40+'Plan mensual'!D151,0))+parametros_manuales!$F$34*('Plan mensual'!D37+'Plan mensual'!D148+IF(parametros_manuales!$H$34="Todos",'Plan mensual'!D41+'Plan mensual'!D152,0))+parametros_manuales!$G$34*('Plan mensual'!D38+'Plan mensual'!D149+IF(parametros_manuales!$H$34="Todos",'Plan mensual'!D42+'Plan mensual'!D153,0)))*parametros_manuales!$I$34*parametros_manuales!$J$34</f>
        <v>5762.47366399</v>
      </c>
      <c r="C98" s="9" t="n">
        <f aca="false">(parametros_manuales!$D$34*('Plan mensual'!E35+'Plan mensual'!E146+IF(parametros_manuales!$H$34="Todos",'Plan mensual'!E39+'Plan mensual'!E150,0))+parametros_manuales!$E$34*('Plan mensual'!E36+'Plan mensual'!E147+IF(parametros_manuales!$H$34="Todos",'Plan mensual'!E40+'Plan mensual'!E151,0))+parametros_manuales!$F$34*('Plan mensual'!E37+'Plan mensual'!E148+IF(parametros_manuales!$H$34="Todos",'Plan mensual'!E41+'Plan mensual'!E152,0))+parametros_manuales!$G$34*('Plan mensual'!E38+'Plan mensual'!E149+IF(parametros_manuales!$H$34="Todos",'Plan mensual'!E42+'Plan mensual'!E153,0)))*parametros_manuales!$I$34*parametros_manuales!$J$34</f>
        <v>4399.007317898</v>
      </c>
      <c r="D98" s="9" t="n">
        <f aca="false">(parametros_manuales!$D$34*('Plan mensual'!F35+'Plan mensual'!F146+IF(parametros_manuales!$H$34="Todos",'Plan mensual'!F39+'Plan mensual'!F150,0))+parametros_manuales!$E$34*('Plan mensual'!F36+'Plan mensual'!F147+IF(parametros_manuales!$H$34="Todos",'Plan mensual'!F40+'Plan mensual'!F151,0))+parametros_manuales!$F$34*('Plan mensual'!F37+'Plan mensual'!F148+IF(parametros_manuales!$H$34="Todos",'Plan mensual'!F41+'Plan mensual'!F152,0))+parametros_manuales!$G$34*('Plan mensual'!F38+'Plan mensual'!F149+IF(parametros_manuales!$H$34="Todos",'Plan mensual'!F42+'Plan mensual'!F153,0)))*parametros_manuales!$I$34*parametros_manuales!$J$34</f>
        <v>4124.5400323135</v>
      </c>
      <c r="E98" s="9" t="n">
        <f aca="false">(parametros_manuales!$D$34*('Plan mensual'!G35+'Plan mensual'!G146+IF(parametros_manuales!$H$34="Todos",'Plan mensual'!G39+'Plan mensual'!G150,0))+parametros_manuales!$E$34*('Plan mensual'!G36+'Plan mensual'!G147+IF(parametros_manuales!$H$34="Todos",'Plan mensual'!G40+'Plan mensual'!G151,0))+parametros_manuales!$F$34*('Plan mensual'!G37+'Plan mensual'!G148+IF(parametros_manuales!$H$34="Todos",'Plan mensual'!G41+'Plan mensual'!G152,0))+parametros_manuales!$G$34*('Plan mensual'!G38+'Plan mensual'!G149+IF(parametros_manuales!$H$34="Todos",'Plan mensual'!G42+'Plan mensual'!G153,0)))*parametros_manuales!$I$34*parametros_manuales!$J$34</f>
        <v>3948.7303545685</v>
      </c>
      <c r="F98" s="9" t="n">
        <f aca="false">(parametros_manuales!$D$34*('Plan mensual'!H35+'Plan mensual'!H146+IF(parametros_manuales!$H$34="Todos",'Plan mensual'!H39+'Plan mensual'!H150,0))+parametros_manuales!$E$34*('Plan mensual'!H36+'Plan mensual'!H147+IF(parametros_manuales!$H$34="Todos",'Plan mensual'!H40+'Plan mensual'!H151,0))+parametros_manuales!$F$34*('Plan mensual'!H37+'Plan mensual'!H148+IF(parametros_manuales!$H$34="Todos",'Plan mensual'!H41+'Plan mensual'!H152,0))+parametros_manuales!$G$34*('Plan mensual'!H38+'Plan mensual'!H149+IF(parametros_manuales!$H$34="Todos",'Plan mensual'!H42+'Plan mensual'!H153,0)))*parametros_manuales!$I$34*parametros_manuales!$J$34</f>
        <v>3695.768606918</v>
      </c>
      <c r="G98" s="9" t="n">
        <f aca="false">(parametros_manuales!$D$34*('Plan mensual'!I35+'Plan mensual'!I146+IF(parametros_manuales!$H$34="Todos",'Plan mensual'!I39+'Plan mensual'!I150,0))+parametros_manuales!$E$34*('Plan mensual'!I36+'Plan mensual'!I147+IF(parametros_manuales!$H$34="Todos",'Plan mensual'!I40+'Plan mensual'!I151,0))+parametros_manuales!$F$34*('Plan mensual'!I37+'Plan mensual'!I148+IF(parametros_manuales!$H$34="Todos",'Plan mensual'!I41+'Plan mensual'!I152,0))+parametros_manuales!$G$34*('Plan mensual'!I38+'Plan mensual'!I149+IF(parametros_manuales!$H$34="Todos",'Plan mensual'!I42+'Plan mensual'!I153,0)))*parametros_manuales!$I$34*parametros_manuales!$J$34</f>
        <v>3618.6165370125</v>
      </c>
      <c r="H98" s="9" t="n">
        <f aca="false">(parametros_manuales!$D$34*('Plan mensual'!J35+'Plan mensual'!J146+IF(parametros_manuales!$H$34="Todos",'Plan mensual'!J39+'Plan mensual'!J150,0))+parametros_manuales!$E$34*('Plan mensual'!J36+'Plan mensual'!J147+IF(parametros_manuales!$H$34="Todos",'Plan mensual'!J40+'Plan mensual'!J151,0))+parametros_manuales!$F$34*('Plan mensual'!J37+'Plan mensual'!J148+IF(parametros_manuales!$H$34="Todos",'Plan mensual'!J41+'Plan mensual'!J152,0))+parametros_manuales!$G$34*('Plan mensual'!J38+'Plan mensual'!J149+IF(parametros_manuales!$H$34="Todos",'Plan mensual'!J42+'Plan mensual'!J153,0)))*parametros_manuales!$I$34*parametros_manuales!$J$34</f>
        <v>3871.578284663</v>
      </c>
      <c r="I98" s="9" t="n">
        <f aca="false">(parametros_manuales!$D$34*('Plan mensual'!K35+'Plan mensual'!K146+IF(parametros_manuales!$H$34="Todos",'Plan mensual'!K39+'Plan mensual'!K150,0))+parametros_manuales!$E$34*('Plan mensual'!K36+'Plan mensual'!K147+IF(parametros_manuales!$H$34="Todos",'Plan mensual'!K40+'Plan mensual'!K151,0))+parametros_manuales!$F$34*('Plan mensual'!K37+'Plan mensual'!K148+IF(parametros_manuales!$H$34="Todos",'Plan mensual'!K41+'Plan mensual'!K152,0))+parametros_manuales!$G$34*('Plan mensual'!K38+'Plan mensual'!K149+IF(parametros_manuales!$H$34="Todos",'Plan mensual'!K42+'Plan mensual'!K153,0)))*parametros_manuales!$I$34*parametros_manuales!$J$34</f>
        <v>3871.578284663</v>
      </c>
      <c r="J98" s="9" t="n">
        <f aca="false">(parametros_manuales!$D$34*('Plan mensual'!L35+'Plan mensual'!L146+IF(parametros_manuales!$H$34="Todos",'Plan mensual'!L39+'Plan mensual'!L150,0))+parametros_manuales!$E$34*('Plan mensual'!L36+'Plan mensual'!L147+IF(parametros_manuales!$H$34="Todos",'Plan mensual'!L40+'Plan mensual'!L151,0))+parametros_manuales!$F$34*('Plan mensual'!L37+'Plan mensual'!L148+IF(parametros_manuales!$H$34="Todos",'Plan mensual'!L41+'Plan mensual'!L152,0))+parametros_manuales!$G$34*('Plan mensual'!L38+'Plan mensual'!L149+IF(parametros_manuales!$H$34="Todos",'Plan mensual'!L42+'Plan mensual'!L153,0)))*parametros_manuales!$I$34*parametros_manuales!$J$34</f>
        <v>3871.578284663</v>
      </c>
      <c r="K98" s="9" t="n">
        <f aca="false">(parametros_manuales!$D$34*('Plan mensual'!M35+'Plan mensual'!M146+IF(parametros_manuales!$H$34="Todos",'Plan mensual'!M39+'Plan mensual'!M150,0))+parametros_manuales!$E$34*('Plan mensual'!M36+'Plan mensual'!M147+IF(parametros_manuales!$H$34="Todos",'Plan mensual'!M40+'Plan mensual'!M151,0))+parametros_manuales!$F$34*('Plan mensual'!M37+'Plan mensual'!M148+IF(parametros_manuales!$H$34="Todos",'Plan mensual'!M41+'Plan mensual'!M152,0))+parametros_manuales!$G$34*('Plan mensual'!M38+'Plan mensual'!M149+IF(parametros_manuales!$H$34="Todos",'Plan mensual'!M42+'Plan mensual'!M153,0)))*parametros_manuales!$I$34*parametros_manuales!$J$34</f>
        <v>3794.4262147575</v>
      </c>
      <c r="L98" s="9" t="n">
        <f aca="false">(parametros_manuales!$D$34*('Plan mensual'!N35+'Plan mensual'!N146+IF(parametros_manuales!$H$34="Todos",'Plan mensual'!N39+'Plan mensual'!N150,0))+parametros_manuales!$E$34*('Plan mensual'!N36+'Plan mensual'!N147+IF(parametros_manuales!$H$34="Todos",'Plan mensual'!N40+'Plan mensual'!N151,0))+parametros_manuales!$F$34*('Plan mensual'!N37+'Plan mensual'!N148+IF(parametros_manuales!$H$34="Todos",'Plan mensual'!N41+'Plan mensual'!N152,0))+parametros_manuales!$G$34*('Plan mensual'!N38+'Plan mensual'!N149+IF(parametros_manuales!$H$34="Todos",'Plan mensual'!N42+'Plan mensual'!N153,0)))*parametros_manuales!$I$34*parametros_manuales!$J$34</f>
        <v>3717.274144852</v>
      </c>
      <c r="M98" s="9" t="n">
        <f aca="false">(parametros_manuales!$D$34*('Plan mensual'!O35+'Plan mensual'!O146+IF(parametros_manuales!$H$34="Todos",'Plan mensual'!O39+'Plan mensual'!O150,0))+parametros_manuales!$E$34*('Plan mensual'!O36+'Plan mensual'!O147+IF(parametros_manuales!$H$34="Todos",'Plan mensual'!O40+'Plan mensual'!O151,0))+parametros_manuales!$F$34*('Plan mensual'!O37+'Plan mensual'!O148+IF(parametros_manuales!$H$34="Todos",'Plan mensual'!O41+'Plan mensual'!O152,0))+parametros_manuales!$G$34*('Plan mensual'!O38+'Plan mensual'!O149+IF(parametros_manuales!$H$34="Todos",'Plan mensual'!O42+'Plan mensual'!O153,0)))*parametros_manuales!$I$34*parametros_manuales!$J$34</f>
        <v>5916.777803801</v>
      </c>
      <c r="N98" s="9" t="n">
        <f aca="false">SUM(B98:M98)</f>
        <v>50592.3495301</v>
      </c>
      <c r="O98" s="9" t="n">
        <f aca="false">MAX(B98:M98)</f>
        <v>5916.777803801</v>
      </c>
      <c r="P98" s="44" t="n">
        <f aca="false">O98/(parametros_manuales!$B$7)</f>
        <v>39.4451853586733</v>
      </c>
      <c r="Q98" s="8" t="str">
        <f aca="false">IF(O98=0,"-",INDEX($B$82:$M$82,MATCH(O98,B98:M98,0)))</f>
        <v>Dic</v>
      </c>
    </row>
    <row r="99" customFormat="false" ht="14.25" hidden="false" customHeight="true" outlineLevel="0" collapsed="false">
      <c r="A99" s="8" t="str">
        <f aca="false">parametros_manuales!$B$35</f>
        <v>Detección de defectos</v>
      </c>
      <c r="B99" s="9" t="n">
        <f aca="false">(parametros_manuales!$D$35*('Plan mensual'!D35+'Plan mensual'!D146+IF(parametros_manuales!$H$35="Todos",'Plan mensual'!D39+'Plan mensual'!D150,0))+parametros_manuales!$E$35*('Plan mensual'!D36+'Plan mensual'!D147+IF(parametros_manuales!$H$35="Todos",'Plan mensual'!D40+'Plan mensual'!D151,0))+parametros_manuales!$F$35*('Plan mensual'!D37+'Plan mensual'!D148+IF(parametros_manuales!$H$35="Todos",'Plan mensual'!D41+'Plan mensual'!D152,0))+parametros_manuales!$G$35*('Plan mensual'!D38+'Plan mensual'!D149+IF(parametros_manuales!$H$35="Todos",'Plan mensual'!D42+'Plan mensual'!D153,0)))*parametros_manuales!$I$35*parametros_manuales!$J$35</f>
        <v>5762.47366399</v>
      </c>
      <c r="C99" s="9" t="n">
        <f aca="false">(parametros_manuales!$D$35*('Plan mensual'!E35+'Plan mensual'!E146+IF(parametros_manuales!$H$35="Todos",'Plan mensual'!E39+'Plan mensual'!E150,0))+parametros_manuales!$E$35*('Plan mensual'!E36+'Plan mensual'!E147+IF(parametros_manuales!$H$35="Todos",'Plan mensual'!E40+'Plan mensual'!E151,0))+parametros_manuales!$F$35*('Plan mensual'!E37+'Plan mensual'!E148+IF(parametros_manuales!$H$35="Todos",'Plan mensual'!E41+'Plan mensual'!E152,0))+parametros_manuales!$G$35*('Plan mensual'!E38+'Plan mensual'!E149+IF(parametros_manuales!$H$35="Todos",'Plan mensual'!E42+'Plan mensual'!E153,0)))*parametros_manuales!$I$35*parametros_manuales!$J$35</f>
        <v>4399.007317898</v>
      </c>
      <c r="D99" s="9" t="n">
        <f aca="false">(parametros_manuales!$D$35*('Plan mensual'!F35+'Plan mensual'!F146+IF(parametros_manuales!$H$35="Todos",'Plan mensual'!F39+'Plan mensual'!F150,0))+parametros_manuales!$E$35*('Plan mensual'!F36+'Plan mensual'!F147+IF(parametros_manuales!$H$35="Todos",'Plan mensual'!F40+'Plan mensual'!F151,0))+parametros_manuales!$F$35*('Plan mensual'!F37+'Plan mensual'!F148+IF(parametros_manuales!$H$35="Todos",'Plan mensual'!F41+'Plan mensual'!F152,0))+parametros_manuales!$G$35*('Plan mensual'!F38+'Plan mensual'!F149+IF(parametros_manuales!$H$35="Todos",'Plan mensual'!F42+'Plan mensual'!F153,0)))*parametros_manuales!$I$35*parametros_manuales!$J$35</f>
        <v>4124.5400323135</v>
      </c>
      <c r="E99" s="9" t="n">
        <f aca="false">(parametros_manuales!$D$35*('Plan mensual'!G35+'Plan mensual'!G146+IF(parametros_manuales!$H$35="Todos",'Plan mensual'!G39+'Plan mensual'!G150,0))+parametros_manuales!$E$35*('Plan mensual'!G36+'Plan mensual'!G147+IF(parametros_manuales!$H$35="Todos",'Plan mensual'!G40+'Plan mensual'!G151,0))+parametros_manuales!$F$35*('Plan mensual'!G37+'Plan mensual'!G148+IF(parametros_manuales!$H$35="Todos",'Plan mensual'!G41+'Plan mensual'!G152,0))+parametros_manuales!$G$35*('Plan mensual'!G38+'Plan mensual'!G149+IF(parametros_manuales!$H$35="Todos",'Plan mensual'!G42+'Plan mensual'!G153,0)))*parametros_manuales!$I$35*parametros_manuales!$J$35</f>
        <v>3948.7303545685</v>
      </c>
      <c r="F99" s="9" t="n">
        <f aca="false">(parametros_manuales!$D$35*('Plan mensual'!H35+'Plan mensual'!H146+IF(parametros_manuales!$H$35="Todos",'Plan mensual'!H39+'Plan mensual'!H150,0))+parametros_manuales!$E$35*('Plan mensual'!H36+'Plan mensual'!H147+IF(parametros_manuales!$H$35="Todos",'Plan mensual'!H40+'Plan mensual'!H151,0))+parametros_manuales!$F$35*('Plan mensual'!H37+'Plan mensual'!H148+IF(parametros_manuales!$H$35="Todos",'Plan mensual'!H41+'Plan mensual'!H152,0))+parametros_manuales!$G$35*('Plan mensual'!H38+'Plan mensual'!H149+IF(parametros_manuales!$H$35="Todos",'Plan mensual'!H42+'Plan mensual'!H153,0)))*parametros_manuales!$I$35*parametros_manuales!$J$35</f>
        <v>3695.768606918</v>
      </c>
      <c r="G99" s="9" t="n">
        <f aca="false">(parametros_manuales!$D$35*('Plan mensual'!I35+'Plan mensual'!I146+IF(parametros_manuales!$H$35="Todos",'Plan mensual'!I39+'Plan mensual'!I150,0))+parametros_manuales!$E$35*('Plan mensual'!I36+'Plan mensual'!I147+IF(parametros_manuales!$H$35="Todos",'Plan mensual'!I40+'Plan mensual'!I151,0))+parametros_manuales!$F$35*('Plan mensual'!I37+'Plan mensual'!I148+IF(parametros_manuales!$H$35="Todos",'Plan mensual'!I41+'Plan mensual'!I152,0))+parametros_manuales!$G$35*('Plan mensual'!I38+'Plan mensual'!I149+IF(parametros_manuales!$H$35="Todos",'Plan mensual'!I42+'Plan mensual'!I153,0)))*parametros_manuales!$I$35*parametros_manuales!$J$35</f>
        <v>3618.6165370125</v>
      </c>
      <c r="H99" s="9" t="n">
        <f aca="false">(parametros_manuales!$D$35*('Plan mensual'!J35+'Plan mensual'!J146+IF(parametros_manuales!$H$35="Todos",'Plan mensual'!J39+'Plan mensual'!J150,0))+parametros_manuales!$E$35*('Plan mensual'!J36+'Plan mensual'!J147+IF(parametros_manuales!$H$35="Todos",'Plan mensual'!J40+'Plan mensual'!J151,0))+parametros_manuales!$F$35*('Plan mensual'!J37+'Plan mensual'!J148+IF(parametros_manuales!$H$35="Todos",'Plan mensual'!J41+'Plan mensual'!J152,0))+parametros_manuales!$G$35*('Plan mensual'!J38+'Plan mensual'!J149+IF(parametros_manuales!$H$35="Todos",'Plan mensual'!J42+'Plan mensual'!J153,0)))*parametros_manuales!$I$35*parametros_manuales!$J$35</f>
        <v>3871.578284663</v>
      </c>
      <c r="I99" s="9" t="n">
        <f aca="false">(parametros_manuales!$D$35*('Plan mensual'!K35+'Plan mensual'!K146+IF(parametros_manuales!$H$35="Todos",'Plan mensual'!K39+'Plan mensual'!K150,0))+parametros_manuales!$E$35*('Plan mensual'!K36+'Plan mensual'!K147+IF(parametros_manuales!$H$35="Todos",'Plan mensual'!K40+'Plan mensual'!K151,0))+parametros_manuales!$F$35*('Plan mensual'!K37+'Plan mensual'!K148+IF(parametros_manuales!$H$35="Todos",'Plan mensual'!K41+'Plan mensual'!K152,0))+parametros_manuales!$G$35*('Plan mensual'!K38+'Plan mensual'!K149+IF(parametros_manuales!$H$35="Todos",'Plan mensual'!K42+'Plan mensual'!K153,0)))*parametros_manuales!$I$35*parametros_manuales!$J$35</f>
        <v>3871.578284663</v>
      </c>
      <c r="J99" s="9" t="n">
        <f aca="false">(parametros_manuales!$D$35*('Plan mensual'!L35+'Plan mensual'!L146+IF(parametros_manuales!$H$35="Todos",'Plan mensual'!L39+'Plan mensual'!L150,0))+parametros_manuales!$E$35*('Plan mensual'!L36+'Plan mensual'!L147+IF(parametros_manuales!$H$35="Todos",'Plan mensual'!L40+'Plan mensual'!L151,0))+parametros_manuales!$F$35*('Plan mensual'!L37+'Plan mensual'!L148+IF(parametros_manuales!$H$35="Todos",'Plan mensual'!L41+'Plan mensual'!L152,0))+parametros_manuales!$G$35*('Plan mensual'!L38+'Plan mensual'!L149+IF(parametros_manuales!$H$35="Todos",'Plan mensual'!L42+'Plan mensual'!L153,0)))*parametros_manuales!$I$35*parametros_manuales!$J$35</f>
        <v>3871.578284663</v>
      </c>
      <c r="K99" s="9" t="n">
        <f aca="false">(parametros_manuales!$D$35*('Plan mensual'!M35+'Plan mensual'!M146+IF(parametros_manuales!$H$35="Todos",'Plan mensual'!M39+'Plan mensual'!M150,0))+parametros_manuales!$E$35*('Plan mensual'!M36+'Plan mensual'!M147+IF(parametros_manuales!$H$35="Todos",'Plan mensual'!M40+'Plan mensual'!M151,0))+parametros_manuales!$F$35*('Plan mensual'!M37+'Plan mensual'!M148+IF(parametros_manuales!$H$35="Todos",'Plan mensual'!M41+'Plan mensual'!M152,0))+parametros_manuales!$G$35*('Plan mensual'!M38+'Plan mensual'!M149+IF(parametros_manuales!$H$35="Todos",'Plan mensual'!M42+'Plan mensual'!M153,0)))*parametros_manuales!$I$35*parametros_manuales!$J$35</f>
        <v>3794.4262147575</v>
      </c>
      <c r="L99" s="9" t="n">
        <f aca="false">(parametros_manuales!$D$35*('Plan mensual'!N35+'Plan mensual'!N146+IF(parametros_manuales!$H$35="Todos",'Plan mensual'!N39+'Plan mensual'!N150,0))+parametros_manuales!$E$35*('Plan mensual'!N36+'Plan mensual'!N147+IF(parametros_manuales!$H$35="Todos",'Plan mensual'!N40+'Plan mensual'!N151,0))+parametros_manuales!$F$35*('Plan mensual'!N37+'Plan mensual'!N148+IF(parametros_manuales!$H$35="Todos",'Plan mensual'!N41+'Plan mensual'!N152,0))+parametros_manuales!$G$35*('Plan mensual'!N38+'Plan mensual'!N149+IF(parametros_manuales!$H$35="Todos",'Plan mensual'!N42+'Plan mensual'!N153,0)))*parametros_manuales!$I$35*parametros_manuales!$J$35</f>
        <v>3717.274144852</v>
      </c>
      <c r="M99" s="9" t="n">
        <f aca="false">(parametros_manuales!$D$35*('Plan mensual'!O35+'Plan mensual'!O146+IF(parametros_manuales!$H$35="Todos",'Plan mensual'!O39+'Plan mensual'!O150,0))+parametros_manuales!$E$35*('Plan mensual'!O36+'Plan mensual'!O147+IF(parametros_manuales!$H$35="Todos",'Plan mensual'!O40+'Plan mensual'!O151,0))+parametros_manuales!$F$35*('Plan mensual'!O37+'Plan mensual'!O148+IF(parametros_manuales!$H$35="Todos",'Plan mensual'!O41+'Plan mensual'!O152,0))+parametros_manuales!$G$35*('Plan mensual'!O38+'Plan mensual'!O149+IF(parametros_manuales!$H$35="Todos",'Plan mensual'!O42+'Plan mensual'!O153,0)))*parametros_manuales!$I$35*parametros_manuales!$J$35</f>
        <v>5916.777803801</v>
      </c>
      <c r="N99" s="9" t="n">
        <f aca="false">SUM(B99:M99)</f>
        <v>50592.3495301</v>
      </c>
      <c r="O99" s="9" t="n">
        <f aca="false">MAX(B99:M99)</f>
        <v>5916.777803801</v>
      </c>
      <c r="P99" s="44" t="n">
        <f aca="false">O99/(parametros_manuales!$B$7)</f>
        <v>39.4451853586733</v>
      </c>
      <c r="Q99" s="8" t="str">
        <f aca="false">IF(O99=0,"-",INDEX($B$82:$M$82,MATCH(O99,B99:M99,0)))</f>
        <v>Dic</v>
      </c>
    </row>
    <row r="100" customFormat="false" ht="14.25" hidden="false" customHeight="true" outlineLevel="0" collapsed="false">
      <c r="A100" s="8" t="str">
        <f aca="false">parametros_manuales!$B$36</f>
        <v>Corrección de defectos</v>
      </c>
      <c r="B100" s="9" t="n">
        <f aca="false">(parametros_manuales!$D$36*('Plan mensual'!D35+'Plan mensual'!D146+IF(parametros_manuales!$H$36="Todos",'Plan mensual'!D39+'Plan mensual'!D150,0))+parametros_manuales!$E$36*('Plan mensual'!D36+'Plan mensual'!D147+IF(parametros_manuales!$H$36="Todos",'Plan mensual'!D40+'Plan mensual'!D151,0))+parametros_manuales!$F$36*('Plan mensual'!D37+'Plan mensual'!D148+IF(parametros_manuales!$H$36="Todos",'Plan mensual'!D41+'Plan mensual'!D152,0))+parametros_manuales!$G$36*('Plan mensual'!D38+'Plan mensual'!D149+IF(parametros_manuales!$H$36="Todos",'Plan mensual'!D42+'Plan mensual'!D153,0)))*parametros_manuales!$I$36*parametros_manuales!$J$36</f>
        <v>288.1236831995</v>
      </c>
      <c r="C100" s="9" t="n">
        <f aca="false">(parametros_manuales!$D$36*('Plan mensual'!E35+'Plan mensual'!E146+IF(parametros_manuales!$H$36="Todos",'Plan mensual'!E39+'Plan mensual'!E150,0))+parametros_manuales!$E$36*('Plan mensual'!E36+'Plan mensual'!E147+IF(parametros_manuales!$H$36="Todos",'Plan mensual'!E40+'Plan mensual'!E151,0))+parametros_manuales!$F$36*('Plan mensual'!E37+'Plan mensual'!E148+IF(parametros_manuales!$H$36="Todos",'Plan mensual'!E41+'Plan mensual'!E152,0))+parametros_manuales!$G$36*('Plan mensual'!E38+'Plan mensual'!E149+IF(parametros_manuales!$H$36="Todos",'Plan mensual'!E42+'Plan mensual'!E153,0)))*parametros_manuales!$I$36*parametros_manuales!$J$36</f>
        <v>219.9503658949</v>
      </c>
      <c r="D100" s="9" t="n">
        <f aca="false">(parametros_manuales!$D$36*('Plan mensual'!F35+'Plan mensual'!F146+IF(parametros_manuales!$H$36="Todos",'Plan mensual'!F39+'Plan mensual'!F150,0))+parametros_manuales!$E$36*('Plan mensual'!F36+'Plan mensual'!F147+IF(parametros_manuales!$H$36="Todos",'Plan mensual'!F40+'Plan mensual'!F151,0))+parametros_manuales!$F$36*('Plan mensual'!F37+'Plan mensual'!F148+IF(parametros_manuales!$H$36="Todos",'Plan mensual'!F41+'Plan mensual'!F152,0))+parametros_manuales!$G$36*('Plan mensual'!F38+'Plan mensual'!F149+IF(parametros_manuales!$H$36="Todos",'Plan mensual'!F42+'Plan mensual'!F153,0)))*parametros_manuales!$I$36*parametros_manuales!$J$36</f>
        <v>206.227001615675</v>
      </c>
      <c r="E100" s="9" t="n">
        <f aca="false">(parametros_manuales!$D$36*('Plan mensual'!G35+'Plan mensual'!G146+IF(parametros_manuales!$H$36="Todos",'Plan mensual'!G39+'Plan mensual'!G150,0))+parametros_manuales!$E$36*('Plan mensual'!G36+'Plan mensual'!G147+IF(parametros_manuales!$H$36="Todos",'Plan mensual'!G40+'Plan mensual'!G151,0))+parametros_manuales!$F$36*('Plan mensual'!G37+'Plan mensual'!G148+IF(parametros_manuales!$H$36="Todos",'Plan mensual'!G41+'Plan mensual'!G152,0))+parametros_manuales!$G$36*('Plan mensual'!G38+'Plan mensual'!G149+IF(parametros_manuales!$H$36="Todos",'Plan mensual'!G42+'Plan mensual'!G153,0)))*parametros_manuales!$I$36*parametros_manuales!$J$36</f>
        <v>197.436517728425</v>
      </c>
      <c r="F100" s="9" t="n">
        <f aca="false">(parametros_manuales!$D$36*('Plan mensual'!H35+'Plan mensual'!H146+IF(parametros_manuales!$H$36="Todos",'Plan mensual'!H39+'Plan mensual'!H150,0))+parametros_manuales!$E$36*('Plan mensual'!H36+'Plan mensual'!H147+IF(parametros_manuales!$H$36="Todos",'Plan mensual'!H40+'Plan mensual'!H151,0))+parametros_manuales!$F$36*('Plan mensual'!H37+'Plan mensual'!H148+IF(parametros_manuales!$H$36="Todos",'Plan mensual'!H41+'Plan mensual'!H152,0))+parametros_manuales!$G$36*('Plan mensual'!H38+'Plan mensual'!H149+IF(parametros_manuales!$H$36="Todos",'Plan mensual'!H42+'Plan mensual'!H153,0)))*parametros_manuales!$I$36*parametros_manuales!$J$36</f>
        <v>184.7884303459</v>
      </c>
      <c r="G100" s="9" t="n">
        <f aca="false">(parametros_manuales!$D$36*('Plan mensual'!I35+'Plan mensual'!I146+IF(parametros_manuales!$H$36="Todos",'Plan mensual'!I39+'Plan mensual'!I150,0))+parametros_manuales!$E$36*('Plan mensual'!I36+'Plan mensual'!I147+IF(parametros_manuales!$H$36="Todos",'Plan mensual'!I40+'Plan mensual'!I151,0))+parametros_manuales!$F$36*('Plan mensual'!I37+'Plan mensual'!I148+IF(parametros_manuales!$H$36="Todos",'Plan mensual'!I41+'Plan mensual'!I152,0))+parametros_manuales!$G$36*('Plan mensual'!I38+'Plan mensual'!I149+IF(parametros_manuales!$H$36="Todos",'Plan mensual'!I42+'Plan mensual'!I153,0)))*parametros_manuales!$I$36*parametros_manuales!$J$36</f>
        <v>180.930826850625</v>
      </c>
      <c r="H100" s="9" t="n">
        <f aca="false">(parametros_manuales!$D$36*('Plan mensual'!J35+'Plan mensual'!J146+IF(parametros_manuales!$H$36="Todos",'Plan mensual'!J39+'Plan mensual'!J150,0))+parametros_manuales!$E$36*('Plan mensual'!J36+'Plan mensual'!J147+IF(parametros_manuales!$H$36="Todos",'Plan mensual'!J40+'Plan mensual'!J151,0))+parametros_manuales!$F$36*('Plan mensual'!J37+'Plan mensual'!J148+IF(parametros_manuales!$H$36="Todos",'Plan mensual'!J41+'Plan mensual'!J152,0))+parametros_manuales!$G$36*('Plan mensual'!J38+'Plan mensual'!J149+IF(parametros_manuales!$H$36="Todos",'Plan mensual'!J42+'Plan mensual'!J153,0)))*parametros_manuales!$I$36*parametros_manuales!$J$36</f>
        <v>193.57891423315</v>
      </c>
      <c r="I100" s="9" t="n">
        <f aca="false">(parametros_manuales!$D$36*('Plan mensual'!K35+'Plan mensual'!K146+IF(parametros_manuales!$H$36="Todos",'Plan mensual'!K39+'Plan mensual'!K150,0))+parametros_manuales!$E$36*('Plan mensual'!K36+'Plan mensual'!K147+IF(parametros_manuales!$H$36="Todos",'Plan mensual'!K40+'Plan mensual'!K151,0))+parametros_manuales!$F$36*('Plan mensual'!K37+'Plan mensual'!K148+IF(parametros_manuales!$H$36="Todos",'Plan mensual'!K41+'Plan mensual'!K152,0))+parametros_manuales!$G$36*('Plan mensual'!K38+'Plan mensual'!K149+IF(parametros_manuales!$H$36="Todos",'Plan mensual'!K42+'Plan mensual'!K153,0)))*parametros_manuales!$I$36*parametros_manuales!$J$36</f>
        <v>193.57891423315</v>
      </c>
      <c r="J100" s="9" t="n">
        <f aca="false">(parametros_manuales!$D$36*('Plan mensual'!L35+'Plan mensual'!L146+IF(parametros_manuales!$H$36="Todos",'Plan mensual'!L39+'Plan mensual'!L150,0))+parametros_manuales!$E$36*('Plan mensual'!L36+'Plan mensual'!L147+IF(parametros_manuales!$H$36="Todos",'Plan mensual'!L40+'Plan mensual'!L151,0))+parametros_manuales!$F$36*('Plan mensual'!L37+'Plan mensual'!L148+IF(parametros_manuales!$H$36="Todos",'Plan mensual'!L41+'Plan mensual'!L152,0))+parametros_manuales!$G$36*('Plan mensual'!L38+'Plan mensual'!L149+IF(parametros_manuales!$H$36="Todos",'Plan mensual'!L42+'Plan mensual'!L153,0)))*parametros_manuales!$I$36*parametros_manuales!$J$36</f>
        <v>193.57891423315</v>
      </c>
      <c r="K100" s="9" t="n">
        <f aca="false">(parametros_manuales!$D$36*('Plan mensual'!M35+'Plan mensual'!M146+IF(parametros_manuales!$H$36="Todos",'Plan mensual'!M39+'Plan mensual'!M150,0))+parametros_manuales!$E$36*('Plan mensual'!M36+'Plan mensual'!M147+IF(parametros_manuales!$H$36="Todos",'Plan mensual'!M40+'Plan mensual'!M151,0))+parametros_manuales!$F$36*('Plan mensual'!M37+'Plan mensual'!M148+IF(parametros_manuales!$H$36="Todos",'Plan mensual'!M41+'Plan mensual'!M152,0))+parametros_manuales!$G$36*('Plan mensual'!M38+'Plan mensual'!M149+IF(parametros_manuales!$H$36="Todos",'Plan mensual'!M42+'Plan mensual'!M153,0)))*parametros_manuales!$I$36*parametros_manuales!$J$36</f>
        <v>189.721310737875</v>
      </c>
      <c r="L100" s="9" t="n">
        <f aca="false">(parametros_manuales!$D$36*('Plan mensual'!N35+'Plan mensual'!N146+IF(parametros_manuales!$H$36="Todos",'Plan mensual'!N39+'Plan mensual'!N150,0))+parametros_manuales!$E$36*('Plan mensual'!N36+'Plan mensual'!N147+IF(parametros_manuales!$H$36="Todos",'Plan mensual'!N40+'Plan mensual'!N151,0))+parametros_manuales!$F$36*('Plan mensual'!N37+'Plan mensual'!N148+IF(parametros_manuales!$H$36="Todos",'Plan mensual'!N41+'Plan mensual'!N152,0))+parametros_manuales!$G$36*('Plan mensual'!N38+'Plan mensual'!N149+IF(parametros_manuales!$H$36="Todos",'Plan mensual'!N42+'Plan mensual'!N153,0)))*parametros_manuales!$I$36*parametros_manuales!$J$36</f>
        <v>185.8637072426</v>
      </c>
      <c r="M100" s="9" t="n">
        <f aca="false">(parametros_manuales!$D$36*('Plan mensual'!O35+'Plan mensual'!O146+IF(parametros_manuales!$H$36="Todos",'Plan mensual'!O39+'Plan mensual'!O150,0))+parametros_manuales!$E$36*('Plan mensual'!O36+'Plan mensual'!O147+IF(parametros_manuales!$H$36="Todos",'Plan mensual'!O40+'Plan mensual'!O151,0))+parametros_manuales!$F$36*('Plan mensual'!O37+'Plan mensual'!O148+IF(parametros_manuales!$H$36="Todos",'Plan mensual'!O41+'Plan mensual'!O152,0))+parametros_manuales!$G$36*('Plan mensual'!O38+'Plan mensual'!O149+IF(parametros_manuales!$H$36="Todos",'Plan mensual'!O42+'Plan mensual'!O153,0)))*parametros_manuales!$I$36*parametros_manuales!$J$36</f>
        <v>295.83889019005</v>
      </c>
      <c r="N100" s="9" t="n">
        <f aca="false">SUM(B100:M100)</f>
        <v>2529.617476505</v>
      </c>
      <c r="O100" s="9" t="n">
        <f aca="false">MAX(B100:M100)</f>
        <v>295.83889019005</v>
      </c>
      <c r="P100" s="44" t="n">
        <f aca="false">O100/(parametros_manuales!$B$7)</f>
        <v>1.97225926793367</v>
      </c>
      <c r="Q100" s="8" t="str">
        <f aca="false">IF(O100=0,"-",INDEX($B$82:$M$82,MATCH(O100,B100:M100,0)))</f>
        <v>Dic</v>
      </c>
    </row>
    <row r="101" customFormat="false" ht="14.25" hidden="false" customHeight="true" outlineLevel="0" collapsed="false">
      <c r="A101" s="8" t="str">
        <f aca="false">parametros_manuales!$B$37</f>
        <v>Pintura en polvo + horno</v>
      </c>
      <c r="B101" s="9" t="n">
        <f aca="false">(parametros_manuales!$D$37*('Plan mensual'!D35+'Plan mensual'!D146+IF(parametros_manuales!$H$37="Todos",'Plan mensual'!D39+'Plan mensual'!D150,0))+parametros_manuales!$E$37*('Plan mensual'!D36+'Plan mensual'!D147+IF(parametros_manuales!$H$37="Todos",'Plan mensual'!D40+'Plan mensual'!D151,0))+parametros_manuales!$F$37*('Plan mensual'!D37+'Plan mensual'!D148+IF(parametros_manuales!$H$37="Todos",'Plan mensual'!D41+'Plan mensual'!D152,0))+parametros_manuales!$G$37*('Plan mensual'!D38+'Plan mensual'!D149+IF(parametros_manuales!$H$37="Todos",'Plan mensual'!D42+'Plan mensual'!D153,0)))*parametros_manuales!$I$37*parametros_manuales!$J$37</f>
        <v>5762.47366399</v>
      </c>
      <c r="C101" s="9" t="n">
        <f aca="false">(parametros_manuales!$D$37*('Plan mensual'!E35+'Plan mensual'!E146+IF(parametros_manuales!$H$37="Todos",'Plan mensual'!E39+'Plan mensual'!E150,0))+parametros_manuales!$E$37*('Plan mensual'!E36+'Plan mensual'!E147+IF(parametros_manuales!$H$37="Todos",'Plan mensual'!E40+'Plan mensual'!E151,0))+parametros_manuales!$F$37*('Plan mensual'!E37+'Plan mensual'!E148+IF(parametros_manuales!$H$37="Todos",'Plan mensual'!E41+'Plan mensual'!E152,0))+parametros_manuales!$G$37*('Plan mensual'!E38+'Plan mensual'!E149+IF(parametros_manuales!$H$37="Todos",'Plan mensual'!E42+'Plan mensual'!E153,0)))*parametros_manuales!$I$37*parametros_manuales!$J$37</f>
        <v>4399.007317898</v>
      </c>
      <c r="D101" s="9" t="n">
        <f aca="false">(parametros_manuales!$D$37*('Plan mensual'!F35+'Plan mensual'!F146+IF(parametros_manuales!$H$37="Todos",'Plan mensual'!F39+'Plan mensual'!F150,0))+parametros_manuales!$E$37*('Plan mensual'!F36+'Plan mensual'!F147+IF(parametros_manuales!$H$37="Todos",'Plan mensual'!F40+'Plan mensual'!F151,0))+parametros_manuales!$F$37*('Plan mensual'!F37+'Plan mensual'!F148+IF(parametros_manuales!$H$37="Todos",'Plan mensual'!F41+'Plan mensual'!F152,0))+parametros_manuales!$G$37*('Plan mensual'!F38+'Plan mensual'!F149+IF(parametros_manuales!$H$37="Todos",'Plan mensual'!F42+'Plan mensual'!F153,0)))*parametros_manuales!$I$37*parametros_manuales!$J$37</f>
        <v>4124.5400323135</v>
      </c>
      <c r="E101" s="9" t="n">
        <f aca="false">(parametros_manuales!$D$37*('Plan mensual'!G35+'Plan mensual'!G146+IF(parametros_manuales!$H$37="Todos",'Plan mensual'!G39+'Plan mensual'!G150,0))+parametros_manuales!$E$37*('Plan mensual'!G36+'Plan mensual'!G147+IF(parametros_manuales!$H$37="Todos",'Plan mensual'!G40+'Plan mensual'!G151,0))+parametros_manuales!$F$37*('Plan mensual'!G37+'Plan mensual'!G148+IF(parametros_manuales!$H$37="Todos",'Plan mensual'!G41+'Plan mensual'!G152,0))+parametros_manuales!$G$37*('Plan mensual'!G38+'Plan mensual'!G149+IF(parametros_manuales!$H$37="Todos",'Plan mensual'!G42+'Plan mensual'!G153,0)))*parametros_manuales!$I$37*parametros_manuales!$J$37</f>
        <v>3948.7303545685</v>
      </c>
      <c r="F101" s="9" t="n">
        <f aca="false">(parametros_manuales!$D$37*('Plan mensual'!H35+'Plan mensual'!H146+IF(parametros_manuales!$H$37="Todos",'Plan mensual'!H39+'Plan mensual'!H150,0))+parametros_manuales!$E$37*('Plan mensual'!H36+'Plan mensual'!H147+IF(parametros_manuales!$H$37="Todos",'Plan mensual'!H40+'Plan mensual'!H151,0))+parametros_manuales!$F$37*('Plan mensual'!H37+'Plan mensual'!H148+IF(parametros_manuales!$H$37="Todos",'Plan mensual'!H41+'Plan mensual'!H152,0))+parametros_manuales!$G$37*('Plan mensual'!H38+'Plan mensual'!H149+IF(parametros_manuales!$H$37="Todos",'Plan mensual'!H42+'Plan mensual'!H153,0)))*parametros_manuales!$I$37*parametros_manuales!$J$37</f>
        <v>3695.768606918</v>
      </c>
      <c r="G101" s="9" t="n">
        <f aca="false">(parametros_manuales!$D$37*('Plan mensual'!I35+'Plan mensual'!I146+IF(parametros_manuales!$H$37="Todos",'Plan mensual'!I39+'Plan mensual'!I150,0))+parametros_manuales!$E$37*('Plan mensual'!I36+'Plan mensual'!I147+IF(parametros_manuales!$H$37="Todos",'Plan mensual'!I40+'Plan mensual'!I151,0))+parametros_manuales!$F$37*('Plan mensual'!I37+'Plan mensual'!I148+IF(parametros_manuales!$H$37="Todos",'Plan mensual'!I41+'Plan mensual'!I152,0))+parametros_manuales!$G$37*('Plan mensual'!I38+'Plan mensual'!I149+IF(parametros_manuales!$H$37="Todos",'Plan mensual'!I42+'Plan mensual'!I153,0)))*parametros_manuales!$I$37*parametros_manuales!$J$37</f>
        <v>3618.6165370125</v>
      </c>
      <c r="H101" s="9" t="n">
        <f aca="false">(parametros_manuales!$D$37*('Plan mensual'!J35+'Plan mensual'!J146+IF(parametros_manuales!$H$37="Todos",'Plan mensual'!J39+'Plan mensual'!J150,0))+parametros_manuales!$E$37*('Plan mensual'!J36+'Plan mensual'!J147+IF(parametros_manuales!$H$37="Todos",'Plan mensual'!J40+'Plan mensual'!J151,0))+parametros_manuales!$F$37*('Plan mensual'!J37+'Plan mensual'!J148+IF(parametros_manuales!$H$37="Todos",'Plan mensual'!J41+'Plan mensual'!J152,0))+parametros_manuales!$G$37*('Plan mensual'!J38+'Plan mensual'!J149+IF(parametros_manuales!$H$37="Todos",'Plan mensual'!J42+'Plan mensual'!J153,0)))*parametros_manuales!$I$37*parametros_manuales!$J$37</f>
        <v>3871.578284663</v>
      </c>
      <c r="I101" s="9" t="n">
        <f aca="false">(parametros_manuales!$D$37*('Plan mensual'!K35+'Plan mensual'!K146+IF(parametros_manuales!$H$37="Todos",'Plan mensual'!K39+'Plan mensual'!K150,0))+parametros_manuales!$E$37*('Plan mensual'!K36+'Plan mensual'!K147+IF(parametros_manuales!$H$37="Todos",'Plan mensual'!K40+'Plan mensual'!K151,0))+parametros_manuales!$F$37*('Plan mensual'!K37+'Plan mensual'!K148+IF(parametros_manuales!$H$37="Todos",'Plan mensual'!K41+'Plan mensual'!K152,0))+parametros_manuales!$G$37*('Plan mensual'!K38+'Plan mensual'!K149+IF(parametros_manuales!$H$37="Todos",'Plan mensual'!K42+'Plan mensual'!K153,0)))*parametros_manuales!$I$37*parametros_manuales!$J$37</f>
        <v>3871.578284663</v>
      </c>
      <c r="J101" s="9" t="n">
        <f aca="false">(parametros_manuales!$D$37*('Plan mensual'!L35+'Plan mensual'!L146+IF(parametros_manuales!$H$37="Todos",'Plan mensual'!L39+'Plan mensual'!L150,0))+parametros_manuales!$E$37*('Plan mensual'!L36+'Plan mensual'!L147+IF(parametros_manuales!$H$37="Todos",'Plan mensual'!L40+'Plan mensual'!L151,0))+parametros_manuales!$F$37*('Plan mensual'!L37+'Plan mensual'!L148+IF(parametros_manuales!$H$37="Todos",'Plan mensual'!L41+'Plan mensual'!L152,0))+parametros_manuales!$G$37*('Plan mensual'!L38+'Plan mensual'!L149+IF(parametros_manuales!$H$37="Todos",'Plan mensual'!L42+'Plan mensual'!L153,0)))*parametros_manuales!$I$37*parametros_manuales!$J$37</f>
        <v>3871.578284663</v>
      </c>
      <c r="K101" s="9" t="n">
        <f aca="false">(parametros_manuales!$D$37*('Plan mensual'!M35+'Plan mensual'!M146+IF(parametros_manuales!$H$37="Todos",'Plan mensual'!M39+'Plan mensual'!M150,0))+parametros_manuales!$E$37*('Plan mensual'!M36+'Plan mensual'!M147+IF(parametros_manuales!$H$37="Todos",'Plan mensual'!M40+'Plan mensual'!M151,0))+parametros_manuales!$F$37*('Plan mensual'!M37+'Plan mensual'!M148+IF(parametros_manuales!$H$37="Todos",'Plan mensual'!M41+'Plan mensual'!M152,0))+parametros_manuales!$G$37*('Plan mensual'!M38+'Plan mensual'!M149+IF(parametros_manuales!$H$37="Todos",'Plan mensual'!M42+'Plan mensual'!M153,0)))*parametros_manuales!$I$37*parametros_manuales!$J$37</f>
        <v>3794.4262147575</v>
      </c>
      <c r="L101" s="9" t="n">
        <f aca="false">(parametros_manuales!$D$37*('Plan mensual'!N35+'Plan mensual'!N146+IF(parametros_manuales!$H$37="Todos",'Plan mensual'!N39+'Plan mensual'!N150,0))+parametros_manuales!$E$37*('Plan mensual'!N36+'Plan mensual'!N147+IF(parametros_manuales!$H$37="Todos",'Plan mensual'!N40+'Plan mensual'!N151,0))+parametros_manuales!$F$37*('Plan mensual'!N37+'Plan mensual'!N148+IF(parametros_manuales!$H$37="Todos",'Plan mensual'!N41+'Plan mensual'!N152,0))+parametros_manuales!$G$37*('Plan mensual'!N38+'Plan mensual'!N149+IF(parametros_manuales!$H$37="Todos",'Plan mensual'!N42+'Plan mensual'!N153,0)))*parametros_manuales!$I$37*parametros_manuales!$J$37</f>
        <v>3717.274144852</v>
      </c>
      <c r="M101" s="9" t="n">
        <f aca="false">(parametros_manuales!$D$37*('Plan mensual'!O35+'Plan mensual'!O146+IF(parametros_manuales!$H$37="Todos",'Plan mensual'!O39+'Plan mensual'!O150,0))+parametros_manuales!$E$37*('Plan mensual'!O36+'Plan mensual'!O147+IF(parametros_manuales!$H$37="Todos",'Plan mensual'!O40+'Plan mensual'!O151,0))+parametros_manuales!$F$37*('Plan mensual'!O37+'Plan mensual'!O148+IF(parametros_manuales!$H$37="Todos",'Plan mensual'!O41+'Plan mensual'!O152,0))+parametros_manuales!$G$37*('Plan mensual'!O38+'Plan mensual'!O149+IF(parametros_manuales!$H$37="Todos",'Plan mensual'!O42+'Plan mensual'!O153,0)))*parametros_manuales!$I$37*parametros_manuales!$J$37</f>
        <v>5916.777803801</v>
      </c>
      <c r="N101" s="9" t="n">
        <f aca="false">SUM(B101:M101)</f>
        <v>50592.3495301</v>
      </c>
      <c r="O101" s="9" t="n">
        <f aca="false">MAX(B101:M101)</f>
        <v>5916.777803801</v>
      </c>
      <c r="P101" s="44" t="n">
        <f aca="false">O101/(parametros_manuales!$B$7)</f>
        <v>39.4451853586733</v>
      </c>
      <c r="Q101" s="8" t="str">
        <f aca="false">IF(O101=0,"-",INDEX($B$82:$M$82,MATCH(O101,B101:M101,0)))</f>
        <v>Dic</v>
      </c>
    </row>
    <row r="102" customFormat="false" ht="14.25" hidden="false" customHeight="true" outlineLevel="0" collapsed="false">
      <c r="A102" s="8" t="str">
        <f aca="false">parametros_manuales!$B$38</f>
        <v>Carga de polvo</v>
      </c>
      <c r="B102" s="9" t="n">
        <f aca="false">(parametros_manuales!$D$38*('Plan mensual'!D35+'Plan mensual'!D146+IF(parametros_manuales!$H$38="Todos",'Plan mensual'!D39+'Plan mensual'!D150,0))+parametros_manuales!$E$38*('Plan mensual'!D36+'Plan mensual'!D147+IF(parametros_manuales!$H$38="Todos",'Plan mensual'!D40+'Plan mensual'!D151,0))+parametros_manuales!$F$38*('Plan mensual'!D37+'Plan mensual'!D148+IF(parametros_manuales!$H$38="Todos",'Plan mensual'!D41+'Plan mensual'!D152,0))+parametros_manuales!$G$38*('Plan mensual'!D38+'Plan mensual'!D149+IF(parametros_manuales!$H$38="Todos",'Plan mensual'!D42+'Plan mensual'!D153,0)))*parametros_manuales!$I$38*parametros_manuales!$J$38</f>
        <v>1892.30566399</v>
      </c>
      <c r="C102" s="9" t="n">
        <f aca="false">(parametros_manuales!$D$38*('Plan mensual'!E35+'Plan mensual'!E146+IF(parametros_manuales!$H$38="Todos",'Plan mensual'!E39+'Plan mensual'!E150,0))+parametros_manuales!$E$38*('Plan mensual'!E36+'Plan mensual'!E147+IF(parametros_manuales!$H$38="Todos",'Plan mensual'!E40+'Plan mensual'!E151,0))+parametros_manuales!$F$38*('Plan mensual'!E37+'Plan mensual'!E148+IF(parametros_manuales!$H$38="Todos",'Plan mensual'!E41+'Plan mensual'!E152,0))+parametros_manuales!$G$38*('Plan mensual'!E38+'Plan mensual'!E149+IF(parametros_manuales!$H$38="Todos",'Plan mensual'!E42+'Plan mensual'!E153,0)))*parametros_manuales!$I$38*parametros_manuales!$J$38</f>
        <v>1463.041717898</v>
      </c>
      <c r="D102" s="9" t="n">
        <f aca="false">(parametros_manuales!$D$38*('Plan mensual'!F35+'Plan mensual'!F146+IF(parametros_manuales!$H$38="Todos",'Plan mensual'!F39+'Plan mensual'!F150,0))+parametros_manuales!$E$38*('Plan mensual'!F36+'Plan mensual'!F147+IF(parametros_manuales!$H$38="Todos",'Plan mensual'!F40+'Plan mensual'!F151,0))+parametros_manuales!$F$38*('Plan mensual'!F37+'Plan mensual'!F148+IF(parametros_manuales!$H$38="Todos",'Plan mensual'!F41+'Plan mensual'!F152,0))+parametros_manuales!$G$38*('Plan mensual'!F38+'Plan mensual'!F149+IF(parametros_manuales!$H$38="Todos",'Plan mensual'!F42+'Plan mensual'!F153,0)))*parametros_manuales!$I$38*parametros_manuales!$J$38</f>
        <v>1422.1828323135</v>
      </c>
      <c r="E102" s="9" t="n">
        <f aca="false">(parametros_manuales!$D$38*('Plan mensual'!G35+'Plan mensual'!G146+IF(parametros_manuales!$H$38="Todos",'Plan mensual'!G39+'Plan mensual'!G150,0))+parametros_manuales!$E$38*('Plan mensual'!G36+'Plan mensual'!G147+IF(parametros_manuales!$H$38="Todos",'Plan mensual'!G40+'Plan mensual'!G151,0))+parametros_manuales!$F$38*('Plan mensual'!G37+'Plan mensual'!G148+IF(parametros_manuales!$H$38="Todos",'Plan mensual'!G41+'Plan mensual'!G152,0))+parametros_manuales!$G$38*('Plan mensual'!G38+'Plan mensual'!G149+IF(parametros_manuales!$H$38="Todos",'Plan mensual'!G42+'Plan mensual'!G153,0)))*parametros_manuales!$I$38*parametros_manuales!$J$38</f>
        <v>1379.8471545685</v>
      </c>
      <c r="F102" s="9" t="n">
        <f aca="false">(parametros_manuales!$D$38*('Plan mensual'!H35+'Plan mensual'!H146+IF(parametros_manuales!$H$38="Todos",'Plan mensual'!H39+'Plan mensual'!H150,0))+parametros_manuales!$E$38*('Plan mensual'!H36+'Plan mensual'!H147+IF(parametros_manuales!$H$38="Todos",'Plan mensual'!H40+'Plan mensual'!H151,0))+parametros_manuales!$F$38*('Plan mensual'!H37+'Plan mensual'!H148+IF(parametros_manuales!$H$38="Todos",'Plan mensual'!H41+'Plan mensual'!H152,0))+parametros_manuales!$G$38*('Plan mensual'!H38+'Plan mensual'!H149+IF(parametros_manuales!$H$38="Todos",'Plan mensual'!H42+'Plan mensual'!H153,0)))*parametros_manuales!$I$38*parametros_manuales!$J$38</f>
        <v>1293.699006918</v>
      </c>
      <c r="G102" s="9" t="n">
        <f aca="false">(parametros_manuales!$D$38*('Plan mensual'!I35+'Plan mensual'!I146+IF(parametros_manuales!$H$38="Todos",'Plan mensual'!I39+'Plan mensual'!I150,0))+parametros_manuales!$E$38*('Plan mensual'!I36+'Plan mensual'!I147+IF(parametros_manuales!$H$38="Todos",'Plan mensual'!I40+'Plan mensual'!I151,0))+parametros_manuales!$F$38*('Plan mensual'!I37+'Plan mensual'!I148+IF(parametros_manuales!$H$38="Todos",'Plan mensual'!I41+'Plan mensual'!I152,0))+parametros_manuales!$G$38*('Plan mensual'!I38+'Plan mensual'!I149+IF(parametros_manuales!$H$38="Todos",'Plan mensual'!I42+'Plan mensual'!I153,0)))*parametros_manuales!$I$38*parametros_manuales!$J$38</f>
        <v>1249.8865370125</v>
      </c>
      <c r="H102" s="9" t="n">
        <f aca="false">(parametros_manuales!$D$38*('Plan mensual'!J35+'Plan mensual'!J146+IF(parametros_manuales!$H$38="Todos",'Plan mensual'!J39+'Plan mensual'!J150,0))+parametros_manuales!$E$38*('Plan mensual'!J36+'Plan mensual'!J147+IF(parametros_manuales!$H$38="Todos",'Plan mensual'!J40+'Plan mensual'!J151,0))+parametros_manuales!$F$38*('Plan mensual'!J37+'Plan mensual'!J148+IF(parametros_manuales!$H$38="Todos",'Plan mensual'!J41+'Plan mensual'!J152,0))+parametros_manuales!$G$38*('Plan mensual'!J38+'Plan mensual'!J149+IF(parametros_manuales!$H$38="Todos",'Plan mensual'!J42+'Plan mensual'!J153,0)))*parametros_manuales!$I$38*parametros_manuales!$J$38</f>
        <v>1336.034684663</v>
      </c>
      <c r="I102" s="9" t="n">
        <f aca="false">(parametros_manuales!$D$38*('Plan mensual'!K35+'Plan mensual'!K146+IF(parametros_manuales!$H$38="Todos",'Plan mensual'!K39+'Plan mensual'!K150,0))+parametros_manuales!$E$38*('Plan mensual'!K36+'Plan mensual'!K147+IF(parametros_manuales!$H$38="Todos",'Plan mensual'!K40+'Plan mensual'!K151,0))+parametros_manuales!$F$38*('Plan mensual'!K37+'Plan mensual'!K148+IF(parametros_manuales!$H$38="Todos",'Plan mensual'!K41+'Plan mensual'!K152,0))+parametros_manuales!$G$38*('Plan mensual'!K38+'Plan mensual'!K149+IF(parametros_manuales!$H$38="Todos",'Plan mensual'!K42+'Plan mensual'!K153,0)))*parametros_manuales!$I$38*parametros_manuales!$J$38</f>
        <v>1336.034684663</v>
      </c>
      <c r="J102" s="9" t="n">
        <f aca="false">(parametros_manuales!$D$38*('Plan mensual'!L35+'Plan mensual'!L146+IF(parametros_manuales!$H$38="Todos",'Plan mensual'!L39+'Plan mensual'!L150,0))+parametros_manuales!$E$38*('Plan mensual'!L36+'Plan mensual'!L147+IF(parametros_manuales!$H$38="Todos",'Plan mensual'!L40+'Plan mensual'!L151,0))+parametros_manuales!$F$38*('Plan mensual'!L37+'Plan mensual'!L148+IF(parametros_manuales!$H$38="Todos",'Plan mensual'!L41+'Plan mensual'!L152,0))+parametros_manuales!$G$38*('Plan mensual'!L38+'Plan mensual'!L149+IF(parametros_manuales!$H$38="Todos",'Plan mensual'!L42+'Plan mensual'!L153,0)))*parametros_manuales!$I$38*parametros_manuales!$J$38</f>
        <v>1336.034684663</v>
      </c>
      <c r="K102" s="9" t="n">
        <f aca="false">(parametros_manuales!$D$38*('Plan mensual'!M35+'Plan mensual'!M146+IF(parametros_manuales!$H$38="Todos",'Plan mensual'!M39+'Plan mensual'!M150,0))+parametros_manuales!$E$38*('Plan mensual'!M36+'Plan mensual'!M147+IF(parametros_manuales!$H$38="Todos",'Plan mensual'!M40+'Plan mensual'!M151,0))+parametros_manuales!$F$38*('Plan mensual'!M37+'Plan mensual'!M148+IF(parametros_manuales!$H$38="Todos",'Plan mensual'!M41+'Plan mensual'!M152,0))+parametros_manuales!$G$38*('Plan mensual'!M38+'Plan mensual'!M149+IF(parametros_manuales!$H$38="Todos",'Plan mensual'!M42+'Plan mensual'!M153,0)))*parametros_manuales!$I$38*parametros_manuales!$J$38</f>
        <v>1292.2222147575</v>
      </c>
      <c r="L102" s="9" t="n">
        <f aca="false">(parametros_manuales!$D$38*('Plan mensual'!N35+'Plan mensual'!N146+IF(parametros_manuales!$H$38="Todos",'Plan mensual'!N39+'Plan mensual'!N150,0))+parametros_manuales!$E$38*('Plan mensual'!N36+'Plan mensual'!N147+IF(parametros_manuales!$H$38="Todos",'Plan mensual'!N40+'Plan mensual'!N151,0))+parametros_manuales!$F$38*('Plan mensual'!N37+'Plan mensual'!N148+IF(parametros_manuales!$H$38="Todos",'Plan mensual'!N41+'Plan mensual'!N152,0))+parametros_manuales!$G$38*('Plan mensual'!N38+'Plan mensual'!N149+IF(parametros_manuales!$H$38="Todos",'Plan mensual'!N42+'Plan mensual'!N153,0)))*parametros_manuales!$I$38*parametros_manuales!$J$38</f>
        <v>1248.409744852</v>
      </c>
      <c r="M102" s="9" t="n">
        <f aca="false">(parametros_manuales!$D$38*('Plan mensual'!O35+'Plan mensual'!O146+IF(parametros_manuales!$H$38="Todos",'Plan mensual'!O39+'Plan mensual'!O150,0))+parametros_manuales!$E$38*('Plan mensual'!O36+'Plan mensual'!O147+IF(parametros_manuales!$H$38="Todos",'Plan mensual'!O40+'Plan mensual'!O151,0))+parametros_manuales!$F$38*('Plan mensual'!O37+'Plan mensual'!O148+IF(parametros_manuales!$H$38="Todos",'Plan mensual'!O41+'Plan mensual'!O152,0))+parametros_manuales!$G$38*('Plan mensual'!O38+'Plan mensual'!O149+IF(parametros_manuales!$H$38="Todos",'Plan mensual'!O42+'Plan mensual'!O153,0)))*parametros_manuales!$I$38*parametros_manuales!$J$38</f>
        <v>1979.930603801</v>
      </c>
      <c r="N102" s="9" t="n">
        <f aca="false">SUM(B102:M102)</f>
        <v>17229.6295301</v>
      </c>
      <c r="O102" s="9" t="n">
        <f aca="false">MAX(B102:M102)</f>
        <v>1979.930603801</v>
      </c>
      <c r="P102" s="44" t="n">
        <f aca="false">O102/(parametros_manuales!$B$7)</f>
        <v>13.1995373586733</v>
      </c>
      <c r="Q102" s="8" t="str">
        <f aca="false">IF(O102=0,"-",INDEX($B$82:$M$82,MATCH(O102,B102:M102,0)))</f>
        <v>Dic</v>
      </c>
    </row>
    <row r="103" customFormat="false" ht="14.25" hidden="false" customHeight="true" outlineLevel="0" collapsed="false">
      <c r="A103" s="8" t="str">
        <f aca="false">parametros_manuales!$B$39</f>
        <v>Ensamblaje</v>
      </c>
      <c r="B103" s="9" t="n">
        <f aca="false">(parametros_manuales!$D$39*('Plan mensual'!D35+'Plan mensual'!D146+IF(parametros_manuales!$H$39="Todos",'Plan mensual'!D39+'Plan mensual'!D150,0))+parametros_manuales!$E$39*('Plan mensual'!D36+'Plan mensual'!D147+IF(parametros_manuales!$H$39="Todos",'Plan mensual'!D40+'Plan mensual'!D151,0))+parametros_manuales!$F$39*('Plan mensual'!D37+'Plan mensual'!D148+IF(parametros_manuales!$H$39="Todos",'Plan mensual'!D41+'Plan mensual'!D152,0))+parametros_manuales!$G$39*('Plan mensual'!D38+'Plan mensual'!D149+IF(parametros_manuales!$H$39="Todos",'Plan mensual'!D42+'Plan mensual'!D153,0)))*parametros_manuales!$I$39*parametros_manuales!$J$39</f>
        <v>1892.30566399</v>
      </c>
      <c r="C103" s="9" t="n">
        <f aca="false">(parametros_manuales!$D$39*('Plan mensual'!E35+'Plan mensual'!E146+IF(parametros_manuales!$H$39="Todos",'Plan mensual'!E39+'Plan mensual'!E150,0))+parametros_manuales!$E$39*('Plan mensual'!E36+'Plan mensual'!E147+IF(parametros_manuales!$H$39="Todos",'Plan mensual'!E40+'Plan mensual'!E151,0))+parametros_manuales!$F$39*('Plan mensual'!E37+'Plan mensual'!E148+IF(parametros_manuales!$H$39="Todos",'Plan mensual'!E41+'Plan mensual'!E152,0))+parametros_manuales!$G$39*('Plan mensual'!E38+'Plan mensual'!E149+IF(parametros_manuales!$H$39="Todos",'Plan mensual'!E42+'Plan mensual'!E153,0)))*parametros_manuales!$I$39*parametros_manuales!$J$39</f>
        <v>1463.041717898</v>
      </c>
      <c r="D103" s="9" t="n">
        <f aca="false">(parametros_manuales!$D$39*('Plan mensual'!F35+'Plan mensual'!F146+IF(parametros_manuales!$H$39="Todos",'Plan mensual'!F39+'Plan mensual'!F150,0))+parametros_manuales!$E$39*('Plan mensual'!F36+'Plan mensual'!F147+IF(parametros_manuales!$H$39="Todos",'Plan mensual'!F40+'Plan mensual'!F151,0))+parametros_manuales!$F$39*('Plan mensual'!F37+'Plan mensual'!F148+IF(parametros_manuales!$H$39="Todos",'Plan mensual'!F41+'Plan mensual'!F152,0))+parametros_manuales!$G$39*('Plan mensual'!F38+'Plan mensual'!F149+IF(parametros_manuales!$H$39="Todos",'Plan mensual'!F42+'Plan mensual'!F153,0)))*parametros_manuales!$I$39*parametros_manuales!$J$39</f>
        <v>1422.1828323135</v>
      </c>
      <c r="E103" s="9" t="n">
        <f aca="false">(parametros_manuales!$D$39*('Plan mensual'!G35+'Plan mensual'!G146+IF(parametros_manuales!$H$39="Todos",'Plan mensual'!G39+'Plan mensual'!G150,0))+parametros_manuales!$E$39*('Plan mensual'!G36+'Plan mensual'!G147+IF(parametros_manuales!$H$39="Todos",'Plan mensual'!G40+'Plan mensual'!G151,0))+parametros_manuales!$F$39*('Plan mensual'!G37+'Plan mensual'!G148+IF(parametros_manuales!$H$39="Todos",'Plan mensual'!G41+'Plan mensual'!G152,0))+parametros_manuales!$G$39*('Plan mensual'!G38+'Plan mensual'!G149+IF(parametros_manuales!$H$39="Todos",'Plan mensual'!G42+'Plan mensual'!G153,0)))*parametros_manuales!$I$39*parametros_manuales!$J$39</f>
        <v>1379.8471545685</v>
      </c>
      <c r="F103" s="9" t="n">
        <f aca="false">(parametros_manuales!$D$39*('Plan mensual'!H35+'Plan mensual'!H146+IF(parametros_manuales!$H$39="Todos",'Plan mensual'!H39+'Plan mensual'!H150,0))+parametros_manuales!$E$39*('Plan mensual'!H36+'Plan mensual'!H147+IF(parametros_manuales!$H$39="Todos",'Plan mensual'!H40+'Plan mensual'!H151,0))+parametros_manuales!$F$39*('Plan mensual'!H37+'Plan mensual'!H148+IF(parametros_manuales!$H$39="Todos",'Plan mensual'!H41+'Plan mensual'!H152,0))+parametros_manuales!$G$39*('Plan mensual'!H38+'Plan mensual'!H149+IF(parametros_manuales!$H$39="Todos",'Plan mensual'!H42+'Plan mensual'!H153,0)))*parametros_manuales!$I$39*parametros_manuales!$J$39</f>
        <v>1293.699006918</v>
      </c>
      <c r="G103" s="9" t="n">
        <f aca="false">(parametros_manuales!$D$39*('Plan mensual'!I35+'Plan mensual'!I146+IF(parametros_manuales!$H$39="Todos",'Plan mensual'!I39+'Plan mensual'!I150,0))+parametros_manuales!$E$39*('Plan mensual'!I36+'Plan mensual'!I147+IF(parametros_manuales!$H$39="Todos",'Plan mensual'!I40+'Plan mensual'!I151,0))+parametros_manuales!$F$39*('Plan mensual'!I37+'Plan mensual'!I148+IF(parametros_manuales!$H$39="Todos",'Plan mensual'!I41+'Plan mensual'!I152,0))+parametros_manuales!$G$39*('Plan mensual'!I38+'Plan mensual'!I149+IF(parametros_manuales!$H$39="Todos",'Plan mensual'!I42+'Plan mensual'!I153,0)))*parametros_manuales!$I$39*parametros_manuales!$J$39</f>
        <v>1249.8865370125</v>
      </c>
      <c r="H103" s="9" t="n">
        <f aca="false">(parametros_manuales!$D$39*('Plan mensual'!J35+'Plan mensual'!J146+IF(parametros_manuales!$H$39="Todos",'Plan mensual'!J39+'Plan mensual'!J150,0))+parametros_manuales!$E$39*('Plan mensual'!J36+'Plan mensual'!J147+IF(parametros_manuales!$H$39="Todos",'Plan mensual'!J40+'Plan mensual'!J151,0))+parametros_manuales!$F$39*('Plan mensual'!J37+'Plan mensual'!J148+IF(parametros_manuales!$H$39="Todos",'Plan mensual'!J41+'Plan mensual'!J152,0))+parametros_manuales!$G$39*('Plan mensual'!J38+'Plan mensual'!J149+IF(parametros_manuales!$H$39="Todos",'Plan mensual'!J42+'Plan mensual'!J153,0)))*parametros_manuales!$I$39*parametros_manuales!$J$39</f>
        <v>1336.034684663</v>
      </c>
      <c r="I103" s="9" t="n">
        <f aca="false">(parametros_manuales!$D$39*('Plan mensual'!K35+'Plan mensual'!K146+IF(parametros_manuales!$H$39="Todos",'Plan mensual'!K39+'Plan mensual'!K150,0))+parametros_manuales!$E$39*('Plan mensual'!K36+'Plan mensual'!K147+IF(parametros_manuales!$H$39="Todos",'Plan mensual'!K40+'Plan mensual'!K151,0))+parametros_manuales!$F$39*('Plan mensual'!K37+'Plan mensual'!K148+IF(parametros_manuales!$H$39="Todos",'Plan mensual'!K41+'Plan mensual'!K152,0))+parametros_manuales!$G$39*('Plan mensual'!K38+'Plan mensual'!K149+IF(parametros_manuales!$H$39="Todos",'Plan mensual'!K42+'Plan mensual'!K153,0)))*parametros_manuales!$I$39*parametros_manuales!$J$39</f>
        <v>1336.034684663</v>
      </c>
      <c r="J103" s="9" t="n">
        <f aca="false">(parametros_manuales!$D$39*('Plan mensual'!L35+'Plan mensual'!L146+IF(parametros_manuales!$H$39="Todos",'Plan mensual'!L39+'Plan mensual'!L150,0))+parametros_manuales!$E$39*('Plan mensual'!L36+'Plan mensual'!L147+IF(parametros_manuales!$H$39="Todos",'Plan mensual'!L40+'Plan mensual'!L151,0))+parametros_manuales!$F$39*('Plan mensual'!L37+'Plan mensual'!L148+IF(parametros_manuales!$H$39="Todos",'Plan mensual'!L41+'Plan mensual'!L152,0))+parametros_manuales!$G$39*('Plan mensual'!L38+'Plan mensual'!L149+IF(parametros_manuales!$H$39="Todos",'Plan mensual'!L42+'Plan mensual'!L153,0)))*parametros_manuales!$I$39*parametros_manuales!$J$39</f>
        <v>1336.034684663</v>
      </c>
      <c r="K103" s="9" t="n">
        <f aca="false">(parametros_manuales!$D$39*('Plan mensual'!M35+'Plan mensual'!M146+IF(parametros_manuales!$H$39="Todos",'Plan mensual'!M39+'Plan mensual'!M150,0))+parametros_manuales!$E$39*('Plan mensual'!M36+'Plan mensual'!M147+IF(parametros_manuales!$H$39="Todos",'Plan mensual'!M40+'Plan mensual'!M151,0))+parametros_manuales!$F$39*('Plan mensual'!M37+'Plan mensual'!M148+IF(parametros_manuales!$H$39="Todos",'Plan mensual'!M41+'Plan mensual'!M152,0))+parametros_manuales!$G$39*('Plan mensual'!M38+'Plan mensual'!M149+IF(parametros_manuales!$H$39="Todos",'Plan mensual'!M42+'Plan mensual'!M153,0)))*parametros_manuales!$I$39*parametros_manuales!$J$39</f>
        <v>1292.2222147575</v>
      </c>
      <c r="L103" s="9" t="n">
        <f aca="false">(parametros_manuales!$D$39*('Plan mensual'!N35+'Plan mensual'!N146+IF(parametros_manuales!$H$39="Todos",'Plan mensual'!N39+'Plan mensual'!N150,0))+parametros_manuales!$E$39*('Plan mensual'!N36+'Plan mensual'!N147+IF(parametros_manuales!$H$39="Todos",'Plan mensual'!N40+'Plan mensual'!N151,0))+parametros_manuales!$F$39*('Plan mensual'!N37+'Plan mensual'!N148+IF(parametros_manuales!$H$39="Todos",'Plan mensual'!N41+'Plan mensual'!N152,0))+parametros_manuales!$G$39*('Plan mensual'!N38+'Plan mensual'!N149+IF(parametros_manuales!$H$39="Todos",'Plan mensual'!N42+'Plan mensual'!N153,0)))*parametros_manuales!$I$39*parametros_manuales!$J$39</f>
        <v>1248.409744852</v>
      </c>
      <c r="M103" s="9" t="n">
        <f aca="false">(parametros_manuales!$D$39*('Plan mensual'!O35+'Plan mensual'!O146+IF(parametros_manuales!$H$39="Todos",'Plan mensual'!O39+'Plan mensual'!O150,0))+parametros_manuales!$E$39*('Plan mensual'!O36+'Plan mensual'!O147+IF(parametros_manuales!$H$39="Todos",'Plan mensual'!O40+'Plan mensual'!O151,0))+parametros_manuales!$F$39*('Plan mensual'!O37+'Plan mensual'!O148+IF(parametros_manuales!$H$39="Todos",'Plan mensual'!O41+'Plan mensual'!O152,0))+parametros_manuales!$G$39*('Plan mensual'!O38+'Plan mensual'!O149+IF(parametros_manuales!$H$39="Todos",'Plan mensual'!O42+'Plan mensual'!O153,0)))*parametros_manuales!$I$39*parametros_manuales!$J$39</f>
        <v>1979.930603801</v>
      </c>
      <c r="N103" s="9" t="n">
        <f aca="false">SUM(B103:M103)</f>
        <v>17229.6295301</v>
      </c>
      <c r="O103" s="9" t="n">
        <f aca="false">MAX(B103:M103)</f>
        <v>1979.930603801</v>
      </c>
      <c r="P103" s="44" t="n">
        <f aca="false">O103/(parametros_manuales!$B$7)</f>
        <v>13.1995373586733</v>
      </c>
      <c r="Q103" s="8" t="str">
        <f aca="false">IF(O103=0,"-",INDEX($B$82:$M$82,MATCH(O103,B103:M103,0)))</f>
        <v>Dic</v>
      </c>
    </row>
    <row r="104" customFormat="false" ht="14.25" hidden="false" customHeight="true" outlineLevel="0" collapsed="false">
      <c r="A104" s="8" t="str">
        <f aca="false">parametros_manuales!$B$40</f>
        <v>Presurización</v>
      </c>
      <c r="B104" s="9" t="n">
        <f aca="false">(parametros_manuales!$D$40*('Plan mensual'!D35+'Plan mensual'!D146+IF(parametros_manuales!$H$40="Todos",'Plan mensual'!D39+'Plan mensual'!D150,0))+parametros_manuales!$E$40*('Plan mensual'!D36+'Plan mensual'!D147+IF(parametros_manuales!$H$40="Todos",'Plan mensual'!D40+'Plan mensual'!D151,0))+parametros_manuales!$F$40*('Plan mensual'!D37+'Plan mensual'!D148+IF(parametros_manuales!$H$40="Todos",'Plan mensual'!D41+'Plan mensual'!D152,0))+parametros_manuales!$G$40*('Plan mensual'!D38+'Plan mensual'!D149+IF(parametros_manuales!$H$40="Todos",'Plan mensual'!D42+'Plan mensual'!D153,0)))*parametros_manuales!$I$40*parametros_manuales!$J$40</f>
        <v>1892.30566399</v>
      </c>
      <c r="C104" s="9" t="n">
        <f aca="false">(parametros_manuales!$D$40*('Plan mensual'!E35+'Plan mensual'!E146+IF(parametros_manuales!$H$40="Todos",'Plan mensual'!E39+'Plan mensual'!E150,0))+parametros_manuales!$E$40*('Plan mensual'!E36+'Plan mensual'!E147+IF(parametros_manuales!$H$40="Todos",'Plan mensual'!E40+'Plan mensual'!E151,0))+parametros_manuales!$F$40*('Plan mensual'!E37+'Plan mensual'!E148+IF(parametros_manuales!$H$40="Todos",'Plan mensual'!E41+'Plan mensual'!E152,0))+parametros_manuales!$G$40*('Plan mensual'!E38+'Plan mensual'!E149+IF(parametros_manuales!$H$40="Todos",'Plan mensual'!E42+'Plan mensual'!E153,0)))*parametros_manuales!$I$40*parametros_manuales!$J$40</f>
        <v>1463.041717898</v>
      </c>
      <c r="D104" s="9" t="n">
        <f aca="false">(parametros_manuales!$D$40*('Plan mensual'!F35+'Plan mensual'!F146+IF(parametros_manuales!$H$40="Todos",'Plan mensual'!F39+'Plan mensual'!F150,0))+parametros_manuales!$E$40*('Plan mensual'!F36+'Plan mensual'!F147+IF(parametros_manuales!$H$40="Todos",'Plan mensual'!F40+'Plan mensual'!F151,0))+parametros_manuales!$F$40*('Plan mensual'!F37+'Plan mensual'!F148+IF(parametros_manuales!$H$40="Todos",'Plan mensual'!F41+'Plan mensual'!F152,0))+parametros_manuales!$G$40*('Plan mensual'!F38+'Plan mensual'!F149+IF(parametros_manuales!$H$40="Todos",'Plan mensual'!F42+'Plan mensual'!F153,0)))*parametros_manuales!$I$40*parametros_manuales!$J$40</f>
        <v>1422.1828323135</v>
      </c>
      <c r="E104" s="9" t="n">
        <f aca="false">(parametros_manuales!$D$40*('Plan mensual'!G35+'Plan mensual'!G146+IF(parametros_manuales!$H$40="Todos",'Plan mensual'!G39+'Plan mensual'!G150,0))+parametros_manuales!$E$40*('Plan mensual'!G36+'Plan mensual'!G147+IF(parametros_manuales!$H$40="Todos",'Plan mensual'!G40+'Plan mensual'!G151,0))+parametros_manuales!$F$40*('Plan mensual'!G37+'Plan mensual'!G148+IF(parametros_manuales!$H$40="Todos",'Plan mensual'!G41+'Plan mensual'!G152,0))+parametros_manuales!$G$40*('Plan mensual'!G38+'Plan mensual'!G149+IF(parametros_manuales!$H$40="Todos",'Plan mensual'!G42+'Plan mensual'!G153,0)))*parametros_manuales!$I$40*parametros_manuales!$J$40</f>
        <v>1379.8471545685</v>
      </c>
      <c r="F104" s="9" t="n">
        <f aca="false">(parametros_manuales!$D$40*('Plan mensual'!H35+'Plan mensual'!H146+IF(parametros_manuales!$H$40="Todos",'Plan mensual'!H39+'Plan mensual'!H150,0))+parametros_manuales!$E$40*('Plan mensual'!H36+'Plan mensual'!H147+IF(parametros_manuales!$H$40="Todos",'Plan mensual'!H40+'Plan mensual'!H151,0))+parametros_manuales!$F$40*('Plan mensual'!H37+'Plan mensual'!H148+IF(parametros_manuales!$H$40="Todos",'Plan mensual'!H41+'Plan mensual'!H152,0))+parametros_manuales!$G$40*('Plan mensual'!H38+'Plan mensual'!H149+IF(parametros_manuales!$H$40="Todos",'Plan mensual'!H42+'Plan mensual'!H153,0)))*parametros_manuales!$I$40*parametros_manuales!$J$40</f>
        <v>1293.699006918</v>
      </c>
      <c r="G104" s="9" t="n">
        <f aca="false">(parametros_manuales!$D$40*('Plan mensual'!I35+'Plan mensual'!I146+IF(parametros_manuales!$H$40="Todos",'Plan mensual'!I39+'Plan mensual'!I150,0))+parametros_manuales!$E$40*('Plan mensual'!I36+'Plan mensual'!I147+IF(parametros_manuales!$H$40="Todos",'Plan mensual'!I40+'Plan mensual'!I151,0))+parametros_manuales!$F$40*('Plan mensual'!I37+'Plan mensual'!I148+IF(parametros_manuales!$H$40="Todos",'Plan mensual'!I41+'Plan mensual'!I152,0))+parametros_manuales!$G$40*('Plan mensual'!I38+'Plan mensual'!I149+IF(parametros_manuales!$H$40="Todos",'Plan mensual'!I42+'Plan mensual'!I153,0)))*parametros_manuales!$I$40*parametros_manuales!$J$40</f>
        <v>1249.8865370125</v>
      </c>
      <c r="H104" s="9" t="n">
        <f aca="false">(parametros_manuales!$D$40*('Plan mensual'!J35+'Plan mensual'!J146+IF(parametros_manuales!$H$40="Todos",'Plan mensual'!J39+'Plan mensual'!J150,0))+parametros_manuales!$E$40*('Plan mensual'!J36+'Plan mensual'!J147+IF(parametros_manuales!$H$40="Todos",'Plan mensual'!J40+'Plan mensual'!J151,0))+parametros_manuales!$F$40*('Plan mensual'!J37+'Plan mensual'!J148+IF(parametros_manuales!$H$40="Todos",'Plan mensual'!J41+'Plan mensual'!J152,0))+parametros_manuales!$G$40*('Plan mensual'!J38+'Plan mensual'!J149+IF(parametros_manuales!$H$40="Todos",'Plan mensual'!J42+'Plan mensual'!J153,0)))*parametros_manuales!$I$40*parametros_manuales!$J$40</f>
        <v>1336.034684663</v>
      </c>
      <c r="I104" s="9" t="n">
        <f aca="false">(parametros_manuales!$D$40*('Plan mensual'!K35+'Plan mensual'!K146+IF(parametros_manuales!$H$40="Todos",'Plan mensual'!K39+'Plan mensual'!K150,0))+parametros_manuales!$E$40*('Plan mensual'!K36+'Plan mensual'!K147+IF(parametros_manuales!$H$40="Todos",'Plan mensual'!K40+'Plan mensual'!K151,0))+parametros_manuales!$F$40*('Plan mensual'!K37+'Plan mensual'!K148+IF(parametros_manuales!$H$40="Todos",'Plan mensual'!K41+'Plan mensual'!K152,0))+parametros_manuales!$G$40*('Plan mensual'!K38+'Plan mensual'!K149+IF(parametros_manuales!$H$40="Todos",'Plan mensual'!K42+'Plan mensual'!K153,0)))*parametros_manuales!$I$40*parametros_manuales!$J$40</f>
        <v>1336.034684663</v>
      </c>
      <c r="J104" s="9" t="n">
        <f aca="false">(parametros_manuales!$D$40*('Plan mensual'!L35+'Plan mensual'!L146+IF(parametros_manuales!$H$40="Todos",'Plan mensual'!L39+'Plan mensual'!L150,0))+parametros_manuales!$E$40*('Plan mensual'!L36+'Plan mensual'!L147+IF(parametros_manuales!$H$40="Todos",'Plan mensual'!L40+'Plan mensual'!L151,0))+parametros_manuales!$F$40*('Plan mensual'!L37+'Plan mensual'!L148+IF(parametros_manuales!$H$40="Todos",'Plan mensual'!L41+'Plan mensual'!L152,0))+parametros_manuales!$G$40*('Plan mensual'!L38+'Plan mensual'!L149+IF(parametros_manuales!$H$40="Todos",'Plan mensual'!L42+'Plan mensual'!L153,0)))*parametros_manuales!$I$40*parametros_manuales!$J$40</f>
        <v>1336.034684663</v>
      </c>
      <c r="K104" s="9" t="n">
        <f aca="false">(parametros_manuales!$D$40*('Plan mensual'!M35+'Plan mensual'!M146+IF(parametros_manuales!$H$40="Todos",'Plan mensual'!M39+'Plan mensual'!M150,0))+parametros_manuales!$E$40*('Plan mensual'!M36+'Plan mensual'!M147+IF(parametros_manuales!$H$40="Todos",'Plan mensual'!M40+'Plan mensual'!M151,0))+parametros_manuales!$F$40*('Plan mensual'!M37+'Plan mensual'!M148+IF(parametros_manuales!$H$40="Todos",'Plan mensual'!M41+'Plan mensual'!M152,0))+parametros_manuales!$G$40*('Plan mensual'!M38+'Plan mensual'!M149+IF(parametros_manuales!$H$40="Todos",'Plan mensual'!M42+'Plan mensual'!M153,0)))*parametros_manuales!$I$40*parametros_manuales!$J$40</f>
        <v>1292.2222147575</v>
      </c>
      <c r="L104" s="9" t="n">
        <f aca="false">(parametros_manuales!$D$40*('Plan mensual'!N35+'Plan mensual'!N146+IF(parametros_manuales!$H$40="Todos",'Plan mensual'!N39+'Plan mensual'!N150,0))+parametros_manuales!$E$40*('Plan mensual'!N36+'Plan mensual'!N147+IF(parametros_manuales!$H$40="Todos",'Plan mensual'!N40+'Plan mensual'!N151,0))+parametros_manuales!$F$40*('Plan mensual'!N37+'Plan mensual'!N148+IF(parametros_manuales!$H$40="Todos",'Plan mensual'!N41+'Plan mensual'!N152,0))+parametros_manuales!$G$40*('Plan mensual'!N38+'Plan mensual'!N149+IF(parametros_manuales!$H$40="Todos",'Plan mensual'!N42+'Plan mensual'!N153,0)))*parametros_manuales!$I$40*parametros_manuales!$J$40</f>
        <v>1248.409744852</v>
      </c>
      <c r="M104" s="9" t="n">
        <f aca="false">(parametros_manuales!$D$40*('Plan mensual'!O35+'Plan mensual'!O146+IF(parametros_manuales!$H$40="Todos",'Plan mensual'!O39+'Plan mensual'!O150,0))+parametros_manuales!$E$40*('Plan mensual'!O36+'Plan mensual'!O147+IF(parametros_manuales!$H$40="Todos",'Plan mensual'!O40+'Plan mensual'!O151,0))+parametros_manuales!$F$40*('Plan mensual'!O37+'Plan mensual'!O148+IF(parametros_manuales!$H$40="Todos",'Plan mensual'!O41+'Plan mensual'!O152,0))+parametros_manuales!$G$40*('Plan mensual'!O38+'Plan mensual'!O149+IF(parametros_manuales!$H$40="Todos",'Plan mensual'!O42+'Plan mensual'!O153,0)))*parametros_manuales!$I$40*parametros_manuales!$J$40</f>
        <v>1979.930603801</v>
      </c>
      <c r="N104" s="9" t="n">
        <f aca="false">SUM(B104:M104)</f>
        <v>17229.6295301</v>
      </c>
      <c r="O104" s="9" t="n">
        <f aca="false">MAX(B104:M104)</f>
        <v>1979.930603801</v>
      </c>
      <c r="P104" s="44" t="n">
        <f aca="false">O104/(parametros_manuales!$B$7)</f>
        <v>13.1995373586733</v>
      </c>
      <c r="Q104" s="8" t="str">
        <f aca="false">IF(O104=0,"-",INDEX($B$82:$M$82,MATCH(O104,B104:M104,0)))</f>
        <v>Dic</v>
      </c>
    </row>
    <row r="105" customFormat="false" ht="14.25" hidden="false" customHeight="true" outlineLevel="0" collapsed="false">
      <c r="A105" s="8" t="str">
        <f aca="false">parametros_manuales!$B$41</f>
        <v>Control de calidad — Ensayo de pérdidas</v>
      </c>
      <c r="B105" s="9" t="n">
        <f aca="false">(parametros_manuales!$D$41*('Plan mensual'!D35+'Plan mensual'!D146+IF(parametros_manuales!$H$41="Todos",'Plan mensual'!D39+'Plan mensual'!D150,0))+parametros_manuales!$E$41*('Plan mensual'!D36+'Plan mensual'!D147+IF(parametros_manuales!$H$41="Todos",'Plan mensual'!D40+'Plan mensual'!D151,0))+parametros_manuales!$F$41*('Plan mensual'!D37+'Plan mensual'!D148+IF(parametros_manuales!$H$41="Todos",'Plan mensual'!D41+'Plan mensual'!D152,0))+parametros_manuales!$G$41*('Plan mensual'!D38+'Plan mensual'!D149+IF(parametros_manuales!$H$41="Todos",'Plan mensual'!D42+'Plan mensual'!D153,0)))*parametros_manuales!$I$41*parametros_manuales!$J$41</f>
        <v>1892.30566399</v>
      </c>
      <c r="C105" s="9" t="n">
        <f aca="false">(parametros_manuales!$D$41*('Plan mensual'!E35+'Plan mensual'!E146+IF(parametros_manuales!$H$41="Todos",'Plan mensual'!E39+'Plan mensual'!E150,0))+parametros_manuales!$E$41*('Plan mensual'!E36+'Plan mensual'!E147+IF(parametros_manuales!$H$41="Todos",'Plan mensual'!E40+'Plan mensual'!E151,0))+parametros_manuales!$F$41*('Plan mensual'!E37+'Plan mensual'!E148+IF(parametros_manuales!$H$41="Todos",'Plan mensual'!E41+'Plan mensual'!E152,0))+parametros_manuales!$G$41*('Plan mensual'!E38+'Plan mensual'!E149+IF(parametros_manuales!$H$41="Todos",'Plan mensual'!E42+'Plan mensual'!E153,0)))*parametros_manuales!$I$41*parametros_manuales!$J$41</f>
        <v>1463.041717898</v>
      </c>
      <c r="D105" s="9" t="n">
        <f aca="false">(parametros_manuales!$D$41*('Plan mensual'!F35+'Plan mensual'!F146+IF(parametros_manuales!$H$41="Todos",'Plan mensual'!F39+'Plan mensual'!F150,0))+parametros_manuales!$E$41*('Plan mensual'!F36+'Plan mensual'!F147+IF(parametros_manuales!$H$41="Todos",'Plan mensual'!F40+'Plan mensual'!F151,0))+parametros_manuales!$F$41*('Plan mensual'!F37+'Plan mensual'!F148+IF(parametros_manuales!$H$41="Todos",'Plan mensual'!F41+'Plan mensual'!F152,0))+parametros_manuales!$G$41*('Plan mensual'!F38+'Plan mensual'!F149+IF(parametros_manuales!$H$41="Todos",'Plan mensual'!F42+'Plan mensual'!F153,0)))*parametros_manuales!$I$41*parametros_manuales!$J$41</f>
        <v>1422.1828323135</v>
      </c>
      <c r="E105" s="9" t="n">
        <f aca="false">(parametros_manuales!$D$41*('Plan mensual'!G35+'Plan mensual'!G146+IF(parametros_manuales!$H$41="Todos",'Plan mensual'!G39+'Plan mensual'!G150,0))+parametros_manuales!$E$41*('Plan mensual'!G36+'Plan mensual'!G147+IF(parametros_manuales!$H$41="Todos",'Plan mensual'!G40+'Plan mensual'!G151,0))+parametros_manuales!$F$41*('Plan mensual'!G37+'Plan mensual'!G148+IF(parametros_manuales!$H$41="Todos",'Plan mensual'!G41+'Plan mensual'!G152,0))+parametros_manuales!$G$41*('Plan mensual'!G38+'Plan mensual'!G149+IF(parametros_manuales!$H$41="Todos",'Plan mensual'!G42+'Plan mensual'!G153,0)))*parametros_manuales!$I$41*parametros_manuales!$J$41</f>
        <v>1379.8471545685</v>
      </c>
      <c r="F105" s="9" t="n">
        <f aca="false">(parametros_manuales!$D$41*('Plan mensual'!H35+'Plan mensual'!H146+IF(parametros_manuales!$H$41="Todos",'Plan mensual'!H39+'Plan mensual'!H150,0))+parametros_manuales!$E$41*('Plan mensual'!H36+'Plan mensual'!H147+IF(parametros_manuales!$H$41="Todos",'Plan mensual'!H40+'Plan mensual'!H151,0))+parametros_manuales!$F$41*('Plan mensual'!H37+'Plan mensual'!H148+IF(parametros_manuales!$H$41="Todos",'Plan mensual'!H41+'Plan mensual'!H152,0))+parametros_manuales!$G$41*('Plan mensual'!H38+'Plan mensual'!H149+IF(parametros_manuales!$H$41="Todos",'Plan mensual'!H42+'Plan mensual'!H153,0)))*parametros_manuales!$I$41*parametros_manuales!$J$41</f>
        <v>1293.699006918</v>
      </c>
      <c r="G105" s="9" t="n">
        <f aca="false">(parametros_manuales!$D$41*('Plan mensual'!I35+'Plan mensual'!I146+IF(parametros_manuales!$H$41="Todos",'Plan mensual'!I39+'Plan mensual'!I150,0))+parametros_manuales!$E$41*('Plan mensual'!I36+'Plan mensual'!I147+IF(parametros_manuales!$H$41="Todos",'Plan mensual'!I40+'Plan mensual'!I151,0))+parametros_manuales!$F$41*('Plan mensual'!I37+'Plan mensual'!I148+IF(parametros_manuales!$H$41="Todos",'Plan mensual'!I41+'Plan mensual'!I152,0))+parametros_manuales!$G$41*('Plan mensual'!I38+'Plan mensual'!I149+IF(parametros_manuales!$H$41="Todos",'Plan mensual'!I42+'Plan mensual'!I153,0)))*parametros_manuales!$I$41*parametros_manuales!$J$41</f>
        <v>1249.8865370125</v>
      </c>
      <c r="H105" s="9" t="n">
        <f aca="false">(parametros_manuales!$D$41*('Plan mensual'!J35+'Plan mensual'!J146+IF(parametros_manuales!$H$41="Todos",'Plan mensual'!J39+'Plan mensual'!J150,0))+parametros_manuales!$E$41*('Plan mensual'!J36+'Plan mensual'!J147+IF(parametros_manuales!$H$41="Todos",'Plan mensual'!J40+'Plan mensual'!J151,0))+parametros_manuales!$F$41*('Plan mensual'!J37+'Plan mensual'!J148+IF(parametros_manuales!$H$41="Todos",'Plan mensual'!J41+'Plan mensual'!J152,0))+parametros_manuales!$G$41*('Plan mensual'!J38+'Plan mensual'!J149+IF(parametros_manuales!$H$41="Todos",'Plan mensual'!J42+'Plan mensual'!J153,0)))*parametros_manuales!$I$41*parametros_manuales!$J$41</f>
        <v>1336.034684663</v>
      </c>
      <c r="I105" s="9" t="n">
        <f aca="false">(parametros_manuales!$D$41*('Plan mensual'!K35+'Plan mensual'!K146+IF(parametros_manuales!$H$41="Todos",'Plan mensual'!K39+'Plan mensual'!K150,0))+parametros_manuales!$E$41*('Plan mensual'!K36+'Plan mensual'!K147+IF(parametros_manuales!$H$41="Todos",'Plan mensual'!K40+'Plan mensual'!K151,0))+parametros_manuales!$F$41*('Plan mensual'!K37+'Plan mensual'!K148+IF(parametros_manuales!$H$41="Todos",'Plan mensual'!K41+'Plan mensual'!K152,0))+parametros_manuales!$G$41*('Plan mensual'!K38+'Plan mensual'!K149+IF(parametros_manuales!$H$41="Todos",'Plan mensual'!K42+'Plan mensual'!K153,0)))*parametros_manuales!$I$41*parametros_manuales!$J$41</f>
        <v>1336.034684663</v>
      </c>
      <c r="J105" s="9" t="n">
        <f aca="false">(parametros_manuales!$D$41*('Plan mensual'!L35+'Plan mensual'!L146+IF(parametros_manuales!$H$41="Todos",'Plan mensual'!L39+'Plan mensual'!L150,0))+parametros_manuales!$E$41*('Plan mensual'!L36+'Plan mensual'!L147+IF(parametros_manuales!$H$41="Todos",'Plan mensual'!L40+'Plan mensual'!L151,0))+parametros_manuales!$F$41*('Plan mensual'!L37+'Plan mensual'!L148+IF(parametros_manuales!$H$41="Todos",'Plan mensual'!L41+'Plan mensual'!L152,0))+parametros_manuales!$G$41*('Plan mensual'!L38+'Plan mensual'!L149+IF(parametros_manuales!$H$41="Todos",'Plan mensual'!L42+'Plan mensual'!L153,0)))*parametros_manuales!$I$41*parametros_manuales!$J$41</f>
        <v>1336.034684663</v>
      </c>
      <c r="K105" s="9" t="n">
        <f aca="false">(parametros_manuales!$D$41*('Plan mensual'!M35+'Plan mensual'!M146+IF(parametros_manuales!$H$41="Todos",'Plan mensual'!M39+'Plan mensual'!M150,0))+parametros_manuales!$E$41*('Plan mensual'!M36+'Plan mensual'!M147+IF(parametros_manuales!$H$41="Todos",'Plan mensual'!M40+'Plan mensual'!M151,0))+parametros_manuales!$F$41*('Plan mensual'!M37+'Plan mensual'!M148+IF(parametros_manuales!$H$41="Todos",'Plan mensual'!M41+'Plan mensual'!M152,0))+parametros_manuales!$G$41*('Plan mensual'!M38+'Plan mensual'!M149+IF(parametros_manuales!$H$41="Todos",'Plan mensual'!M42+'Plan mensual'!M153,0)))*parametros_manuales!$I$41*parametros_manuales!$J$41</f>
        <v>1292.2222147575</v>
      </c>
      <c r="L105" s="9" t="n">
        <f aca="false">(parametros_manuales!$D$41*('Plan mensual'!N35+'Plan mensual'!N146+IF(parametros_manuales!$H$41="Todos",'Plan mensual'!N39+'Plan mensual'!N150,0))+parametros_manuales!$E$41*('Plan mensual'!N36+'Plan mensual'!N147+IF(parametros_manuales!$H$41="Todos",'Plan mensual'!N40+'Plan mensual'!N151,0))+parametros_manuales!$F$41*('Plan mensual'!N37+'Plan mensual'!N148+IF(parametros_manuales!$H$41="Todos",'Plan mensual'!N41+'Plan mensual'!N152,0))+parametros_manuales!$G$41*('Plan mensual'!N38+'Plan mensual'!N149+IF(parametros_manuales!$H$41="Todos",'Plan mensual'!N42+'Plan mensual'!N153,0)))*parametros_manuales!$I$41*parametros_manuales!$J$41</f>
        <v>1248.409744852</v>
      </c>
      <c r="M105" s="9" t="n">
        <f aca="false">(parametros_manuales!$D$41*('Plan mensual'!O35+'Plan mensual'!O146+IF(parametros_manuales!$H$41="Todos",'Plan mensual'!O39+'Plan mensual'!O150,0))+parametros_manuales!$E$41*('Plan mensual'!O36+'Plan mensual'!O147+IF(parametros_manuales!$H$41="Todos",'Plan mensual'!O40+'Plan mensual'!O151,0))+parametros_manuales!$F$41*('Plan mensual'!O37+'Plan mensual'!O148+IF(parametros_manuales!$H$41="Todos",'Plan mensual'!O41+'Plan mensual'!O152,0))+parametros_manuales!$G$41*('Plan mensual'!O38+'Plan mensual'!O149+IF(parametros_manuales!$H$41="Todos",'Plan mensual'!O42+'Plan mensual'!O153,0)))*parametros_manuales!$I$41*parametros_manuales!$J$41</f>
        <v>1979.930603801</v>
      </c>
      <c r="N105" s="9" t="n">
        <f aca="false">SUM(B105:M105)</f>
        <v>17229.6295301</v>
      </c>
      <c r="O105" s="9" t="n">
        <f aca="false">MAX(B105:M105)</f>
        <v>1979.930603801</v>
      </c>
      <c r="P105" s="44" t="n">
        <f aca="false">O105/(parametros_manuales!$B$7)</f>
        <v>13.1995373586733</v>
      </c>
      <c r="Q105" s="8" t="str">
        <f aca="false">IF(O105=0,"-",INDEX($B$82:$M$82,MATCH(O105,B105:M105,0)))</f>
        <v>Dic</v>
      </c>
    </row>
    <row r="106" customFormat="false" ht="14.25" hidden="false" customHeight="true" outlineLevel="0" collapsed="false">
      <c r="A106" s="8" t="str">
        <f aca="false">parametros_manuales!$B$42</f>
        <v>Etiquetado</v>
      </c>
      <c r="B106" s="9" t="n">
        <f aca="false">(parametros_manuales!$D$42*('Plan mensual'!D35+'Plan mensual'!D146+IF(parametros_manuales!$H$42="Todos",'Plan mensual'!D39+'Plan mensual'!D150,0))+parametros_manuales!$E$42*('Plan mensual'!D36+'Plan mensual'!D147+IF(parametros_manuales!$H$42="Todos",'Plan mensual'!D40+'Plan mensual'!D151,0))+parametros_manuales!$F$42*('Plan mensual'!D37+'Plan mensual'!D148+IF(parametros_manuales!$H$42="Todos",'Plan mensual'!D41+'Plan mensual'!D152,0))+parametros_manuales!$G$42*('Plan mensual'!D38+'Plan mensual'!D149+IF(parametros_manuales!$H$42="Todos",'Plan mensual'!D42+'Plan mensual'!D153,0)))*parametros_manuales!$I$42*parametros_manuales!$J$42</f>
        <v>1892.30566399</v>
      </c>
      <c r="C106" s="9" t="n">
        <f aca="false">(parametros_manuales!$D$42*('Plan mensual'!E35+'Plan mensual'!E146+IF(parametros_manuales!$H$42="Todos",'Plan mensual'!E39+'Plan mensual'!E150,0))+parametros_manuales!$E$42*('Plan mensual'!E36+'Plan mensual'!E147+IF(parametros_manuales!$H$42="Todos",'Plan mensual'!E40+'Plan mensual'!E151,0))+parametros_manuales!$F$42*('Plan mensual'!E37+'Plan mensual'!E148+IF(parametros_manuales!$H$42="Todos",'Plan mensual'!E41+'Plan mensual'!E152,0))+parametros_manuales!$G$42*('Plan mensual'!E38+'Plan mensual'!E149+IF(parametros_manuales!$H$42="Todos",'Plan mensual'!E42+'Plan mensual'!E153,0)))*parametros_manuales!$I$42*parametros_manuales!$J$42</f>
        <v>1463.041717898</v>
      </c>
      <c r="D106" s="9" t="n">
        <f aca="false">(parametros_manuales!$D$42*('Plan mensual'!F35+'Plan mensual'!F146+IF(parametros_manuales!$H$42="Todos",'Plan mensual'!F39+'Plan mensual'!F150,0))+parametros_manuales!$E$42*('Plan mensual'!F36+'Plan mensual'!F147+IF(parametros_manuales!$H$42="Todos",'Plan mensual'!F40+'Plan mensual'!F151,0))+parametros_manuales!$F$42*('Plan mensual'!F37+'Plan mensual'!F148+IF(parametros_manuales!$H$42="Todos",'Plan mensual'!F41+'Plan mensual'!F152,0))+parametros_manuales!$G$42*('Plan mensual'!F38+'Plan mensual'!F149+IF(parametros_manuales!$H$42="Todos",'Plan mensual'!F42+'Plan mensual'!F153,0)))*parametros_manuales!$I$42*parametros_manuales!$J$42</f>
        <v>1422.1828323135</v>
      </c>
      <c r="E106" s="9" t="n">
        <f aca="false">(parametros_manuales!$D$42*('Plan mensual'!G35+'Plan mensual'!G146+IF(parametros_manuales!$H$42="Todos",'Plan mensual'!G39+'Plan mensual'!G150,0))+parametros_manuales!$E$42*('Plan mensual'!G36+'Plan mensual'!G147+IF(parametros_manuales!$H$42="Todos",'Plan mensual'!G40+'Plan mensual'!G151,0))+parametros_manuales!$F$42*('Plan mensual'!G37+'Plan mensual'!G148+IF(parametros_manuales!$H$42="Todos",'Plan mensual'!G41+'Plan mensual'!G152,0))+parametros_manuales!$G$42*('Plan mensual'!G38+'Plan mensual'!G149+IF(parametros_manuales!$H$42="Todos",'Plan mensual'!G42+'Plan mensual'!G153,0)))*parametros_manuales!$I$42*parametros_manuales!$J$42</f>
        <v>1379.8471545685</v>
      </c>
      <c r="F106" s="9" t="n">
        <f aca="false">(parametros_manuales!$D$42*('Plan mensual'!H35+'Plan mensual'!H146+IF(parametros_manuales!$H$42="Todos",'Plan mensual'!H39+'Plan mensual'!H150,0))+parametros_manuales!$E$42*('Plan mensual'!H36+'Plan mensual'!H147+IF(parametros_manuales!$H$42="Todos",'Plan mensual'!H40+'Plan mensual'!H151,0))+parametros_manuales!$F$42*('Plan mensual'!H37+'Plan mensual'!H148+IF(parametros_manuales!$H$42="Todos",'Plan mensual'!H41+'Plan mensual'!H152,0))+parametros_manuales!$G$42*('Plan mensual'!H38+'Plan mensual'!H149+IF(parametros_manuales!$H$42="Todos",'Plan mensual'!H42+'Plan mensual'!H153,0)))*parametros_manuales!$I$42*parametros_manuales!$J$42</f>
        <v>1293.699006918</v>
      </c>
      <c r="G106" s="9" t="n">
        <f aca="false">(parametros_manuales!$D$42*('Plan mensual'!I35+'Plan mensual'!I146+IF(parametros_manuales!$H$42="Todos",'Plan mensual'!I39+'Plan mensual'!I150,0))+parametros_manuales!$E$42*('Plan mensual'!I36+'Plan mensual'!I147+IF(parametros_manuales!$H$42="Todos",'Plan mensual'!I40+'Plan mensual'!I151,0))+parametros_manuales!$F$42*('Plan mensual'!I37+'Plan mensual'!I148+IF(parametros_manuales!$H$42="Todos",'Plan mensual'!I41+'Plan mensual'!I152,0))+parametros_manuales!$G$42*('Plan mensual'!I38+'Plan mensual'!I149+IF(parametros_manuales!$H$42="Todos",'Plan mensual'!I42+'Plan mensual'!I153,0)))*parametros_manuales!$I$42*parametros_manuales!$J$42</f>
        <v>1249.8865370125</v>
      </c>
      <c r="H106" s="9" t="n">
        <f aca="false">(parametros_manuales!$D$42*('Plan mensual'!J35+'Plan mensual'!J146+IF(parametros_manuales!$H$42="Todos",'Plan mensual'!J39+'Plan mensual'!J150,0))+parametros_manuales!$E$42*('Plan mensual'!J36+'Plan mensual'!J147+IF(parametros_manuales!$H$42="Todos",'Plan mensual'!J40+'Plan mensual'!J151,0))+parametros_manuales!$F$42*('Plan mensual'!J37+'Plan mensual'!J148+IF(parametros_manuales!$H$42="Todos",'Plan mensual'!J41+'Plan mensual'!J152,0))+parametros_manuales!$G$42*('Plan mensual'!J38+'Plan mensual'!J149+IF(parametros_manuales!$H$42="Todos",'Plan mensual'!J42+'Plan mensual'!J153,0)))*parametros_manuales!$I$42*parametros_manuales!$J$42</f>
        <v>1336.034684663</v>
      </c>
      <c r="I106" s="9" t="n">
        <f aca="false">(parametros_manuales!$D$42*('Plan mensual'!K35+'Plan mensual'!K146+IF(parametros_manuales!$H$42="Todos",'Plan mensual'!K39+'Plan mensual'!K150,0))+parametros_manuales!$E$42*('Plan mensual'!K36+'Plan mensual'!K147+IF(parametros_manuales!$H$42="Todos",'Plan mensual'!K40+'Plan mensual'!K151,0))+parametros_manuales!$F$42*('Plan mensual'!K37+'Plan mensual'!K148+IF(parametros_manuales!$H$42="Todos",'Plan mensual'!K41+'Plan mensual'!K152,0))+parametros_manuales!$G$42*('Plan mensual'!K38+'Plan mensual'!K149+IF(parametros_manuales!$H$42="Todos",'Plan mensual'!K42+'Plan mensual'!K153,0)))*parametros_manuales!$I$42*parametros_manuales!$J$42</f>
        <v>1336.034684663</v>
      </c>
      <c r="J106" s="9" t="n">
        <f aca="false">(parametros_manuales!$D$42*('Plan mensual'!L35+'Plan mensual'!L146+IF(parametros_manuales!$H$42="Todos",'Plan mensual'!L39+'Plan mensual'!L150,0))+parametros_manuales!$E$42*('Plan mensual'!L36+'Plan mensual'!L147+IF(parametros_manuales!$H$42="Todos",'Plan mensual'!L40+'Plan mensual'!L151,0))+parametros_manuales!$F$42*('Plan mensual'!L37+'Plan mensual'!L148+IF(parametros_manuales!$H$42="Todos",'Plan mensual'!L41+'Plan mensual'!L152,0))+parametros_manuales!$G$42*('Plan mensual'!L38+'Plan mensual'!L149+IF(parametros_manuales!$H$42="Todos",'Plan mensual'!L42+'Plan mensual'!L153,0)))*parametros_manuales!$I$42*parametros_manuales!$J$42</f>
        <v>1336.034684663</v>
      </c>
      <c r="K106" s="9" t="n">
        <f aca="false">(parametros_manuales!$D$42*('Plan mensual'!M35+'Plan mensual'!M146+IF(parametros_manuales!$H$42="Todos",'Plan mensual'!M39+'Plan mensual'!M150,0))+parametros_manuales!$E$42*('Plan mensual'!M36+'Plan mensual'!M147+IF(parametros_manuales!$H$42="Todos",'Plan mensual'!M40+'Plan mensual'!M151,0))+parametros_manuales!$F$42*('Plan mensual'!M37+'Plan mensual'!M148+IF(parametros_manuales!$H$42="Todos",'Plan mensual'!M41+'Plan mensual'!M152,0))+parametros_manuales!$G$42*('Plan mensual'!M38+'Plan mensual'!M149+IF(parametros_manuales!$H$42="Todos",'Plan mensual'!M42+'Plan mensual'!M153,0)))*parametros_manuales!$I$42*parametros_manuales!$J$42</f>
        <v>1292.2222147575</v>
      </c>
      <c r="L106" s="9" t="n">
        <f aca="false">(parametros_manuales!$D$42*('Plan mensual'!N35+'Plan mensual'!N146+IF(parametros_manuales!$H$42="Todos",'Plan mensual'!N39+'Plan mensual'!N150,0))+parametros_manuales!$E$42*('Plan mensual'!N36+'Plan mensual'!N147+IF(parametros_manuales!$H$42="Todos",'Plan mensual'!N40+'Plan mensual'!N151,0))+parametros_manuales!$F$42*('Plan mensual'!N37+'Plan mensual'!N148+IF(parametros_manuales!$H$42="Todos",'Plan mensual'!N41+'Plan mensual'!N152,0))+parametros_manuales!$G$42*('Plan mensual'!N38+'Plan mensual'!N149+IF(parametros_manuales!$H$42="Todos",'Plan mensual'!N42+'Plan mensual'!N153,0)))*parametros_manuales!$I$42*parametros_manuales!$J$42</f>
        <v>1248.409744852</v>
      </c>
      <c r="M106" s="9" t="n">
        <f aca="false">(parametros_manuales!$D$42*('Plan mensual'!O35+'Plan mensual'!O146+IF(parametros_manuales!$H$42="Todos",'Plan mensual'!O39+'Plan mensual'!O150,0))+parametros_manuales!$E$42*('Plan mensual'!O36+'Plan mensual'!O147+IF(parametros_manuales!$H$42="Todos",'Plan mensual'!O40+'Plan mensual'!O151,0))+parametros_manuales!$F$42*('Plan mensual'!O37+'Plan mensual'!O148+IF(parametros_manuales!$H$42="Todos",'Plan mensual'!O41+'Plan mensual'!O152,0))+parametros_manuales!$G$42*('Plan mensual'!O38+'Plan mensual'!O149+IF(parametros_manuales!$H$42="Todos",'Plan mensual'!O42+'Plan mensual'!O153,0)))*parametros_manuales!$I$42*parametros_manuales!$J$42</f>
        <v>1979.930603801</v>
      </c>
      <c r="N106" s="9" t="n">
        <f aca="false">SUM(B106:M106)</f>
        <v>17229.6295301</v>
      </c>
      <c r="O106" s="9" t="n">
        <f aca="false">MAX(B106:M106)</f>
        <v>1979.930603801</v>
      </c>
      <c r="P106" s="44" t="n">
        <f aca="false">O106/(parametros_manuales!$B$7)</f>
        <v>13.1995373586733</v>
      </c>
      <c r="Q106" s="8" t="str">
        <f aca="false">IF(O106=0,"-",INDEX($B$82:$M$82,MATCH(O106,B106:M106,0)))</f>
        <v>Dic</v>
      </c>
    </row>
    <row r="107" customFormat="false" ht="14.25" hidden="false" customHeight="true" outlineLevel="0" collapsed="false">
      <c r="A107" s="8" t="str">
        <f aca="false">parametros_manuales!$B$43</f>
        <v>Embalaje y paletizado</v>
      </c>
      <c r="B107" s="9" t="n">
        <f aca="false">(parametros_manuales!$D$43*('Plan mensual'!D35+'Plan mensual'!D146+IF(parametros_manuales!$H$43="Todos",'Plan mensual'!D39+'Plan mensual'!D150,0))+parametros_manuales!$E$43*('Plan mensual'!D36+'Plan mensual'!D147+IF(parametros_manuales!$H$43="Todos",'Plan mensual'!D40+'Plan mensual'!D151,0))+parametros_manuales!$F$43*('Plan mensual'!D37+'Plan mensual'!D148+IF(parametros_manuales!$H$43="Todos",'Plan mensual'!D41+'Plan mensual'!D152,0))+parametros_manuales!$G$43*('Plan mensual'!D38+'Plan mensual'!D149+IF(parametros_manuales!$H$43="Todos",'Plan mensual'!D42+'Plan mensual'!D153,0)))*parametros_manuales!$I$43*parametros_manuales!$J$43</f>
        <v>5762.47366399</v>
      </c>
      <c r="C107" s="9" t="n">
        <f aca="false">(parametros_manuales!$D$43*('Plan mensual'!E35+'Plan mensual'!E146+IF(parametros_manuales!$H$43="Todos",'Plan mensual'!E39+'Plan mensual'!E150,0))+parametros_manuales!$E$43*('Plan mensual'!E36+'Plan mensual'!E147+IF(parametros_manuales!$H$43="Todos",'Plan mensual'!E40+'Plan mensual'!E151,0))+parametros_manuales!$F$43*('Plan mensual'!E37+'Plan mensual'!E148+IF(parametros_manuales!$H$43="Todos",'Plan mensual'!E41+'Plan mensual'!E152,0))+parametros_manuales!$G$43*('Plan mensual'!E38+'Plan mensual'!E149+IF(parametros_manuales!$H$43="Todos",'Plan mensual'!E42+'Plan mensual'!E153,0)))*parametros_manuales!$I$43*parametros_manuales!$J$43</f>
        <v>4399.007317898</v>
      </c>
      <c r="D107" s="9" t="n">
        <f aca="false">(parametros_manuales!$D$43*('Plan mensual'!F35+'Plan mensual'!F146+IF(parametros_manuales!$H$43="Todos",'Plan mensual'!F39+'Plan mensual'!F150,0))+parametros_manuales!$E$43*('Plan mensual'!F36+'Plan mensual'!F147+IF(parametros_manuales!$H$43="Todos",'Plan mensual'!F40+'Plan mensual'!F151,0))+parametros_manuales!$F$43*('Plan mensual'!F37+'Plan mensual'!F148+IF(parametros_manuales!$H$43="Todos",'Plan mensual'!F41+'Plan mensual'!F152,0))+parametros_manuales!$G$43*('Plan mensual'!F38+'Plan mensual'!F149+IF(parametros_manuales!$H$43="Todos",'Plan mensual'!F42+'Plan mensual'!F153,0)))*parametros_manuales!$I$43*parametros_manuales!$J$43</f>
        <v>4124.5400323135</v>
      </c>
      <c r="E107" s="9" t="n">
        <f aca="false">(parametros_manuales!$D$43*('Plan mensual'!G35+'Plan mensual'!G146+IF(parametros_manuales!$H$43="Todos",'Plan mensual'!G39+'Plan mensual'!G150,0))+parametros_manuales!$E$43*('Plan mensual'!G36+'Plan mensual'!G147+IF(parametros_manuales!$H$43="Todos",'Plan mensual'!G40+'Plan mensual'!G151,0))+parametros_manuales!$F$43*('Plan mensual'!G37+'Plan mensual'!G148+IF(parametros_manuales!$H$43="Todos",'Plan mensual'!G41+'Plan mensual'!G152,0))+parametros_manuales!$G$43*('Plan mensual'!G38+'Plan mensual'!G149+IF(parametros_manuales!$H$43="Todos",'Plan mensual'!G42+'Plan mensual'!G153,0)))*parametros_manuales!$I$43*parametros_manuales!$J$43</f>
        <v>3948.7303545685</v>
      </c>
      <c r="F107" s="9" t="n">
        <f aca="false">(parametros_manuales!$D$43*('Plan mensual'!H35+'Plan mensual'!H146+IF(parametros_manuales!$H$43="Todos",'Plan mensual'!H39+'Plan mensual'!H150,0))+parametros_manuales!$E$43*('Plan mensual'!H36+'Plan mensual'!H147+IF(parametros_manuales!$H$43="Todos",'Plan mensual'!H40+'Plan mensual'!H151,0))+parametros_manuales!$F$43*('Plan mensual'!H37+'Plan mensual'!H148+IF(parametros_manuales!$H$43="Todos",'Plan mensual'!H41+'Plan mensual'!H152,0))+parametros_manuales!$G$43*('Plan mensual'!H38+'Plan mensual'!H149+IF(parametros_manuales!$H$43="Todos",'Plan mensual'!H42+'Plan mensual'!H153,0)))*parametros_manuales!$I$43*parametros_manuales!$J$43</f>
        <v>3695.768606918</v>
      </c>
      <c r="G107" s="9" t="n">
        <f aca="false">(parametros_manuales!$D$43*('Plan mensual'!I35+'Plan mensual'!I146+IF(parametros_manuales!$H$43="Todos",'Plan mensual'!I39+'Plan mensual'!I150,0))+parametros_manuales!$E$43*('Plan mensual'!I36+'Plan mensual'!I147+IF(parametros_manuales!$H$43="Todos",'Plan mensual'!I40+'Plan mensual'!I151,0))+parametros_manuales!$F$43*('Plan mensual'!I37+'Plan mensual'!I148+IF(parametros_manuales!$H$43="Todos",'Plan mensual'!I41+'Plan mensual'!I152,0))+parametros_manuales!$G$43*('Plan mensual'!I38+'Plan mensual'!I149+IF(parametros_manuales!$H$43="Todos",'Plan mensual'!I42+'Plan mensual'!I153,0)))*parametros_manuales!$I$43*parametros_manuales!$J$43</f>
        <v>3618.6165370125</v>
      </c>
      <c r="H107" s="9" t="n">
        <f aca="false">(parametros_manuales!$D$43*('Plan mensual'!J35+'Plan mensual'!J146+IF(parametros_manuales!$H$43="Todos",'Plan mensual'!J39+'Plan mensual'!J150,0))+parametros_manuales!$E$43*('Plan mensual'!J36+'Plan mensual'!J147+IF(parametros_manuales!$H$43="Todos",'Plan mensual'!J40+'Plan mensual'!J151,0))+parametros_manuales!$F$43*('Plan mensual'!J37+'Plan mensual'!J148+IF(parametros_manuales!$H$43="Todos",'Plan mensual'!J41+'Plan mensual'!J152,0))+parametros_manuales!$G$43*('Plan mensual'!J38+'Plan mensual'!J149+IF(parametros_manuales!$H$43="Todos",'Plan mensual'!J42+'Plan mensual'!J153,0)))*parametros_manuales!$I$43*parametros_manuales!$J$43</f>
        <v>3871.578284663</v>
      </c>
      <c r="I107" s="9" t="n">
        <f aca="false">(parametros_manuales!$D$43*('Plan mensual'!K35+'Plan mensual'!K146+IF(parametros_manuales!$H$43="Todos",'Plan mensual'!K39+'Plan mensual'!K150,0))+parametros_manuales!$E$43*('Plan mensual'!K36+'Plan mensual'!K147+IF(parametros_manuales!$H$43="Todos",'Plan mensual'!K40+'Plan mensual'!K151,0))+parametros_manuales!$F$43*('Plan mensual'!K37+'Plan mensual'!K148+IF(parametros_manuales!$H$43="Todos",'Plan mensual'!K41+'Plan mensual'!K152,0))+parametros_manuales!$G$43*('Plan mensual'!K38+'Plan mensual'!K149+IF(parametros_manuales!$H$43="Todos",'Plan mensual'!K42+'Plan mensual'!K153,0)))*parametros_manuales!$I$43*parametros_manuales!$J$43</f>
        <v>3871.578284663</v>
      </c>
      <c r="J107" s="9" t="n">
        <f aca="false">(parametros_manuales!$D$43*('Plan mensual'!L35+'Plan mensual'!L146+IF(parametros_manuales!$H$43="Todos",'Plan mensual'!L39+'Plan mensual'!L150,0))+parametros_manuales!$E$43*('Plan mensual'!L36+'Plan mensual'!L147+IF(parametros_manuales!$H$43="Todos",'Plan mensual'!L40+'Plan mensual'!L151,0))+parametros_manuales!$F$43*('Plan mensual'!L37+'Plan mensual'!L148+IF(parametros_manuales!$H$43="Todos",'Plan mensual'!L41+'Plan mensual'!L152,0))+parametros_manuales!$G$43*('Plan mensual'!L38+'Plan mensual'!L149+IF(parametros_manuales!$H$43="Todos",'Plan mensual'!L42+'Plan mensual'!L153,0)))*parametros_manuales!$I$43*parametros_manuales!$J$43</f>
        <v>3871.578284663</v>
      </c>
      <c r="K107" s="9" t="n">
        <f aca="false">(parametros_manuales!$D$43*('Plan mensual'!M35+'Plan mensual'!M146+IF(parametros_manuales!$H$43="Todos",'Plan mensual'!M39+'Plan mensual'!M150,0))+parametros_manuales!$E$43*('Plan mensual'!M36+'Plan mensual'!M147+IF(parametros_manuales!$H$43="Todos",'Plan mensual'!M40+'Plan mensual'!M151,0))+parametros_manuales!$F$43*('Plan mensual'!M37+'Plan mensual'!M148+IF(parametros_manuales!$H$43="Todos",'Plan mensual'!M41+'Plan mensual'!M152,0))+parametros_manuales!$G$43*('Plan mensual'!M38+'Plan mensual'!M149+IF(parametros_manuales!$H$43="Todos",'Plan mensual'!M42+'Plan mensual'!M153,0)))*parametros_manuales!$I$43*parametros_manuales!$J$43</f>
        <v>3794.4262147575</v>
      </c>
      <c r="L107" s="9" t="n">
        <f aca="false">(parametros_manuales!$D$43*('Plan mensual'!N35+'Plan mensual'!N146+IF(parametros_manuales!$H$43="Todos",'Plan mensual'!N39+'Plan mensual'!N150,0))+parametros_manuales!$E$43*('Plan mensual'!N36+'Plan mensual'!N147+IF(parametros_manuales!$H$43="Todos",'Plan mensual'!N40+'Plan mensual'!N151,0))+parametros_manuales!$F$43*('Plan mensual'!N37+'Plan mensual'!N148+IF(parametros_manuales!$H$43="Todos",'Plan mensual'!N41+'Plan mensual'!N152,0))+parametros_manuales!$G$43*('Plan mensual'!N38+'Plan mensual'!N149+IF(parametros_manuales!$H$43="Todos",'Plan mensual'!N42+'Plan mensual'!N153,0)))*parametros_manuales!$I$43*parametros_manuales!$J$43</f>
        <v>3717.274144852</v>
      </c>
      <c r="M107" s="9" t="n">
        <f aca="false">(parametros_manuales!$D$43*('Plan mensual'!O35+'Plan mensual'!O146+IF(parametros_manuales!$H$43="Todos",'Plan mensual'!O39+'Plan mensual'!O150,0))+parametros_manuales!$E$43*('Plan mensual'!O36+'Plan mensual'!O147+IF(parametros_manuales!$H$43="Todos",'Plan mensual'!O40+'Plan mensual'!O151,0))+parametros_manuales!$F$43*('Plan mensual'!O37+'Plan mensual'!O148+IF(parametros_manuales!$H$43="Todos",'Plan mensual'!O41+'Plan mensual'!O152,0))+parametros_manuales!$G$43*('Plan mensual'!O38+'Plan mensual'!O149+IF(parametros_manuales!$H$43="Todos",'Plan mensual'!O42+'Plan mensual'!O153,0)))*parametros_manuales!$I$43*parametros_manuales!$J$43</f>
        <v>5916.777803801</v>
      </c>
      <c r="N107" s="9" t="n">
        <f aca="false">SUM(B107:M107)</f>
        <v>50592.3495301</v>
      </c>
      <c r="O107" s="9" t="n">
        <f aca="false">MAX(B107:M107)</f>
        <v>5916.777803801</v>
      </c>
      <c r="P107" s="44" t="n">
        <f aca="false">O107/(parametros_manuales!$B$7)</f>
        <v>39.4451853586733</v>
      </c>
      <c r="Q107" s="8" t="str">
        <f aca="false">IF(O107=0,"-",INDEX($B$82:$M$82,MATCH(O107,B107:M107,0)))</f>
        <v>Dic</v>
      </c>
    </row>
    <row r="108" customFormat="false" ht="14.25" hidden="false" customHeight="true" outlineLevel="0" collapsed="false"/>
    <row r="109" customFormat="false" ht="14.25" hidden="false" customHeight="true" outlineLevel="0" collapsed="false">
      <c r="A109" s="7" t="s">
        <v>204</v>
      </c>
      <c r="B109" s="7" t="s">
        <v>59</v>
      </c>
      <c r="C109" s="7" t="s">
        <v>60</v>
      </c>
      <c r="D109" s="7" t="s">
        <v>61</v>
      </c>
      <c r="E109" s="7" t="s">
        <v>62</v>
      </c>
      <c r="F109" s="7" t="s">
        <v>63</v>
      </c>
      <c r="G109" s="7" t="s">
        <v>64</v>
      </c>
      <c r="H109" s="7" t="s">
        <v>65</v>
      </c>
      <c r="I109" s="7" t="s">
        <v>66</v>
      </c>
      <c r="J109" s="7" t="s">
        <v>67</v>
      </c>
      <c r="K109" s="7" t="s">
        <v>68</v>
      </c>
      <c r="L109" s="7" t="s">
        <v>69</v>
      </c>
      <c r="M109" s="7" t="s">
        <v>70</v>
      </c>
      <c r="N109" s="7" t="s">
        <v>181</v>
      </c>
      <c r="O109" s="7" t="s">
        <v>198</v>
      </c>
      <c r="P109" s="7" t="s">
        <v>199</v>
      </c>
      <c r="Q109" s="7" t="s">
        <v>200</v>
      </c>
    </row>
    <row r="110" customFormat="false" ht="14.25" hidden="false" customHeight="true" outlineLevel="0" collapsed="false">
      <c r="A110" s="8" t="str">
        <f aca="false">parametros_manuales!$B$19</f>
        <v>Recepción de materia prima</v>
      </c>
      <c r="B110" s="9" t="n">
        <f aca="false">(parametros_manuales!$D$19*('Plan mensual'!D46+'Plan mensual'!D157+IF(parametros_manuales!$H$19="Todos",'Plan mensual'!D50+'Plan mensual'!D161,0))+parametros_manuales!$E$19*('Plan mensual'!D47+'Plan mensual'!D158+IF(parametros_manuales!$H$19="Todos",'Plan mensual'!D51+'Plan mensual'!D162,0))+parametros_manuales!$F$19*('Plan mensual'!D48+'Plan mensual'!D159+IF(parametros_manuales!$H$19="Todos",'Plan mensual'!D52+'Plan mensual'!D163,0))+parametros_manuales!$G$19*('Plan mensual'!D49+'Plan mensual'!D160+IF(parametros_manuales!$H$19="Todos",'Plan mensual'!D53+'Plan mensual'!D164,0)))*parametros_manuales!$I$19*parametros_manuales!$J$19</f>
        <v>10057.26520699</v>
      </c>
      <c r="C110" s="9" t="n">
        <f aca="false">(parametros_manuales!$D$19*('Plan mensual'!E46+'Plan mensual'!E157+IF(parametros_manuales!$H$19="Todos",'Plan mensual'!E50+'Plan mensual'!E161,0))+parametros_manuales!$E$19*('Plan mensual'!E47+'Plan mensual'!E158+IF(parametros_manuales!$H$19="Todos",'Plan mensual'!E51+'Plan mensual'!E162,0))+parametros_manuales!$F$19*('Plan mensual'!E48+'Plan mensual'!E159+IF(parametros_manuales!$H$19="Todos",'Plan mensual'!E52+'Plan mensual'!E163,0))+parametros_manuales!$G$19*('Plan mensual'!E49+'Plan mensual'!E160+IF(parametros_manuales!$H$19="Todos",'Plan mensual'!E53+'Plan mensual'!E164,0)))*parametros_manuales!$I$19*parametros_manuales!$J$19</f>
        <v>7673.119569332</v>
      </c>
      <c r="D110" s="9" t="n">
        <f aca="false">(parametros_manuales!$D$19*('Plan mensual'!F46+'Plan mensual'!F157+IF(parametros_manuales!$H$19="Todos",'Plan mensual'!F50+'Plan mensual'!F161,0))+parametros_manuales!$E$19*('Plan mensual'!F47+'Plan mensual'!F158+IF(parametros_manuales!$H$19="Todos",'Plan mensual'!F51+'Plan mensual'!F162,0))+parametros_manuales!$F$19*('Plan mensual'!F48+'Plan mensual'!F159+IF(parametros_manuales!$H$19="Todos",'Plan mensual'!F52+'Plan mensual'!F163,0))+parametros_manuales!$G$19*('Plan mensual'!F49+'Plan mensual'!F160+IF(parametros_manuales!$H$19="Todos",'Plan mensual'!F53+'Plan mensual'!F164,0)))*parametros_manuales!$I$19*parametros_manuales!$J$19</f>
        <v>7182.1359063215</v>
      </c>
      <c r="E110" s="9" t="n">
        <f aca="false">(parametros_manuales!$D$19*('Plan mensual'!G46+'Plan mensual'!G157+IF(parametros_manuales!$H$19="Todos",'Plan mensual'!G50+'Plan mensual'!G161,0))+parametros_manuales!$E$19*('Plan mensual'!G47+'Plan mensual'!G158+IF(parametros_manuales!$H$19="Todos",'Plan mensual'!G51+'Plan mensual'!G162,0))+parametros_manuales!$F$19*('Plan mensual'!G48+'Plan mensual'!G159+IF(parametros_manuales!$H$19="Todos",'Plan mensual'!G52+'Plan mensual'!G163,0))+parametros_manuales!$G$19*('Plan mensual'!G49+'Plan mensual'!G160+IF(parametros_manuales!$H$19="Todos",'Plan mensual'!G53+'Plan mensual'!G164,0)))*parametros_manuales!$I$19*parametros_manuales!$J$19</f>
        <v>6871.5587427715</v>
      </c>
      <c r="F110" s="9" t="n">
        <f aca="false">(parametros_manuales!$D$19*('Plan mensual'!H46+'Plan mensual'!H157+IF(parametros_manuales!$H$19="Todos",'Plan mensual'!H50+'Plan mensual'!H161,0))+parametros_manuales!$E$19*('Plan mensual'!H47+'Plan mensual'!H158+IF(parametros_manuales!$H$19="Todos",'Plan mensual'!H51+'Plan mensual'!H162,0))+parametros_manuales!$F$19*('Plan mensual'!H48+'Plan mensual'!H159+IF(parametros_manuales!$H$19="Todos",'Plan mensual'!H52+'Plan mensual'!H163,0))+parametros_manuales!$G$19*('Plan mensual'!H49+'Plan mensual'!H160+IF(parametros_manuales!$H$19="Todos",'Plan mensual'!H53+'Plan mensual'!H164,0)))*parametros_manuales!$I$19*parametros_manuales!$J$19</f>
        <v>6430.810915132</v>
      </c>
      <c r="G110" s="9" t="n">
        <f aca="false">(parametros_manuales!$D$19*('Plan mensual'!I46+'Plan mensual'!I157+IF(parametros_manuales!$H$19="Todos",'Plan mensual'!I50+'Plan mensual'!I161,0))+parametros_manuales!$E$19*('Plan mensual'!I47+'Plan mensual'!I158+IF(parametros_manuales!$H$19="Todos",'Plan mensual'!I51+'Plan mensual'!I162,0))+parametros_manuales!$F$19*('Plan mensual'!I48+'Plan mensual'!I159+IF(parametros_manuales!$H$19="Todos",'Plan mensual'!I52+'Plan mensual'!I163,0))+parametros_manuales!$G$19*('Plan mensual'!I49+'Plan mensual'!I160+IF(parametros_manuales!$H$19="Todos",'Plan mensual'!I53+'Plan mensual'!I164,0)))*parametros_manuales!$I$19*parametros_manuales!$J$19</f>
        <v>6300.6402510425</v>
      </c>
      <c r="H110" s="9" t="n">
        <f aca="false">(parametros_manuales!$D$19*('Plan mensual'!J46+'Plan mensual'!J157+IF(parametros_manuales!$H$19="Todos",'Plan mensual'!J50+'Plan mensual'!J161,0))+parametros_manuales!$E$19*('Plan mensual'!J47+'Plan mensual'!J158+IF(parametros_manuales!$H$19="Todos",'Plan mensual'!J51+'Plan mensual'!J162,0))+parametros_manuales!$F$19*('Plan mensual'!J48+'Plan mensual'!J159+IF(parametros_manuales!$H$19="Todos",'Plan mensual'!J52+'Plan mensual'!J163,0))+parametros_manuales!$G$19*('Plan mensual'!J49+'Plan mensual'!J160+IF(parametros_manuales!$H$19="Todos",'Plan mensual'!J53+'Plan mensual'!J164,0)))*parametros_manuales!$I$19*parametros_manuales!$J$19</f>
        <v>6741.388078682</v>
      </c>
      <c r="I110" s="9" t="n">
        <f aca="false">(parametros_manuales!$D$19*('Plan mensual'!K46+'Plan mensual'!K157+IF(parametros_manuales!$H$19="Todos",'Plan mensual'!K50+'Plan mensual'!K161,0))+parametros_manuales!$E$19*('Plan mensual'!K47+'Plan mensual'!K158+IF(parametros_manuales!$H$19="Todos",'Plan mensual'!K51+'Plan mensual'!K162,0))+parametros_manuales!$F$19*('Plan mensual'!K48+'Plan mensual'!K159+IF(parametros_manuales!$H$19="Todos",'Plan mensual'!K52+'Plan mensual'!K163,0))+parametros_manuales!$G$19*('Plan mensual'!K49+'Plan mensual'!K160+IF(parametros_manuales!$H$19="Todos",'Plan mensual'!K53+'Plan mensual'!K164,0)))*parametros_manuales!$I$19*parametros_manuales!$J$19</f>
        <v>6741.388078682</v>
      </c>
      <c r="J110" s="9" t="n">
        <f aca="false">(parametros_manuales!$D$19*('Plan mensual'!L46+'Plan mensual'!L157+IF(parametros_manuales!$H$19="Todos",'Plan mensual'!L50+'Plan mensual'!L161,0))+parametros_manuales!$E$19*('Plan mensual'!L47+'Plan mensual'!L158+IF(parametros_manuales!$H$19="Todos",'Plan mensual'!L51+'Plan mensual'!L162,0))+parametros_manuales!$F$19*('Plan mensual'!L48+'Plan mensual'!L159+IF(parametros_manuales!$H$19="Todos",'Plan mensual'!L52+'Plan mensual'!L163,0))+parametros_manuales!$G$19*('Plan mensual'!L49+'Plan mensual'!L160+IF(parametros_manuales!$H$19="Todos",'Plan mensual'!L53+'Plan mensual'!L164,0)))*parametros_manuales!$I$19*parametros_manuales!$J$19</f>
        <v>6741.388078682</v>
      </c>
      <c r="K110" s="9" t="n">
        <f aca="false">(parametros_manuales!$D$19*('Plan mensual'!M46+'Plan mensual'!M157+IF(parametros_manuales!$H$19="Todos",'Plan mensual'!M50+'Plan mensual'!M161,0))+parametros_manuales!$E$19*('Plan mensual'!M47+'Plan mensual'!M158+IF(parametros_manuales!$H$19="Todos",'Plan mensual'!M51+'Plan mensual'!M162,0))+parametros_manuales!$F$19*('Plan mensual'!M48+'Plan mensual'!M159+IF(parametros_manuales!$H$19="Todos",'Plan mensual'!M52+'Plan mensual'!M163,0))+parametros_manuales!$G$19*('Plan mensual'!M49+'Plan mensual'!M160+IF(parametros_manuales!$H$19="Todos",'Plan mensual'!M53+'Plan mensual'!M164,0)))*parametros_manuales!$I$19*parametros_manuales!$J$19</f>
        <v>6611.2174145925</v>
      </c>
      <c r="L110" s="9" t="n">
        <f aca="false">(parametros_manuales!$D$19*('Plan mensual'!N46+'Plan mensual'!N157+IF(parametros_manuales!$H$19="Todos",'Plan mensual'!N50+'Plan mensual'!N161,0))+parametros_manuales!$E$19*('Plan mensual'!N47+'Plan mensual'!N158+IF(parametros_manuales!$H$19="Todos",'Plan mensual'!N51+'Plan mensual'!N162,0))+parametros_manuales!$F$19*('Plan mensual'!N48+'Plan mensual'!N159+IF(parametros_manuales!$H$19="Todos",'Plan mensual'!N52+'Plan mensual'!N163,0))+parametros_manuales!$G$19*('Plan mensual'!N49+'Plan mensual'!N160+IF(parametros_manuales!$H$19="Todos",'Plan mensual'!N53+'Plan mensual'!N164,0)))*parametros_manuales!$I$19*parametros_manuales!$J$19</f>
        <v>6481.046750503</v>
      </c>
      <c r="M110" s="9" t="n">
        <f aca="false">(parametros_manuales!$D$19*('Plan mensual'!O46+'Plan mensual'!O157+IF(parametros_manuales!$H$19="Todos",'Plan mensual'!O50+'Plan mensual'!O161,0))+parametros_manuales!$E$19*('Plan mensual'!O47+'Plan mensual'!O158+IF(parametros_manuales!$H$19="Todos",'Plan mensual'!O51+'Plan mensual'!O162,0))+parametros_manuales!$F$19*('Plan mensual'!O48+'Plan mensual'!O159+IF(parametros_manuales!$H$19="Todos",'Plan mensual'!O52+'Plan mensual'!O163,0))+parametros_manuales!$G$19*('Plan mensual'!O49+'Plan mensual'!O160+IF(parametros_manuales!$H$19="Todos",'Plan mensual'!O53+'Plan mensual'!O164,0)))*parametros_manuales!$I$19*parametros_manuales!$J$19</f>
        <v>10317.606535169</v>
      </c>
      <c r="N110" s="9" t="n">
        <f aca="false">SUM(B110:M110)</f>
        <v>88149.5655279</v>
      </c>
      <c r="O110" s="9" t="n">
        <f aca="false">MAX(B110:M110)</f>
        <v>10317.606535169</v>
      </c>
      <c r="P110" s="44" t="n">
        <f aca="false">O110/(parametros_manuales!$B$7)</f>
        <v>68.7840435677934</v>
      </c>
      <c r="Q110" s="8" t="str">
        <f aca="false">IF(O110=0,"-",INDEX($B$109:$M$109,MATCH(O110,B110:M110,0)))</f>
        <v>Dic</v>
      </c>
    </row>
    <row r="111" customFormat="false" ht="14.25" hidden="false" customHeight="true" outlineLevel="0" collapsed="false">
      <c r="A111" s="8" t="str">
        <f aca="false">parametros_manuales!$B$20</f>
        <v>Corte de chapa (guillotina) — 2,5 a 10 kg</v>
      </c>
      <c r="B111" s="9" t="n">
        <f aca="false">(parametros_manuales!$D$20*('Plan mensual'!D46+'Plan mensual'!D157+IF(parametros_manuales!$H$20="Todos",'Plan mensual'!D50+'Plan mensual'!D161,0))+parametros_manuales!$E$20*('Plan mensual'!D47+'Plan mensual'!D158+IF(parametros_manuales!$H$20="Todos",'Plan mensual'!D51+'Plan mensual'!D162,0))+parametros_manuales!$F$20*('Plan mensual'!D48+'Plan mensual'!D159+IF(parametros_manuales!$H$20="Todos",'Plan mensual'!D52+'Plan mensual'!D163,0))+parametros_manuales!$G$20*('Plan mensual'!D49+'Plan mensual'!D160+IF(parametros_manuales!$H$20="Todos",'Plan mensual'!D53+'Plan mensual'!D164,0)))*parametros_manuales!$I$20*parametros_manuales!$J$20</f>
        <v>2603.41328179</v>
      </c>
      <c r="C111" s="9" t="n">
        <f aca="false">(parametros_manuales!$D$20*('Plan mensual'!E46+'Plan mensual'!E157+IF(parametros_manuales!$H$20="Todos",'Plan mensual'!E50+'Plan mensual'!E161,0))+parametros_manuales!$E$20*('Plan mensual'!E47+'Plan mensual'!E158+IF(parametros_manuales!$H$20="Todos",'Plan mensual'!E51+'Plan mensual'!E162,0))+parametros_manuales!$F$20*('Plan mensual'!E48+'Plan mensual'!E159+IF(parametros_manuales!$H$20="Todos",'Plan mensual'!E52+'Plan mensual'!E163,0))+parametros_manuales!$G$20*('Plan mensual'!E49+'Plan mensual'!E160+IF(parametros_manuales!$H$20="Todos",'Plan mensual'!E53+'Plan mensual'!E164,0)))*parametros_manuales!$I$20*parametros_manuales!$J$20</f>
        <v>2082.730625432</v>
      </c>
      <c r="D111" s="9" t="n">
        <f aca="false">(parametros_manuales!$D$20*('Plan mensual'!F46+'Plan mensual'!F157+IF(parametros_manuales!$H$20="Todos",'Plan mensual'!F50+'Plan mensual'!F161,0))+parametros_manuales!$E$20*('Plan mensual'!F47+'Plan mensual'!F158+IF(parametros_manuales!$H$20="Todos",'Plan mensual'!F51+'Plan mensual'!F162,0))+parametros_manuales!$F$20*('Plan mensual'!F48+'Plan mensual'!F159+IF(parametros_manuales!$H$20="Todos",'Plan mensual'!F52+'Plan mensual'!F163,0))+parametros_manuales!$G$20*('Plan mensual'!F49+'Plan mensual'!F160+IF(parametros_manuales!$H$20="Todos",'Plan mensual'!F53+'Plan mensual'!F164,0)))*parametros_manuales!$I$20*parametros_manuales!$J$20</f>
        <v>2212.9012895215</v>
      </c>
      <c r="E111" s="9" t="n">
        <f aca="false">(parametros_manuales!$D$20*('Plan mensual'!G46+'Plan mensual'!G157+IF(parametros_manuales!$H$20="Todos",'Plan mensual'!G50+'Plan mensual'!G161,0))+parametros_manuales!$E$20*('Plan mensual'!G47+'Plan mensual'!G158+IF(parametros_manuales!$H$20="Todos",'Plan mensual'!G51+'Plan mensual'!G162,0))+parametros_manuales!$F$20*('Plan mensual'!G48+'Plan mensual'!G159+IF(parametros_manuales!$H$20="Todos",'Plan mensual'!G52+'Plan mensual'!G163,0))+parametros_manuales!$G$20*('Plan mensual'!G49+'Plan mensual'!G160+IF(parametros_manuales!$H$20="Todos",'Plan mensual'!G53+'Plan mensual'!G164,0)))*parametros_manuales!$I$20*parametros_manuales!$J$20</f>
        <v>2212.9012895215</v>
      </c>
      <c r="F111" s="9" t="n">
        <f aca="false">(parametros_manuales!$D$20*('Plan mensual'!H46+'Plan mensual'!H157+IF(parametros_manuales!$H$20="Todos",'Plan mensual'!H50+'Plan mensual'!H161,0))+parametros_manuales!$E$20*('Plan mensual'!H47+'Plan mensual'!H158+IF(parametros_manuales!$H$20="Todos",'Plan mensual'!H51+'Plan mensual'!H162,0))+parametros_manuales!$F$20*('Plan mensual'!H48+'Plan mensual'!H159+IF(parametros_manuales!$H$20="Todos",'Plan mensual'!H52+'Plan mensual'!H163,0))+parametros_manuales!$G$20*('Plan mensual'!H49+'Plan mensual'!H160+IF(parametros_manuales!$H$20="Todos",'Plan mensual'!H53+'Plan mensual'!H164,0)))*parametros_manuales!$I$20*parametros_manuales!$J$20</f>
        <v>2082.730625432</v>
      </c>
      <c r="G111" s="9" t="n">
        <f aca="false">(parametros_manuales!$D$20*('Plan mensual'!I46+'Plan mensual'!I157+IF(parametros_manuales!$H$20="Todos",'Plan mensual'!I50+'Plan mensual'!I161,0))+parametros_manuales!$E$20*('Plan mensual'!I47+'Plan mensual'!I158+IF(parametros_manuales!$H$20="Todos",'Plan mensual'!I51+'Plan mensual'!I162,0))+parametros_manuales!$F$20*('Plan mensual'!I48+'Plan mensual'!I159+IF(parametros_manuales!$H$20="Todos",'Plan mensual'!I52+'Plan mensual'!I163,0))+parametros_manuales!$G$20*('Plan mensual'!I49+'Plan mensual'!I160+IF(parametros_manuales!$H$20="Todos",'Plan mensual'!I53+'Plan mensual'!I164,0)))*parametros_manuales!$I$20*parametros_manuales!$J$20</f>
        <v>1952.5599613425</v>
      </c>
      <c r="H111" s="9" t="n">
        <f aca="false">(parametros_manuales!$D$20*('Plan mensual'!J46+'Plan mensual'!J157+IF(parametros_manuales!$H$20="Todos",'Plan mensual'!J50+'Plan mensual'!J161,0))+parametros_manuales!$E$20*('Plan mensual'!J47+'Plan mensual'!J158+IF(parametros_manuales!$H$20="Todos",'Plan mensual'!J51+'Plan mensual'!J162,0))+parametros_manuales!$F$20*('Plan mensual'!J48+'Plan mensual'!J159+IF(parametros_manuales!$H$20="Todos",'Plan mensual'!J52+'Plan mensual'!J163,0))+parametros_manuales!$G$20*('Plan mensual'!J49+'Plan mensual'!J160+IF(parametros_manuales!$H$20="Todos",'Plan mensual'!J53+'Plan mensual'!J164,0)))*parametros_manuales!$I$20*parametros_manuales!$J$20</f>
        <v>2082.730625432</v>
      </c>
      <c r="I111" s="9" t="n">
        <f aca="false">(parametros_manuales!$D$20*('Plan mensual'!K46+'Plan mensual'!K157+IF(parametros_manuales!$H$20="Todos",'Plan mensual'!K50+'Plan mensual'!K161,0))+parametros_manuales!$E$20*('Plan mensual'!K47+'Plan mensual'!K158+IF(parametros_manuales!$H$20="Todos",'Plan mensual'!K51+'Plan mensual'!K162,0))+parametros_manuales!$F$20*('Plan mensual'!K48+'Plan mensual'!K159+IF(parametros_manuales!$H$20="Todos",'Plan mensual'!K52+'Plan mensual'!K163,0))+parametros_manuales!$G$20*('Plan mensual'!K49+'Plan mensual'!K160+IF(parametros_manuales!$H$20="Todos",'Plan mensual'!K53+'Plan mensual'!K164,0)))*parametros_manuales!$I$20*parametros_manuales!$J$20</f>
        <v>2082.730625432</v>
      </c>
      <c r="J111" s="9" t="n">
        <f aca="false">(parametros_manuales!$D$20*('Plan mensual'!L46+'Plan mensual'!L157+IF(parametros_manuales!$H$20="Todos",'Plan mensual'!L50+'Plan mensual'!L161,0))+parametros_manuales!$E$20*('Plan mensual'!L47+'Plan mensual'!L158+IF(parametros_manuales!$H$20="Todos",'Plan mensual'!L51+'Plan mensual'!L162,0))+parametros_manuales!$F$20*('Plan mensual'!L48+'Plan mensual'!L159+IF(parametros_manuales!$H$20="Todos",'Plan mensual'!L52+'Plan mensual'!L163,0))+parametros_manuales!$G$20*('Plan mensual'!L49+'Plan mensual'!L160+IF(parametros_manuales!$H$20="Todos",'Plan mensual'!L53+'Plan mensual'!L164,0)))*parametros_manuales!$I$20*parametros_manuales!$J$20</f>
        <v>2082.730625432</v>
      </c>
      <c r="K111" s="9" t="n">
        <f aca="false">(parametros_manuales!$D$20*('Plan mensual'!M46+'Plan mensual'!M157+IF(parametros_manuales!$H$20="Todos",'Plan mensual'!M50+'Plan mensual'!M161,0))+parametros_manuales!$E$20*('Plan mensual'!M47+'Plan mensual'!M158+IF(parametros_manuales!$H$20="Todos",'Plan mensual'!M51+'Plan mensual'!M162,0))+parametros_manuales!$F$20*('Plan mensual'!M48+'Plan mensual'!M159+IF(parametros_manuales!$H$20="Todos",'Plan mensual'!M52+'Plan mensual'!M163,0))+parametros_manuales!$G$20*('Plan mensual'!M49+'Plan mensual'!M160+IF(parametros_manuales!$H$20="Todos",'Plan mensual'!M53+'Plan mensual'!M164,0)))*parametros_manuales!$I$20*parametros_manuales!$J$20</f>
        <v>1952.5599613425</v>
      </c>
      <c r="L111" s="9" t="n">
        <f aca="false">(parametros_manuales!$D$20*('Plan mensual'!N46+'Plan mensual'!N157+IF(parametros_manuales!$H$20="Todos",'Plan mensual'!N50+'Plan mensual'!N161,0))+parametros_manuales!$E$20*('Plan mensual'!N47+'Plan mensual'!N158+IF(parametros_manuales!$H$20="Todos",'Plan mensual'!N51+'Plan mensual'!N162,0))+parametros_manuales!$F$20*('Plan mensual'!N48+'Plan mensual'!N159+IF(parametros_manuales!$H$20="Todos",'Plan mensual'!N52+'Plan mensual'!N163,0))+parametros_manuales!$G$20*('Plan mensual'!N49+'Plan mensual'!N160+IF(parametros_manuales!$H$20="Todos",'Plan mensual'!N53+'Plan mensual'!N164,0)))*parametros_manuales!$I$20*parametros_manuales!$J$20</f>
        <v>1822.389297253</v>
      </c>
      <c r="M111" s="9" t="n">
        <f aca="false">(parametros_manuales!$D$20*('Plan mensual'!O46+'Plan mensual'!O157+IF(parametros_manuales!$H$20="Todos",'Plan mensual'!O50+'Plan mensual'!O161,0))+parametros_manuales!$E$20*('Plan mensual'!O47+'Plan mensual'!O158+IF(parametros_manuales!$H$20="Todos",'Plan mensual'!O51+'Plan mensual'!O162,0))+parametros_manuales!$F$20*('Plan mensual'!O48+'Plan mensual'!O159+IF(parametros_manuales!$H$20="Todos",'Plan mensual'!O52+'Plan mensual'!O163,0))+parametros_manuales!$G$20*('Plan mensual'!O49+'Plan mensual'!O160+IF(parametros_manuales!$H$20="Todos",'Plan mensual'!O53+'Plan mensual'!O164,0)))*parametros_manuales!$I$20*parametros_manuales!$J$20</f>
        <v>2863.754609969</v>
      </c>
      <c r="N111" s="9" t="n">
        <f aca="false">SUM(B111:M111)</f>
        <v>26034.1328179</v>
      </c>
      <c r="O111" s="9" t="n">
        <f aca="false">MAX(B111:M111)</f>
        <v>2863.754609969</v>
      </c>
      <c r="P111" s="44" t="n">
        <f aca="false">O111/(parametros_manuales!$B$7)</f>
        <v>19.0916973997933</v>
      </c>
      <c r="Q111" s="8" t="str">
        <f aca="false">IF(O111=0,"-",INDEX($B$109:$M$109,MATCH(O111,B111:M111,0)))</f>
        <v>Dic</v>
      </c>
    </row>
    <row r="112" customFormat="false" ht="14.25" hidden="false" customHeight="true" outlineLevel="0" collapsed="false">
      <c r="A112" s="8" t="str">
        <f aca="false">parametros_manuales!$B$21</f>
        <v>Corte de tubo — 1 kg</v>
      </c>
      <c r="B112" s="9" t="n">
        <f aca="false">(parametros_manuales!$D$21*('Plan mensual'!D46+'Plan mensual'!D157+IF(parametros_manuales!$H$21="Todos",'Plan mensual'!D50+'Plan mensual'!D161,0))+parametros_manuales!$E$21*('Plan mensual'!D47+'Plan mensual'!D158+IF(parametros_manuales!$H$21="Todos",'Plan mensual'!D51+'Plan mensual'!D162,0))+parametros_manuales!$F$21*('Plan mensual'!D48+'Plan mensual'!D159+IF(parametros_manuales!$H$21="Todos",'Plan mensual'!D52+'Plan mensual'!D163,0))+parametros_manuales!$G$21*('Plan mensual'!D49+'Plan mensual'!D160+IF(parametros_manuales!$H$21="Todos",'Plan mensual'!D53+'Plan mensual'!D164,0)))*parametros_manuales!$I$21*parametros_manuales!$J$21</f>
        <v>7453.8519252</v>
      </c>
      <c r="C112" s="9" t="n">
        <f aca="false">(parametros_manuales!$D$21*('Plan mensual'!E46+'Plan mensual'!E157+IF(parametros_manuales!$H$21="Todos",'Plan mensual'!E50+'Plan mensual'!E161,0))+parametros_manuales!$E$21*('Plan mensual'!E47+'Plan mensual'!E158+IF(parametros_manuales!$H$21="Todos",'Plan mensual'!E51+'Plan mensual'!E162,0))+parametros_manuales!$F$21*('Plan mensual'!E48+'Plan mensual'!E159+IF(parametros_manuales!$H$21="Todos",'Plan mensual'!E52+'Plan mensual'!E163,0))+parametros_manuales!$G$21*('Plan mensual'!E49+'Plan mensual'!E160+IF(parametros_manuales!$H$21="Todos",'Plan mensual'!E53+'Plan mensual'!E164,0)))*parametros_manuales!$I$21*parametros_manuales!$J$21</f>
        <v>5590.3889439</v>
      </c>
      <c r="D112" s="9" t="n">
        <f aca="false">(parametros_manuales!$D$21*('Plan mensual'!F46+'Plan mensual'!F157+IF(parametros_manuales!$H$21="Todos",'Plan mensual'!F50+'Plan mensual'!F161,0))+parametros_manuales!$E$21*('Plan mensual'!F47+'Plan mensual'!F158+IF(parametros_manuales!$H$21="Todos",'Plan mensual'!F51+'Plan mensual'!F162,0))+parametros_manuales!$F$21*('Plan mensual'!F48+'Plan mensual'!F159+IF(parametros_manuales!$H$21="Todos",'Plan mensual'!F52+'Plan mensual'!F163,0))+parametros_manuales!$G$21*('Plan mensual'!F49+'Plan mensual'!F160+IF(parametros_manuales!$H$21="Todos",'Plan mensual'!F53+'Plan mensual'!F164,0)))*parametros_manuales!$I$21*parametros_manuales!$J$21</f>
        <v>4969.2346168</v>
      </c>
      <c r="E112" s="9" t="n">
        <f aca="false">(parametros_manuales!$D$21*('Plan mensual'!G46+'Plan mensual'!G157+IF(parametros_manuales!$H$21="Todos",'Plan mensual'!G50+'Plan mensual'!G161,0))+parametros_manuales!$E$21*('Plan mensual'!G47+'Plan mensual'!G158+IF(parametros_manuales!$H$21="Todos",'Plan mensual'!G51+'Plan mensual'!G162,0))+parametros_manuales!$F$21*('Plan mensual'!G48+'Plan mensual'!G159+IF(parametros_manuales!$H$21="Todos",'Plan mensual'!G52+'Plan mensual'!G163,0))+parametros_manuales!$G$21*('Plan mensual'!G49+'Plan mensual'!G160+IF(parametros_manuales!$H$21="Todos",'Plan mensual'!G53+'Plan mensual'!G164,0)))*parametros_manuales!$I$21*parametros_manuales!$J$21</f>
        <v>4658.65745325</v>
      </c>
      <c r="F112" s="9" t="n">
        <f aca="false">(parametros_manuales!$D$21*('Plan mensual'!H46+'Plan mensual'!H157+IF(parametros_manuales!$H$21="Todos",'Plan mensual'!H50+'Plan mensual'!H161,0))+parametros_manuales!$E$21*('Plan mensual'!H47+'Plan mensual'!H158+IF(parametros_manuales!$H$21="Todos",'Plan mensual'!H51+'Plan mensual'!H162,0))+parametros_manuales!$F$21*('Plan mensual'!H48+'Plan mensual'!H159+IF(parametros_manuales!$H$21="Todos",'Plan mensual'!H52+'Plan mensual'!H163,0))+parametros_manuales!$G$21*('Plan mensual'!H49+'Plan mensual'!H160+IF(parametros_manuales!$H$21="Todos",'Plan mensual'!H53+'Plan mensual'!H164,0)))*parametros_manuales!$I$21*parametros_manuales!$J$21</f>
        <v>4348.0802897</v>
      </c>
      <c r="G112" s="9" t="n">
        <f aca="false">(parametros_manuales!$D$21*('Plan mensual'!I46+'Plan mensual'!I157+IF(parametros_manuales!$H$21="Todos",'Plan mensual'!I50+'Plan mensual'!I161,0))+parametros_manuales!$E$21*('Plan mensual'!I47+'Plan mensual'!I158+IF(parametros_manuales!$H$21="Todos",'Plan mensual'!I51+'Plan mensual'!I162,0))+parametros_manuales!$F$21*('Plan mensual'!I48+'Plan mensual'!I159+IF(parametros_manuales!$H$21="Todos",'Plan mensual'!I52+'Plan mensual'!I163,0))+parametros_manuales!$G$21*('Plan mensual'!I49+'Plan mensual'!I160+IF(parametros_manuales!$H$21="Todos",'Plan mensual'!I53+'Plan mensual'!I164,0)))*parametros_manuales!$I$21*parametros_manuales!$J$21</f>
        <v>4348.0802897</v>
      </c>
      <c r="H112" s="9" t="n">
        <f aca="false">(parametros_manuales!$D$21*('Plan mensual'!J46+'Plan mensual'!J157+IF(parametros_manuales!$H$21="Todos",'Plan mensual'!J50+'Plan mensual'!J161,0))+parametros_manuales!$E$21*('Plan mensual'!J47+'Plan mensual'!J158+IF(parametros_manuales!$H$21="Todos",'Plan mensual'!J51+'Plan mensual'!J162,0))+parametros_manuales!$F$21*('Plan mensual'!J48+'Plan mensual'!J159+IF(parametros_manuales!$H$21="Todos",'Plan mensual'!J52+'Plan mensual'!J163,0))+parametros_manuales!$G$21*('Plan mensual'!J49+'Plan mensual'!J160+IF(parametros_manuales!$H$21="Todos",'Plan mensual'!J53+'Plan mensual'!J164,0)))*parametros_manuales!$I$21*parametros_manuales!$J$21</f>
        <v>4658.65745325</v>
      </c>
      <c r="I112" s="9" t="n">
        <f aca="false">(parametros_manuales!$D$21*('Plan mensual'!K46+'Plan mensual'!K157+IF(parametros_manuales!$H$21="Todos",'Plan mensual'!K50+'Plan mensual'!K161,0))+parametros_manuales!$E$21*('Plan mensual'!K47+'Plan mensual'!K158+IF(parametros_manuales!$H$21="Todos",'Plan mensual'!K51+'Plan mensual'!K162,0))+parametros_manuales!$F$21*('Plan mensual'!K48+'Plan mensual'!K159+IF(parametros_manuales!$H$21="Todos",'Plan mensual'!K52+'Plan mensual'!K163,0))+parametros_manuales!$G$21*('Plan mensual'!K49+'Plan mensual'!K160+IF(parametros_manuales!$H$21="Todos",'Plan mensual'!K53+'Plan mensual'!K164,0)))*parametros_manuales!$I$21*parametros_manuales!$J$21</f>
        <v>4658.65745325</v>
      </c>
      <c r="J112" s="9" t="n">
        <f aca="false">(parametros_manuales!$D$21*('Plan mensual'!L46+'Plan mensual'!L157+IF(parametros_manuales!$H$21="Todos",'Plan mensual'!L50+'Plan mensual'!L161,0))+parametros_manuales!$E$21*('Plan mensual'!L47+'Plan mensual'!L158+IF(parametros_manuales!$H$21="Todos",'Plan mensual'!L51+'Plan mensual'!L162,0))+parametros_manuales!$F$21*('Plan mensual'!L48+'Plan mensual'!L159+IF(parametros_manuales!$H$21="Todos",'Plan mensual'!L52+'Plan mensual'!L163,0))+parametros_manuales!$G$21*('Plan mensual'!L49+'Plan mensual'!L160+IF(parametros_manuales!$H$21="Todos",'Plan mensual'!L53+'Plan mensual'!L164,0)))*parametros_manuales!$I$21*parametros_manuales!$J$21</f>
        <v>4658.65745325</v>
      </c>
      <c r="K112" s="9" t="n">
        <f aca="false">(parametros_manuales!$D$21*('Plan mensual'!M46+'Plan mensual'!M157+IF(parametros_manuales!$H$21="Todos",'Plan mensual'!M50+'Plan mensual'!M161,0))+parametros_manuales!$E$21*('Plan mensual'!M47+'Plan mensual'!M158+IF(parametros_manuales!$H$21="Todos",'Plan mensual'!M51+'Plan mensual'!M162,0))+parametros_manuales!$F$21*('Plan mensual'!M48+'Plan mensual'!M159+IF(parametros_manuales!$H$21="Todos",'Plan mensual'!M52+'Plan mensual'!M163,0))+parametros_manuales!$G$21*('Plan mensual'!M49+'Plan mensual'!M160+IF(parametros_manuales!$H$21="Todos",'Plan mensual'!M53+'Plan mensual'!M164,0)))*parametros_manuales!$I$21*parametros_manuales!$J$21</f>
        <v>4658.65745325</v>
      </c>
      <c r="L112" s="9" t="n">
        <f aca="false">(parametros_manuales!$D$21*('Plan mensual'!N46+'Plan mensual'!N157+IF(parametros_manuales!$H$21="Todos",'Plan mensual'!N50+'Plan mensual'!N161,0))+parametros_manuales!$E$21*('Plan mensual'!N47+'Plan mensual'!N158+IF(parametros_manuales!$H$21="Todos",'Plan mensual'!N51+'Plan mensual'!N162,0))+parametros_manuales!$F$21*('Plan mensual'!N48+'Plan mensual'!N159+IF(parametros_manuales!$H$21="Todos",'Plan mensual'!N52+'Plan mensual'!N163,0))+parametros_manuales!$G$21*('Plan mensual'!N49+'Plan mensual'!N160+IF(parametros_manuales!$H$21="Todos",'Plan mensual'!N53+'Plan mensual'!N164,0)))*parametros_manuales!$I$21*parametros_manuales!$J$21</f>
        <v>4658.65745325</v>
      </c>
      <c r="M112" s="9" t="n">
        <f aca="false">(parametros_manuales!$D$21*('Plan mensual'!O46+'Plan mensual'!O157+IF(parametros_manuales!$H$21="Todos",'Plan mensual'!O50+'Plan mensual'!O161,0))+parametros_manuales!$E$21*('Plan mensual'!O47+'Plan mensual'!O158+IF(parametros_manuales!$H$21="Todos",'Plan mensual'!O51+'Plan mensual'!O162,0))+parametros_manuales!$F$21*('Plan mensual'!O48+'Plan mensual'!O159+IF(parametros_manuales!$H$21="Todos",'Plan mensual'!O52+'Plan mensual'!O163,0))+parametros_manuales!$G$21*('Plan mensual'!O49+'Plan mensual'!O160+IF(parametros_manuales!$H$21="Todos",'Plan mensual'!O53+'Plan mensual'!O164,0)))*parametros_manuales!$I$21*parametros_manuales!$J$21</f>
        <v>7453.8519252</v>
      </c>
      <c r="N112" s="9" t="n">
        <f aca="false">SUM(B112:M112)</f>
        <v>62115.43271</v>
      </c>
      <c r="O112" s="9" t="n">
        <f aca="false">MAX(B112:M112)</f>
        <v>7453.8519252</v>
      </c>
      <c r="P112" s="44" t="n">
        <f aca="false">O112/(parametros_manuales!$B$7)</f>
        <v>49.692346168</v>
      </c>
      <c r="Q112" s="8" t="str">
        <f aca="false">IF(O112=0,"-",INDEX($B$109:$M$109,MATCH(O112,B112:M112,0)))</f>
        <v>Ene</v>
      </c>
    </row>
    <row r="113" customFormat="false" ht="14.25" hidden="false" customHeight="true" outlineLevel="0" collapsed="false">
      <c r="A113" s="8" t="str">
        <f aca="false">parametros_manuales!$B$22</f>
        <v>Corte de disco y embutido (cúpula y fondo)</v>
      </c>
      <c r="B113" s="9" t="n">
        <f aca="false">(parametros_manuales!$D$22*('Plan mensual'!D46+'Plan mensual'!D157+IF(parametros_manuales!$H$22="Todos",'Plan mensual'!D50+'Plan mensual'!D161,0))+parametros_manuales!$E$22*('Plan mensual'!D47+'Plan mensual'!D158+IF(parametros_manuales!$H$22="Todos",'Plan mensual'!D51+'Plan mensual'!D162,0))+parametros_manuales!$F$22*('Plan mensual'!D48+'Plan mensual'!D159+IF(parametros_manuales!$H$22="Todos",'Plan mensual'!D52+'Plan mensual'!D163,0))+parametros_manuales!$G$22*('Plan mensual'!D49+'Plan mensual'!D160+IF(parametros_manuales!$H$22="Todos",'Plan mensual'!D53+'Plan mensual'!D164,0)))*parametros_manuales!$I$22*parametros_manuales!$J$22</f>
        <v>20114.53041398</v>
      </c>
      <c r="C113" s="9" t="n">
        <f aca="false">(parametros_manuales!$D$22*('Plan mensual'!E46+'Plan mensual'!E157+IF(parametros_manuales!$H$22="Todos",'Plan mensual'!E50+'Plan mensual'!E161,0))+parametros_manuales!$E$22*('Plan mensual'!E47+'Plan mensual'!E158+IF(parametros_manuales!$H$22="Todos",'Plan mensual'!E51+'Plan mensual'!E162,0))+parametros_manuales!$F$22*('Plan mensual'!E48+'Plan mensual'!E159+IF(parametros_manuales!$H$22="Todos",'Plan mensual'!E52+'Plan mensual'!E163,0))+parametros_manuales!$G$22*('Plan mensual'!E49+'Plan mensual'!E160+IF(parametros_manuales!$H$22="Todos",'Plan mensual'!E53+'Plan mensual'!E164,0)))*parametros_manuales!$I$22*parametros_manuales!$J$22</f>
        <v>15346.239138664</v>
      </c>
      <c r="D113" s="9" t="n">
        <f aca="false">(parametros_manuales!$D$22*('Plan mensual'!F46+'Plan mensual'!F157+IF(parametros_manuales!$H$22="Todos",'Plan mensual'!F50+'Plan mensual'!F161,0))+parametros_manuales!$E$22*('Plan mensual'!F47+'Plan mensual'!F158+IF(parametros_manuales!$H$22="Todos",'Plan mensual'!F51+'Plan mensual'!F162,0))+parametros_manuales!$F$22*('Plan mensual'!F48+'Plan mensual'!F159+IF(parametros_manuales!$H$22="Todos",'Plan mensual'!F52+'Plan mensual'!F163,0))+parametros_manuales!$G$22*('Plan mensual'!F49+'Plan mensual'!F160+IF(parametros_manuales!$H$22="Todos",'Plan mensual'!F53+'Plan mensual'!F164,0)))*parametros_manuales!$I$22*parametros_manuales!$J$22</f>
        <v>14364.271812643</v>
      </c>
      <c r="E113" s="9" t="n">
        <f aca="false">(parametros_manuales!$D$22*('Plan mensual'!G46+'Plan mensual'!G157+IF(parametros_manuales!$H$22="Todos",'Plan mensual'!G50+'Plan mensual'!G161,0))+parametros_manuales!$E$22*('Plan mensual'!G47+'Plan mensual'!G158+IF(parametros_manuales!$H$22="Todos",'Plan mensual'!G51+'Plan mensual'!G162,0))+parametros_manuales!$F$22*('Plan mensual'!G48+'Plan mensual'!G159+IF(parametros_manuales!$H$22="Todos",'Plan mensual'!G52+'Plan mensual'!G163,0))+parametros_manuales!$G$22*('Plan mensual'!G49+'Plan mensual'!G160+IF(parametros_manuales!$H$22="Todos",'Plan mensual'!G53+'Plan mensual'!G164,0)))*parametros_manuales!$I$22*parametros_manuales!$J$22</f>
        <v>13743.117485543</v>
      </c>
      <c r="F113" s="9" t="n">
        <f aca="false">(parametros_manuales!$D$22*('Plan mensual'!H46+'Plan mensual'!H157+IF(parametros_manuales!$H$22="Todos",'Plan mensual'!H50+'Plan mensual'!H161,0))+parametros_manuales!$E$22*('Plan mensual'!H47+'Plan mensual'!H158+IF(parametros_manuales!$H$22="Todos",'Plan mensual'!H51+'Plan mensual'!H162,0))+parametros_manuales!$F$22*('Plan mensual'!H48+'Plan mensual'!H159+IF(parametros_manuales!$H$22="Todos",'Plan mensual'!H52+'Plan mensual'!H163,0))+parametros_manuales!$G$22*('Plan mensual'!H49+'Plan mensual'!H160+IF(parametros_manuales!$H$22="Todos",'Plan mensual'!H53+'Plan mensual'!H164,0)))*parametros_manuales!$I$22*parametros_manuales!$J$22</f>
        <v>12861.621830264</v>
      </c>
      <c r="G113" s="9" t="n">
        <f aca="false">(parametros_manuales!$D$22*('Plan mensual'!I46+'Plan mensual'!I157+IF(parametros_manuales!$H$22="Todos",'Plan mensual'!I50+'Plan mensual'!I161,0))+parametros_manuales!$E$22*('Plan mensual'!I47+'Plan mensual'!I158+IF(parametros_manuales!$H$22="Todos",'Plan mensual'!I51+'Plan mensual'!I162,0))+parametros_manuales!$F$22*('Plan mensual'!I48+'Plan mensual'!I159+IF(parametros_manuales!$H$22="Todos",'Plan mensual'!I52+'Plan mensual'!I163,0))+parametros_manuales!$G$22*('Plan mensual'!I49+'Plan mensual'!I160+IF(parametros_manuales!$H$22="Todos",'Plan mensual'!I53+'Plan mensual'!I164,0)))*parametros_manuales!$I$22*parametros_manuales!$J$22</f>
        <v>12601.280502085</v>
      </c>
      <c r="H113" s="9" t="n">
        <f aca="false">(parametros_manuales!$D$22*('Plan mensual'!J46+'Plan mensual'!J157+IF(parametros_manuales!$H$22="Todos",'Plan mensual'!J50+'Plan mensual'!J161,0))+parametros_manuales!$E$22*('Plan mensual'!J47+'Plan mensual'!J158+IF(parametros_manuales!$H$22="Todos",'Plan mensual'!J51+'Plan mensual'!J162,0))+parametros_manuales!$F$22*('Plan mensual'!J48+'Plan mensual'!J159+IF(parametros_manuales!$H$22="Todos",'Plan mensual'!J52+'Plan mensual'!J163,0))+parametros_manuales!$G$22*('Plan mensual'!J49+'Plan mensual'!J160+IF(parametros_manuales!$H$22="Todos",'Plan mensual'!J53+'Plan mensual'!J164,0)))*parametros_manuales!$I$22*parametros_manuales!$J$22</f>
        <v>13482.776157364</v>
      </c>
      <c r="I113" s="9" t="n">
        <f aca="false">(parametros_manuales!$D$22*('Plan mensual'!K46+'Plan mensual'!K157+IF(parametros_manuales!$H$22="Todos",'Plan mensual'!K50+'Plan mensual'!K161,0))+parametros_manuales!$E$22*('Plan mensual'!K47+'Plan mensual'!K158+IF(parametros_manuales!$H$22="Todos",'Plan mensual'!K51+'Plan mensual'!K162,0))+parametros_manuales!$F$22*('Plan mensual'!K48+'Plan mensual'!K159+IF(parametros_manuales!$H$22="Todos",'Plan mensual'!K52+'Plan mensual'!K163,0))+parametros_manuales!$G$22*('Plan mensual'!K49+'Plan mensual'!K160+IF(parametros_manuales!$H$22="Todos",'Plan mensual'!K53+'Plan mensual'!K164,0)))*parametros_manuales!$I$22*parametros_manuales!$J$22</f>
        <v>13482.776157364</v>
      </c>
      <c r="J113" s="9" t="n">
        <f aca="false">(parametros_manuales!$D$22*('Plan mensual'!L46+'Plan mensual'!L157+IF(parametros_manuales!$H$22="Todos",'Plan mensual'!L50+'Plan mensual'!L161,0))+parametros_manuales!$E$22*('Plan mensual'!L47+'Plan mensual'!L158+IF(parametros_manuales!$H$22="Todos",'Plan mensual'!L51+'Plan mensual'!L162,0))+parametros_manuales!$F$22*('Plan mensual'!L48+'Plan mensual'!L159+IF(parametros_manuales!$H$22="Todos",'Plan mensual'!L52+'Plan mensual'!L163,0))+parametros_manuales!$G$22*('Plan mensual'!L49+'Plan mensual'!L160+IF(parametros_manuales!$H$22="Todos",'Plan mensual'!L53+'Plan mensual'!L164,0)))*parametros_manuales!$I$22*parametros_manuales!$J$22</f>
        <v>13482.776157364</v>
      </c>
      <c r="K113" s="9" t="n">
        <f aca="false">(parametros_manuales!$D$22*('Plan mensual'!M46+'Plan mensual'!M157+IF(parametros_manuales!$H$22="Todos",'Plan mensual'!M50+'Plan mensual'!M161,0))+parametros_manuales!$E$22*('Plan mensual'!M47+'Plan mensual'!M158+IF(parametros_manuales!$H$22="Todos",'Plan mensual'!M51+'Plan mensual'!M162,0))+parametros_manuales!$F$22*('Plan mensual'!M48+'Plan mensual'!M159+IF(parametros_manuales!$H$22="Todos",'Plan mensual'!M52+'Plan mensual'!M163,0))+parametros_manuales!$G$22*('Plan mensual'!M49+'Plan mensual'!M160+IF(parametros_manuales!$H$22="Todos",'Plan mensual'!M53+'Plan mensual'!M164,0)))*parametros_manuales!$I$22*parametros_manuales!$J$22</f>
        <v>13222.434829185</v>
      </c>
      <c r="L113" s="9" t="n">
        <f aca="false">(parametros_manuales!$D$22*('Plan mensual'!N46+'Plan mensual'!N157+IF(parametros_manuales!$H$22="Todos",'Plan mensual'!N50+'Plan mensual'!N161,0))+parametros_manuales!$E$22*('Plan mensual'!N47+'Plan mensual'!N158+IF(parametros_manuales!$H$22="Todos",'Plan mensual'!N51+'Plan mensual'!N162,0))+parametros_manuales!$F$22*('Plan mensual'!N48+'Plan mensual'!N159+IF(parametros_manuales!$H$22="Todos",'Plan mensual'!N52+'Plan mensual'!N163,0))+parametros_manuales!$G$22*('Plan mensual'!N49+'Plan mensual'!N160+IF(parametros_manuales!$H$22="Todos",'Plan mensual'!N53+'Plan mensual'!N164,0)))*parametros_manuales!$I$22*parametros_manuales!$J$22</f>
        <v>12962.093501006</v>
      </c>
      <c r="M113" s="9" t="n">
        <f aca="false">(parametros_manuales!$D$22*('Plan mensual'!O46+'Plan mensual'!O157+IF(parametros_manuales!$H$22="Todos",'Plan mensual'!O50+'Plan mensual'!O161,0))+parametros_manuales!$E$22*('Plan mensual'!O47+'Plan mensual'!O158+IF(parametros_manuales!$H$22="Todos",'Plan mensual'!O51+'Plan mensual'!O162,0))+parametros_manuales!$F$22*('Plan mensual'!O48+'Plan mensual'!O159+IF(parametros_manuales!$H$22="Todos",'Plan mensual'!O52+'Plan mensual'!O163,0))+parametros_manuales!$G$22*('Plan mensual'!O49+'Plan mensual'!O160+IF(parametros_manuales!$H$22="Todos",'Plan mensual'!O53+'Plan mensual'!O164,0)))*parametros_manuales!$I$22*parametros_manuales!$J$22</f>
        <v>20635.213070338</v>
      </c>
      <c r="N113" s="9" t="n">
        <f aca="false">SUM(B113:M113)</f>
        <v>176299.1310558</v>
      </c>
      <c r="O113" s="9" t="n">
        <f aca="false">MAX(B113:M113)</f>
        <v>20635.213070338</v>
      </c>
      <c r="P113" s="44" t="n">
        <f aca="false">O113/(parametros_manuales!$B$7)</f>
        <v>137.568087135587</v>
      </c>
      <c r="Q113" s="8" t="str">
        <f aca="false">IF(O113=0,"-",INDEX($B$109:$M$109,MATCH(O113,B113:M113,0)))</f>
        <v>Dic</v>
      </c>
    </row>
    <row r="114" customFormat="false" ht="14.25" hidden="false" customHeight="true" outlineLevel="0" collapsed="false">
      <c r="A114" s="8" t="str">
        <f aca="false">parametros_manuales!$B$23</f>
        <v>Preparación de cuello</v>
      </c>
      <c r="B114" s="9" t="n">
        <f aca="false">(parametros_manuales!$D$23*('Plan mensual'!D46+'Plan mensual'!D157+IF(parametros_manuales!$H$23="Todos",'Plan mensual'!D50+'Plan mensual'!D161,0))+parametros_manuales!$E$23*('Plan mensual'!D47+'Plan mensual'!D158+IF(parametros_manuales!$H$23="Todos",'Plan mensual'!D51+'Plan mensual'!D162,0))+parametros_manuales!$F$23*('Plan mensual'!D48+'Plan mensual'!D159+IF(parametros_manuales!$H$23="Todos",'Plan mensual'!D52+'Plan mensual'!D163,0))+parametros_manuales!$G$23*('Plan mensual'!D49+'Plan mensual'!D160+IF(parametros_manuales!$H$23="Todos",'Plan mensual'!D53+'Plan mensual'!D164,0)))*parametros_manuales!$I$23*parametros_manuales!$J$23</f>
        <v>10057.26520699</v>
      </c>
      <c r="C114" s="9" t="n">
        <f aca="false">(parametros_manuales!$D$23*('Plan mensual'!E46+'Plan mensual'!E157+IF(parametros_manuales!$H$23="Todos",'Plan mensual'!E50+'Plan mensual'!E161,0))+parametros_manuales!$E$23*('Plan mensual'!E47+'Plan mensual'!E158+IF(parametros_manuales!$H$23="Todos",'Plan mensual'!E51+'Plan mensual'!E162,0))+parametros_manuales!$F$23*('Plan mensual'!E48+'Plan mensual'!E159+IF(parametros_manuales!$H$23="Todos",'Plan mensual'!E52+'Plan mensual'!E163,0))+parametros_manuales!$G$23*('Plan mensual'!E49+'Plan mensual'!E160+IF(parametros_manuales!$H$23="Todos",'Plan mensual'!E53+'Plan mensual'!E164,0)))*parametros_manuales!$I$23*parametros_manuales!$J$23</f>
        <v>7673.119569332</v>
      </c>
      <c r="D114" s="9" t="n">
        <f aca="false">(parametros_manuales!$D$23*('Plan mensual'!F46+'Plan mensual'!F157+IF(parametros_manuales!$H$23="Todos",'Plan mensual'!F50+'Plan mensual'!F161,0))+parametros_manuales!$E$23*('Plan mensual'!F47+'Plan mensual'!F158+IF(parametros_manuales!$H$23="Todos",'Plan mensual'!F51+'Plan mensual'!F162,0))+parametros_manuales!$F$23*('Plan mensual'!F48+'Plan mensual'!F159+IF(parametros_manuales!$H$23="Todos",'Plan mensual'!F52+'Plan mensual'!F163,0))+parametros_manuales!$G$23*('Plan mensual'!F49+'Plan mensual'!F160+IF(parametros_manuales!$H$23="Todos",'Plan mensual'!F53+'Plan mensual'!F164,0)))*parametros_manuales!$I$23*parametros_manuales!$J$23</f>
        <v>7182.1359063215</v>
      </c>
      <c r="E114" s="9" t="n">
        <f aca="false">(parametros_manuales!$D$23*('Plan mensual'!G46+'Plan mensual'!G157+IF(parametros_manuales!$H$23="Todos",'Plan mensual'!G50+'Plan mensual'!G161,0))+parametros_manuales!$E$23*('Plan mensual'!G47+'Plan mensual'!G158+IF(parametros_manuales!$H$23="Todos",'Plan mensual'!G51+'Plan mensual'!G162,0))+parametros_manuales!$F$23*('Plan mensual'!G48+'Plan mensual'!G159+IF(parametros_manuales!$H$23="Todos",'Plan mensual'!G52+'Plan mensual'!G163,0))+parametros_manuales!$G$23*('Plan mensual'!G49+'Plan mensual'!G160+IF(parametros_manuales!$H$23="Todos",'Plan mensual'!G53+'Plan mensual'!G164,0)))*parametros_manuales!$I$23*parametros_manuales!$J$23</f>
        <v>6871.5587427715</v>
      </c>
      <c r="F114" s="9" t="n">
        <f aca="false">(parametros_manuales!$D$23*('Plan mensual'!H46+'Plan mensual'!H157+IF(parametros_manuales!$H$23="Todos",'Plan mensual'!H50+'Plan mensual'!H161,0))+parametros_manuales!$E$23*('Plan mensual'!H47+'Plan mensual'!H158+IF(parametros_manuales!$H$23="Todos",'Plan mensual'!H51+'Plan mensual'!H162,0))+parametros_manuales!$F$23*('Plan mensual'!H48+'Plan mensual'!H159+IF(parametros_manuales!$H$23="Todos",'Plan mensual'!H52+'Plan mensual'!H163,0))+parametros_manuales!$G$23*('Plan mensual'!H49+'Plan mensual'!H160+IF(parametros_manuales!$H$23="Todos",'Plan mensual'!H53+'Plan mensual'!H164,0)))*parametros_manuales!$I$23*parametros_manuales!$J$23</f>
        <v>6430.810915132</v>
      </c>
      <c r="G114" s="9" t="n">
        <f aca="false">(parametros_manuales!$D$23*('Plan mensual'!I46+'Plan mensual'!I157+IF(parametros_manuales!$H$23="Todos",'Plan mensual'!I50+'Plan mensual'!I161,0))+parametros_manuales!$E$23*('Plan mensual'!I47+'Plan mensual'!I158+IF(parametros_manuales!$H$23="Todos",'Plan mensual'!I51+'Plan mensual'!I162,0))+parametros_manuales!$F$23*('Plan mensual'!I48+'Plan mensual'!I159+IF(parametros_manuales!$H$23="Todos",'Plan mensual'!I52+'Plan mensual'!I163,0))+parametros_manuales!$G$23*('Plan mensual'!I49+'Plan mensual'!I160+IF(parametros_manuales!$H$23="Todos",'Plan mensual'!I53+'Plan mensual'!I164,0)))*parametros_manuales!$I$23*parametros_manuales!$J$23</f>
        <v>6300.6402510425</v>
      </c>
      <c r="H114" s="9" t="n">
        <f aca="false">(parametros_manuales!$D$23*('Plan mensual'!J46+'Plan mensual'!J157+IF(parametros_manuales!$H$23="Todos",'Plan mensual'!J50+'Plan mensual'!J161,0))+parametros_manuales!$E$23*('Plan mensual'!J47+'Plan mensual'!J158+IF(parametros_manuales!$H$23="Todos",'Plan mensual'!J51+'Plan mensual'!J162,0))+parametros_manuales!$F$23*('Plan mensual'!J48+'Plan mensual'!J159+IF(parametros_manuales!$H$23="Todos",'Plan mensual'!J52+'Plan mensual'!J163,0))+parametros_manuales!$G$23*('Plan mensual'!J49+'Plan mensual'!J160+IF(parametros_manuales!$H$23="Todos",'Plan mensual'!J53+'Plan mensual'!J164,0)))*parametros_manuales!$I$23*parametros_manuales!$J$23</f>
        <v>6741.388078682</v>
      </c>
      <c r="I114" s="9" t="n">
        <f aca="false">(parametros_manuales!$D$23*('Plan mensual'!K46+'Plan mensual'!K157+IF(parametros_manuales!$H$23="Todos",'Plan mensual'!K50+'Plan mensual'!K161,0))+parametros_manuales!$E$23*('Plan mensual'!K47+'Plan mensual'!K158+IF(parametros_manuales!$H$23="Todos",'Plan mensual'!K51+'Plan mensual'!K162,0))+parametros_manuales!$F$23*('Plan mensual'!K48+'Plan mensual'!K159+IF(parametros_manuales!$H$23="Todos",'Plan mensual'!K52+'Plan mensual'!K163,0))+parametros_manuales!$G$23*('Plan mensual'!K49+'Plan mensual'!K160+IF(parametros_manuales!$H$23="Todos",'Plan mensual'!K53+'Plan mensual'!K164,0)))*parametros_manuales!$I$23*parametros_manuales!$J$23</f>
        <v>6741.388078682</v>
      </c>
      <c r="J114" s="9" t="n">
        <f aca="false">(parametros_manuales!$D$23*('Plan mensual'!L46+'Plan mensual'!L157+IF(parametros_manuales!$H$23="Todos",'Plan mensual'!L50+'Plan mensual'!L161,0))+parametros_manuales!$E$23*('Plan mensual'!L47+'Plan mensual'!L158+IF(parametros_manuales!$H$23="Todos",'Plan mensual'!L51+'Plan mensual'!L162,0))+parametros_manuales!$F$23*('Plan mensual'!L48+'Plan mensual'!L159+IF(parametros_manuales!$H$23="Todos",'Plan mensual'!L52+'Plan mensual'!L163,0))+parametros_manuales!$G$23*('Plan mensual'!L49+'Plan mensual'!L160+IF(parametros_manuales!$H$23="Todos",'Plan mensual'!L53+'Plan mensual'!L164,0)))*parametros_manuales!$I$23*parametros_manuales!$J$23</f>
        <v>6741.388078682</v>
      </c>
      <c r="K114" s="9" t="n">
        <f aca="false">(parametros_manuales!$D$23*('Plan mensual'!M46+'Plan mensual'!M157+IF(parametros_manuales!$H$23="Todos",'Plan mensual'!M50+'Plan mensual'!M161,0))+parametros_manuales!$E$23*('Plan mensual'!M47+'Plan mensual'!M158+IF(parametros_manuales!$H$23="Todos",'Plan mensual'!M51+'Plan mensual'!M162,0))+parametros_manuales!$F$23*('Plan mensual'!M48+'Plan mensual'!M159+IF(parametros_manuales!$H$23="Todos",'Plan mensual'!M52+'Plan mensual'!M163,0))+parametros_manuales!$G$23*('Plan mensual'!M49+'Plan mensual'!M160+IF(parametros_manuales!$H$23="Todos",'Plan mensual'!M53+'Plan mensual'!M164,0)))*parametros_manuales!$I$23*parametros_manuales!$J$23</f>
        <v>6611.2174145925</v>
      </c>
      <c r="L114" s="9" t="n">
        <f aca="false">(parametros_manuales!$D$23*('Plan mensual'!N46+'Plan mensual'!N157+IF(parametros_manuales!$H$23="Todos",'Plan mensual'!N50+'Plan mensual'!N161,0))+parametros_manuales!$E$23*('Plan mensual'!N47+'Plan mensual'!N158+IF(parametros_manuales!$H$23="Todos",'Plan mensual'!N51+'Plan mensual'!N162,0))+parametros_manuales!$F$23*('Plan mensual'!N48+'Plan mensual'!N159+IF(parametros_manuales!$H$23="Todos",'Plan mensual'!N52+'Plan mensual'!N163,0))+parametros_manuales!$G$23*('Plan mensual'!N49+'Plan mensual'!N160+IF(parametros_manuales!$H$23="Todos",'Plan mensual'!N53+'Plan mensual'!N164,0)))*parametros_manuales!$I$23*parametros_manuales!$J$23</f>
        <v>6481.046750503</v>
      </c>
      <c r="M114" s="9" t="n">
        <f aca="false">(parametros_manuales!$D$23*('Plan mensual'!O46+'Plan mensual'!O157+IF(parametros_manuales!$H$23="Todos",'Plan mensual'!O50+'Plan mensual'!O161,0))+parametros_manuales!$E$23*('Plan mensual'!O47+'Plan mensual'!O158+IF(parametros_manuales!$H$23="Todos",'Plan mensual'!O51+'Plan mensual'!O162,0))+parametros_manuales!$F$23*('Plan mensual'!O48+'Plan mensual'!O159+IF(parametros_manuales!$H$23="Todos",'Plan mensual'!O52+'Plan mensual'!O163,0))+parametros_manuales!$G$23*('Plan mensual'!O49+'Plan mensual'!O160+IF(parametros_manuales!$H$23="Todos",'Plan mensual'!O53+'Plan mensual'!O164,0)))*parametros_manuales!$I$23*parametros_manuales!$J$23</f>
        <v>10317.606535169</v>
      </c>
      <c r="N114" s="9" t="n">
        <f aca="false">SUM(B114:M114)</f>
        <v>88149.5655279</v>
      </c>
      <c r="O114" s="9" t="n">
        <f aca="false">MAX(B114:M114)</f>
        <v>10317.606535169</v>
      </c>
      <c r="P114" s="44" t="n">
        <f aca="false">O114/(parametros_manuales!$B$7)</f>
        <v>68.7840435677934</v>
      </c>
      <c r="Q114" s="8" t="str">
        <f aca="false">IF(O114=0,"-",INDEX($B$109:$M$109,MATCH(O114,B114:M114,0)))</f>
        <v>Dic</v>
      </c>
    </row>
    <row r="115" customFormat="false" ht="14.25" hidden="false" customHeight="true" outlineLevel="0" collapsed="false">
      <c r="A115" s="8" t="str">
        <f aca="false">parametros_manuales!$B$24</f>
        <v>Numerado de cúpula</v>
      </c>
      <c r="B115" s="9" t="n">
        <f aca="false">(parametros_manuales!$D$24*('Plan mensual'!D46+'Plan mensual'!D157+IF(parametros_manuales!$H$24="Todos",'Plan mensual'!D50+'Plan mensual'!D161,0))+parametros_manuales!$E$24*('Plan mensual'!D47+'Plan mensual'!D158+IF(parametros_manuales!$H$24="Todos",'Plan mensual'!D51+'Plan mensual'!D162,0))+parametros_manuales!$F$24*('Plan mensual'!D48+'Plan mensual'!D159+IF(parametros_manuales!$H$24="Todos",'Plan mensual'!D52+'Plan mensual'!D163,0))+parametros_manuales!$G$24*('Plan mensual'!D49+'Plan mensual'!D160+IF(parametros_manuales!$H$24="Todos",'Plan mensual'!D53+'Plan mensual'!D164,0)))*parametros_manuales!$I$24*parametros_manuales!$J$24</f>
        <v>10057.26520699</v>
      </c>
      <c r="C115" s="9" t="n">
        <f aca="false">(parametros_manuales!$D$24*('Plan mensual'!E46+'Plan mensual'!E157+IF(parametros_manuales!$H$24="Todos",'Plan mensual'!E50+'Plan mensual'!E161,0))+parametros_manuales!$E$24*('Plan mensual'!E47+'Plan mensual'!E158+IF(parametros_manuales!$H$24="Todos",'Plan mensual'!E51+'Plan mensual'!E162,0))+parametros_manuales!$F$24*('Plan mensual'!E48+'Plan mensual'!E159+IF(parametros_manuales!$H$24="Todos",'Plan mensual'!E52+'Plan mensual'!E163,0))+parametros_manuales!$G$24*('Plan mensual'!E49+'Plan mensual'!E160+IF(parametros_manuales!$H$24="Todos",'Plan mensual'!E53+'Plan mensual'!E164,0)))*parametros_manuales!$I$24*parametros_manuales!$J$24</f>
        <v>7673.119569332</v>
      </c>
      <c r="D115" s="9" t="n">
        <f aca="false">(parametros_manuales!$D$24*('Plan mensual'!F46+'Plan mensual'!F157+IF(parametros_manuales!$H$24="Todos",'Plan mensual'!F50+'Plan mensual'!F161,0))+parametros_manuales!$E$24*('Plan mensual'!F47+'Plan mensual'!F158+IF(parametros_manuales!$H$24="Todos",'Plan mensual'!F51+'Plan mensual'!F162,0))+parametros_manuales!$F$24*('Plan mensual'!F48+'Plan mensual'!F159+IF(parametros_manuales!$H$24="Todos",'Plan mensual'!F52+'Plan mensual'!F163,0))+parametros_manuales!$G$24*('Plan mensual'!F49+'Plan mensual'!F160+IF(parametros_manuales!$H$24="Todos",'Plan mensual'!F53+'Plan mensual'!F164,0)))*parametros_manuales!$I$24*parametros_manuales!$J$24</f>
        <v>7182.1359063215</v>
      </c>
      <c r="E115" s="9" t="n">
        <f aca="false">(parametros_manuales!$D$24*('Plan mensual'!G46+'Plan mensual'!G157+IF(parametros_manuales!$H$24="Todos",'Plan mensual'!G50+'Plan mensual'!G161,0))+parametros_manuales!$E$24*('Plan mensual'!G47+'Plan mensual'!G158+IF(parametros_manuales!$H$24="Todos",'Plan mensual'!G51+'Plan mensual'!G162,0))+parametros_manuales!$F$24*('Plan mensual'!G48+'Plan mensual'!G159+IF(parametros_manuales!$H$24="Todos",'Plan mensual'!G52+'Plan mensual'!G163,0))+parametros_manuales!$G$24*('Plan mensual'!G49+'Plan mensual'!G160+IF(parametros_manuales!$H$24="Todos",'Plan mensual'!G53+'Plan mensual'!G164,0)))*parametros_manuales!$I$24*parametros_manuales!$J$24</f>
        <v>6871.5587427715</v>
      </c>
      <c r="F115" s="9" t="n">
        <f aca="false">(parametros_manuales!$D$24*('Plan mensual'!H46+'Plan mensual'!H157+IF(parametros_manuales!$H$24="Todos",'Plan mensual'!H50+'Plan mensual'!H161,0))+parametros_manuales!$E$24*('Plan mensual'!H47+'Plan mensual'!H158+IF(parametros_manuales!$H$24="Todos",'Plan mensual'!H51+'Plan mensual'!H162,0))+parametros_manuales!$F$24*('Plan mensual'!H48+'Plan mensual'!H159+IF(parametros_manuales!$H$24="Todos",'Plan mensual'!H52+'Plan mensual'!H163,0))+parametros_manuales!$G$24*('Plan mensual'!H49+'Plan mensual'!H160+IF(parametros_manuales!$H$24="Todos",'Plan mensual'!H53+'Plan mensual'!H164,0)))*parametros_manuales!$I$24*parametros_manuales!$J$24</f>
        <v>6430.810915132</v>
      </c>
      <c r="G115" s="9" t="n">
        <f aca="false">(parametros_manuales!$D$24*('Plan mensual'!I46+'Plan mensual'!I157+IF(parametros_manuales!$H$24="Todos",'Plan mensual'!I50+'Plan mensual'!I161,0))+parametros_manuales!$E$24*('Plan mensual'!I47+'Plan mensual'!I158+IF(parametros_manuales!$H$24="Todos",'Plan mensual'!I51+'Plan mensual'!I162,0))+parametros_manuales!$F$24*('Plan mensual'!I48+'Plan mensual'!I159+IF(parametros_manuales!$H$24="Todos",'Plan mensual'!I52+'Plan mensual'!I163,0))+parametros_manuales!$G$24*('Plan mensual'!I49+'Plan mensual'!I160+IF(parametros_manuales!$H$24="Todos",'Plan mensual'!I53+'Plan mensual'!I164,0)))*parametros_manuales!$I$24*parametros_manuales!$J$24</f>
        <v>6300.6402510425</v>
      </c>
      <c r="H115" s="9" t="n">
        <f aca="false">(parametros_manuales!$D$24*('Plan mensual'!J46+'Plan mensual'!J157+IF(parametros_manuales!$H$24="Todos",'Plan mensual'!J50+'Plan mensual'!J161,0))+parametros_manuales!$E$24*('Plan mensual'!J47+'Plan mensual'!J158+IF(parametros_manuales!$H$24="Todos",'Plan mensual'!J51+'Plan mensual'!J162,0))+parametros_manuales!$F$24*('Plan mensual'!J48+'Plan mensual'!J159+IF(parametros_manuales!$H$24="Todos",'Plan mensual'!J52+'Plan mensual'!J163,0))+parametros_manuales!$G$24*('Plan mensual'!J49+'Plan mensual'!J160+IF(parametros_manuales!$H$24="Todos",'Plan mensual'!J53+'Plan mensual'!J164,0)))*parametros_manuales!$I$24*parametros_manuales!$J$24</f>
        <v>6741.388078682</v>
      </c>
      <c r="I115" s="9" t="n">
        <f aca="false">(parametros_manuales!$D$24*('Plan mensual'!K46+'Plan mensual'!K157+IF(parametros_manuales!$H$24="Todos",'Plan mensual'!K50+'Plan mensual'!K161,0))+parametros_manuales!$E$24*('Plan mensual'!K47+'Plan mensual'!K158+IF(parametros_manuales!$H$24="Todos",'Plan mensual'!K51+'Plan mensual'!K162,0))+parametros_manuales!$F$24*('Plan mensual'!K48+'Plan mensual'!K159+IF(parametros_manuales!$H$24="Todos",'Plan mensual'!K52+'Plan mensual'!K163,0))+parametros_manuales!$G$24*('Plan mensual'!K49+'Plan mensual'!K160+IF(parametros_manuales!$H$24="Todos",'Plan mensual'!K53+'Plan mensual'!K164,0)))*parametros_manuales!$I$24*parametros_manuales!$J$24</f>
        <v>6741.388078682</v>
      </c>
      <c r="J115" s="9" t="n">
        <f aca="false">(parametros_manuales!$D$24*('Plan mensual'!L46+'Plan mensual'!L157+IF(parametros_manuales!$H$24="Todos",'Plan mensual'!L50+'Plan mensual'!L161,0))+parametros_manuales!$E$24*('Plan mensual'!L47+'Plan mensual'!L158+IF(parametros_manuales!$H$24="Todos",'Plan mensual'!L51+'Plan mensual'!L162,0))+parametros_manuales!$F$24*('Plan mensual'!L48+'Plan mensual'!L159+IF(parametros_manuales!$H$24="Todos",'Plan mensual'!L52+'Plan mensual'!L163,0))+parametros_manuales!$G$24*('Plan mensual'!L49+'Plan mensual'!L160+IF(parametros_manuales!$H$24="Todos",'Plan mensual'!L53+'Plan mensual'!L164,0)))*parametros_manuales!$I$24*parametros_manuales!$J$24</f>
        <v>6741.388078682</v>
      </c>
      <c r="K115" s="9" t="n">
        <f aca="false">(parametros_manuales!$D$24*('Plan mensual'!M46+'Plan mensual'!M157+IF(parametros_manuales!$H$24="Todos",'Plan mensual'!M50+'Plan mensual'!M161,0))+parametros_manuales!$E$24*('Plan mensual'!M47+'Plan mensual'!M158+IF(parametros_manuales!$H$24="Todos",'Plan mensual'!M51+'Plan mensual'!M162,0))+parametros_manuales!$F$24*('Plan mensual'!M48+'Plan mensual'!M159+IF(parametros_manuales!$H$24="Todos",'Plan mensual'!M52+'Plan mensual'!M163,0))+parametros_manuales!$G$24*('Plan mensual'!M49+'Plan mensual'!M160+IF(parametros_manuales!$H$24="Todos",'Plan mensual'!M53+'Plan mensual'!M164,0)))*parametros_manuales!$I$24*parametros_manuales!$J$24</f>
        <v>6611.2174145925</v>
      </c>
      <c r="L115" s="9" t="n">
        <f aca="false">(parametros_manuales!$D$24*('Plan mensual'!N46+'Plan mensual'!N157+IF(parametros_manuales!$H$24="Todos",'Plan mensual'!N50+'Plan mensual'!N161,0))+parametros_manuales!$E$24*('Plan mensual'!N47+'Plan mensual'!N158+IF(parametros_manuales!$H$24="Todos",'Plan mensual'!N51+'Plan mensual'!N162,0))+parametros_manuales!$F$24*('Plan mensual'!N48+'Plan mensual'!N159+IF(parametros_manuales!$H$24="Todos",'Plan mensual'!N52+'Plan mensual'!N163,0))+parametros_manuales!$G$24*('Plan mensual'!N49+'Plan mensual'!N160+IF(parametros_manuales!$H$24="Todos",'Plan mensual'!N53+'Plan mensual'!N164,0)))*parametros_manuales!$I$24*parametros_manuales!$J$24</f>
        <v>6481.046750503</v>
      </c>
      <c r="M115" s="9" t="n">
        <f aca="false">(parametros_manuales!$D$24*('Plan mensual'!O46+'Plan mensual'!O157+IF(parametros_manuales!$H$24="Todos",'Plan mensual'!O50+'Plan mensual'!O161,0))+parametros_manuales!$E$24*('Plan mensual'!O47+'Plan mensual'!O158+IF(parametros_manuales!$H$24="Todos",'Plan mensual'!O51+'Plan mensual'!O162,0))+parametros_manuales!$F$24*('Plan mensual'!O48+'Plan mensual'!O159+IF(parametros_manuales!$H$24="Todos",'Plan mensual'!O52+'Plan mensual'!O163,0))+parametros_manuales!$G$24*('Plan mensual'!O49+'Plan mensual'!O160+IF(parametros_manuales!$H$24="Todos",'Plan mensual'!O53+'Plan mensual'!O164,0)))*parametros_manuales!$I$24*parametros_manuales!$J$24</f>
        <v>10317.606535169</v>
      </c>
      <c r="N115" s="9" t="n">
        <f aca="false">SUM(B115:M115)</f>
        <v>88149.5655279</v>
      </c>
      <c r="O115" s="9" t="n">
        <f aca="false">MAX(B115:M115)</f>
        <v>10317.606535169</v>
      </c>
      <c r="P115" s="44" t="n">
        <f aca="false">O115/(parametros_manuales!$B$7)</f>
        <v>68.7840435677934</v>
      </c>
      <c r="Q115" s="8" t="str">
        <f aca="false">IF(O115=0,"-",INDEX($B$109:$M$109,MATCH(O115,B115:M115,0)))</f>
        <v>Dic</v>
      </c>
    </row>
    <row r="116" customFormat="false" ht="14.25" hidden="false" customHeight="true" outlineLevel="0" collapsed="false">
      <c r="A116" s="8" t="str">
        <f aca="false">parametros_manuales!$B$25</f>
        <v>Soldadura del cuello a la cúpula</v>
      </c>
      <c r="B116" s="9" t="n">
        <f aca="false">(parametros_manuales!$D$25*('Plan mensual'!D46+'Plan mensual'!D157+IF(parametros_manuales!$H$25="Todos",'Plan mensual'!D50+'Plan mensual'!D161,0))+parametros_manuales!$E$25*('Plan mensual'!D47+'Plan mensual'!D158+IF(parametros_manuales!$H$25="Todos",'Plan mensual'!D51+'Plan mensual'!D162,0))+parametros_manuales!$F$25*('Plan mensual'!D48+'Plan mensual'!D159+IF(parametros_manuales!$H$25="Todos",'Plan mensual'!D52+'Plan mensual'!D163,0))+parametros_manuales!$G$25*('Plan mensual'!D49+'Plan mensual'!D160+IF(parametros_manuales!$H$25="Todos",'Plan mensual'!D53+'Plan mensual'!D164,0)))*parametros_manuales!$I$25*parametros_manuales!$J$25</f>
        <v>10057.26520699</v>
      </c>
      <c r="C116" s="9" t="n">
        <f aca="false">(parametros_manuales!$D$25*('Plan mensual'!E46+'Plan mensual'!E157+IF(parametros_manuales!$H$25="Todos",'Plan mensual'!E50+'Plan mensual'!E161,0))+parametros_manuales!$E$25*('Plan mensual'!E47+'Plan mensual'!E158+IF(parametros_manuales!$H$25="Todos",'Plan mensual'!E51+'Plan mensual'!E162,0))+parametros_manuales!$F$25*('Plan mensual'!E48+'Plan mensual'!E159+IF(parametros_manuales!$H$25="Todos",'Plan mensual'!E52+'Plan mensual'!E163,0))+parametros_manuales!$G$25*('Plan mensual'!E49+'Plan mensual'!E160+IF(parametros_manuales!$H$25="Todos",'Plan mensual'!E53+'Plan mensual'!E164,0)))*parametros_manuales!$I$25*parametros_manuales!$J$25</f>
        <v>7673.119569332</v>
      </c>
      <c r="D116" s="9" t="n">
        <f aca="false">(parametros_manuales!$D$25*('Plan mensual'!F46+'Plan mensual'!F157+IF(parametros_manuales!$H$25="Todos",'Plan mensual'!F50+'Plan mensual'!F161,0))+parametros_manuales!$E$25*('Plan mensual'!F47+'Plan mensual'!F158+IF(parametros_manuales!$H$25="Todos",'Plan mensual'!F51+'Plan mensual'!F162,0))+parametros_manuales!$F$25*('Plan mensual'!F48+'Plan mensual'!F159+IF(parametros_manuales!$H$25="Todos",'Plan mensual'!F52+'Plan mensual'!F163,0))+parametros_manuales!$G$25*('Plan mensual'!F49+'Plan mensual'!F160+IF(parametros_manuales!$H$25="Todos",'Plan mensual'!F53+'Plan mensual'!F164,0)))*parametros_manuales!$I$25*parametros_manuales!$J$25</f>
        <v>7182.1359063215</v>
      </c>
      <c r="E116" s="9" t="n">
        <f aca="false">(parametros_manuales!$D$25*('Plan mensual'!G46+'Plan mensual'!G157+IF(parametros_manuales!$H$25="Todos",'Plan mensual'!G50+'Plan mensual'!G161,0))+parametros_manuales!$E$25*('Plan mensual'!G47+'Plan mensual'!G158+IF(parametros_manuales!$H$25="Todos",'Plan mensual'!G51+'Plan mensual'!G162,0))+parametros_manuales!$F$25*('Plan mensual'!G48+'Plan mensual'!G159+IF(parametros_manuales!$H$25="Todos",'Plan mensual'!G52+'Plan mensual'!G163,0))+parametros_manuales!$G$25*('Plan mensual'!G49+'Plan mensual'!G160+IF(parametros_manuales!$H$25="Todos",'Plan mensual'!G53+'Plan mensual'!G164,0)))*parametros_manuales!$I$25*parametros_manuales!$J$25</f>
        <v>6871.5587427715</v>
      </c>
      <c r="F116" s="9" t="n">
        <f aca="false">(parametros_manuales!$D$25*('Plan mensual'!H46+'Plan mensual'!H157+IF(parametros_manuales!$H$25="Todos",'Plan mensual'!H50+'Plan mensual'!H161,0))+parametros_manuales!$E$25*('Plan mensual'!H47+'Plan mensual'!H158+IF(parametros_manuales!$H$25="Todos",'Plan mensual'!H51+'Plan mensual'!H162,0))+parametros_manuales!$F$25*('Plan mensual'!H48+'Plan mensual'!H159+IF(parametros_manuales!$H$25="Todos",'Plan mensual'!H52+'Plan mensual'!H163,0))+parametros_manuales!$G$25*('Plan mensual'!H49+'Plan mensual'!H160+IF(parametros_manuales!$H$25="Todos",'Plan mensual'!H53+'Plan mensual'!H164,0)))*parametros_manuales!$I$25*parametros_manuales!$J$25</f>
        <v>6430.810915132</v>
      </c>
      <c r="G116" s="9" t="n">
        <f aca="false">(parametros_manuales!$D$25*('Plan mensual'!I46+'Plan mensual'!I157+IF(parametros_manuales!$H$25="Todos",'Plan mensual'!I50+'Plan mensual'!I161,0))+parametros_manuales!$E$25*('Plan mensual'!I47+'Plan mensual'!I158+IF(parametros_manuales!$H$25="Todos",'Plan mensual'!I51+'Plan mensual'!I162,0))+parametros_manuales!$F$25*('Plan mensual'!I48+'Plan mensual'!I159+IF(parametros_manuales!$H$25="Todos",'Plan mensual'!I52+'Plan mensual'!I163,0))+parametros_manuales!$G$25*('Plan mensual'!I49+'Plan mensual'!I160+IF(parametros_manuales!$H$25="Todos",'Plan mensual'!I53+'Plan mensual'!I164,0)))*parametros_manuales!$I$25*parametros_manuales!$J$25</f>
        <v>6300.6402510425</v>
      </c>
      <c r="H116" s="9" t="n">
        <f aca="false">(parametros_manuales!$D$25*('Plan mensual'!J46+'Plan mensual'!J157+IF(parametros_manuales!$H$25="Todos",'Plan mensual'!J50+'Plan mensual'!J161,0))+parametros_manuales!$E$25*('Plan mensual'!J47+'Plan mensual'!J158+IF(parametros_manuales!$H$25="Todos",'Plan mensual'!J51+'Plan mensual'!J162,0))+parametros_manuales!$F$25*('Plan mensual'!J48+'Plan mensual'!J159+IF(parametros_manuales!$H$25="Todos",'Plan mensual'!J52+'Plan mensual'!J163,0))+parametros_manuales!$G$25*('Plan mensual'!J49+'Plan mensual'!J160+IF(parametros_manuales!$H$25="Todos",'Plan mensual'!J53+'Plan mensual'!J164,0)))*parametros_manuales!$I$25*parametros_manuales!$J$25</f>
        <v>6741.388078682</v>
      </c>
      <c r="I116" s="9" t="n">
        <f aca="false">(parametros_manuales!$D$25*('Plan mensual'!K46+'Plan mensual'!K157+IF(parametros_manuales!$H$25="Todos",'Plan mensual'!K50+'Plan mensual'!K161,0))+parametros_manuales!$E$25*('Plan mensual'!K47+'Plan mensual'!K158+IF(parametros_manuales!$H$25="Todos",'Plan mensual'!K51+'Plan mensual'!K162,0))+parametros_manuales!$F$25*('Plan mensual'!K48+'Plan mensual'!K159+IF(parametros_manuales!$H$25="Todos",'Plan mensual'!K52+'Plan mensual'!K163,0))+parametros_manuales!$G$25*('Plan mensual'!K49+'Plan mensual'!K160+IF(parametros_manuales!$H$25="Todos",'Plan mensual'!K53+'Plan mensual'!K164,0)))*parametros_manuales!$I$25*parametros_manuales!$J$25</f>
        <v>6741.388078682</v>
      </c>
      <c r="J116" s="9" t="n">
        <f aca="false">(parametros_manuales!$D$25*('Plan mensual'!L46+'Plan mensual'!L157+IF(parametros_manuales!$H$25="Todos",'Plan mensual'!L50+'Plan mensual'!L161,0))+parametros_manuales!$E$25*('Plan mensual'!L47+'Plan mensual'!L158+IF(parametros_manuales!$H$25="Todos",'Plan mensual'!L51+'Plan mensual'!L162,0))+parametros_manuales!$F$25*('Plan mensual'!L48+'Plan mensual'!L159+IF(parametros_manuales!$H$25="Todos",'Plan mensual'!L52+'Plan mensual'!L163,0))+parametros_manuales!$G$25*('Plan mensual'!L49+'Plan mensual'!L160+IF(parametros_manuales!$H$25="Todos",'Plan mensual'!L53+'Plan mensual'!L164,0)))*parametros_manuales!$I$25*parametros_manuales!$J$25</f>
        <v>6741.388078682</v>
      </c>
      <c r="K116" s="9" t="n">
        <f aca="false">(parametros_manuales!$D$25*('Plan mensual'!M46+'Plan mensual'!M157+IF(parametros_manuales!$H$25="Todos",'Plan mensual'!M50+'Plan mensual'!M161,0))+parametros_manuales!$E$25*('Plan mensual'!M47+'Plan mensual'!M158+IF(parametros_manuales!$H$25="Todos",'Plan mensual'!M51+'Plan mensual'!M162,0))+parametros_manuales!$F$25*('Plan mensual'!M48+'Plan mensual'!M159+IF(parametros_manuales!$H$25="Todos",'Plan mensual'!M52+'Plan mensual'!M163,0))+parametros_manuales!$G$25*('Plan mensual'!M49+'Plan mensual'!M160+IF(parametros_manuales!$H$25="Todos",'Plan mensual'!M53+'Plan mensual'!M164,0)))*parametros_manuales!$I$25*parametros_manuales!$J$25</f>
        <v>6611.2174145925</v>
      </c>
      <c r="L116" s="9" t="n">
        <f aca="false">(parametros_manuales!$D$25*('Plan mensual'!N46+'Plan mensual'!N157+IF(parametros_manuales!$H$25="Todos",'Plan mensual'!N50+'Plan mensual'!N161,0))+parametros_manuales!$E$25*('Plan mensual'!N47+'Plan mensual'!N158+IF(parametros_manuales!$H$25="Todos",'Plan mensual'!N51+'Plan mensual'!N162,0))+parametros_manuales!$F$25*('Plan mensual'!N48+'Plan mensual'!N159+IF(parametros_manuales!$H$25="Todos",'Plan mensual'!N52+'Plan mensual'!N163,0))+parametros_manuales!$G$25*('Plan mensual'!N49+'Plan mensual'!N160+IF(parametros_manuales!$H$25="Todos",'Plan mensual'!N53+'Plan mensual'!N164,0)))*parametros_manuales!$I$25*parametros_manuales!$J$25</f>
        <v>6481.046750503</v>
      </c>
      <c r="M116" s="9" t="n">
        <f aca="false">(parametros_manuales!$D$25*('Plan mensual'!O46+'Plan mensual'!O157+IF(parametros_manuales!$H$25="Todos",'Plan mensual'!O50+'Plan mensual'!O161,0))+parametros_manuales!$E$25*('Plan mensual'!O47+'Plan mensual'!O158+IF(parametros_manuales!$H$25="Todos",'Plan mensual'!O51+'Plan mensual'!O162,0))+parametros_manuales!$F$25*('Plan mensual'!O48+'Plan mensual'!O159+IF(parametros_manuales!$H$25="Todos",'Plan mensual'!O52+'Plan mensual'!O163,0))+parametros_manuales!$G$25*('Plan mensual'!O49+'Plan mensual'!O160+IF(parametros_manuales!$H$25="Todos",'Plan mensual'!O53+'Plan mensual'!O164,0)))*parametros_manuales!$I$25*parametros_manuales!$J$25</f>
        <v>10317.606535169</v>
      </c>
      <c r="N116" s="9" t="n">
        <f aca="false">SUM(B116:M116)</f>
        <v>88149.5655279</v>
      </c>
      <c r="O116" s="9" t="n">
        <f aca="false">MAX(B116:M116)</f>
        <v>10317.606535169</v>
      </c>
      <c r="P116" s="44" t="n">
        <f aca="false">O116/(parametros_manuales!$B$7)</f>
        <v>68.7840435677934</v>
      </c>
      <c r="Q116" s="8" t="str">
        <f aca="false">IF(O116=0,"-",INDEX($B$109:$M$109,MATCH(O116,B116:M116,0)))</f>
        <v>Dic</v>
      </c>
    </row>
    <row r="117" customFormat="false" ht="14.25" hidden="false" customHeight="true" outlineLevel="0" collapsed="false">
      <c r="A117" s="8" t="str">
        <f aca="false">parametros_manuales!$B$26</f>
        <v>Cilindrado</v>
      </c>
      <c r="B117" s="9" t="n">
        <f aca="false">(parametros_manuales!$D$26*('Plan mensual'!D46+'Plan mensual'!D157+IF(parametros_manuales!$H$26="Todos",'Plan mensual'!D50+'Plan mensual'!D161,0))+parametros_manuales!$E$26*('Plan mensual'!D47+'Plan mensual'!D158+IF(parametros_manuales!$H$26="Todos",'Plan mensual'!D51+'Plan mensual'!D162,0))+parametros_manuales!$F$26*('Plan mensual'!D48+'Plan mensual'!D159+IF(parametros_manuales!$H$26="Todos",'Plan mensual'!D52+'Plan mensual'!D163,0))+parametros_manuales!$G$26*('Plan mensual'!D49+'Plan mensual'!D160+IF(parametros_manuales!$H$26="Todos",'Plan mensual'!D53+'Plan mensual'!D164,0)))*parametros_manuales!$I$26*parametros_manuales!$J$26</f>
        <v>2603.41328179</v>
      </c>
      <c r="C117" s="9" t="n">
        <f aca="false">(parametros_manuales!$D$26*('Plan mensual'!E46+'Plan mensual'!E157+IF(parametros_manuales!$H$26="Todos",'Plan mensual'!E50+'Plan mensual'!E161,0))+parametros_manuales!$E$26*('Plan mensual'!E47+'Plan mensual'!E158+IF(parametros_manuales!$H$26="Todos",'Plan mensual'!E51+'Plan mensual'!E162,0))+parametros_manuales!$F$26*('Plan mensual'!E48+'Plan mensual'!E159+IF(parametros_manuales!$H$26="Todos",'Plan mensual'!E52+'Plan mensual'!E163,0))+parametros_manuales!$G$26*('Plan mensual'!E49+'Plan mensual'!E160+IF(parametros_manuales!$H$26="Todos",'Plan mensual'!E53+'Plan mensual'!E164,0)))*parametros_manuales!$I$26*parametros_manuales!$J$26</f>
        <v>2082.730625432</v>
      </c>
      <c r="D117" s="9" t="n">
        <f aca="false">(parametros_manuales!$D$26*('Plan mensual'!F46+'Plan mensual'!F157+IF(parametros_manuales!$H$26="Todos",'Plan mensual'!F50+'Plan mensual'!F161,0))+parametros_manuales!$E$26*('Plan mensual'!F47+'Plan mensual'!F158+IF(parametros_manuales!$H$26="Todos",'Plan mensual'!F51+'Plan mensual'!F162,0))+parametros_manuales!$F$26*('Plan mensual'!F48+'Plan mensual'!F159+IF(parametros_manuales!$H$26="Todos",'Plan mensual'!F52+'Plan mensual'!F163,0))+parametros_manuales!$G$26*('Plan mensual'!F49+'Plan mensual'!F160+IF(parametros_manuales!$H$26="Todos",'Plan mensual'!F53+'Plan mensual'!F164,0)))*parametros_manuales!$I$26*parametros_manuales!$J$26</f>
        <v>2212.9012895215</v>
      </c>
      <c r="E117" s="9" t="n">
        <f aca="false">(parametros_manuales!$D$26*('Plan mensual'!G46+'Plan mensual'!G157+IF(parametros_manuales!$H$26="Todos",'Plan mensual'!G50+'Plan mensual'!G161,0))+parametros_manuales!$E$26*('Plan mensual'!G47+'Plan mensual'!G158+IF(parametros_manuales!$H$26="Todos",'Plan mensual'!G51+'Plan mensual'!G162,0))+parametros_manuales!$F$26*('Plan mensual'!G48+'Plan mensual'!G159+IF(parametros_manuales!$H$26="Todos",'Plan mensual'!G52+'Plan mensual'!G163,0))+parametros_manuales!$G$26*('Plan mensual'!G49+'Plan mensual'!G160+IF(parametros_manuales!$H$26="Todos",'Plan mensual'!G53+'Plan mensual'!G164,0)))*parametros_manuales!$I$26*parametros_manuales!$J$26</f>
        <v>2212.9012895215</v>
      </c>
      <c r="F117" s="9" t="n">
        <f aca="false">(parametros_manuales!$D$26*('Plan mensual'!H46+'Plan mensual'!H157+IF(parametros_manuales!$H$26="Todos",'Plan mensual'!H50+'Plan mensual'!H161,0))+parametros_manuales!$E$26*('Plan mensual'!H47+'Plan mensual'!H158+IF(parametros_manuales!$H$26="Todos",'Plan mensual'!H51+'Plan mensual'!H162,0))+parametros_manuales!$F$26*('Plan mensual'!H48+'Plan mensual'!H159+IF(parametros_manuales!$H$26="Todos",'Plan mensual'!H52+'Plan mensual'!H163,0))+parametros_manuales!$G$26*('Plan mensual'!H49+'Plan mensual'!H160+IF(parametros_manuales!$H$26="Todos",'Plan mensual'!H53+'Plan mensual'!H164,0)))*parametros_manuales!$I$26*parametros_manuales!$J$26</f>
        <v>2082.730625432</v>
      </c>
      <c r="G117" s="9" t="n">
        <f aca="false">(parametros_manuales!$D$26*('Plan mensual'!I46+'Plan mensual'!I157+IF(parametros_manuales!$H$26="Todos",'Plan mensual'!I50+'Plan mensual'!I161,0))+parametros_manuales!$E$26*('Plan mensual'!I47+'Plan mensual'!I158+IF(parametros_manuales!$H$26="Todos",'Plan mensual'!I51+'Plan mensual'!I162,0))+parametros_manuales!$F$26*('Plan mensual'!I48+'Plan mensual'!I159+IF(parametros_manuales!$H$26="Todos",'Plan mensual'!I52+'Plan mensual'!I163,0))+parametros_manuales!$G$26*('Plan mensual'!I49+'Plan mensual'!I160+IF(parametros_manuales!$H$26="Todos",'Plan mensual'!I53+'Plan mensual'!I164,0)))*parametros_manuales!$I$26*parametros_manuales!$J$26</f>
        <v>1952.5599613425</v>
      </c>
      <c r="H117" s="9" t="n">
        <f aca="false">(parametros_manuales!$D$26*('Plan mensual'!J46+'Plan mensual'!J157+IF(parametros_manuales!$H$26="Todos",'Plan mensual'!J50+'Plan mensual'!J161,0))+parametros_manuales!$E$26*('Plan mensual'!J47+'Plan mensual'!J158+IF(parametros_manuales!$H$26="Todos",'Plan mensual'!J51+'Plan mensual'!J162,0))+parametros_manuales!$F$26*('Plan mensual'!J48+'Plan mensual'!J159+IF(parametros_manuales!$H$26="Todos",'Plan mensual'!J52+'Plan mensual'!J163,0))+parametros_manuales!$G$26*('Plan mensual'!J49+'Plan mensual'!J160+IF(parametros_manuales!$H$26="Todos",'Plan mensual'!J53+'Plan mensual'!J164,0)))*parametros_manuales!$I$26*parametros_manuales!$J$26</f>
        <v>2082.730625432</v>
      </c>
      <c r="I117" s="9" t="n">
        <f aca="false">(parametros_manuales!$D$26*('Plan mensual'!K46+'Plan mensual'!K157+IF(parametros_manuales!$H$26="Todos",'Plan mensual'!K50+'Plan mensual'!K161,0))+parametros_manuales!$E$26*('Plan mensual'!K47+'Plan mensual'!K158+IF(parametros_manuales!$H$26="Todos",'Plan mensual'!K51+'Plan mensual'!K162,0))+parametros_manuales!$F$26*('Plan mensual'!K48+'Plan mensual'!K159+IF(parametros_manuales!$H$26="Todos",'Plan mensual'!K52+'Plan mensual'!K163,0))+parametros_manuales!$G$26*('Plan mensual'!K49+'Plan mensual'!K160+IF(parametros_manuales!$H$26="Todos",'Plan mensual'!K53+'Plan mensual'!K164,0)))*parametros_manuales!$I$26*parametros_manuales!$J$26</f>
        <v>2082.730625432</v>
      </c>
      <c r="J117" s="9" t="n">
        <f aca="false">(parametros_manuales!$D$26*('Plan mensual'!L46+'Plan mensual'!L157+IF(parametros_manuales!$H$26="Todos",'Plan mensual'!L50+'Plan mensual'!L161,0))+parametros_manuales!$E$26*('Plan mensual'!L47+'Plan mensual'!L158+IF(parametros_manuales!$H$26="Todos",'Plan mensual'!L51+'Plan mensual'!L162,0))+parametros_manuales!$F$26*('Plan mensual'!L48+'Plan mensual'!L159+IF(parametros_manuales!$H$26="Todos",'Plan mensual'!L52+'Plan mensual'!L163,0))+parametros_manuales!$G$26*('Plan mensual'!L49+'Plan mensual'!L160+IF(parametros_manuales!$H$26="Todos",'Plan mensual'!L53+'Plan mensual'!L164,0)))*parametros_manuales!$I$26*parametros_manuales!$J$26</f>
        <v>2082.730625432</v>
      </c>
      <c r="K117" s="9" t="n">
        <f aca="false">(parametros_manuales!$D$26*('Plan mensual'!M46+'Plan mensual'!M157+IF(parametros_manuales!$H$26="Todos",'Plan mensual'!M50+'Plan mensual'!M161,0))+parametros_manuales!$E$26*('Plan mensual'!M47+'Plan mensual'!M158+IF(parametros_manuales!$H$26="Todos",'Plan mensual'!M51+'Plan mensual'!M162,0))+parametros_manuales!$F$26*('Plan mensual'!M48+'Plan mensual'!M159+IF(parametros_manuales!$H$26="Todos",'Plan mensual'!M52+'Plan mensual'!M163,0))+parametros_manuales!$G$26*('Plan mensual'!M49+'Plan mensual'!M160+IF(parametros_manuales!$H$26="Todos",'Plan mensual'!M53+'Plan mensual'!M164,0)))*parametros_manuales!$I$26*parametros_manuales!$J$26</f>
        <v>1952.5599613425</v>
      </c>
      <c r="L117" s="9" t="n">
        <f aca="false">(parametros_manuales!$D$26*('Plan mensual'!N46+'Plan mensual'!N157+IF(parametros_manuales!$H$26="Todos",'Plan mensual'!N50+'Plan mensual'!N161,0))+parametros_manuales!$E$26*('Plan mensual'!N47+'Plan mensual'!N158+IF(parametros_manuales!$H$26="Todos",'Plan mensual'!N51+'Plan mensual'!N162,0))+parametros_manuales!$F$26*('Plan mensual'!N48+'Plan mensual'!N159+IF(parametros_manuales!$H$26="Todos",'Plan mensual'!N52+'Plan mensual'!N163,0))+parametros_manuales!$G$26*('Plan mensual'!N49+'Plan mensual'!N160+IF(parametros_manuales!$H$26="Todos",'Plan mensual'!N53+'Plan mensual'!N164,0)))*parametros_manuales!$I$26*parametros_manuales!$J$26</f>
        <v>1822.389297253</v>
      </c>
      <c r="M117" s="9" t="n">
        <f aca="false">(parametros_manuales!$D$26*('Plan mensual'!O46+'Plan mensual'!O157+IF(parametros_manuales!$H$26="Todos",'Plan mensual'!O50+'Plan mensual'!O161,0))+parametros_manuales!$E$26*('Plan mensual'!O47+'Plan mensual'!O158+IF(parametros_manuales!$H$26="Todos",'Plan mensual'!O51+'Plan mensual'!O162,0))+parametros_manuales!$F$26*('Plan mensual'!O48+'Plan mensual'!O159+IF(parametros_manuales!$H$26="Todos",'Plan mensual'!O52+'Plan mensual'!O163,0))+parametros_manuales!$G$26*('Plan mensual'!O49+'Plan mensual'!O160+IF(parametros_manuales!$H$26="Todos",'Plan mensual'!O53+'Plan mensual'!O164,0)))*parametros_manuales!$I$26*parametros_manuales!$J$26</f>
        <v>2863.754609969</v>
      </c>
      <c r="N117" s="9" t="n">
        <f aca="false">SUM(B117:M117)</f>
        <v>26034.1328179</v>
      </c>
      <c r="O117" s="9" t="n">
        <f aca="false">MAX(B117:M117)</f>
        <v>2863.754609969</v>
      </c>
      <c r="P117" s="44" t="n">
        <f aca="false">O117/(parametros_manuales!$B$7)</f>
        <v>19.0916973997933</v>
      </c>
      <c r="Q117" s="8" t="str">
        <f aca="false">IF(O117=0,"-",INDEX($B$109:$M$109,MATCH(O117,B117:M117,0)))</f>
        <v>Dic</v>
      </c>
    </row>
    <row r="118" customFormat="false" ht="14.25" hidden="false" customHeight="true" outlineLevel="0" collapsed="false">
      <c r="A118" s="8" t="str">
        <f aca="false">parametros_manuales!$B$27</f>
        <v>Soldadura longitudinal</v>
      </c>
      <c r="B118" s="9" t="n">
        <f aca="false">(parametros_manuales!$D$27*('Plan mensual'!D46+'Plan mensual'!D157+IF(parametros_manuales!$H$27="Todos",'Plan mensual'!D50+'Plan mensual'!D161,0))+parametros_manuales!$E$27*('Plan mensual'!D47+'Plan mensual'!D158+IF(parametros_manuales!$H$27="Todos",'Plan mensual'!D51+'Plan mensual'!D162,0))+parametros_manuales!$F$27*('Plan mensual'!D48+'Plan mensual'!D159+IF(parametros_manuales!$H$27="Todos",'Plan mensual'!D52+'Plan mensual'!D163,0))+parametros_manuales!$G$27*('Plan mensual'!D49+'Plan mensual'!D160+IF(parametros_manuales!$H$27="Todos",'Plan mensual'!D53+'Plan mensual'!D164,0)))*parametros_manuales!$I$27*parametros_manuales!$J$27</f>
        <v>2603.41328179</v>
      </c>
      <c r="C118" s="9" t="n">
        <f aca="false">(parametros_manuales!$D$27*('Plan mensual'!E46+'Plan mensual'!E157+IF(parametros_manuales!$H$27="Todos",'Plan mensual'!E50+'Plan mensual'!E161,0))+parametros_manuales!$E$27*('Plan mensual'!E47+'Plan mensual'!E158+IF(parametros_manuales!$H$27="Todos",'Plan mensual'!E51+'Plan mensual'!E162,0))+parametros_manuales!$F$27*('Plan mensual'!E48+'Plan mensual'!E159+IF(parametros_manuales!$H$27="Todos",'Plan mensual'!E52+'Plan mensual'!E163,0))+parametros_manuales!$G$27*('Plan mensual'!E49+'Plan mensual'!E160+IF(parametros_manuales!$H$27="Todos",'Plan mensual'!E53+'Plan mensual'!E164,0)))*parametros_manuales!$I$27*parametros_manuales!$J$27</f>
        <v>2082.730625432</v>
      </c>
      <c r="D118" s="9" t="n">
        <f aca="false">(parametros_manuales!$D$27*('Plan mensual'!F46+'Plan mensual'!F157+IF(parametros_manuales!$H$27="Todos",'Plan mensual'!F50+'Plan mensual'!F161,0))+parametros_manuales!$E$27*('Plan mensual'!F47+'Plan mensual'!F158+IF(parametros_manuales!$H$27="Todos",'Plan mensual'!F51+'Plan mensual'!F162,0))+parametros_manuales!$F$27*('Plan mensual'!F48+'Plan mensual'!F159+IF(parametros_manuales!$H$27="Todos",'Plan mensual'!F52+'Plan mensual'!F163,0))+parametros_manuales!$G$27*('Plan mensual'!F49+'Plan mensual'!F160+IF(parametros_manuales!$H$27="Todos",'Plan mensual'!F53+'Plan mensual'!F164,0)))*parametros_manuales!$I$27*parametros_manuales!$J$27</f>
        <v>2212.9012895215</v>
      </c>
      <c r="E118" s="9" t="n">
        <f aca="false">(parametros_manuales!$D$27*('Plan mensual'!G46+'Plan mensual'!G157+IF(parametros_manuales!$H$27="Todos",'Plan mensual'!G50+'Plan mensual'!G161,0))+parametros_manuales!$E$27*('Plan mensual'!G47+'Plan mensual'!G158+IF(parametros_manuales!$H$27="Todos",'Plan mensual'!G51+'Plan mensual'!G162,0))+parametros_manuales!$F$27*('Plan mensual'!G48+'Plan mensual'!G159+IF(parametros_manuales!$H$27="Todos",'Plan mensual'!G52+'Plan mensual'!G163,0))+parametros_manuales!$G$27*('Plan mensual'!G49+'Plan mensual'!G160+IF(parametros_manuales!$H$27="Todos",'Plan mensual'!G53+'Plan mensual'!G164,0)))*parametros_manuales!$I$27*parametros_manuales!$J$27</f>
        <v>2212.9012895215</v>
      </c>
      <c r="F118" s="9" t="n">
        <f aca="false">(parametros_manuales!$D$27*('Plan mensual'!H46+'Plan mensual'!H157+IF(parametros_manuales!$H$27="Todos",'Plan mensual'!H50+'Plan mensual'!H161,0))+parametros_manuales!$E$27*('Plan mensual'!H47+'Plan mensual'!H158+IF(parametros_manuales!$H$27="Todos",'Plan mensual'!H51+'Plan mensual'!H162,0))+parametros_manuales!$F$27*('Plan mensual'!H48+'Plan mensual'!H159+IF(parametros_manuales!$H$27="Todos",'Plan mensual'!H52+'Plan mensual'!H163,0))+parametros_manuales!$G$27*('Plan mensual'!H49+'Plan mensual'!H160+IF(parametros_manuales!$H$27="Todos",'Plan mensual'!H53+'Plan mensual'!H164,0)))*parametros_manuales!$I$27*parametros_manuales!$J$27</f>
        <v>2082.730625432</v>
      </c>
      <c r="G118" s="9" t="n">
        <f aca="false">(parametros_manuales!$D$27*('Plan mensual'!I46+'Plan mensual'!I157+IF(parametros_manuales!$H$27="Todos",'Plan mensual'!I50+'Plan mensual'!I161,0))+parametros_manuales!$E$27*('Plan mensual'!I47+'Plan mensual'!I158+IF(parametros_manuales!$H$27="Todos",'Plan mensual'!I51+'Plan mensual'!I162,0))+parametros_manuales!$F$27*('Plan mensual'!I48+'Plan mensual'!I159+IF(parametros_manuales!$H$27="Todos",'Plan mensual'!I52+'Plan mensual'!I163,0))+parametros_manuales!$G$27*('Plan mensual'!I49+'Plan mensual'!I160+IF(parametros_manuales!$H$27="Todos",'Plan mensual'!I53+'Plan mensual'!I164,0)))*parametros_manuales!$I$27*parametros_manuales!$J$27</f>
        <v>1952.5599613425</v>
      </c>
      <c r="H118" s="9" t="n">
        <f aca="false">(parametros_manuales!$D$27*('Plan mensual'!J46+'Plan mensual'!J157+IF(parametros_manuales!$H$27="Todos",'Plan mensual'!J50+'Plan mensual'!J161,0))+parametros_manuales!$E$27*('Plan mensual'!J47+'Plan mensual'!J158+IF(parametros_manuales!$H$27="Todos",'Plan mensual'!J51+'Plan mensual'!J162,0))+parametros_manuales!$F$27*('Plan mensual'!J48+'Plan mensual'!J159+IF(parametros_manuales!$H$27="Todos",'Plan mensual'!J52+'Plan mensual'!J163,0))+parametros_manuales!$G$27*('Plan mensual'!J49+'Plan mensual'!J160+IF(parametros_manuales!$H$27="Todos",'Plan mensual'!J53+'Plan mensual'!J164,0)))*parametros_manuales!$I$27*parametros_manuales!$J$27</f>
        <v>2082.730625432</v>
      </c>
      <c r="I118" s="9" t="n">
        <f aca="false">(parametros_manuales!$D$27*('Plan mensual'!K46+'Plan mensual'!K157+IF(parametros_manuales!$H$27="Todos",'Plan mensual'!K50+'Plan mensual'!K161,0))+parametros_manuales!$E$27*('Plan mensual'!K47+'Plan mensual'!K158+IF(parametros_manuales!$H$27="Todos",'Plan mensual'!K51+'Plan mensual'!K162,0))+parametros_manuales!$F$27*('Plan mensual'!K48+'Plan mensual'!K159+IF(parametros_manuales!$H$27="Todos",'Plan mensual'!K52+'Plan mensual'!K163,0))+parametros_manuales!$G$27*('Plan mensual'!K49+'Plan mensual'!K160+IF(parametros_manuales!$H$27="Todos",'Plan mensual'!K53+'Plan mensual'!K164,0)))*parametros_manuales!$I$27*parametros_manuales!$J$27</f>
        <v>2082.730625432</v>
      </c>
      <c r="J118" s="9" t="n">
        <f aca="false">(parametros_manuales!$D$27*('Plan mensual'!L46+'Plan mensual'!L157+IF(parametros_manuales!$H$27="Todos",'Plan mensual'!L50+'Plan mensual'!L161,0))+parametros_manuales!$E$27*('Plan mensual'!L47+'Plan mensual'!L158+IF(parametros_manuales!$H$27="Todos",'Plan mensual'!L51+'Plan mensual'!L162,0))+parametros_manuales!$F$27*('Plan mensual'!L48+'Plan mensual'!L159+IF(parametros_manuales!$H$27="Todos",'Plan mensual'!L52+'Plan mensual'!L163,0))+parametros_manuales!$G$27*('Plan mensual'!L49+'Plan mensual'!L160+IF(parametros_manuales!$H$27="Todos",'Plan mensual'!L53+'Plan mensual'!L164,0)))*parametros_manuales!$I$27*parametros_manuales!$J$27</f>
        <v>2082.730625432</v>
      </c>
      <c r="K118" s="9" t="n">
        <f aca="false">(parametros_manuales!$D$27*('Plan mensual'!M46+'Plan mensual'!M157+IF(parametros_manuales!$H$27="Todos",'Plan mensual'!M50+'Plan mensual'!M161,0))+parametros_manuales!$E$27*('Plan mensual'!M47+'Plan mensual'!M158+IF(parametros_manuales!$H$27="Todos",'Plan mensual'!M51+'Plan mensual'!M162,0))+parametros_manuales!$F$27*('Plan mensual'!M48+'Plan mensual'!M159+IF(parametros_manuales!$H$27="Todos",'Plan mensual'!M52+'Plan mensual'!M163,0))+parametros_manuales!$G$27*('Plan mensual'!M49+'Plan mensual'!M160+IF(parametros_manuales!$H$27="Todos",'Plan mensual'!M53+'Plan mensual'!M164,0)))*parametros_manuales!$I$27*parametros_manuales!$J$27</f>
        <v>1952.5599613425</v>
      </c>
      <c r="L118" s="9" t="n">
        <f aca="false">(parametros_manuales!$D$27*('Plan mensual'!N46+'Plan mensual'!N157+IF(parametros_manuales!$H$27="Todos",'Plan mensual'!N50+'Plan mensual'!N161,0))+parametros_manuales!$E$27*('Plan mensual'!N47+'Plan mensual'!N158+IF(parametros_manuales!$H$27="Todos",'Plan mensual'!N51+'Plan mensual'!N162,0))+parametros_manuales!$F$27*('Plan mensual'!N48+'Plan mensual'!N159+IF(parametros_manuales!$H$27="Todos",'Plan mensual'!N52+'Plan mensual'!N163,0))+parametros_manuales!$G$27*('Plan mensual'!N49+'Plan mensual'!N160+IF(parametros_manuales!$H$27="Todos",'Plan mensual'!N53+'Plan mensual'!N164,0)))*parametros_manuales!$I$27*parametros_manuales!$J$27</f>
        <v>1822.389297253</v>
      </c>
      <c r="M118" s="9" t="n">
        <f aca="false">(parametros_manuales!$D$27*('Plan mensual'!O46+'Plan mensual'!O157+IF(parametros_manuales!$H$27="Todos",'Plan mensual'!O50+'Plan mensual'!O161,0))+parametros_manuales!$E$27*('Plan mensual'!O47+'Plan mensual'!O158+IF(parametros_manuales!$H$27="Todos",'Plan mensual'!O51+'Plan mensual'!O162,0))+parametros_manuales!$F$27*('Plan mensual'!O48+'Plan mensual'!O159+IF(parametros_manuales!$H$27="Todos",'Plan mensual'!O52+'Plan mensual'!O163,0))+parametros_manuales!$G$27*('Plan mensual'!O49+'Plan mensual'!O160+IF(parametros_manuales!$H$27="Todos",'Plan mensual'!O53+'Plan mensual'!O164,0)))*parametros_manuales!$I$27*parametros_manuales!$J$27</f>
        <v>2863.754609969</v>
      </c>
      <c r="N118" s="9" t="n">
        <f aca="false">SUM(B118:M118)</f>
        <v>26034.1328179</v>
      </c>
      <c r="O118" s="9" t="n">
        <f aca="false">MAX(B118:M118)</f>
        <v>2863.754609969</v>
      </c>
      <c r="P118" s="44" t="n">
        <f aca="false">O118/(parametros_manuales!$B$7)</f>
        <v>19.0916973997933</v>
      </c>
      <c r="Q118" s="8" t="str">
        <f aca="false">IF(O118=0,"-",INDEX($B$109:$M$109,MATCH(O118,B118:M118,0)))</f>
        <v>Dic</v>
      </c>
    </row>
    <row r="119" customFormat="false" ht="14.25" hidden="false" customHeight="true" outlineLevel="0" collapsed="false">
      <c r="A119" s="8" t="str">
        <f aca="false">parametros_manuales!$B$28</f>
        <v>Encastre de fondo</v>
      </c>
      <c r="B119" s="9" t="n">
        <f aca="false">(parametros_manuales!$D$28*('Plan mensual'!D46+'Plan mensual'!D157+IF(parametros_manuales!$H$28="Todos",'Plan mensual'!D50+'Plan mensual'!D161,0))+parametros_manuales!$E$28*('Plan mensual'!D47+'Plan mensual'!D158+IF(parametros_manuales!$H$28="Todos",'Plan mensual'!D51+'Plan mensual'!D162,0))+parametros_manuales!$F$28*('Plan mensual'!D48+'Plan mensual'!D159+IF(parametros_manuales!$H$28="Todos",'Plan mensual'!D52+'Plan mensual'!D163,0))+parametros_manuales!$G$28*('Plan mensual'!D49+'Plan mensual'!D160+IF(parametros_manuales!$H$28="Todos",'Plan mensual'!D53+'Plan mensual'!D164,0)))*parametros_manuales!$I$28*parametros_manuales!$J$28</f>
        <v>10057.26520699</v>
      </c>
      <c r="C119" s="9" t="n">
        <f aca="false">(parametros_manuales!$D$28*('Plan mensual'!E46+'Plan mensual'!E157+IF(parametros_manuales!$H$28="Todos",'Plan mensual'!E50+'Plan mensual'!E161,0))+parametros_manuales!$E$28*('Plan mensual'!E47+'Plan mensual'!E158+IF(parametros_manuales!$H$28="Todos",'Plan mensual'!E51+'Plan mensual'!E162,0))+parametros_manuales!$F$28*('Plan mensual'!E48+'Plan mensual'!E159+IF(parametros_manuales!$H$28="Todos",'Plan mensual'!E52+'Plan mensual'!E163,0))+parametros_manuales!$G$28*('Plan mensual'!E49+'Plan mensual'!E160+IF(parametros_manuales!$H$28="Todos",'Plan mensual'!E53+'Plan mensual'!E164,0)))*parametros_manuales!$I$28*parametros_manuales!$J$28</f>
        <v>7673.119569332</v>
      </c>
      <c r="D119" s="9" t="n">
        <f aca="false">(parametros_manuales!$D$28*('Plan mensual'!F46+'Plan mensual'!F157+IF(parametros_manuales!$H$28="Todos",'Plan mensual'!F50+'Plan mensual'!F161,0))+parametros_manuales!$E$28*('Plan mensual'!F47+'Plan mensual'!F158+IF(parametros_manuales!$H$28="Todos",'Plan mensual'!F51+'Plan mensual'!F162,0))+parametros_manuales!$F$28*('Plan mensual'!F48+'Plan mensual'!F159+IF(parametros_manuales!$H$28="Todos",'Plan mensual'!F52+'Plan mensual'!F163,0))+parametros_manuales!$G$28*('Plan mensual'!F49+'Plan mensual'!F160+IF(parametros_manuales!$H$28="Todos",'Plan mensual'!F53+'Plan mensual'!F164,0)))*parametros_manuales!$I$28*parametros_manuales!$J$28</f>
        <v>7182.1359063215</v>
      </c>
      <c r="E119" s="9" t="n">
        <f aca="false">(parametros_manuales!$D$28*('Plan mensual'!G46+'Plan mensual'!G157+IF(parametros_manuales!$H$28="Todos",'Plan mensual'!G50+'Plan mensual'!G161,0))+parametros_manuales!$E$28*('Plan mensual'!G47+'Plan mensual'!G158+IF(parametros_manuales!$H$28="Todos",'Plan mensual'!G51+'Plan mensual'!G162,0))+parametros_manuales!$F$28*('Plan mensual'!G48+'Plan mensual'!G159+IF(parametros_manuales!$H$28="Todos",'Plan mensual'!G52+'Plan mensual'!G163,0))+parametros_manuales!$G$28*('Plan mensual'!G49+'Plan mensual'!G160+IF(parametros_manuales!$H$28="Todos",'Plan mensual'!G53+'Plan mensual'!G164,0)))*parametros_manuales!$I$28*parametros_manuales!$J$28</f>
        <v>6871.5587427715</v>
      </c>
      <c r="F119" s="9" t="n">
        <f aca="false">(parametros_manuales!$D$28*('Plan mensual'!H46+'Plan mensual'!H157+IF(parametros_manuales!$H$28="Todos",'Plan mensual'!H50+'Plan mensual'!H161,0))+parametros_manuales!$E$28*('Plan mensual'!H47+'Plan mensual'!H158+IF(parametros_manuales!$H$28="Todos",'Plan mensual'!H51+'Plan mensual'!H162,0))+parametros_manuales!$F$28*('Plan mensual'!H48+'Plan mensual'!H159+IF(parametros_manuales!$H$28="Todos",'Plan mensual'!H52+'Plan mensual'!H163,0))+parametros_manuales!$G$28*('Plan mensual'!H49+'Plan mensual'!H160+IF(parametros_manuales!$H$28="Todos",'Plan mensual'!H53+'Plan mensual'!H164,0)))*parametros_manuales!$I$28*parametros_manuales!$J$28</f>
        <v>6430.810915132</v>
      </c>
      <c r="G119" s="9" t="n">
        <f aca="false">(parametros_manuales!$D$28*('Plan mensual'!I46+'Plan mensual'!I157+IF(parametros_manuales!$H$28="Todos",'Plan mensual'!I50+'Plan mensual'!I161,0))+parametros_manuales!$E$28*('Plan mensual'!I47+'Plan mensual'!I158+IF(parametros_manuales!$H$28="Todos",'Plan mensual'!I51+'Plan mensual'!I162,0))+parametros_manuales!$F$28*('Plan mensual'!I48+'Plan mensual'!I159+IF(parametros_manuales!$H$28="Todos",'Plan mensual'!I52+'Plan mensual'!I163,0))+parametros_manuales!$G$28*('Plan mensual'!I49+'Plan mensual'!I160+IF(parametros_manuales!$H$28="Todos",'Plan mensual'!I53+'Plan mensual'!I164,0)))*parametros_manuales!$I$28*parametros_manuales!$J$28</f>
        <v>6300.6402510425</v>
      </c>
      <c r="H119" s="9" t="n">
        <f aca="false">(parametros_manuales!$D$28*('Plan mensual'!J46+'Plan mensual'!J157+IF(parametros_manuales!$H$28="Todos",'Plan mensual'!J50+'Plan mensual'!J161,0))+parametros_manuales!$E$28*('Plan mensual'!J47+'Plan mensual'!J158+IF(parametros_manuales!$H$28="Todos",'Plan mensual'!J51+'Plan mensual'!J162,0))+parametros_manuales!$F$28*('Plan mensual'!J48+'Plan mensual'!J159+IF(parametros_manuales!$H$28="Todos",'Plan mensual'!J52+'Plan mensual'!J163,0))+parametros_manuales!$G$28*('Plan mensual'!J49+'Plan mensual'!J160+IF(parametros_manuales!$H$28="Todos",'Plan mensual'!J53+'Plan mensual'!J164,0)))*parametros_manuales!$I$28*parametros_manuales!$J$28</f>
        <v>6741.388078682</v>
      </c>
      <c r="I119" s="9" t="n">
        <f aca="false">(parametros_manuales!$D$28*('Plan mensual'!K46+'Plan mensual'!K157+IF(parametros_manuales!$H$28="Todos",'Plan mensual'!K50+'Plan mensual'!K161,0))+parametros_manuales!$E$28*('Plan mensual'!K47+'Plan mensual'!K158+IF(parametros_manuales!$H$28="Todos",'Plan mensual'!K51+'Plan mensual'!K162,0))+parametros_manuales!$F$28*('Plan mensual'!K48+'Plan mensual'!K159+IF(parametros_manuales!$H$28="Todos",'Plan mensual'!K52+'Plan mensual'!K163,0))+parametros_manuales!$G$28*('Plan mensual'!K49+'Plan mensual'!K160+IF(parametros_manuales!$H$28="Todos",'Plan mensual'!K53+'Plan mensual'!K164,0)))*parametros_manuales!$I$28*parametros_manuales!$J$28</f>
        <v>6741.388078682</v>
      </c>
      <c r="J119" s="9" t="n">
        <f aca="false">(parametros_manuales!$D$28*('Plan mensual'!L46+'Plan mensual'!L157+IF(parametros_manuales!$H$28="Todos",'Plan mensual'!L50+'Plan mensual'!L161,0))+parametros_manuales!$E$28*('Plan mensual'!L47+'Plan mensual'!L158+IF(parametros_manuales!$H$28="Todos",'Plan mensual'!L51+'Plan mensual'!L162,0))+parametros_manuales!$F$28*('Plan mensual'!L48+'Plan mensual'!L159+IF(parametros_manuales!$H$28="Todos",'Plan mensual'!L52+'Plan mensual'!L163,0))+parametros_manuales!$G$28*('Plan mensual'!L49+'Plan mensual'!L160+IF(parametros_manuales!$H$28="Todos",'Plan mensual'!L53+'Plan mensual'!L164,0)))*parametros_manuales!$I$28*parametros_manuales!$J$28</f>
        <v>6741.388078682</v>
      </c>
      <c r="K119" s="9" t="n">
        <f aca="false">(parametros_manuales!$D$28*('Plan mensual'!M46+'Plan mensual'!M157+IF(parametros_manuales!$H$28="Todos",'Plan mensual'!M50+'Plan mensual'!M161,0))+parametros_manuales!$E$28*('Plan mensual'!M47+'Plan mensual'!M158+IF(parametros_manuales!$H$28="Todos",'Plan mensual'!M51+'Plan mensual'!M162,0))+parametros_manuales!$F$28*('Plan mensual'!M48+'Plan mensual'!M159+IF(parametros_manuales!$H$28="Todos",'Plan mensual'!M52+'Plan mensual'!M163,0))+parametros_manuales!$G$28*('Plan mensual'!M49+'Plan mensual'!M160+IF(parametros_manuales!$H$28="Todos",'Plan mensual'!M53+'Plan mensual'!M164,0)))*parametros_manuales!$I$28*parametros_manuales!$J$28</f>
        <v>6611.2174145925</v>
      </c>
      <c r="L119" s="9" t="n">
        <f aca="false">(parametros_manuales!$D$28*('Plan mensual'!N46+'Plan mensual'!N157+IF(parametros_manuales!$H$28="Todos",'Plan mensual'!N50+'Plan mensual'!N161,0))+parametros_manuales!$E$28*('Plan mensual'!N47+'Plan mensual'!N158+IF(parametros_manuales!$H$28="Todos",'Plan mensual'!N51+'Plan mensual'!N162,0))+parametros_manuales!$F$28*('Plan mensual'!N48+'Plan mensual'!N159+IF(parametros_manuales!$H$28="Todos",'Plan mensual'!N52+'Plan mensual'!N163,0))+parametros_manuales!$G$28*('Plan mensual'!N49+'Plan mensual'!N160+IF(parametros_manuales!$H$28="Todos",'Plan mensual'!N53+'Plan mensual'!N164,0)))*parametros_manuales!$I$28*parametros_manuales!$J$28</f>
        <v>6481.046750503</v>
      </c>
      <c r="M119" s="9" t="n">
        <f aca="false">(parametros_manuales!$D$28*('Plan mensual'!O46+'Plan mensual'!O157+IF(parametros_manuales!$H$28="Todos",'Plan mensual'!O50+'Plan mensual'!O161,0))+parametros_manuales!$E$28*('Plan mensual'!O47+'Plan mensual'!O158+IF(parametros_manuales!$H$28="Todos",'Plan mensual'!O51+'Plan mensual'!O162,0))+parametros_manuales!$F$28*('Plan mensual'!O48+'Plan mensual'!O159+IF(parametros_manuales!$H$28="Todos",'Plan mensual'!O52+'Plan mensual'!O163,0))+parametros_manuales!$G$28*('Plan mensual'!O49+'Plan mensual'!O160+IF(parametros_manuales!$H$28="Todos",'Plan mensual'!O53+'Plan mensual'!O164,0)))*parametros_manuales!$I$28*parametros_manuales!$J$28</f>
        <v>10317.606535169</v>
      </c>
      <c r="N119" s="9" t="n">
        <f aca="false">SUM(B119:M119)</f>
        <v>88149.5655279</v>
      </c>
      <c r="O119" s="9" t="n">
        <f aca="false">MAX(B119:M119)</f>
        <v>10317.606535169</v>
      </c>
      <c r="P119" s="44" t="n">
        <f aca="false">O119/(parametros_manuales!$B$7)</f>
        <v>68.7840435677934</v>
      </c>
      <c r="Q119" s="8" t="str">
        <f aca="false">IF(O119=0,"-",INDEX($B$109:$M$109,MATCH(O119,B119:M119,0)))</f>
        <v>Dic</v>
      </c>
    </row>
    <row r="120" customFormat="false" ht="14.25" hidden="false" customHeight="true" outlineLevel="0" collapsed="false">
      <c r="A120" s="8" t="str">
        <f aca="false">parametros_manuales!$B$29</f>
        <v>Bordoneado</v>
      </c>
      <c r="B120" s="9" t="n">
        <f aca="false">(parametros_manuales!$D$29*('Plan mensual'!D46+'Plan mensual'!D157+IF(parametros_manuales!$H$29="Todos",'Plan mensual'!D50+'Plan mensual'!D161,0))+parametros_manuales!$E$29*('Plan mensual'!D47+'Plan mensual'!D158+IF(parametros_manuales!$H$29="Todos",'Plan mensual'!D51+'Plan mensual'!D162,0))+parametros_manuales!$F$29*('Plan mensual'!D48+'Plan mensual'!D159+IF(parametros_manuales!$H$29="Todos",'Plan mensual'!D52+'Plan mensual'!D163,0))+parametros_manuales!$G$29*('Plan mensual'!D49+'Plan mensual'!D160+IF(parametros_manuales!$H$29="Todos",'Plan mensual'!D53+'Plan mensual'!D164,0)))*parametros_manuales!$I$29*parametros_manuales!$J$29</f>
        <v>10057.26520699</v>
      </c>
      <c r="C120" s="9" t="n">
        <f aca="false">(parametros_manuales!$D$29*('Plan mensual'!E46+'Plan mensual'!E157+IF(parametros_manuales!$H$29="Todos",'Plan mensual'!E50+'Plan mensual'!E161,0))+parametros_manuales!$E$29*('Plan mensual'!E47+'Plan mensual'!E158+IF(parametros_manuales!$H$29="Todos",'Plan mensual'!E51+'Plan mensual'!E162,0))+parametros_manuales!$F$29*('Plan mensual'!E48+'Plan mensual'!E159+IF(parametros_manuales!$H$29="Todos",'Plan mensual'!E52+'Plan mensual'!E163,0))+parametros_manuales!$G$29*('Plan mensual'!E49+'Plan mensual'!E160+IF(parametros_manuales!$H$29="Todos",'Plan mensual'!E53+'Plan mensual'!E164,0)))*parametros_manuales!$I$29*parametros_manuales!$J$29</f>
        <v>7673.119569332</v>
      </c>
      <c r="D120" s="9" t="n">
        <f aca="false">(parametros_manuales!$D$29*('Plan mensual'!F46+'Plan mensual'!F157+IF(parametros_manuales!$H$29="Todos",'Plan mensual'!F50+'Plan mensual'!F161,0))+parametros_manuales!$E$29*('Plan mensual'!F47+'Plan mensual'!F158+IF(parametros_manuales!$H$29="Todos",'Plan mensual'!F51+'Plan mensual'!F162,0))+parametros_manuales!$F$29*('Plan mensual'!F48+'Plan mensual'!F159+IF(parametros_manuales!$H$29="Todos",'Plan mensual'!F52+'Plan mensual'!F163,0))+parametros_manuales!$G$29*('Plan mensual'!F49+'Plan mensual'!F160+IF(parametros_manuales!$H$29="Todos",'Plan mensual'!F53+'Plan mensual'!F164,0)))*parametros_manuales!$I$29*parametros_manuales!$J$29</f>
        <v>7182.1359063215</v>
      </c>
      <c r="E120" s="9" t="n">
        <f aca="false">(parametros_manuales!$D$29*('Plan mensual'!G46+'Plan mensual'!G157+IF(parametros_manuales!$H$29="Todos",'Plan mensual'!G50+'Plan mensual'!G161,0))+parametros_manuales!$E$29*('Plan mensual'!G47+'Plan mensual'!G158+IF(parametros_manuales!$H$29="Todos",'Plan mensual'!G51+'Plan mensual'!G162,0))+parametros_manuales!$F$29*('Plan mensual'!G48+'Plan mensual'!G159+IF(parametros_manuales!$H$29="Todos",'Plan mensual'!G52+'Plan mensual'!G163,0))+parametros_manuales!$G$29*('Plan mensual'!G49+'Plan mensual'!G160+IF(parametros_manuales!$H$29="Todos",'Plan mensual'!G53+'Plan mensual'!G164,0)))*parametros_manuales!$I$29*parametros_manuales!$J$29</f>
        <v>6871.5587427715</v>
      </c>
      <c r="F120" s="9" t="n">
        <f aca="false">(parametros_manuales!$D$29*('Plan mensual'!H46+'Plan mensual'!H157+IF(parametros_manuales!$H$29="Todos",'Plan mensual'!H50+'Plan mensual'!H161,0))+parametros_manuales!$E$29*('Plan mensual'!H47+'Plan mensual'!H158+IF(parametros_manuales!$H$29="Todos",'Plan mensual'!H51+'Plan mensual'!H162,0))+parametros_manuales!$F$29*('Plan mensual'!H48+'Plan mensual'!H159+IF(parametros_manuales!$H$29="Todos",'Plan mensual'!H52+'Plan mensual'!H163,0))+parametros_manuales!$G$29*('Plan mensual'!H49+'Plan mensual'!H160+IF(parametros_manuales!$H$29="Todos",'Plan mensual'!H53+'Plan mensual'!H164,0)))*parametros_manuales!$I$29*parametros_manuales!$J$29</f>
        <v>6430.810915132</v>
      </c>
      <c r="G120" s="9" t="n">
        <f aca="false">(parametros_manuales!$D$29*('Plan mensual'!I46+'Plan mensual'!I157+IF(parametros_manuales!$H$29="Todos",'Plan mensual'!I50+'Plan mensual'!I161,0))+parametros_manuales!$E$29*('Plan mensual'!I47+'Plan mensual'!I158+IF(parametros_manuales!$H$29="Todos",'Plan mensual'!I51+'Plan mensual'!I162,0))+parametros_manuales!$F$29*('Plan mensual'!I48+'Plan mensual'!I159+IF(parametros_manuales!$H$29="Todos",'Plan mensual'!I52+'Plan mensual'!I163,0))+parametros_manuales!$G$29*('Plan mensual'!I49+'Plan mensual'!I160+IF(parametros_manuales!$H$29="Todos",'Plan mensual'!I53+'Plan mensual'!I164,0)))*parametros_manuales!$I$29*parametros_manuales!$J$29</f>
        <v>6300.6402510425</v>
      </c>
      <c r="H120" s="9" t="n">
        <f aca="false">(parametros_manuales!$D$29*('Plan mensual'!J46+'Plan mensual'!J157+IF(parametros_manuales!$H$29="Todos",'Plan mensual'!J50+'Plan mensual'!J161,0))+parametros_manuales!$E$29*('Plan mensual'!J47+'Plan mensual'!J158+IF(parametros_manuales!$H$29="Todos",'Plan mensual'!J51+'Plan mensual'!J162,0))+parametros_manuales!$F$29*('Plan mensual'!J48+'Plan mensual'!J159+IF(parametros_manuales!$H$29="Todos",'Plan mensual'!J52+'Plan mensual'!J163,0))+parametros_manuales!$G$29*('Plan mensual'!J49+'Plan mensual'!J160+IF(parametros_manuales!$H$29="Todos",'Plan mensual'!J53+'Plan mensual'!J164,0)))*parametros_manuales!$I$29*parametros_manuales!$J$29</f>
        <v>6741.388078682</v>
      </c>
      <c r="I120" s="9" t="n">
        <f aca="false">(parametros_manuales!$D$29*('Plan mensual'!K46+'Plan mensual'!K157+IF(parametros_manuales!$H$29="Todos",'Plan mensual'!K50+'Plan mensual'!K161,0))+parametros_manuales!$E$29*('Plan mensual'!K47+'Plan mensual'!K158+IF(parametros_manuales!$H$29="Todos",'Plan mensual'!K51+'Plan mensual'!K162,0))+parametros_manuales!$F$29*('Plan mensual'!K48+'Plan mensual'!K159+IF(parametros_manuales!$H$29="Todos",'Plan mensual'!K52+'Plan mensual'!K163,0))+parametros_manuales!$G$29*('Plan mensual'!K49+'Plan mensual'!K160+IF(parametros_manuales!$H$29="Todos",'Plan mensual'!K53+'Plan mensual'!K164,0)))*parametros_manuales!$I$29*parametros_manuales!$J$29</f>
        <v>6741.388078682</v>
      </c>
      <c r="J120" s="9" t="n">
        <f aca="false">(parametros_manuales!$D$29*('Plan mensual'!L46+'Plan mensual'!L157+IF(parametros_manuales!$H$29="Todos",'Plan mensual'!L50+'Plan mensual'!L161,0))+parametros_manuales!$E$29*('Plan mensual'!L47+'Plan mensual'!L158+IF(parametros_manuales!$H$29="Todos",'Plan mensual'!L51+'Plan mensual'!L162,0))+parametros_manuales!$F$29*('Plan mensual'!L48+'Plan mensual'!L159+IF(parametros_manuales!$H$29="Todos",'Plan mensual'!L52+'Plan mensual'!L163,0))+parametros_manuales!$G$29*('Plan mensual'!L49+'Plan mensual'!L160+IF(parametros_manuales!$H$29="Todos",'Plan mensual'!L53+'Plan mensual'!L164,0)))*parametros_manuales!$I$29*parametros_manuales!$J$29</f>
        <v>6741.388078682</v>
      </c>
      <c r="K120" s="9" t="n">
        <f aca="false">(parametros_manuales!$D$29*('Plan mensual'!M46+'Plan mensual'!M157+IF(parametros_manuales!$H$29="Todos",'Plan mensual'!M50+'Plan mensual'!M161,0))+parametros_manuales!$E$29*('Plan mensual'!M47+'Plan mensual'!M158+IF(parametros_manuales!$H$29="Todos",'Plan mensual'!M51+'Plan mensual'!M162,0))+parametros_manuales!$F$29*('Plan mensual'!M48+'Plan mensual'!M159+IF(parametros_manuales!$H$29="Todos",'Plan mensual'!M52+'Plan mensual'!M163,0))+parametros_manuales!$G$29*('Plan mensual'!M49+'Plan mensual'!M160+IF(parametros_manuales!$H$29="Todos",'Plan mensual'!M53+'Plan mensual'!M164,0)))*parametros_manuales!$I$29*parametros_manuales!$J$29</f>
        <v>6611.2174145925</v>
      </c>
      <c r="L120" s="9" t="n">
        <f aca="false">(parametros_manuales!$D$29*('Plan mensual'!N46+'Plan mensual'!N157+IF(parametros_manuales!$H$29="Todos",'Plan mensual'!N50+'Plan mensual'!N161,0))+parametros_manuales!$E$29*('Plan mensual'!N47+'Plan mensual'!N158+IF(parametros_manuales!$H$29="Todos",'Plan mensual'!N51+'Plan mensual'!N162,0))+parametros_manuales!$F$29*('Plan mensual'!N48+'Plan mensual'!N159+IF(parametros_manuales!$H$29="Todos",'Plan mensual'!N52+'Plan mensual'!N163,0))+parametros_manuales!$G$29*('Plan mensual'!N49+'Plan mensual'!N160+IF(parametros_manuales!$H$29="Todos",'Plan mensual'!N53+'Plan mensual'!N164,0)))*parametros_manuales!$I$29*parametros_manuales!$J$29</f>
        <v>6481.046750503</v>
      </c>
      <c r="M120" s="9" t="n">
        <f aca="false">(parametros_manuales!$D$29*('Plan mensual'!O46+'Plan mensual'!O157+IF(parametros_manuales!$H$29="Todos",'Plan mensual'!O50+'Plan mensual'!O161,0))+parametros_manuales!$E$29*('Plan mensual'!O47+'Plan mensual'!O158+IF(parametros_manuales!$H$29="Todos",'Plan mensual'!O51+'Plan mensual'!O162,0))+parametros_manuales!$F$29*('Plan mensual'!O48+'Plan mensual'!O159+IF(parametros_manuales!$H$29="Todos",'Plan mensual'!O52+'Plan mensual'!O163,0))+parametros_manuales!$G$29*('Plan mensual'!O49+'Plan mensual'!O160+IF(parametros_manuales!$H$29="Todos",'Plan mensual'!O53+'Plan mensual'!O164,0)))*parametros_manuales!$I$29*parametros_manuales!$J$29</f>
        <v>10317.606535169</v>
      </c>
      <c r="N120" s="9" t="n">
        <f aca="false">SUM(B120:M120)</f>
        <v>88149.5655279</v>
      </c>
      <c r="O120" s="9" t="n">
        <f aca="false">MAX(B120:M120)</f>
        <v>10317.606535169</v>
      </c>
      <c r="P120" s="44" t="n">
        <f aca="false">O120/(parametros_manuales!$B$7)</f>
        <v>68.7840435677934</v>
      </c>
      <c r="Q120" s="8" t="str">
        <f aca="false">IF(O120=0,"-",INDEX($B$109:$M$109,MATCH(O120,B120:M120,0)))</f>
        <v>Dic</v>
      </c>
    </row>
    <row r="121" customFormat="false" ht="14.25" hidden="false" customHeight="true" outlineLevel="0" collapsed="false">
      <c r="A121" s="8" t="str">
        <f aca="false">parametros_manuales!$B$30</f>
        <v>Soldadura circunferencial de cúpula y fondo</v>
      </c>
      <c r="B121" s="9" t="n">
        <f aca="false">(parametros_manuales!$D$30*('Plan mensual'!D46+'Plan mensual'!D157+IF(parametros_manuales!$H$30="Todos",'Plan mensual'!D50+'Plan mensual'!D161,0))+parametros_manuales!$E$30*('Plan mensual'!D47+'Plan mensual'!D158+IF(parametros_manuales!$H$30="Todos",'Plan mensual'!D51+'Plan mensual'!D162,0))+parametros_manuales!$F$30*('Plan mensual'!D48+'Plan mensual'!D159+IF(parametros_manuales!$H$30="Todos",'Plan mensual'!D52+'Plan mensual'!D163,0))+parametros_manuales!$G$30*('Plan mensual'!D49+'Plan mensual'!D160+IF(parametros_manuales!$H$30="Todos",'Plan mensual'!D53+'Plan mensual'!D164,0)))*parametros_manuales!$I$30*parametros_manuales!$J$30</f>
        <v>10057.26520699</v>
      </c>
      <c r="C121" s="9" t="n">
        <f aca="false">(parametros_manuales!$D$30*('Plan mensual'!E46+'Plan mensual'!E157+IF(parametros_manuales!$H$30="Todos",'Plan mensual'!E50+'Plan mensual'!E161,0))+parametros_manuales!$E$30*('Plan mensual'!E47+'Plan mensual'!E158+IF(parametros_manuales!$H$30="Todos",'Plan mensual'!E51+'Plan mensual'!E162,0))+parametros_manuales!$F$30*('Plan mensual'!E48+'Plan mensual'!E159+IF(parametros_manuales!$H$30="Todos",'Plan mensual'!E52+'Plan mensual'!E163,0))+parametros_manuales!$G$30*('Plan mensual'!E49+'Plan mensual'!E160+IF(parametros_manuales!$H$30="Todos",'Plan mensual'!E53+'Plan mensual'!E164,0)))*parametros_manuales!$I$30*parametros_manuales!$J$30</f>
        <v>7673.119569332</v>
      </c>
      <c r="D121" s="9" t="n">
        <f aca="false">(parametros_manuales!$D$30*('Plan mensual'!F46+'Plan mensual'!F157+IF(parametros_manuales!$H$30="Todos",'Plan mensual'!F50+'Plan mensual'!F161,0))+parametros_manuales!$E$30*('Plan mensual'!F47+'Plan mensual'!F158+IF(parametros_manuales!$H$30="Todos",'Plan mensual'!F51+'Plan mensual'!F162,0))+parametros_manuales!$F$30*('Plan mensual'!F48+'Plan mensual'!F159+IF(parametros_manuales!$H$30="Todos",'Plan mensual'!F52+'Plan mensual'!F163,0))+parametros_manuales!$G$30*('Plan mensual'!F49+'Plan mensual'!F160+IF(parametros_manuales!$H$30="Todos",'Plan mensual'!F53+'Plan mensual'!F164,0)))*parametros_manuales!$I$30*parametros_manuales!$J$30</f>
        <v>7182.1359063215</v>
      </c>
      <c r="E121" s="9" t="n">
        <f aca="false">(parametros_manuales!$D$30*('Plan mensual'!G46+'Plan mensual'!G157+IF(parametros_manuales!$H$30="Todos",'Plan mensual'!G50+'Plan mensual'!G161,0))+parametros_manuales!$E$30*('Plan mensual'!G47+'Plan mensual'!G158+IF(parametros_manuales!$H$30="Todos",'Plan mensual'!G51+'Plan mensual'!G162,0))+parametros_manuales!$F$30*('Plan mensual'!G48+'Plan mensual'!G159+IF(parametros_manuales!$H$30="Todos",'Plan mensual'!G52+'Plan mensual'!G163,0))+parametros_manuales!$G$30*('Plan mensual'!G49+'Plan mensual'!G160+IF(parametros_manuales!$H$30="Todos",'Plan mensual'!G53+'Plan mensual'!G164,0)))*parametros_manuales!$I$30*parametros_manuales!$J$30</f>
        <v>6871.5587427715</v>
      </c>
      <c r="F121" s="9" t="n">
        <f aca="false">(parametros_manuales!$D$30*('Plan mensual'!H46+'Plan mensual'!H157+IF(parametros_manuales!$H$30="Todos",'Plan mensual'!H50+'Plan mensual'!H161,0))+parametros_manuales!$E$30*('Plan mensual'!H47+'Plan mensual'!H158+IF(parametros_manuales!$H$30="Todos",'Plan mensual'!H51+'Plan mensual'!H162,0))+parametros_manuales!$F$30*('Plan mensual'!H48+'Plan mensual'!H159+IF(parametros_manuales!$H$30="Todos",'Plan mensual'!H52+'Plan mensual'!H163,0))+parametros_manuales!$G$30*('Plan mensual'!H49+'Plan mensual'!H160+IF(parametros_manuales!$H$30="Todos",'Plan mensual'!H53+'Plan mensual'!H164,0)))*parametros_manuales!$I$30*parametros_manuales!$J$30</f>
        <v>6430.810915132</v>
      </c>
      <c r="G121" s="9" t="n">
        <f aca="false">(parametros_manuales!$D$30*('Plan mensual'!I46+'Plan mensual'!I157+IF(parametros_manuales!$H$30="Todos",'Plan mensual'!I50+'Plan mensual'!I161,0))+parametros_manuales!$E$30*('Plan mensual'!I47+'Plan mensual'!I158+IF(parametros_manuales!$H$30="Todos",'Plan mensual'!I51+'Plan mensual'!I162,0))+parametros_manuales!$F$30*('Plan mensual'!I48+'Plan mensual'!I159+IF(parametros_manuales!$H$30="Todos",'Plan mensual'!I52+'Plan mensual'!I163,0))+parametros_manuales!$G$30*('Plan mensual'!I49+'Plan mensual'!I160+IF(parametros_manuales!$H$30="Todos",'Plan mensual'!I53+'Plan mensual'!I164,0)))*parametros_manuales!$I$30*parametros_manuales!$J$30</f>
        <v>6300.6402510425</v>
      </c>
      <c r="H121" s="9" t="n">
        <f aca="false">(parametros_manuales!$D$30*('Plan mensual'!J46+'Plan mensual'!J157+IF(parametros_manuales!$H$30="Todos",'Plan mensual'!J50+'Plan mensual'!J161,0))+parametros_manuales!$E$30*('Plan mensual'!J47+'Plan mensual'!J158+IF(parametros_manuales!$H$30="Todos",'Plan mensual'!J51+'Plan mensual'!J162,0))+parametros_manuales!$F$30*('Plan mensual'!J48+'Plan mensual'!J159+IF(parametros_manuales!$H$30="Todos",'Plan mensual'!J52+'Plan mensual'!J163,0))+parametros_manuales!$G$30*('Plan mensual'!J49+'Plan mensual'!J160+IF(parametros_manuales!$H$30="Todos",'Plan mensual'!J53+'Plan mensual'!J164,0)))*parametros_manuales!$I$30*parametros_manuales!$J$30</f>
        <v>6741.388078682</v>
      </c>
      <c r="I121" s="9" t="n">
        <f aca="false">(parametros_manuales!$D$30*('Plan mensual'!K46+'Plan mensual'!K157+IF(parametros_manuales!$H$30="Todos",'Plan mensual'!K50+'Plan mensual'!K161,0))+parametros_manuales!$E$30*('Plan mensual'!K47+'Plan mensual'!K158+IF(parametros_manuales!$H$30="Todos",'Plan mensual'!K51+'Plan mensual'!K162,0))+parametros_manuales!$F$30*('Plan mensual'!K48+'Plan mensual'!K159+IF(parametros_manuales!$H$30="Todos",'Plan mensual'!K52+'Plan mensual'!K163,0))+parametros_manuales!$G$30*('Plan mensual'!K49+'Plan mensual'!K160+IF(parametros_manuales!$H$30="Todos",'Plan mensual'!K53+'Plan mensual'!K164,0)))*parametros_manuales!$I$30*parametros_manuales!$J$30</f>
        <v>6741.388078682</v>
      </c>
      <c r="J121" s="9" t="n">
        <f aca="false">(parametros_manuales!$D$30*('Plan mensual'!L46+'Plan mensual'!L157+IF(parametros_manuales!$H$30="Todos",'Plan mensual'!L50+'Plan mensual'!L161,0))+parametros_manuales!$E$30*('Plan mensual'!L47+'Plan mensual'!L158+IF(parametros_manuales!$H$30="Todos",'Plan mensual'!L51+'Plan mensual'!L162,0))+parametros_manuales!$F$30*('Plan mensual'!L48+'Plan mensual'!L159+IF(parametros_manuales!$H$30="Todos",'Plan mensual'!L52+'Plan mensual'!L163,0))+parametros_manuales!$G$30*('Plan mensual'!L49+'Plan mensual'!L160+IF(parametros_manuales!$H$30="Todos",'Plan mensual'!L53+'Plan mensual'!L164,0)))*parametros_manuales!$I$30*parametros_manuales!$J$30</f>
        <v>6741.388078682</v>
      </c>
      <c r="K121" s="9" t="n">
        <f aca="false">(parametros_manuales!$D$30*('Plan mensual'!M46+'Plan mensual'!M157+IF(parametros_manuales!$H$30="Todos",'Plan mensual'!M50+'Plan mensual'!M161,0))+parametros_manuales!$E$30*('Plan mensual'!M47+'Plan mensual'!M158+IF(parametros_manuales!$H$30="Todos",'Plan mensual'!M51+'Plan mensual'!M162,0))+parametros_manuales!$F$30*('Plan mensual'!M48+'Plan mensual'!M159+IF(parametros_manuales!$H$30="Todos",'Plan mensual'!M52+'Plan mensual'!M163,0))+parametros_manuales!$G$30*('Plan mensual'!M49+'Plan mensual'!M160+IF(parametros_manuales!$H$30="Todos",'Plan mensual'!M53+'Plan mensual'!M164,0)))*parametros_manuales!$I$30*parametros_manuales!$J$30</f>
        <v>6611.2174145925</v>
      </c>
      <c r="L121" s="9" t="n">
        <f aca="false">(parametros_manuales!$D$30*('Plan mensual'!N46+'Plan mensual'!N157+IF(parametros_manuales!$H$30="Todos",'Plan mensual'!N50+'Plan mensual'!N161,0))+parametros_manuales!$E$30*('Plan mensual'!N47+'Plan mensual'!N158+IF(parametros_manuales!$H$30="Todos",'Plan mensual'!N51+'Plan mensual'!N162,0))+parametros_manuales!$F$30*('Plan mensual'!N48+'Plan mensual'!N159+IF(parametros_manuales!$H$30="Todos",'Plan mensual'!N52+'Plan mensual'!N163,0))+parametros_manuales!$G$30*('Plan mensual'!N49+'Plan mensual'!N160+IF(parametros_manuales!$H$30="Todos",'Plan mensual'!N53+'Plan mensual'!N164,0)))*parametros_manuales!$I$30*parametros_manuales!$J$30</f>
        <v>6481.046750503</v>
      </c>
      <c r="M121" s="9" t="n">
        <f aca="false">(parametros_manuales!$D$30*('Plan mensual'!O46+'Plan mensual'!O157+IF(parametros_manuales!$H$30="Todos",'Plan mensual'!O50+'Plan mensual'!O161,0))+parametros_manuales!$E$30*('Plan mensual'!O47+'Plan mensual'!O158+IF(parametros_manuales!$H$30="Todos",'Plan mensual'!O51+'Plan mensual'!O162,0))+parametros_manuales!$F$30*('Plan mensual'!O48+'Plan mensual'!O159+IF(parametros_manuales!$H$30="Todos",'Plan mensual'!O52+'Plan mensual'!O163,0))+parametros_manuales!$G$30*('Plan mensual'!O49+'Plan mensual'!O160+IF(parametros_manuales!$H$30="Todos",'Plan mensual'!O53+'Plan mensual'!O164,0)))*parametros_manuales!$I$30*parametros_manuales!$J$30</f>
        <v>10317.606535169</v>
      </c>
      <c r="N121" s="9" t="n">
        <f aca="false">SUM(B121:M121)</f>
        <v>88149.5655279</v>
      </c>
      <c r="O121" s="9" t="n">
        <f aca="false">MAX(B121:M121)</f>
        <v>10317.606535169</v>
      </c>
      <c r="P121" s="44" t="n">
        <f aca="false">O121/(parametros_manuales!$B$7)</f>
        <v>68.7840435677934</v>
      </c>
      <c r="Q121" s="8" t="str">
        <f aca="false">IF(O121=0,"-",INDEX($B$109:$M$109,MATCH(O121,B121:M121,0)))</f>
        <v>Dic</v>
      </c>
    </row>
    <row r="122" customFormat="false" ht="14.25" hidden="false" customHeight="true" outlineLevel="0" collapsed="false">
      <c r="A122" s="8" t="str">
        <f aca="false">parametros_manuales!$B$31</f>
        <v>Control de calidad — Espesor</v>
      </c>
      <c r="B122" s="9" t="n">
        <f aca="false">(parametros_manuales!$D$31*('Plan mensual'!D46+'Plan mensual'!D157+IF(parametros_manuales!$H$31="Todos",'Plan mensual'!D50+'Plan mensual'!D161,0))+parametros_manuales!$E$31*('Plan mensual'!D47+'Plan mensual'!D158+IF(parametros_manuales!$H$31="Todos",'Plan mensual'!D51+'Plan mensual'!D162,0))+parametros_manuales!$F$31*('Plan mensual'!D48+'Plan mensual'!D159+IF(parametros_manuales!$H$31="Todos",'Plan mensual'!D52+'Plan mensual'!D163,0))+parametros_manuales!$G$31*('Plan mensual'!D49+'Plan mensual'!D160+IF(parametros_manuales!$H$31="Todos",'Plan mensual'!D53+'Plan mensual'!D164,0)))*parametros_manuales!$I$31*parametros_manuales!$J$31</f>
        <v>201.1453041398</v>
      </c>
      <c r="C122" s="9" t="n">
        <f aca="false">(parametros_manuales!$D$31*('Plan mensual'!E46+'Plan mensual'!E157+IF(parametros_manuales!$H$31="Todos",'Plan mensual'!E50+'Plan mensual'!E161,0))+parametros_manuales!$E$31*('Plan mensual'!E47+'Plan mensual'!E158+IF(parametros_manuales!$H$31="Todos",'Plan mensual'!E51+'Plan mensual'!E162,0))+parametros_manuales!$F$31*('Plan mensual'!E48+'Plan mensual'!E159+IF(parametros_manuales!$H$31="Todos",'Plan mensual'!E52+'Plan mensual'!E163,0))+parametros_manuales!$G$31*('Plan mensual'!E49+'Plan mensual'!E160+IF(parametros_manuales!$H$31="Todos",'Plan mensual'!E53+'Plan mensual'!E164,0)))*parametros_manuales!$I$31*parametros_manuales!$J$31</f>
        <v>153.46239138664</v>
      </c>
      <c r="D122" s="9" t="n">
        <f aca="false">(parametros_manuales!$D$31*('Plan mensual'!F46+'Plan mensual'!F157+IF(parametros_manuales!$H$31="Todos",'Plan mensual'!F50+'Plan mensual'!F161,0))+parametros_manuales!$E$31*('Plan mensual'!F47+'Plan mensual'!F158+IF(parametros_manuales!$H$31="Todos",'Plan mensual'!F51+'Plan mensual'!F162,0))+parametros_manuales!$F$31*('Plan mensual'!F48+'Plan mensual'!F159+IF(parametros_manuales!$H$31="Todos",'Plan mensual'!F52+'Plan mensual'!F163,0))+parametros_manuales!$G$31*('Plan mensual'!F49+'Plan mensual'!F160+IF(parametros_manuales!$H$31="Todos",'Plan mensual'!F53+'Plan mensual'!F164,0)))*parametros_manuales!$I$31*parametros_manuales!$J$31</f>
        <v>143.64271812643</v>
      </c>
      <c r="E122" s="9" t="n">
        <f aca="false">(parametros_manuales!$D$31*('Plan mensual'!G46+'Plan mensual'!G157+IF(parametros_manuales!$H$31="Todos",'Plan mensual'!G50+'Plan mensual'!G161,0))+parametros_manuales!$E$31*('Plan mensual'!G47+'Plan mensual'!G158+IF(parametros_manuales!$H$31="Todos",'Plan mensual'!G51+'Plan mensual'!G162,0))+parametros_manuales!$F$31*('Plan mensual'!G48+'Plan mensual'!G159+IF(parametros_manuales!$H$31="Todos",'Plan mensual'!G52+'Plan mensual'!G163,0))+parametros_manuales!$G$31*('Plan mensual'!G49+'Plan mensual'!G160+IF(parametros_manuales!$H$31="Todos",'Plan mensual'!G53+'Plan mensual'!G164,0)))*parametros_manuales!$I$31*parametros_manuales!$J$31</f>
        <v>137.43117485543</v>
      </c>
      <c r="F122" s="9" t="n">
        <f aca="false">(parametros_manuales!$D$31*('Plan mensual'!H46+'Plan mensual'!H157+IF(parametros_manuales!$H$31="Todos",'Plan mensual'!H50+'Plan mensual'!H161,0))+parametros_manuales!$E$31*('Plan mensual'!H47+'Plan mensual'!H158+IF(parametros_manuales!$H$31="Todos",'Plan mensual'!H51+'Plan mensual'!H162,0))+parametros_manuales!$F$31*('Plan mensual'!H48+'Plan mensual'!H159+IF(parametros_manuales!$H$31="Todos",'Plan mensual'!H52+'Plan mensual'!H163,0))+parametros_manuales!$G$31*('Plan mensual'!H49+'Plan mensual'!H160+IF(parametros_manuales!$H$31="Todos",'Plan mensual'!H53+'Plan mensual'!H164,0)))*parametros_manuales!$I$31*parametros_manuales!$J$31</f>
        <v>128.61621830264</v>
      </c>
      <c r="G122" s="9" t="n">
        <f aca="false">(parametros_manuales!$D$31*('Plan mensual'!I46+'Plan mensual'!I157+IF(parametros_manuales!$H$31="Todos",'Plan mensual'!I50+'Plan mensual'!I161,0))+parametros_manuales!$E$31*('Plan mensual'!I47+'Plan mensual'!I158+IF(parametros_manuales!$H$31="Todos",'Plan mensual'!I51+'Plan mensual'!I162,0))+parametros_manuales!$F$31*('Plan mensual'!I48+'Plan mensual'!I159+IF(parametros_manuales!$H$31="Todos",'Plan mensual'!I52+'Plan mensual'!I163,0))+parametros_manuales!$G$31*('Plan mensual'!I49+'Plan mensual'!I160+IF(parametros_manuales!$H$31="Todos",'Plan mensual'!I53+'Plan mensual'!I164,0)))*parametros_manuales!$I$31*parametros_manuales!$J$31</f>
        <v>126.01280502085</v>
      </c>
      <c r="H122" s="9" t="n">
        <f aca="false">(parametros_manuales!$D$31*('Plan mensual'!J46+'Plan mensual'!J157+IF(parametros_manuales!$H$31="Todos",'Plan mensual'!J50+'Plan mensual'!J161,0))+parametros_manuales!$E$31*('Plan mensual'!J47+'Plan mensual'!J158+IF(parametros_manuales!$H$31="Todos",'Plan mensual'!J51+'Plan mensual'!J162,0))+parametros_manuales!$F$31*('Plan mensual'!J48+'Plan mensual'!J159+IF(parametros_manuales!$H$31="Todos",'Plan mensual'!J52+'Plan mensual'!J163,0))+parametros_manuales!$G$31*('Plan mensual'!J49+'Plan mensual'!J160+IF(parametros_manuales!$H$31="Todos",'Plan mensual'!J53+'Plan mensual'!J164,0)))*parametros_manuales!$I$31*parametros_manuales!$J$31</f>
        <v>134.82776157364</v>
      </c>
      <c r="I122" s="9" t="n">
        <f aca="false">(parametros_manuales!$D$31*('Plan mensual'!K46+'Plan mensual'!K157+IF(parametros_manuales!$H$31="Todos",'Plan mensual'!K50+'Plan mensual'!K161,0))+parametros_manuales!$E$31*('Plan mensual'!K47+'Plan mensual'!K158+IF(parametros_manuales!$H$31="Todos",'Plan mensual'!K51+'Plan mensual'!K162,0))+parametros_manuales!$F$31*('Plan mensual'!K48+'Plan mensual'!K159+IF(parametros_manuales!$H$31="Todos",'Plan mensual'!K52+'Plan mensual'!K163,0))+parametros_manuales!$G$31*('Plan mensual'!K49+'Plan mensual'!K160+IF(parametros_manuales!$H$31="Todos",'Plan mensual'!K53+'Plan mensual'!K164,0)))*parametros_manuales!$I$31*parametros_manuales!$J$31</f>
        <v>134.82776157364</v>
      </c>
      <c r="J122" s="9" t="n">
        <f aca="false">(parametros_manuales!$D$31*('Plan mensual'!L46+'Plan mensual'!L157+IF(parametros_manuales!$H$31="Todos",'Plan mensual'!L50+'Plan mensual'!L161,0))+parametros_manuales!$E$31*('Plan mensual'!L47+'Plan mensual'!L158+IF(parametros_manuales!$H$31="Todos",'Plan mensual'!L51+'Plan mensual'!L162,0))+parametros_manuales!$F$31*('Plan mensual'!L48+'Plan mensual'!L159+IF(parametros_manuales!$H$31="Todos",'Plan mensual'!L52+'Plan mensual'!L163,0))+parametros_manuales!$G$31*('Plan mensual'!L49+'Plan mensual'!L160+IF(parametros_manuales!$H$31="Todos",'Plan mensual'!L53+'Plan mensual'!L164,0)))*parametros_manuales!$I$31*parametros_manuales!$J$31</f>
        <v>134.82776157364</v>
      </c>
      <c r="K122" s="9" t="n">
        <f aca="false">(parametros_manuales!$D$31*('Plan mensual'!M46+'Plan mensual'!M157+IF(parametros_manuales!$H$31="Todos",'Plan mensual'!M50+'Plan mensual'!M161,0))+parametros_manuales!$E$31*('Plan mensual'!M47+'Plan mensual'!M158+IF(parametros_manuales!$H$31="Todos",'Plan mensual'!M51+'Plan mensual'!M162,0))+parametros_manuales!$F$31*('Plan mensual'!M48+'Plan mensual'!M159+IF(parametros_manuales!$H$31="Todos",'Plan mensual'!M52+'Plan mensual'!M163,0))+parametros_manuales!$G$31*('Plan mensual'!M49+'Plan mensual'!M160+IF(parametros_manuales!$H$31="Todos",'Plan mensual'!M53+'Plan mensual'!M164,0)))*parametros_manuales!$I$31*parametros_manuales!$J$31</f>
        <v>132.22434829185</v>
      </c>
      <c r="L122" s="9" t="n">
        <f aca="false">(parametros_manuales!$D$31*('Plan mensual'!N46+'Plan mensual'!N157+IF(parametros_manuales!$H$31="Todos",'Plan mensual'!N50+'Plan mensual'!N161,0))+parametros_manuales!$E$31*('Plan mensual'!N47+'Plan mensual'!N158+IF(parametros_manuales!$H$31="Todos",'Plan mensual'!N51+'Plan mensual'!N162,0))+parametros_manuales!$F$31*('Plan mensual'!N48+'Plan mensual'!N159+IF(parametros_manuales!$H$31="Todos",'Plan mensual'!N52+'Plan mensual'!N163,0))+parametros_manuales!$G$31*('Plan mensual'!N49+'Plan mensual'!N160+IF(parametros_manuales!$H$31="Todos",'Plan mensual'!N53+'Plan mensual'!N164,0)))*parametros_manuales!$I$31*parametros_manuales!$J$31</f>
        <v>129.62093501006</v>
      </c>
      <c r="M122" s="9" t="n">
        <f aca="false">(parametros_manuales!$D$31*('Plan mensual'!O46+'Plan mensual'!O157+IF(parametros_manuales!$H$31="Todos",'Plan mensual'!O50+'Plan mensual'!O161,0))+parametros_manuales!$E$31*('Plan mensual'!O47+'Plan mensual'!O158+IF(parametros_manuales!$H$31="Todos",'Plan mensual'!O51+'Plan mensual'!O162,0))+parametros_manuales!$F$31*('Plan mensual'!O48+'Plan mensual'!O159+IF(parametros_manuales!$H$31="Todos",'Plan mensual'!O52+'Plan mensual'!O163,0))+parametros_manuales!$G$31*('Plan mensual'!O49+'Plan mensual'!O160+IF(parametros_manuales!$H$31="Todos",'Plan mensual'!O53+'Plan mensual'!O164,0)))*parametros_manuales!$I$31*parametros_manuales!$J$31</f>
        <v>206.35213070338</v>
      </c>
      <c r="N122" s="9" t="n">
        <f aca="false">SUM(B122:M122)</f>
        <v>1762.991310558</v>
      </c>
      <c r="O122" s="9" t="n">
        <f aca="false">MAX(B122:M122)</f>
        <v>206.35213070338</v>
      </c>
      <c r="P122" s="44" t="n">
        <f aca="false">O122/(parametros_manuales!$B$7)</f>
        <v>1.37568087135587</v>
      </c>
      <c r="Q122" s="8" t="str">
        <f aca="false">IF(O122=0,"-",INDEX($B$109:$M$109,MATCH(O122,B122:M122,0)))</f>
        <v>Dic</v>
      </c>
    </row>
    <row r="123" customFormat="false" ht="14.25" hidden="false" customHeight="true" outlineLevel="0" collapsed="false">
      <c r="A123" s="8" t="str">
        <f aca="false">parametros_manuales!$B$32</f>
        <v>Prueba hidráulica</v>
      </c>
      <c r="B123" s="9" t="n">
        <f aca="false">(parametros_manuales!$D$32*('Plan mensual'!D46+'Plan mensual'!D157+IF(parametros_manuales!$H$32="Todos",'Plan mensual'!D50+'Plan mensual'!D161,0))+parametros_manuales!$E$32*('Plan mensual'!D47+'Plan mensual'!D158+IF(parametros_manuales!$H$32="Todos",'Plan mensual'!D51+'Plan mensual'!D162,0))+parametros_manuales!$F$32*('Plan mensual'!D48+'Plan mensual'!D159+IF(parametros_manuales!$H$32="Todos",'Plan mensual'!D52+'Plan mensual'!D163,0))+parametros_manuales!$G$32*('Plan mensual'!D49+'Plan mensual'!D160+IF(parametros_manuales!$H$32="Todos",'Plan mensual'!D53+'Plan mensual'!D164,0)))*parametros_manuales!$I$32*parametros_manuales!$J$32</f>
        <v>10057.26520699</v>
      </c>
      <c r="C123" s="9" t="n">
        <f aca="false">(parametros_manuales!$D$32*('Plan mensual'!E46+'Plan mensual'!E157+IF(parametros_manuales!$H$32="Todos",'Plan mensual'!E50+'Plan mensual'!E161,0))+parametros_manuales!$E$32*('Plan mensual'!E47+'Plan mensual'!E158+IF(parametros_manuales!$H$32="Todos",'Plan mensual'!E51+'Plan mensual'!E162,0))+parametros_manuales!$F$32*('Plan mensual'!E48+'Plan mensual'!E159+IF(parametros_manuales!$H$32="Todos",'Plan mensual'!E52+'Plan mensual'!E163,0))+parametros_manuales!$G$32*('Plan mensual'!E49+'Plan mensual'!E160+IF(parametros_manuales!$H$32="Todos",'Plan mensual'!E53+'Plan mensual'!E164,0)))*parametros_manuales!$I$32*parametros_manuales!$J$32</f>
        <v>7673.119569332</v>
      </c>
      <c r="D123" s="9" t="n">
        <f aca="false">(parametros_manuales!$D$32*('Plan mensual'!F46+'Plan mensual'!F157+IF(parametros_manuales!$H$32="Todos",'Plan mensual'!F50+'Plan mensual'!F161,0))+parametros_manuales!$E$32*('Plan mensual'!F47+'Plan mensual'!F158+IF(parametros_manuales!$H$32="Todos",'Plan mensual'!F51+'Plan mensual'!F162,0))+parametros_manuales!$F$32*('Plan mensual'!F48+'Plan mensual'!F159+IF(parametros_manuales!$H$32="Todos",'Plan mensual'!F52+'Plan mensual'!F163,0))+parametros_manuales!$G$32*('Plan mensual'!F49+'Plan mensual'!F160+IF(parametros_manuales!$H$32="Todos",'Plan mensual'!F53+'Plan mensual'!F164,0)))*parametros_manuales!$I$32*parametros_manuales!$J$32</f>
        <v>7182.1359063215</v>
      </c>
      <c r="E123" s="9" t="n">
        <f aca="false">(parametros_manuales!$D$32*('Plan mensual'!G46+'Plan mensual'!G157+IF(parametros_manuales!$H$32="Todos",'Plan mensual'!G50+'Plan mensual'!G161,0))+parametros_manuales!$E$32*('Plan mensual'!G47+'Plan mensual'!G158+IF(parametros_manuales!$H$32="Todos",'Plan mensual'!G51+'Plan mensual'!G162,0))+parametros_manuales!$F$32*('Plan mensual'!G48+'Plan mensual'!G159+IF(parametros_manuales!$H$32="Todos",'Plan mensual'!G52+'Plan mensual'!G163,0))+parametros_manuales!$G$32*('Plan mensual'!G49+'Plan mensual'!G160+IF(parametros_manuales!$H$32="Todos",'Plan mensual'!G53+'Plan mensual'!G164,0)))*parametros_manuales!$I$32*parametros_manuales!$J$32</f>
        <v>6871.5587427715</v>
      </c>
      <c r="F123" s="9" t="n">
        <f aca="false">(parametros_manuales!$D$32*('Plan mensual'!H46+'Plan mensual'!H157+IF(parametros_manuales!$H$32="Todos",'Plan mensual'!H50+'Plan mensual'!H161,0))+parametros_manuales!$E$32*('Plan mensual'!H47+'Plan mensual'!H158+IF(parametros_manuales!$H$32="Todos",'Plan mensual'!H51+'Plan mensual'!H162,0))+parametros_manuales!$F$32*('Plan mensual'!H48+'Plan mensual'!H159+IF(parametros_manuales!$H$32="Todos",'Plan mensual'!H52+'Plan mensual'!H163,0))+parametros_manuales!$G$32*('Plan mensual'!H49+'Plan mensual'!H160+IF(parametros_manuales!$H$32="Todos",'Plan mensual'!H53+'Plan mensual'!H164,0)))*parametros_manuales!$I$32*parametros_manuales!$J$32</f>
        <v>6430.810915132</v>
      </c>
      <c r="G123" s="9" t="n">
        <f aca="false">(parametros_manuales!$D$32*('Plan mensual'!I46+'Plan mensual'!I157+IF(parametros_manuales!$H$32="Todos",'Plan mensual'!I50+'Plan mensual'!I161,0))+parametros_manuales!$E$32*('Plan mensual'!I47+'Plan mensual'!I158+IF(parametros_manuales!$H$32="Todos",'Plan mensual'!I51+'Plan mensual'!I162,0))+parametros_manuales!$F$32*('Plan mensual'!I48+'Plan mensual'!I159+IF(parametros_manuales!$H$32="Todos",'Plan mensual'!I52+'Plan mensual'!I163,0))+parametros_manuales!$G$32*('Plan mensual'!I49+'Plan mensual'!I160+IF(parametros_manuales!$H$32="Todos",'Plan mensual'!I53+'Plan mensual'!I164,0)))*parametros_manuales!$I$32*parametros_manuales!$J$32</f>
        <v>6300.6402510425</v>
      </c>
      <c r="H123" s="9" t="n">
        <f aca="false">(parametros_manuales!$D$32*('Plan mensual'!J46+'Plan mensual'!J157+IF(parametros_manuales!$H$32="Todos",'Plan mensual'!J50+'Plan mensual'!J161,0))+parametros_manuales!$E$32*('Plan mensual'!J47+'Plan mensual'!J158+IF(parametros_manuales!$H$32="Todos",'Plan mensual'!J51+'Plan mensual'!J162,0))+parametros_manuales!$F$32*('Plan mensual'!J48+'Plan mensual'!J159+IF(parametros_manuales!$H$32="Todos",'Plan mensual'!J52+'Plan mensual'!J163,0))+parametros_manuales!$G$32*('Plan mensual'!J49+'Plan mensual'!J160+IF(parametros_manuales!$H$32="Todos",'Plan mensual'!J53+'Plan mensual'!J164,0)))*parametros_manuales!$I$32*parametros_manuales!$J$32</f>
        <v>6741.388078682</v>
      </c>
      <c r="I123" s="9" t="n">
        <f aca="false">(parametros_manuales!$D$32*('Plan mensual'!K46+'Plan mensual'!K157+IF(parametros_manuales!$H$32="Todos",'Plan mensual'!K50+'Plan mensual'!K161,0))+parametros_manuales!$E$32*('Plan mensual'!K47+'Plan mensual'!K158+IF(parametros_manuales!$H$32="Todos",'Plan mensual'!K51+'Plan mensual'!K162,0))+parametros_manuales!$F$32*('Plan mensual'!K48+'Plan mensual'!K159+IF(parametros_manuales!$H$32="Todos",'Plan mensual'!K52+'Plan mensual'!K163,0))+parametros_manuales!$G$32*('Plan mensual'!K49+'Plan mensual'!K160+IF(parametros_manuales!$H$32="Todos",'Plan mensual'!K53+'Plan mensual'!K164,0)))*parametros_manuales!$I$32*parametros_manuales!$J$32</f>
        <v>6741.388078682</v>
      </c>
      <c r="J123" s="9" t="n">
        <f aca="false">(parametros_manuales!$D$32*('Plan mensual'!L46+'Plan mensual'!L157+IF(parametros_manuales!$H$32="Todos",'Plan mensual'!L50+'Plan mensual'!L161,0))+parametros_manuales!$E$32*('Plan mensual'!L47+'Plan mensual'!L158+IF(parametros_manuales!$H$32="Todos",'Plan mensual'!L51+'Plan mensual'!L162,0))+parametros_manuales!$F$32*('Plan mensual'!L48+'Plan mensual'!L159+IF(parametros_manuales!$H$32="Todos",'Plan mensual'!L52+'Plan mensual'!L163,0))+parametros_manuales!$G$32*('Plan mensual'!L49+'Plan mensual'!L160+IF(parametros_manuales!$H$32="Todos",'Plan mensual'!L53+'Plan mensual'!L164,0)))*parametros_manuales!$I$32*parametros_manuales!$J$32</f>
        <v>6741.388078682</v>
      </c>
      <c r="K123" s="9" t="n">
        <f aca="false">(parametros_manuales!$D$32*('Plan mensual'!M46+'Plan mensual'!M157+IF(parametros_manuales!$H$32="Todos",'Plan mensual'!M50+'Plan mensual'!M161,0))+parametros_manuales!$E$32*('Plan mensual'!M47+'Plan mensual'!M158+IF(parametros_manuales!$H$32="Todos",'Plan mensual'!M51+'Plan mensual'!M162,0))+parametros_manuales!$F$32*('Plan mensual'!M48+'Plan mensual'!M159+IF(parametros_manuales!$H$32="Todos",'Plan mensual'!M52+'Plan mensual'!M163,0))+parametros_manuales!$G$32*('Plan mensual'!M49+'Plan mensual'!M160+IF(parametros_manuales!$H$32="Todos",'Plan mensual'!M53+'Plan mensual'!M164,0)))*parametros_manuales!$I$32*parametros_manuales!$J$32</f>
        <v>6611.2174145925</v>
      </c>
      <c r="L123" s="9" t="n">
        <f aca="false">(parametros_manuales!$D$32*('Plan mensual'!N46+'Plan mensual'!N157+IF(parametros_manuales!$H$32="Todos",'Plan mensual'!N50+'Plan mensual'!N161,0))+parametros_manuales!$E$32*('Plan mensual'!N47+'Plan mensual'!N158+IF(parametros_manuales!$H$32="Todos",'Plan mensual'!N51+'Plan mensual'!N162,0))+parametros_manuales!$F$32*('Plan mensual'!N48+'Plan mensual'!N159+IF(parametros_manuales!$H$32="Todos",'Plan mensual'!N52+'Plan mensual'!N163,0))+parametros_manuales!$G$32*('Plan mensual'!N49+'Plan mensual'!N160+IF(parametros_manuales!$H$32="Todos",'Plan mensual'!N53+'Plan mensual'!N164,0)))*parametros_manuales!$I$32*parametros_manuales!$J$32</f>
        <v>6481.046750503</v>
      </c>
      <c r="M123" s="9" t="n">
        <f aca="false">(parametros_manuales!$D$32*('Plan mensual'!O46+'Plan mensual'!O157+IF(parametros_manuales!$H$32="Todos",'Plan mensual'!O50+'Plan mensual'!O161,0))+parametros_manuales!$E$32*('Plan mensual'!O47+'Plan mensual'!O158+IF(parametros_manuales!$H$32="Todos",'Plan mensual'!O51+'Plan mensual'!O162,0))+parametros_manuales!$F$32*('Plan mensual'!O48+'Plan mensual'!O159+IF(parametros_manuales!$H$32="Todos",'Plan mensual'!O52+'Plan mensual'!O163,0))+parametros_manuales!$G$32*('Plan mensual'!O49+'Plan mensual'!O160+IF(parametros_manuales!$H$32="Todos",'Plan mensual'!O53+'Plan mensual'!O164,0)))*parametros_manuales!$I$32*parametros_manuales!$J$32</f>
        <v>10317.606535169</v>
      </c>
      <c r="N123" s="9" t="n">
        <f aca="false">SUM(B123:M123)</f>
        <v>88149.5655279</v>
      </c>
      <c r="O123" s="9" t="n">
        <f aca="false">MAX(B123:M123)</f>
        <v>10317.606535169</v>
      </c>
      <c r="P123" s="44" t="n">
        <f aca="false">O123/(parametros_manuales!$B$7)</f>
        <v>68.7840435677934</v>
      </c>
      <c r="Q123" s="8" t="str">
        <f aca="false">IF(O123=0,"-",INDEX($B$109:$M$109,MATCH(O123,B123:M123,0)))</f>
        <v>Dic</v>
      </c>
    </row>
    <row r="124" customFormat="false" ht="14.25" hidden="false" customHeight="true" outlineLevel="0" collapsed="false">
      <c r="A124" s="8" t="str">
        <f aca="false">parametros_manuales!$B$33</f>
        <v>Secado</v>
      </c>
      <c r="B124" s="9" t="n">
        <f aca="false">(parametros_manuales!$D$33*('Plan mensual'!D46+'Plan mensual'!D157+IF(parametros_manuales!$H$33="Todos",'Plan mensual'!D50+'Plan mensual'!D161,0))+parametros_manuales!$E$33*('Plan mensual'!D47+'Plan mensual'!D158+IF(parametros_manuales!$H$33="Todos",'Plan mensual'!D51+'Plan mensual'!D162,0))+parametros_manuales!$F$33*('Plan mensual'!D48+'Plan mensual'!D159+IF(parametros_manuales!$H$33="Todos",'Plan mensual'!D52+'Plan mensual'!D163,0))+parametros_manuales!$G$33*('Plan mensual'!D49+'Plan mensual'!D160+IF(parametros_manuales!$H$33="Todos",'Plan mensual'!D53+'Plan mensual'!D164,0)))*parametros_manuales!$I$33*parametros_manuales!$J$33</f>
        <v>10057.26520699</v>
      </c>
      <c r="C124" s="9" t="n">
        <f aca="false">(parametros_manuales!$D$33*('Plan mensual'!E46+'Plan mensual'!E157+IF(parametros_manuales!$H$33="Todos",'Plan mensual'!E50+'Plan mensual'!E161,0))+parametros_manuales!$E$33*('Plan mensual'!E47+'Plan mensual'!E158+IF(parametros_manuales!$H$33="Todos",'Plan mensual'!E51+'Plan mensual'!E162,0))+parametros_manuales!$F$33*('Plan mensual'!E48+'Plan mensual'!E159+IF(parametros_manuales!$H$33="Todos",'Plan mensual'!E52+'Plan mensual'!E163,0))+parametros_manuales!$G$33*('Plan mensual'!E49+'Plan mensual'!E160+IF(parametros_manuales!$H$33="Todos",'Plan mensual'!E53+'Plan mensual'!E164,0)))*parametros_manuales!$I$33*parametros_manuales!$J$33</f>
        <v>7673.119569332</v>
      </c>
      <c r="D124" s="9" t="n">
        <f aca="false">(parametros_manuales!$D$33*('Plan mensual'!F46+'Plan mensual'!F157+IF(parametros_manuales!$H$33="Todos",'Plan mensual'!F50+'Plan mensual'!F161,0))+parametros_manuales!$E$33*('Plan mensual'!F47+'Plan mensual'!F158+IF(parametros_manuales!$H$33="Todos",'Plan mensual'!F51+'Plan mensual'!F162,0))+parametros_manuales!$F$33*('Plan mensual'!F48+'Plan mensual'!F159+IF(parametros_manuales!$H$33="Todos",'Plan mensual'!F52+'Plan mensual'!F163,0))+parametros_manuales!$G$33*('Plan mensual'!F49+'Plan mensual'!F160+IF(parametros_manuales!$H$33="Todos",'Plan mensual'!F53+'Plan mensual'!F164,0)))*parametros_manuales!$I$33*parametros_manuales!$J$33</f>
        <v>7182.1359063215</v>
      </c>
      <c r="E124" s="9" t="n">
        <f aca="false">(parametros_manuales!$D$33*('Plan mensual'!G46+'Plan mensual'!G157+IF(parametros_manuales!$H$33="Todos",'Plan mensual'!G50+'Plan mensual'!G161,0))+parametros_manuales!$E$33*('Plan mensual'!G47+'Plan mensual'!G158+IF(parametros_manuales!$H$33="Todos",'Plan mensual'!G51+'Plan mensual'!G162,0))+parametros_manuales!$F$33*('Plan mensual'!G48+'Plan mensual'!G159+IF(parametros_manuales!$H$33="Todos",'Plan mensual'!G52+'Plan mensual'!G163,0))+parametros_manuales!$G$33*('Plan mensual'!G49+'Plan mensual'!G160+IF(parametros_manuales!$H$33="Todos",'Plan mensual'!G53+'Plan mensual'!G164,0)))*parametros_manuales!$I$33*parametros_manuales!$J$33</f>
        <v>6871.5587427715</v>
      </c>
      <c r="F124" s="9" t="n">
        <f aca="false">(parametros_manuales!$D$33*('Plan mensual'!H46+'Plan mensual'!H157+IF(parametros_manuales!$H$33="Todos",'Plan mensual'!H50+'Plan mensual'!H161,0))+parametros_manuales!$E$33*('Plan mensual'!H47+'Plan mensual'!H158+IF(parametros_manuales!$H$33="Todos",'Plan mensual'!H51+'Plan mensual'!H162,0))+parametros_manuales!$F$33*('Plan mensual'!H48+'Plan mensual'!H159+IF(parametros_manuales!$H$33="Todos",'Plan mensual'!H52+'Plan mensual'!H163,0))+parametros_manuales!$G$33*('Plan mensual'!H49+'Plan mensual'!H160+IF(parametros_manuales!$H$33="Todos",'Plan mensual'!H53+'Plan mensual'!H164,0)))*parametros_manuales!$I$33*parametros_manuales!$J$33</f>
        <v>6430.810915132</v>
      </c>
      <c r="G124" s="9" t="n">
        <f aca="false">(parametros_manuales!$D$33*('Plan mensual'!I46+'Plan mensual'!I157+IF(parametros_manuales!$H$33="Todos",'Plan mensual'!I50+'Plan mensual'!I161,0))+parametros_manuales!$E$33*('Plan mensual'!I47+'Plan mensual'!I158+IF(parametros_manuales!$H$33="Todos",'Plan mensual'!I51+'Plan mensual'!I162,0))+parametros_manuales!$F$33*('Plan mensual'!I48+'Plan mensual'!I159+IF(parametros_manuales!$H$33="Todos",'Plan mensual'!I52+'Plan mensual'!I163,0))+parametros_manuales!$G$33*('Plan mensual'!I49+'Plan mensual'!I160+IF(parametros_manuales!$H$33="Todos",'Plan mensual'!I53+'Plan mensual'!I164,0)))*parametros_manuales!$I$33*parametros_manuales!$J$33</f>
        <v>6300.6402510425</v>
      </c>
      <c r="H124" s="9" t="n">
        <f aca="false">(parametros_manuales!$D$33*('Plan mensual'!J46+'Plan mensual'!J157+IF(parametros_manuales!$H$33="Todos",'Plan mensual'!J50+'Plan mensual'!J161,0))+parametros_manuales!$E$33*('Plan mensual'!J47+'Plan mensual'!J158+IF(parametros_manuales!$H$33="Todos",'Plan mensual'!J51+'Plan mensual'!J162,0))+parametros_manuales!$F$33*('Plan mensual'!J48+'Plan mensual'!J159+IF(parametros_manuales!$H$33="Todos",'Plan mensual'!J52+'Plan mensual'!J163,0))+parametros_manuales!$G$33*('Plan mensual'!J49+'Plan mensual'!J160+IF(parametros_manuales!$H$33="Todos",'Plan mensual'!J53+'Plan mensual'!J164,0)))*parametros_manuales!$I$33*parametros_manuales!$J$33</f>
        <v>6741.388078682</v>
      </c>
      <c r="I124" s="9" t="n">
        <f aca="false">(parametros_manuales!$D$33*('Plan mensual'!K46+'Plan mensual'!K157+IF(parametros_manuales!$H$33="Todos",'Plan mensual'!K50+'Plan mensual'!K161,0))+parametros_manuales!$E$33*('Plan mensual'!K47+'Plan mensual'!K158+IF(parametros_manuales!$H$33="Todos",'Plan mensual'!K51+'Plan mensual'!K162,0))+parametros_manuales!$F$33*('Plan mensual'!K48+'Plan mensual'!K159+IF(parametros_manuales!$H$33="Todos",'Plan mensual'!K52+'Plan mensual'!K163,0))+parametros_manuales!$G$33*('Plan mensual'!K49+'Plan mensual'!K160+IF(parametros_manuales!$H$33="Todos",'Plan mensual'!K53+'Plan mensual'!K164,0)))*parametros_manuales!$I$33*parametros_manuales!$J$33</f>
        <v>6741.388078682</v>
      </c>
      <c r="J124" s="9" t="n">
        <f aca="false">(parametros_manuales!$D$33*('Plan mensual'!L46+'Plan mensual'!L157+IF(parametros_manuales!$H$33="Todos",'Plan mensual'!L50+'Plan mensual'!L161,0))+parametros_manuales!$E$33*('Plan mensual'!L47+'Plan mensual'!L158+IF(parametros_manuales!$H$33="Todos",'Plan mensual'!L51+'Plan mensual'!L162,0))+parametros_manuales!$F$33*('Plan mensual'!L48+'Plan mensual'!L159+IF(parametros_manuales!$H$33="Todos",'Plan mensual'!L52+'Plan mensual'!L163,0))+parametros_manuales!$G$33*('Plan mensual'!L49+'Plan mensual'!L160+IF(parametros_manuales!$H$33="Todos",'Plan mensual'!L53+'Plan mensual'!L164,0)))*parametros_manuales!$I$33*parametros_manuales!$J$33</f>
        <v>6741.388078682</v>
      </c>
      <c r="K124" s="9" t="n">
        <f aca="false">(parametros_manuales!$D$33*('Plan mensual'!M46+'Plan mensual'!M157+IF(parametros_manuales!$H$33="Todos",'Plan mensual'!M50+'Plan mensual'!M161,0))+parametros_manuales!$E$33*('Plan mensual'!M47+'Plan mensual'!M158+IF(parametros_manuales!$H$33="Todos",'Plan mensual'!M51+'Plan mensual'!M162,0))+parametros_manuales!$F$33*('Plan mensual'!M48+'Plan mensual'!M159+IF(parametros_manuales!$H$33="Todos",'Plan mensual'!M52+'Plan mensual'!M163,0))+parametros_manuales!$G$33*('Plan mensual'!M49+'Plan mensual'!M160+IF(parametros_manuales!$H$33="Todos",'Plan mensual'!M53+'Plan mensual'!M164,0)))*parametros_manuales!$I$33*parametros_manuales!$J$33</f>
        <v>6611.2174145925</v>
      </c>
      <c r="L124" s="9" t="n">
        <f aca="false">(parametros_manuales!$D$33*('Plan mensual'!N46+'Plan mensual'!N157+IF(parametros_manuales!$H$33="Todos",'Plan mensual'!N50+'Plan mensual'!N161,0))+parametros_manuales!$E$33*('Plan mensual'!N47+'Plan mensual'!N158+IF(parametros_manuales!$H$33="Todos",'Plan mensual'!N51+'Plan mensual'!N162,0))+parametros_manuales!$F$33*('Plan mensual'!N48+'Plan mensual'!N159+IF(parametros_manuales!$H$33="Todos",'Plan mensual'!N52+'Plan mensual'!N163,0))+parametros_manuales!$G$33*('Plan mensual'!N49+'Plan mensual'!N160+IF(parametros_manuales!$H$33="Todos",'Plan mensual'!N53+'Plan mensual'!N164,0)))*parametros_manuales!$I$33*parametros_manuales!$J$33</f>
        <v>6481.046750503</v>
      </c>
      <c r="M124" s="9" t="n">
        <f aca="false">(parametros_manuales!$D$33*('Plan mensual'!O46+'Plan mensual'!O157+IF(parametros_manuales!$H$33="Todos",'Plan mensual'!O50+'Plan mensual'!O161,0))+parametros_manuales!$E$33*('Plan mensual'!O47+'Plan mensual'!O158+IF(parametros_manuales!$H$33="Todos",'Plan mensual'!O51+'Plan mensual'!O162,0))+parametros_manuales!$F$33*('Plan mensual'!O48+'Plan mensual'!O159+IF(parametros_manuales!$H$33="Todos",'Plan mensual'!O52+'Plan mensual'!O163,0))+parametros_manuales!$G$33*('Plan mensual'!O49+'Plan mensual'!O160+IF(parametros_manuales!$H$33="Todos",'Plan mensual'!O53+'Plan mensual'!O164,0)))*parametros_manuales!$I$33*parametros_manuales!$J$33</f>
        <v>10317.606535169</v>
      </c>
      <c r="N124" s="9" t="n">
        <f aca="false">SUM(B124:M124)</f>
        <v>88149.5655279</v>
      </c>
      <c r="O124" s="9" t="n">
        <f aca="false">MAX(B124:M124)</f>
        <v>10317.606535169</v>
      </c>
      <c r="P124" s="44" t="n">
        <f aca="false">O124/(parametros_manuales!$B$7)</f>
        <v>68.7840435677934</v>
      </c>
      <c r="Q124" s="8" t="str">
        <f aca="false">IF(O124=0,"-",INDEX($B$109:$M$109,MATCH(O124,B124:M124,0)))</f>
        <v>Dic</v>
      </c>
    </row>
    <row r="125" customFormat="false" ht="14.25" hidden="false" customHeight="true" outlineLevel="0" collapsed="false">
      <c r="A125" s="8" t="str">
        <f aca="false">parametros_manuales!$B$34</f>
        <v>Granallado</v>
      </c>
      <c r="B125" s="9" t="n">
        <f aca="false">(parametros_manuales!$D$34*('Plan mensual'!D46+'Plan mensual'!D157+IF(parametros_manuales!$H$34="Todos",'Plan mensual'!D50+'Plan mensual'!D161,0))+parametros_manuales!$E$34*('Plan mensual'!D47+'Plan mensual'!D158+IF(parametros_manuales!$H$34="Todos",'Plan mensual'!D51+'Plan mensual'!D162,0))+parametros_manuales!$F$34*('Plan mensual'!D48+'Plan mensual'!D159+IF(parametros_manuales!$H$34="Todos",'Plan mensual'!D52+'Plan mensual'!D163,0))+parametros_manuales!$G$34*('Plan mensual'!D49+'Plan mensual'!D160+IF(parametros_manuales!$H$34="Todos",'Plan mensual'!D53+'Plan mensual'!D164,0)))*parametros_manuales!$I$34*parametros_manuales!$J$34</f>
        <v>10057.26520699</v>
      </c>
      <c r="C125" s="9" t="n">
        <f aca="false">(parametros_manuales!$D$34*('Plan mensual'!E46+'Plan mensual'!E157+IF(parametros_manuales!$H$34="Todos",'Plan mensual'!E50+'Plan mensual'!E161,0))+parametros_manuales!$E$34*('Plan mensual'!E47+'Plan mensual'!E158+IF(parametros_manuales!$H$34="Todos",'Plan mensual'!E51+'Plan mensual'!E162,0))+parametros_manuales!$F$34*('Plan mensual'!E48+'Plan mensual'!E159+IF(parametros_manuales!$H$34="Todos",'Plan mensual'!E52+'Plan mensual'!E163,0))+parametros_manuales!$G$34*('Plan mensual'!E49+'Plan mensual'!E160+IF(parametros_manuales!$H$34="Todos",'Plan mensual'!E53+'Plan mensual'!E164,0)))*parametros_manuales!$I$34*parametros_manuales!$J$34</f>
        <v>7673.119569332</v>
      </c>
      <c r="D125" s="9" t="n">
        <f aca="false">(parametros_manuales!$D$34*('Plan mensual'!F46+'Plan mensual'!F157+IF(parametros_manuales!$H$34="Todos",'Plan mensual'!F50+'Plan mensual'!F161,0))+parametros_manuales!$E$34*('Plan mensual'!F47+'Plan mensual'!F158+IF(parametros_manuales!$H$34="Todos",'Plan mensual'!F51+'Plan mensual'!F162,0))+parametros_manuales!$F$34*('Plan mensual'!F48+'Plan mensual'!F159+IF(parametros_manuales!$H$34="Todos",'Plan mensual'!F52+'Plan mensual'!F163,0))+parametros_manuales!$G$34*('Plan mensual'!F49+'Plan mensual'!F160+IF(parametros_manuales!$H$34="Todos",'Plan mensual'!F53+'Plan mensual'!F164,0)))*parametros_manuales!$I$34*parametros_manuales!$J$34</f>
        <v>7182.1359063215</v>
      </c>
      <c r="E125" s="9" t="n">
        <f aca="false">(parametros_manuales!$D$34*('Plan mensual'!G46+'Plan mensual'!G157+IF(parametros_manuales!$H$34="Todos",'Plan mensual'!G50+'Plan mensual'!G161,0))+parametros_manuales!$E$34*('Plan mensual'!G47+'Plan mensual'!G158+IF(parametros_manuales!$H$34="Todos",'Plan mensual'!G51+'Plan mensual'!G162,0))+parametros_manuales!$F$34*('Plan mensual'!G48+'Plan mensual'!G159+IF(parametros_manuales!$H$34="Todos",'Plan mensual'!G52+'Plan mensual'!G163,0))+parametros_manuales!$G$34*('Plan mensual'!G49+'Plan mensual'!G160+IF(parametros_manuales!$H$34="Todos",'Plan mensual'!G53+'Plan mensual'!G164,0)))*parametros_manuales!$I$34*parametros_manuales!$J$34</f>
        <v>6871.5587427715</v>
      </c>
      <c r="F125" s="9" t="n">
        <f aca="false">(parametros_manuales!$D$34*('Plan mensual'!H46+'Plan mensual'!H157+IF(parametros_manuales!$H$34="Todos",'Plan mensual'!H50+'Plan mensual'!H161,0))+parametros_manuales!$E$34*('Plan mensual'!H47+'Plan mensual'!H158+IF(parametros_manuales!$H$34="Todos",'Plan mensual'!H51+'Plan mensual'!H162,0))+parametros_manuales!$F$34*('Plan mensual'!H48+'Plan mensual'!H159+IF(parametros_manuales!$H$34="Todos",'Plan mensual'!H52+'Plan mensual'!H163,0))+parametros_manuales!$G$34*('Plan mensual'!H49+'Plan mensual'!H160+IF(parametros_manuales!$H$34="Todos",'Plan mensual'!H53+'Plan mensual'!H164,0)))*parametros_manuales!$I$34*parametros_manuales!$J$34</f>
        <v>6430.810915132</v>
      </c>
      <c r="G125" s="9" t="n">
        <f aca="false">(parametros_manuales!$D$34*('Plan mensual'!I46+'Plan mensual'!I157+IF(parametros_manuales!$H$34="Todos",'Plan mensual'!I50+'Plan mensual'!I161,0))+parametros_manuales!$E$34*('Plan mensual'!I47+'Plan mensual'!I158+IF(parametros_manuales!$H$34="Todos",'Plan mensual'!I51+'Plan mensual'!I162,0))+parametros_manuales!$F$34*('Plan mensual'!I48+'Plan mensual'!I159+IF(parametros_manuales!$H$34="Todos",'Plan mensual'!I52+'Plan mensual'!I163,0))+parametros_manuales!$G$34*('Plan mensual'!I49+'Plan mensual'!I160+IF(parametros_manuales!$H$34="Todos",'Plan mensual'!I53+'Plan mensual'!I164,0)))*parametros_manuales!$I$34*parametros_manuales!$J$34</f>
        <v>6300.6402510425</v>
      </c>
      <c r="H125" s="9" t="n">
        <f aca="false">(parametros_manuales!$D$34*('Plan mensual'!J46+'Plan mensual'!J157+IF(parametros_manuales!$H$34="Todos",'Plan mensual'!J50+'Plan mensual'!J161,0))+parametros_manuales!$E$34*('Plan mensual'!J47+'Plan mensual'!J158+IF(parametros_manuales!$H$34="Todos",'Plan mensual'!J51+'Plan mensual'!J162,0))+parametros_manuales!$F$34*('Plan mensual'!J48+'Plan mensual'!J159+IF(parametros_manuales!$H$34="Todos",'Plan mensual'!J52+'Plan mensual'!J163,0))+parametros_manuales!$G$34*('Plan mensual'!J49+'Plan mensual'!J160+IF(parametros_manuales!$H$34="Todos",'Plan mensual'!J53+'Plan mensual'!J164,0)))*parametros_manuales!$I$34*parametros_manuales!$J$34</f>
        <v>6741.388078682</v>
      </c>
      <c r="I125" s="9" t="n">
        <f aca="false">(parametros_manuales!$D$34*('Plan mensual'!K46+'Plan mensual'!K157+IF(parametros_manuales!$H$34="Todos",'Plan mensual'!K50+'Plan mensual'!K161,0))+parametros_manuales!$E$34*('Plan mensual'!K47+'Plan mensual'!K158+IF(parametros_manuales!$H$34="Todos",'Plan mensual'!K51+'Plan mensual'!K162,0))+parametros_manuales!$F$34*('Plan mensual'!K48+'Plan mensual'!K159+IF(parametros_manuales!$H$34="Todos",'Plan mensual'!K52+'Plan mensual'!K163,0))+parametros_manuales!$G$34*('Plan mensual'!K49+'Plan mensual'!K160+IF(parametros_manuales!$H$34="Todos",'Plan mensual'!K53+'Plan mensual'!K164,0)))*parametros_manuales!$I$34*parametros_manuales!$J$34</f>
        <v>6741.388078682</v>
      </c>
      <c r="J125" s="9" t="n">
        <f aca="false">(parametros_manuales!$D$34*('Plan mensual'!L46+'Plan mensual'!L157+IF(parametros_manuales!$H$34="Todos",'Plan mensual'!L50+'Plan mensual'!L161,0))+parametros_manuales!$E$34*('Plan mensual'!L47+'Plan mensual'!L158+IF(parametros_manuales!$H$34="Todos",'Plan mensual'!L51+'Plan mensual'!L162,0))+parametros_manuales!$F$34*('Plan mensual'!L48+'Plan mensual'!L159+IF(parametros_manuales!$H$34="Todos",'Plan mensual'!L52+'Plan mensual'!L163,0))+parametros_manuales!$G$34*('Plan mensual'!L49+'Plan mensual'!L160+IF(parametros_manuales!$H$34="Todos",'Plan mensual'!L53+'Plan mensual'!L164,0)))*parametros_manuales!$I$34*parametros_manuales!$J$34</f>
        <v>6741.388078682</v>
      </c>
      <c r="K125" s="9" t="n">
        <f aca="false">(parametros_manuales!$D$34*('Plan mensual'!M46+'Plan mensual'!M157+IF(parametros_manuales!$H$34="Todos",'Plan mensual'!M50+'Plan mensual'!M161,0))+parametros_manuales!$E$34*('Plan mensual'!M47+'Plan mensual'!M158+IF(parametros_manuales!$H$34="Todos",'Plan mensual'!M51+'Plan mensual'!M162,0))+parametros_manuales!$F$34*('Plan mensual'!M48+'Plan mensual'!M159+IF(parametros_manuales!$H$34="Todos",'Plan mensual'!M52+'Plan mensual'!M163,0))+parametros_manuales!$G$34*('Plan mensual'!M49+'Plan mensual'!M160+IF(parametros_manuales!$H$34="Todos",'Plan mensual'!M53+'Plan mensual'!M164,0)))*parametros_manuales!$I$34*parametros_manuales!$J$34</f>
        <v>6611.2174145925</v>
      </c>
      <c r="L125" s="9" t="n">
        <f aca="false">(parametros_manuales!$D$34*('Plan mensual'!N46+'Plan mensual'!N157+IF(parametros_manuales!$H$34="Todos",'Plan mensual'!N50+'Plan mensual'!N161,0))+parametros_manuales!$E$34*('Plan mensual'!N47+'Plan mensual'!N158+IF(parametros_manuales!$H$34="Todos",'Plan mensual'!N51+'Plan mensual'!N162,0))+parametros_manuales!$F$34*('Plan mensual'!N48+'Plan mensual'!N159+IF(parametros_manuales!$H$34="Todos",'Plan mensual'!N52+'Plan mensual'!N163,0))+parametros_manuales!$G$34*('Plan mensual'!N49+'Plan mensual'!N160+IF(parametros_manuales!$H$34="Todos",'Plan mensual'!N53+'Plan mensual'!N164,0)))*parametros_manuales!$I$34*parametros_manuales!$J$34</f>
        <v>6481.046750503</v>
      </c>
      <c r="M125" s="9" t="n">
        <f aca="false">(parametros_manuales!$D$34*('Plan mensual'!O46+'Plan mensual'!O157+IF(parametros_manuales!$H$34="Todos",'Plan mensual'!O50+'Plan mensual'!O161,0))+parametros_manuales!$E$34*('Plan mensual'!O47+'Plan mensual'!O158+IF(parametros_manuales!$H$34="Todos",'Plan mensual'!O51+'Plan mensual'!O162,0))+parametros_manuales!$F$34*('Plan mensual'!O48+'Plan mensual'!O159+IF(parametros_manuales!$H$34="Todos",'Plan mensual'!O52+'Plan mensual'!O163,0))+parametros_manuales!$G$34*('Plan mensual'!O49+'Plan mensual'!O160+IF(parametros_manuales!$H$34="Todos",'Plan mensual'!O53+'Plan mensual'!O164,0)))*parametros_manuales!$I$34*parametros_manuales!$J$34</f>
        <v>10317.606535169</v>
      </c>
      <c r="N125" s="9" t="n">
        <f aca="false">SUM(B125:M125)</f>
        <v>88149.5655279</v>
      </c>
      <c r="O125" s="9" t="n">
        <f aca="false">MAX(B125:M125)</f>
        <v>10317.606535169</v>
      </c>
      <c r="P125" s="44" t="n">
        <f aca="false">O125/(parametros_manuales!$B$7)</f>
        <v>68.7840435677934</v>
      </c>
      <c r="Q125" s="8" t="str">
        <f aca="false">IF(O125=0,"-",INDEX($B$109:$M$109,MATCH(O125,B125:M125,0)))</f>
        <v>Dic</v>
      </c>
    </row>
    <row r="126" customFormat="false" ht="14.25" hidden="false" customHeight="true" outlineLevel="0" collapsed="false">
      <c r="A126" s="8" t="str">
        <f aca="false">parametros_manuales!$B$35</f>
        <v>Detección de defectos</v>
      </c>
      <c r="B126" s="9" t="n">
        <f aca="false">(parametros_manuales!$D$35*('Plan mensual'!D46+'Plan mensual'!D157+IF(parametros_manuales!$H$35="Todos",'Plan mensual'!D50+'Plan mensual'!D161,0))+parametros_manuales!$E$35*('Plan mensual'!D47+'Plan mensual'!D158+IF(parametros_manuales!$H$35="Todos",'Plan mensual'!D51+'Plan mensual'!D162,0))+parametros_manuales!$F$35*('Plan mensual'!D48+'Plan mensual'!D159+IF(parametros_manuales!$H$35="Todos",'Plan mensual'!D52+'Plan mensual'!D163,0))+parametros_manuales!$G$35*('Plan mensual'!D49+'Plan mensual'!D160+IF(parametros_manuales!$H$35="Todos",'Plan mensual'!D53+'Plan mensual'!D164,0)))*parametros_manuales!$I$35*parametros_manuales!$J$35</f>
        <v>10057.26520699</v>
      </c>
      <c r="C126" s="9" t="n">
        <f aca="false">(parametros_manuales!$D$35*('Plan mensual'!E46+'Plan mensual'!E157+IF(parametros_manuales!$H$35="Todos",'Plan mensual'!E50+'Plan mensual'!E161,0))+parametros_manuales!$E$35*('Plan mensual'!E47+'Plan mensual'!E158+IF(parametros_manuales!$H$35="Todos",'Plan mensual'!E51+'Plan mensual'!E162,0))+parametros_manuales!$F$35*('Plan mensual'!E48+'Plan mensual'!E159+IF(parametros_manuales!$H$35="Todos",'Plan mensual'!E52+'Plan mensual'!E163,0))+parametros_manuales!$G$35*('Plan mensual'!E49+'Plan mensual'!E160+IF(parametros_manuales!$H$35="Todos",'Plan mensual'!E53+'Plan mensual'!E164,0)))*parametros_manuales!$I$35*parametros_manuales!$J$35</f>
        <v>7673.119569332</v>
      </c>
      <c r="D126" s="9" t="n">
        <f aca="false">(parametros_manuales!$D$35*('Plan mensual'!F46+'Plan mensual'!F157+IF(parametros_manuales!$H$35="Todos",'Plan mensual'!F50+'Plan mensual'!F161,0))+parametros_manuales!$E$35*('Plan mensual'!F47+'Plan mensual'!F158+IF(parametros_manuales!$H$35="Todos",'Plan mensual'!F51+'Plan mensual'!F162,0))+parametros_manuales!$F$35*('Plan mensual'!F48+'Plan mensual'!F159+IF(parametros_manuales!$H$35="Todos",'Plan mensual'!F52+'Plan mensual'!F163,0))+parametros_manuales!$G$35*('Plan mensual'!F49+'Plan mensual'!F160+IF(parametros_manuales!$H$35="Todos",'Plan mensual'!F53+'Plan mensual'!F164,0)))*parametros_manuales!$I$35*parametros_manuales!$J$35</f>
        <v>7182.1359063215</v>
      </c>
      <c r="E126" s="9" t="n">
        <f aca="false">(parametros_manuales!$D$35*('Plan mensual'!G46+'Plan mensual'!G157+IF(parametros_manuales!$H$35="Todos",'Plan mensual'!G50+'Plan mensual'!G161,0))+parametros_manuales!$E$35*('Plan mensual'!G47+'Plan mensual'!G158+IF(parametros_manuales!$H$35="Todos",'Plan mensual'!G51+'Plan mensual'!G162,0))+parametros_manuales!$F$35*('Plan mensual'!G48+'Plan mensual'!G159+IF(parametros_manuales!$H$35="Todos",'Plan mensual'!G52+'Plan mensual'!G163,0))+parametros_manuales!$G$35*('Plan mensual'!G49+'Plan mensual'!G160+IF(parametros_manuales!$H$35="Todos",'Plan mensual'!G53+'Plan mensual'!G164,0)))*parametros_manuales!$I$35*parametros_manuales!$J$35</f>
        <v>6871.5587427715</v>
      </c>
      <c r="F126" s="9" t="n">
        <f aca="false">(parametros_manuales!$D$35*('Plan mensual'!H46+'Plan mensual'!H157+IF(parametros_manuales!$H$35="Todos",'Plan mensual'!H50+'Plan mensual'!H161,0))+parametros_manuales!$E$35*('Plan mensual'!H47+'Plan mensual'!H158+IF(parametros_manuales!$H$35="Todos",'Plan mensual'!H51+'Plan mensual'!H162,0))+parametros_manuales!$F$35*('Plan mensual'!H48+'Plan mensual'!H159+IF(parametros_manuales!$H$35="Todos",'Plan mensual'!H52+'Plan mensual'!H163,0))+parametros_manuales!$G$35*('Plan mensual'!H49+'Plan mensual'!H160+IF(parametros_manuales!$H$35="Todos",'Plan mensual'!H53+'Plan mensual'!H164,0)))*parametros_manuales!$I$35*parametros_manuales!$J$35</f>
        <v>6430.810915132</v>
      </c>
      <c r="G126" s="9" t="n">
        <f aca="false">(parametros_manuales!$D$35*('Plan mensual'!I46+'Plan mensual'!I157+IF(parametros_manuales!$H$35="Todos",'Plan mensual'!I50+'Plan mensual'!I161,0))+parametros_manuales!$E$35*('Plan mensual'!I47+'Plan mensual'!I158+IF(parametros_manuales!$H$35="Todos",'Plan mensual'!I51+'Plan mensual'!I162,0))+parametros_manuales!$F$35*('Plan mensual'!I48+'Plan mensual'!I159+IF(parametros_manuales!$H$35="Todos",'Plan mensual'!I52+'Plan mensual'!I163,0))+parametros_manuales!$G$35*('Plan mensual'!I49+'Plan mensual'!I160+IF(parametros_manuales!$H$35="Todos",'Plan mensual'!I53+'Plan mensual'!I164,0)))*parametros_manuales!$I$35*parametros_manuales!$J$35</f>
        <v>6300.6402510425</v>
      </c>
      <c r="H126" s="9" t="n">
        <f aca="false">(parametros_manuales!$D$35*('Plan mensual'!J46+'Plan mensual'!J157+IF(parametros_manuales!$H$35="Todos",'Plan mensual'!J50+'Plan mensual'!J161,0))+parametros_manuales!$E$35*('Plan mensual'!J47+'Plan mensual'!J158+IF(parametros_manuales!$H$35="Todos",'Plan mensual'!J51+'Plan mensual'!J162,0))+parametros_manuales!$F$35*('Plan mensual'!J48+'Plan mensual'!J159+IF(parametros_manuales!$H$35="Todos",'Plan mensual'!J52+'Plan mensual'!J163,0))+parametros_manuales!$G$35*('Plan mensual'!J49+'Plan mensual'!J160+IF(parametros_manuales!$H$35="Todos",'Plan mensual'!J53+'Plan mensual'!J164,0)))*parametros_manuales!$I$35*parametros_manuales!$J$35</f>
        <v>6741.388078682</v>
      </c>
      <c r="I126" s="9" t="n">
        <f aca="false">(parametros_manuales!$D$35*('Plan mensual'!K46+'Plan mensual'!K157+IF(parametros_manuales!$H$35="Todos",'Plan mensual'!K50+'Plan mensual'!K161,0))+parametros_manuales!$E$35*('Plan mensual'!K47+'Plan mensual'!K158+IF(parametros_manuales!$H$35="Todos",'Plan mensual'!K51+'Plan mensual'!K162,0))+parametros_manuales!$F$35*('Plan mensual'!K48+'Plan mensual'!K159+IF(parametros_manuales!$H$35="Todos",'Plan mensual'!K52+'Plan mensual'!K163,0))+parametros_manuales!$G$35*('Plan mensual'!K49+'Plan mensual'!K160+IF(parametros_manuales!$H$35="Todos",'Plan mensual'!K53+'Plan mensual'!K164,0)))*parametros_manuales!$I$35*parametros_manuales!$J$35</f>
        <v>6741.388078682</v>
      </c>
      <c r="J126" s="9" t="n">
        <f aca="false">(parametros_manuales!$D$35*('Plan mensual'!L46+'Plan mensual'!L157+IF(parametros_manuales!$H$35="Todos",'Plan mensual'!L50+'Plan mensual'!L161,0))+parametros_manuales!$E$35*('Plan mensual'!L47+'Plan mensual'!L158+IF(parametros_manuales!$H$35="Todos",'Plan mensual'!L51+'Plan mensual'!L162,0))+parametros_manuales!$F$35*('Plan mensual'!L48+'Plan mensual'!L159+IF(parametros_manuales!$H$35="Todos",'Plan mensual'!L52+'Plan mensual'!L163,0))+parametros_manuales!$G$35*('Plan mensual'!L49+'Plan mensual'!L160+IF(parametros_manuales!$H$35="Todos",'Plan mensual'!L53+'Plan mensual'!L164,0)))*parametros_manuales!$I$35*parametros_manuales!$J$35</f>
        <v>6741.388078682</v>
      </c>
      <c r="K126" s="9" t="n">
        <f aca="false">(parametros_manuales!$D$35*('Plan mensual'!M46+'Plan mensual'!M157+IF(parametros_manuales!$H$35="Todos",'Plan mensual'!M50+'Plan mensual'!M161,0))+parametros_manuales!$E$35*('Plan mensual'!M47+'Plan mensual'!M158+IF(parametros_manuales!$H$35="Todos",'Plan mensual'!M51+'Plan mensual'!M162,0))+parametros_manuales!$F$35*('Plan mensual'!M48+'Plan mensual'!M159+IF(parametros_manuales!$H$35="Todos",'Plan mensual'!M52+'Plan mensual'!M163,0))+parametros_manuales!$G$35*('Plan mensual'!M49+'Plan mensual'!M160+IF(parametros_manuales!$H$35="Todos",'Plan mensual'!M53+'Plan mensual'!M164,0)))*parametros_manuales!$I$35*parametros_manuales!$J$35</f>
        <v>6611.2174145925</v>
      </c>
      <c r="L126" s="9" t="n">
        <f aca="false">(parametros_manuales!$D$35*('Plan mensual'!N46+'Plan mensual'!N157+IF(parametros_manuales!$H$35="Todos",'Plan mensual'!N50+'Plan mensual'!N161,0))+parametros_manuales!$E$35*('Plan mensual'!N47+'Plan mensual'!N158+IF(parametros_manuales!$H$35="Todos",'Plan mensual'!N51+'Plan mensual'!N162,0))+parametros_manuales!$F$35*('Plan mensual'!N48+'Plan mensual'!N159+IF(parametros_manuales!$H$35="Todos",'Plan mensual'!N52+'Plan mensual'!N163,0))+parametros_manuales!$G$35*('Plan mensual'!N49+'Plan mensual'!N160+IF(parametros_manuales!$H$35="Todos",'Plan mensual'!N53+'Plan mensual'!N164,0)))*parametros_manuales!$I$35*parametros_manuales!$J$35</f>
        <v>6481.046750503</v>
      </c>
      <c r="M126" s="9" t="n">
        <f aca="false">(parametros_manuales!$D$35*('Plan mensual'!O46+'Plan mensual'!O157+IF(parametros_manuales!$H$35="Todos",'Plan mensual'!O50+'Plan mensual'!O161,0))+parametros_manuales!$E$35*('Plan mensual'!O47+'Plan mensual'!O158+IF(parametros_manuales!$H$35="Todos",'Plan mensual'!O51+'Plan mensual'!O162,0))+parametros_manuales!$F$35*('Plan mensual'!O48+'Plan mensual'!O159+IF(parametros_manuales!$H$35="Todos",'Plan mensual'!O52+'Plan mensual'!O163,0))+parametros_manuales!$G$35*('Plan mensual'!O49+'Plan mensual'!O160+IF(parametros_manuales!$H$35="Todos",'Plan mensual'!O53+'Plan mensual'!O164,0)))*parametros_manuales!$I$35*parametros_manuales!$J$35</f>
        <v>10317.606535169</v>
      </c>
      <c r="N126" s="9" t="n">
        <f aca="false">SUM(B126:M126)</f>
        <v>88149.5655279</v>
      </c>
      <c r="O126" s="9" t="n">
        <f aca="false">MAX(B126:M126)</f>
        <v>10317.606535169</v>
      </c>
      <c r="P126" s="44" t="n">
        <f aca="false">O126/(parametros_manuales!$B$7)</f>
        <v>68.7840435677934</v>
      </c>
      <c r="Q126" s="8" t="str">
        <f aca="false">IF(O126=0,"-",INDEX($B$109:$M$109,MATCH(O126,B126:M126,0)))</f>
        <v>Dic</v>
      </c>
    </row>
    <row r="127" customFormat="false" ht="14.25" hidden="false" customHeight="true" outlineLevel="0" collapsed="false">
      <c r="A127" s="8" t="str">
        <f aca="false">parametros_manuales!$B$36</f>
        <v>Corrección de defectos</v>
      </c>
      <c r="B127" s="9" t="n">
        <f aca="false">(parametros_manuales!$D$36*('Plan mensual'!D46+'Plan mensual'!D157+IF(parametros_manuales!$H$36="Todos",'Plan mensual'!D50+'Plan mensual'!D161,0))+parametros_manuales!$E$36*('Plan mensual'!D47+'Plan mensual'!D158+IF(parametros_manuales!$H$36="Todos",'Plan mensual'!D51+'Plan mensual'!D162,0))+parametros_manuales!$F$36*('Plan mensual'!D48+'Plan mensual'!D159+IF(parametros_manuales!$H$36="Todos",'Plan mensual'!D52+'Plan mensual'!D163,0))+parametros_manuales!$G$36*('Plan mensual'!D49+'Plan mensual'!D160+IF(parametros_manuales!$H$36="Todos",'Plan mensual'!D53+'Plan mensual'!D164,0)))*parametros_manuales!$I$36*parametros_manuales!$J$36</f>
        <v>502.8632603495</v>
      </c>
      <c r="C127" s="9" t="n">
        <f aca="false">(parametros_manuales!$D$36*('Plan mensual'!E46+'Plan mensual'!E157+IF(parametros_manuales!$H$36="Todos",'Plan mensual'!E50+'Plan mensual'!E161,0))+parametros_manuales!$E$36*('Plan mensual'!E47+'Plan mensual'!E158+IF(parametros_manuales!$H$36="Todos",'Plan mensual'!E51+'Plan mensual'!E162,0))+parametros_manuales!$F$36*('Plan mensual'!E48+'Plan mensual'!E159+IF(parametros_manuales!$H$36="Todos",'Plan mensual'!E52+'Plan mensual'!E163,0))+parametros_manuales!$G$36*('Plan mensual'!E49+'Plan mensual'!E160+IF(parametros_manuales!$H$36="Todos",'Plan mensual'!E53+'Plan mensual'!E164,0)))*parametros_manuales!$I$36*parametros_manuales!$J$36</f>
        <v>383.6559784666</v>
      </c>
      <c r="D127" s="9" t="n">
        <f aca="false">(parametros_manuales!$D$36*('Plan mensual'!F46+'Plan mensual'!F157+IF(parametros_manuales!$H$36="Todos",'Plan mensual'!F50+'Plan mensual'!F161,0))+parametros_manuales!$E$36*('Plan mensual'!F47+'Plan mensual'!F158+IF(parametros_manuales!$H$36="Todos",'Plan mensual'!F51+'Plan mensual'!F162,0))+parametros_manuales!$F$36*('Plan mensual'!F48+'Plan mensual'!F159+IF(parametros_manuales!$H$36="Todos",'Plan mensual'!F52+'Plan mensual'!F163,0))+parametros_manuales!$G$36*('Plan mensual'!F49+'Plan mensual'!F160+IF(parametros_manuales!$H$36="Todos",'Plan mensual'!F53+'Plan mensual'!F164,0)))*parametros_manuales!$I$36*parametros_manuales!$J$36</f>
        <v>359.106795316075</v>
      </c>
      <c r="E127" s="9" t="n">
        <f aca="false">(parametros_manuales!$D$36*('Plan mensual'!G46+'Plan mensual'!G157+IF(parametros_manuales!$H$36="Todos",'Plan mensual'!G50+'Plan mensual'!G161,0))+parametros_manuales!$E$36*('Plan mensual'!G47+'Plan mensual'!G158+IF(parametros_manuales!$H$36="Todos",'Plan mensual'!G51+'Plan mensual'!G162,0))+parametros_manuales!$F$36*('Plan mensual'!G48+'Plan mensual'!G159+IF(parametros_manuales!$H$36="Todos",'Plan mensual'!G52+'Plan mensual'!G163,0))+parametros_manuales!$G$36*('Plan mensual'!G49+'Plan mensual'!G160+IF(parametros_manuales!$H$36="Todos",'Plan mensual'!G53+'Plan mensual'!G164,0)))*parametros_manuales!$I$36*parametros_manuales!$J$36</f>
        <v>343.577937138575</v>
      </c>
      <c r="F127" s="9" t="n">
        <f aca="false">(parametros_manuales!$D$36*('Plan mensual'!H46+'Plan mensual'!H157+IF(parametros_manuales!$H$36="Todos",'Plan mensual'!H50+'Plan mensual'!H161,0))+parametros_manuales!$E$36*('Plan mensual'!H47+'Plan mensual'!H158+IF(parametros_manuales!$H$36="Todos",'Plan mensual'!H51+'Plan mensual'!H162,0))+parametros_manuales!$F$36*('Plan mensual'!H48+'Plan mensual'!H159+IF(parametros_manuales!$H$36="Todos",'Plan mensual'!H52+'Plan mensual'!H163,0))+parametros_manuales!$G$36*('Plan mensual'!H49+'Plan mensual'!H160+IF(parametros_manuales!$H$36="Todos",'Plan mensual'!H53+'Plan mensual'!H164,0)))*parametros_manuales!$I$36*parametros_manuales!$J$36</f>
        <v>321.5405457566</v>
      </c>
      <c r="G127" s="9" t="n">
        <f aca="false">(parametros_manuales!$D$36*('Plan mensual'!I46+'Plan mensual'!I157+IF(parametros_manuales!$H$36="Todos",'Plan mensual'!I50+'Plan mensual'!I161,0))+parametros_manuales!$E$36*('Plan mensual'!I47+'Plan mensual'!I158+IF(parametros_manuales!$H$36="Todos",'Plan mensual'!I51+'Plan mensual'!I162,0))+parametros_manuales!$F$36*('Plan mensual'!I48+'Plan mensual'!I159+IF(parametros_manuales!$H$36="Todos",'Plan mensual'!I52+'Plan mensual'!I163,0))+parametros_manuales!$G$36*('Plan mensual'!I49+'Plan mensual'!I160+IF(parametros_manuales!$H$36="Todos",'Plan mensual'!I53+'Plan mensual'!I164,0)))*parametros_manuales!$I$36*parametros_manuales!$J$36</f>
        <v>315.032012552125</v>
      </c>
      <c r="H127" s="9" t="n">
        <f aca="false">(parametros_manuales!$D$36*('Plan mensual'!J46+'Plan mensual'!J157+IF(parametros_manuales!$H$36="Todos",'Plan mensual'!J50+'Plan mensual'!J161,0))+parametros_manuales!$E$36*('Plan mensual'!J47+'Plan mensual'!J158+IF(parametros_manuales!$H$36="Todos",'Plan mensual'!J51+'Plan mensual'!J162,0))+parametros_manuales!$F$36*('Plan mensual'!J48+'Plan mensual'!J159+IF(parametros_manuales!$H$36="Todos",'Plan mensual'!J52+'Plan mensual'!J163,0))+parametros_manuales!$G$36*('Plan mensual'!J49+'Plan mensual'!J160+IF(parametros_manuales!$H$36="Todos",'Plan mensual'!J53+'Plan mensual'!J164,0)))*parametros_manuales!$I$36*parametros_manuales!$J$36</f>
        <v>337.0694039341</v>
      </c>
      <c r="I127" s="9" t="n">
        <f aca="false">(parametros_manuales!$D$36*('Plan mensual'!K46+'Plan mensual'!K157+IF(parametros_manuales!$H$36="Todos",'Plan mensual'!K50+'Plan mensual'!K161,0))+parametros_manuales!$E$36*('Plan mensual'!K47+'Plan mensual'!K158+IF(parametros_manuales!$H$36="Todos",'Plan mensual'!K51+'Plan mensual'!K162,0))+parametros_manuales!$F$36*('Plan mensual'!K48+'Plan mensual'!K159+IF(parametros_manuales!$H$36="Todos",'Plan mensual'!K52+'Plan mensual'!K163,0))+parametros_manuales!$G$36*('Plan mensual'!K49+'Plan mensual'!K160+IF(parametros_manuales!$H$36="Todos",'Plan mensual'!K53+'Plan mensual'!K164,0)))*parametros_manuales!$I$36*parametros_manuales!$J$36</f>
        <v>337.0694039341</v>
      </c>
      <c r="J127" s="9" t="n">
        <f aca="false">(parametros_manuales!$D$36*('Plan mensual'!L46+'Plan mensual'!L157+IF(parametros_manuales!$H$36="Todos",'Plan mensual'!L50+'Plan mensual'!L161,0))+parametros_manuales!$E$36*('Plan mensual'!L47+'Plan mensual'!L158+IF(parametros_manuales!$H$36="Todos",'Plan mensual'!L51+'Plan mensual'!L162,0))+parametros_manuales!$F$36*('Plan mensual'!L48+'Plan mensual'!L159+IF(parametros_manuales!$H$36="Todos",'Plan mensual'!L52+'Plan mensual'!L163,0))+parametros_manuales!$G$36*('Plan mensual'!L49+'Plan mensual'!L160+IF(parametros_manuales!$H$36="Todos",'Plan mensual'!L53+'Plan mensual'!L164,0)))*parametros_manuales!$I$36*parametros_manuales!$J$36</f>
        <v>337.0694039341</v>
      </c>
      <c r="K127" s="9" t="n">
        <f aca="false">(parametros_manuales!$D$36*('Plan mensual'!M46+'Plan mensual'!M157+IF(parametros_manuales!$H$36="Todos",'Plan mensual'!M50+'Plan mensual'!M161,0))+parametros_manuales!$E$36*('Plan mensual'!M47+'Plan mensual'!M158+IF(parametros_manuales!$H$36="Todos",'Plan mensual'!M51+'Plan mensual'!M162,0))+parametros_manuales!$F$36*('Plan mensual'!M48+'Plan mensual'!M159+IF(parametros_manuales!$H$36="Todos",'Plan mensual'!M52+'Plan mensual'!M163,0))+parametros_manuales!$G$36*('Plan mensual'!M49+'Plan mensual'!M160+IF(parametros_manuales!$H$36="Todos",'Plan mensual'!M53+'Plan mensual'!M164,0)))*parametros_manuales!$I$36*parametros_manuales!$J$36</f>
        <v>330.560870729625</v>
      </c>
      <c r="L127" s="9" t="n">
        <f aca="false">(parametros_manuales!$D$36*('Plan mensual'!N46+'Plan mensual'!N157+IF(parametros_manuales!$H$36="Todos",'Plan mensual'!N50+'Plan mensual'!N161,0))+parametros_manuales!$E$36*('Plan mensual'!N47+'Plan mensual'!N158+IF(parametros_manuales!$H$36="Todos",'Plan mensual'!N51+'Plan mensual'!N162,0))+parametros_manuales!$F$36*('Plan mensual'!N48+'Plan mensual'!N159+IF(parametros_manuales!$H$36="Todos",'Plan mensual'!N52+'Plan mensual'!N163,0))+parametros_manuales!$G$36*('Plan mensual'!N49+'Plan mensual'!N160+IF(parametros_manuales!$H$36="Todos",'Plan mensual'!N53+'Plan mensual'!N164,0)))*parametros_manuales!$I$36*parametros_manuales!$J$36</f>
        <v>324.05233752515</v>
      </c>
      <c r="M127" s="9" t="n">
        <f aca="false">(parametros_manuales!$D$36*('Plan mensual'!O46+'Plan mensual'!O157+IF(parametros_manuales!$H$36="Todos",'Plan mensual'!O50+'Plan mensual'!O161,0))+parametros_manuales!$E$36*('Plan mensual'!O47+'Plan mensual'!O158+IF(parametros_manuales!$H$36="Todos",'Plan mensual'!O51+'Plan mensual'!O162,0))+parametros_manuales!$F$36*('Plan mensual'!O48+'Plan mensual'!O159+IF(parametros_manuales!$H$36="Todos",'Plan mensual'!O52+'Plan mensual'!O163,0))+parametros_manuales!$G$36*('Plan mensual'!O49+'Plan mensual'!O160+IF(parametros_manuales!$H$36="Todos",'Plan mensual'!O53+'Plan mensual'!O164,0)))*parametros_manuales!$I$36*parametros_manuales!$J$36</f>
        <v>515.88032675845</v>
      </c>
      <c r="N127" s="9" t="n">
        <f aca="false">SUM(B127:M127)</f>
        <v>4407.478276395</v>
      </c>
      <c r="O127" s="9" t="n">
        <f aca="false">MAX(B127:M127)</f>
        <v>515.88032675845</v>
      </c>
      <c r="P127" s="44" t="n">
        <f aca="false">O127/(parametros_manuales!$B$7)</f>
        <v>3.43920217838967</v>
      </c>
      <c r="Q127" s="8" t="str">
        <f aca="false">IF(O127=0,"-",INDEX($B$109:$M$109,MATCH(O127,B127:M127,0)))</f>
        <v>Dic</v>
      </c>
    </row>
    <row r="128" customFormat="false" ht="14.25" hidden="false" customHeight="true" outlineLevel="0" collapsed="false">
      <c r="A128" s="8" t="str">
        <f aca="false">parametros_manuales!$B$37</f>
        <v>Pintura en polvo + horno</v>
      </c>
      <c r="B128" s="9" t="n">
        <f aca="false">(parametros_manuales!$D$37*('Plan mensual'!D46+'Plan mensual'!D157+IF(parametros_manuales!$H$37="Todos",'Plan mensual'!D50+'Plan mensual'!D161,0))+parametros_manuales!$E$37*('Plan mensual'!D47+'Plan mensual'!D158+IF(parametros_manuales!$H$37="Todos",'Plan mensual'!D51+'Plan mensual'!D162,0))+parametros_manuales!$F$37*('Plan mensual'!D48+'Plan mensual'!D159+IF(parametros_manuales!$H$37="Todos",'Plan mensual'!D52+'Plan mensual'!D163,0))+parametros_manuales!$G$37*('Plan mensual'!D49+'Plan mensual'!D160+IF(parametros_manuales!$H$37="Todos",'Plan mensual'!D53+'Plan mensual'!D164,0)))*parametros_manuales!$I$37*parametros_manuales!$J$37</f>
        <v>10057.26520699</v>
      </c>
      <c r="C128" s="9" t="n">
        <f aca="false">(parametros_manuales!$D$37*('Plan mensual'!E46+'Plan mensual'!E157+IF(parametros_manuales!$H$37="Todos",'Plan mensual'!E50+'Plan mensual'!E161,0))+parametros_manuales!$E$37*('Plan mensual'!E47+'Plan mensual'!E158+IF(parametros_manuales!$H$37="Todos",'Plan mensual'!E51+'Plan mensual'!E162,0))+parametros_manuales!$F$37*('Plan mensual'!E48+'Plan mensual'!E159+IF(parametros_manuales!$H$37="Todos",'Plan mensual'!E52+'Plan mensual'!E163,0))+parametros_manuales!$G$37*('Plan mensual'!E49+'Plan mensual'!E160+IF(parametros_manuales!$H$37="Todos",'Plan mensual'!E53+'Plan mensual'!E164,0)))*parametros_manuales!$I$37*parametros_manuales!$J$37</f>
        <v>7673.119569332</v>
      </c>
      <c r="D128" s="9" t="n">
        <f aca="false">(parametros_manuales!$D$37*('Plan mensual'!F46+'Plan mensual'!F157+IF(parametros_manuales!$H$37="Todos",'Plan mensual'!F50+'Plan mensual'!F161,0))+parametros_manuales!$E$37*('Plan mensual'!F47+'Plan mensual'!F158+IF(parametros_manuales!$H$37="Todos",'Plan mensual'!F51+'Plan mensual'!F162,0))+parametros_manuales!$F$37*('Plan mensual'!F48+'Plan mensual'!F159+IF(parametros_manuales!$H$37="Todos",'Plan mensual'!F52+'Plan mensual'!F163,0))+parametros_manuales!$G$37*('Plan mensual'!F49+'Plan mensual'!F160+IF(parametros_manuales!$H$37="Todos",'Plan mensual'!F53+'Plan mensual'!F164,0)))*parametros_manuales!$I$37*parametros_manuales!$J$37</f>
        <v>7182.1359063215</v>
      </c>
      <c r="E128" s="9" t="n">
        <f aca="false">(parametros_manuales!$D$37*('Plan mensual'!G46+'Plan mensual'!G157+IF(parametros_manuales!$H$37="Todos",'Plan mensual'!G50+'Plan mensual'!G161,0))+parametros_manuales!$E$37*('Plan mensual'!G47+'Plan mensual'!G158+IF(parametros_manuales!$H$37="Todos",'Plan mensual'!G51+'Plan mensual'!G162,0))+parametros_manuales!$F$37*('Plan mensual'!G48+'Plan mensual'!G159+IF(parametros_manuales!$H$37="Todos",'Plan mensual'!G52+'Plan mensual'!G163,0))+parametros_manuales!$G$37*('Plan mensual'!G49+'Plan mensual'!G160+IF(parametros_manuales!$H$37="Todos",'Plan mensual'!G53+'Plan mensual'!G164,0)))*parametros_manuales!$I$37*parametros_manuales!$J$37</f>
        <v>6871.5587427715</v>
      </c>
      <c r="F128" s="9" t="n">
        <f aca="false">(parametros_manuales!$D$37*('Plan mensual'!H46+'Plan mensual'!H157+IF(parametros_manuales!$H$37="Todos",'Plan mensual'!H50+'Plan mensual'!H161,0))+parametros_manuales!$E$37*('Plan mensual'!H47+'Plan mensual'!H158+IF(parametros_manuales!$H$37="Todos",'Plan mensual'!H51+'Plan mensual'!H162,0))+parametros_manuales!$F$37*('Plan mensual'!H48+'Plan mensual'!H159+IF(parametros_manuales!$H$37="Todos",'Plan mensual'!H52+'Plan mensual'!H163,0))+parametros_manuales!$G$37*('Plan mensual'!H49+'Plan mensual'!H160+IF(parametros_manuales!$H$37="Todos",'Plan mensual'!H53+'Plan mensual'!H164,0)))*parametros_manuales!$I$37*parametros_manuales!$J$37</f>
        <v>6430.810915132</v>
      </c>
      <c r="G128" s="9" t="n">
        <f aca="false">(parametros_manuales!$D$37*('Plan mensual'!I46+'Plan mensual'!I157+IF(parametros_manuales!$H$37="Todos",'Plan mensual'!I50+'Plan mensual'!I161,0))+parametros_manuales!$E$37*('Plan mensual'!I47+'Plan mensual'!I158+IF(parametros_manuales!$H$37="Todos",'Plan mensual'!I51+'Plan mensual'!I162,0))+parametros_manuales!$F$37*('Plan mensual'!I48+'Plan mensual'!I159+IF(parametros_manuales!$H$37="Todos",'Plan mensual'!I52+'Plan mensual'!I163,0))+parametros_manuales!$G$37*('Plan mensual'!I49+'Plan mensual'!I160+IF(parametros_manuales!$H$37="Todos",'Plan mensual'!I53+'Plan mensual'!I164,0)))*parametros_manuales!$I$37*parametros_manuales!$J$37</f>
        <v>6300.6402510425</v>
      </c>
      <c r="H128" s="9" t="n">
        <f aca="false">(parametros_manuales!$D$37*('Plan mensual'!J46+'Plan mensual'!J157+IF(parametros_manuales!$H$37="Todos",'Plan mensual'!J50+'Plan mensual'!J161,0))+parametros_manuales!$E$37*('Plan mensual'!J47+'Plan mensual'!J158+IF(parametros_manuales!$H$37="Todos",'Plan mensual'!J51+'Plan mensual'!J162,0))+parametros_manuales!$F$37*('Plan mensual'!J48+'Plan mensual'!J159+IF(parametros_manuales!$H$37="Todos",'Plan mensual'!J52+'Plan mensual'!J163,0))+parametros_manuales!$G$37*('Plan mensual'!J49+'Plan mensual'!J160+IF(parametros_manuales!$H$37="Todos",'Plan mensual'!J53+'Plan mensual'!J164,0)))*parametros_manuales!$I$37*parametros_manuales!$J$37</f>
        <v>6741.388078682</v>
      </c>
      <c r="I128" s="9" t="n">
        <f aca="false">(parametros_manuales!$D$37*('Plan mensual'!K46+'Plan mensual'!K157+IF(parametros_manuales!$H$37="Todos",'Plan mensual'!K50+'Plan mensual'!K161,0))+parametros_manuales!$E$37*('Plan mensual'!K47+'Plan mensual'!K158+IF(parametros_manuales!$H$37="Todos",'Plan mensual'!K51+'Plan mensual'!K162,0))+parametros_manuales!$F$37*('Plan mensual'!K48+'Plan mensual'!K159+IF(parametros_manuales!$H$37="Todos",'Plan mensual'!K52+'Plan mensual'!K163,0))+parametros_manuales!$G$37*('Plan mensual'!K49+'Plan mensual'!K160+IF(parametros_manuales!$H$37="Todos",'Plan mensual'!K53+'Plan mensual'!K164,0)))*parametros_manuales!$I$37*parametros_manuales!$J$37</f>
        <v>6741.388078682</v>
      </c>
      <c r="J128" s="9" t="n">
        <f aca="false">(parametros_manuales!$D$37*('Plan mensual'!L46+'Plan mensual'!L157+IF(parametros_manuales!$H$37="Todos",'Plan mensual'!L50+'Plan mensual'!L161,0))+parametros_manuales!$E$37*('Plan mensual'!L47+'Plan mensual'!L158+IF(parametros_manuales!$H$37="Todos",'Plan mensual'!L51+'Plan mensual'!L162,0))+parametros_manuales!$F$37*('Plan mensual'!L48+'Plan mensual'!L159+IF(parametros_manuales!$H$37="Todos",'Plan mensual'!L52+'Plan mensual'!L163,0))+parametros_manuales!$G$37*('Plan mensual'!L49+'Plan mensual'!L160+IF(parametros_manuales!$H$37="Todos",'Plan mensual'!L53+'Plan mensual'!L164,0)))*parametros_manuales!$I$37*parametros_manuales!$J$37</f>
        <v>6741.388078682</v>
      </c>
      <c r="K128" s="9" t="n">
        <f aca="false">(parametros_manuales!$D$37*('Plan mensual'!M46+'Plan mensual'!M157+IF(parametros_manuales!$H$37="Todos",'Plan mensual'!M50+'Plan mensual'!M161,0))+parametros_manuales!$E$37*('Plan mensual'!M47+'Plan mensual'!M158+IF(parametros_manuales!$H$37="Todos",'Plan mensual'!M51+'Plan mensual'!M162,0))+parametros_manuales!$F$37*('Plan mensual'!M48+'Plan mensual'!M159+IF(parametros_manuales!$H$37="Todos",'Plan mensual'!M52+'Plan mensual'!M163,0))+parametros_manuales!$G$37*('Plan mensual'!M49+'Plan mensual'!M160+IF(parametros_manuales!$H$37="Todos",'Plan mensual'!M53+'Plan mensual'!M164,0)))*parametros_manuales!$I$37*parametros_manuales!$J$37</f>
        <v>6611.2174145925</v>
      </c>
      <c r="L128" s="9" t="n">
        <f aca="false">(parametros_manuales!$D$37*('Plan mensual'!N46+'Plan mensual'!N157+IF(parametros_manuales!$H$37="Todos",'Plan mensual'!N50+'Plan mensual'!N161,0))+parametros_manuales!$E$37*('Plan mensual'!N47+'Plan mensual'!N158+IF(parametros_manuales!$H$37="Todos",'Plan mensual'!N51+'Plan mensual'!N162,0))+parametros_manuales!$F$37*('Plan mensual'!N48+'Plan mensual'!N159+IF(parametros_manuales!$H$37="Todos",'Plan mensual'!N52+'Plan mensual'!N163,0))+parametros_manuales!$G$37*('Plan mensual'!N49+'Plan mensual'!N160+IF(parametros_manuales!$H$37="Todos",'Plan mensual'!N53+'Plan mensual'!N164,0)))*parametros_manuales!$I$37*parametros_manuales!$J$37</f>
        <v>6481.046750503</v>
      </c>
      <c r="M128" s="9" t="n">
        <f aca="false">(parametros_manuales!$D$37*('Plan mensual'!O46+'Plan mensual'!O157+IF(parametros_manuales!$H$37="Todos",'Plan mensual'!O50+'Plan mensual'!O161,0))+parametros_manuales!$E$37*('Plan mensual'!O47+'Plan mensual'!O158+IF(parametros_manuales!$H$37="Todos",'Plan mensual'!O51+'Plan mensual'!O162,0))+parametros_manuales!$F$37*('Plan mensual'!O48+'Plan mensual'!O159+IF(parametros_manuales!$H$37="Todos",'Plan mensual'!O52+'Plan mensual'!O163,0))+parametros_manuales!$G$37*('Plan mensual'!O49+'Plan mensual'!O160+IF(parametros_manuales!$H$37="Todos",'Plan mensual'!O53+'Plan mensual'!O164,0)))*parametros_manuales!$I$37*parametros_manuales!$J$37</f>
        <v>10317.606535169</v>
      </c>
      <c r="N128" s="9" t="n">
        <f aca="false">SUM(B128:M128)</f>
        <v>88149.5655279</v>
      </c>
      <c r="O128" s="9" t="n">
        <f aca="false">MAX(B128:M128)</f>
        <v>10317.606535169</v>
      </c>
      <c r="P128" s="44" t="n">
        <f aca="false">O128/(parametros_manuales!$B$7)</f>
        <v>68.7840435677934</v>
      </c>
      <c r="Q128" s="8" t="str">
        <f aca="false">IF(O128=0,"-",INDEX($B$109:$M$109,MATCH(O128,B128:M128,0)))</f>
        <v>Dic</v>
      </c>
    </row>
    <row r="129" customFormat="false" ht="14.25" hidden="false" customHeight="true" outlineLevel="0" collapsed="false">
      <c r="A129" s="8" t="str">
        <f aca="false">parametros_manuales!$B$38</f>
        <v>Carga de polvo</v>
      </c>
      <c r="B129" s="9" t="n">
        <f aca="false">(parametros_manuales!$D$38*('Plan mensual'!D46+'Plan mensual'!D157+IF(parametros_manuales!$H$38="Todos",'Plan mensual'!D50+'Plan mensual'!D161,0))+parametros_manuales!$E$38*('Plan mensual'!D47+'Plan mensual'!D158+IF(parametros_manuales!$H$38="Todos",'Plan mensual'!D51+'Plan mensual'!D162,0))+parametros_manuales!$F$38*('Plan mensual'!D48+'Plan mensual'!D159+IF(parametros_manuales!$H$38="Todos",'Plan mensual'!D52+'Plan mensual'!D163,0))+parametros_manuales!$G$38*('Plan mensual'!D49+'Plan mensual'!D160+IF(parametros_manuales!$H$38="Todos",'Plan mensual'!D53+'Plan mensual'!D164,0)))*parametros_manuales!$I$38*parametros_manuales!$J$38</f>
        <v>2903.40520699</v>
      </c>
      <c r="C129" s="9" t="n">
        <f aca="false">(parametros_manuales!$D$38*('Plan mensual'!E46+'Plan mensual'!E157+IF(parametros_manuales!$H$38="Todos",'Plan mensual'!E50+'Plan mensual'!E161,0))+parametros_manuales!$E$38*('Plan mensual'!E47+'Plan mensual'!E158+IF(parametros_manuales!$H$38="Todos",'Plan mensual'!E51+'Plan mensual'!E162,0))+parametros_manuales!$F$38*('Plan mensual'!E48+'Plan mensual'!E159+IF(parametros_manuales!$H$38="Todos",'Plan mensual'!E52+'Plan mensual'!E163,0))+parametros_manuales!$G$38*('Plan mensual'!E49+'Plan mensual'!E160+IF(parametros_manuales!$H$38="Todos",'Plan mensual'!E53+'Plan mensual'!E164,0)))*parametros_manuales!$I$38*parametros_manuales!$J$38</f>
        <v>2246.640369332</v>
      </c>
      <c r="D129" s="9" t="n">
        <f aca="false">(parametros_manuales!$D$38*('Plan mensual'!F46+'Plan mensual'!F157+IF(parametros_manuales!$H$38="Todos",'Plan mensual'!F50+'Plan mensual'!F161,0))+parametros_manuales!$E$38*('Plan mensual'!F47+'Plan mensual'!F158+IF(parametros_manuales!$H$38="Todos",'Plan mensual'!F51+'Plan mensual'!F162,0))+parametros_manuales!$F$38*('Plan mensual'!F48+'Plan mensual'!F159+IF(parametros_manuales!$H$38="Todos",'Plan mensual'!F52+'Plan mensual'!F163,0))+parametros_manuales!$G$38*('Plan mensual'!F49+'Plan mensual'!F160+IF(parametros_manuales!$H$38="Todos",'Plan mensual'!F53+'Plan mensual'!F164,0)))*parametros_manuales!$I$38*parametros_manuales!$J$38</f>
        <v>2188.9205063215</v>
      </c>
      <c r="E129" s="9" t="n">
        <f aca="false">(parametros_manuales!$D$38*('Plan mensual'!G46+'Plan mensual'!G157+IF(parametros_manuales!$H$38="Todos",'Plan mensual'!G50+'Plan mensual'!G161,0))+parametros_manuales!$E$38*('Plan mensual'!G47+'Plan mensual'!G158+IF(parametros_manuales!$H$38="Todos",'Plan mensual'!G51+'Plan mensual'!G162,0))+parametros_manuales!$F$38*('Plan mensual'!G48+'Plan mensual'!G159+IF(parametros_manuales!$H$38="Todos",'Plan mensual'!G52+'Plan mensual'!G163,0))+parametros_manuales!$G$38*('Plan mensual'!G49+'Plan mensual'!G160+IF(parametros_manuales!$H$38="Todos",'Plan mensual'!G53+'Plan mensual'!G164,0)))*parametros_manuales!$I$38*parametros_manuales!$J$38</f>
        <v>2125.5173427715</v>
      </c>
      <c r="F129" s="9" t="n">
        <f aca="false">(parametros_manuales!$D$38*('Plan mensual'!H46+'Plan mensual'!H157+IF(parametros_manuales!$H$38="Todos",'Plan mensual'!H50+'Plan mensual'!H161,0))+parametros_manuales!$E$38*('Plan mensual'!H47+'Plan mensual'!H158+IF(parametros_manuales!$H$38="Todos",'Plan mensual'!H51+'Plan mensual'!H162,0))+parametros_manuales!$F$38*('Plan mensual'!H48+'Plan mensual'!H159+IF(parametros_manuales!$H$38="Todos",'Plan mensual'!H52+'Plan mensual'!H163,0))+parametros_manuales!$G$38*('Plan mensual'!H49+'Plan mensual'!H160+IF(parametros_manuales!$H$38="Todos",'Plan mensual'!H53+'Plan mensual'!H164,0)))*parametros_manuales!$I$38*parametros_manuales!$J$38</f>
        <v>1993.027715132</v>
      </c>
      <c r="G129" s="9" t="n">
        <f aca="false">(parametros_manuales!$D$38*('Plan mensual'!I46+'Plan mensual'!I157+IF(parametros_manuales!$H$38="Todos",'Plan mensual'!I50+'Plan mensual'!I161,0))+parametros_manuales!$E$38*('Plan mensual'!I47+'Plan mensual'!I158+IF(parametros_manuales!$H$38="Todos",'Plan mensual'!I51+'Plan mensual'!I162,0))+parametros_manuales!$F$38*('Plan mensual'!I48+'Plan mensual'!I159+IF(parametros_manuales!$H$38="Todos",'Plan mensual'!I52+'Plan mensual'!I163,0))+parametros_manuales!$G$38*('Plan mensual'!I49+'Plan mensual'!I160+IF(parametros_manuales!$H$38="Todos",'Plan mensual'!I53+'Plan mensual'!I164,0)))*parametros_manuales!$I$38*parametros_manuales!$J$38</f>
        <v>1923.9412510425</v>
      </c>
      <c r="H129" s="9" t="n">
        <f aca="false">(parametros_manuales!$D$38*('Plan mensual'!J46+'Plan mensual'!J157+IF(parametros_manuales!$H$38="Todos",'Plan mensual'!J50+'Plan mensual'!J161,0))+parametros_manuales!$E$38*('Plan mensual'!J47+'Plan mensual'!J158+IF(parametros_manuales!$H$38="Todos",'Plan mensual'!J51+'Plan mensual'!J162,0))+parametros_manuales!$F$38*('Plan mensual'!J48+'Plan mensual'!J159+IF(parametros_manuales!$H$38="Todos",'Plan mensual'!J52+'Plan mensual'!J163,0))+parametros_manuales!$G$38*('Plan mensual'!J49+'Plan mensual'!J160+IF(parametros_manuales!$H$38="Todos",'Plan mensual'!J53+'Plan mensual'!J164,0)))*parametros_manuales!$I$38*parametros_manuales!$J$38</f>
        <v>2056.430878682</v>
      </c>
      <c r="I129" s="9" t="n">
        <f aca="false">(parametros_manuales!$D$38*('Plan mensual'!K46+'Plan mensual'!K157+IF(parametros_manuales!$H$38="Todos",'Plan mensual'!K50+'Plan mensual'!K161,0))+parametros_manuales!$E$38*('Plan mensual'!K47+'Plan mensual'!K158+IF(parametros_manuales!$H$38="Todos",'Plan mensual'!K51+'Plan mensual'!K162,0))+parametros_manuales!$F$38*('Plan mensual'!K48+'Plan mensual'!K159+IF(parametros_manuales!$H$38="Todos",'Plan mensual'!K52+'Plan mensual'!K163,0))+parametros_manuales!$G$38*('Plan mensual'!K49+'Plan mensual'!K160+IF(parametros_manuales!$H$38="Todos",'Plan mensual'!K53+'Plan mensual'!K164,0)))*parametros_manuales!$I$38*parametros_manuales!$J$38</f>
        <v>2056.430878682</v>
      </c>
      <c r="J129" s="9" t="n">
        <f aca="false">(parametros_manuales!$D$38*('Plan mensual'!L46+'Plan mensual'!L157+IF(parametros_manuales!$H$38="Todos",'Plan mensual'!L50+'Plan mensual'!L161,0))+parametros_manuales!$E$38*('Plan mensual'!L47+'Plan mensual'!L158+IF(parametros_manuales!$H$38="Todos",'Plan mensual'!L51+'Plan mensual'!L162,0))+parametros_manuales!$F$38*('Plan mensual'!L48+'Plan mensual'!L159+IF(parametros_manuales!$H$38="Todos",'Plan mensual'!L52+'Plan mensual'!L163,0))+parametros_manuales!$G$38*('Plan mensual'!L49+'Plan mensual'!L160+IF(parametros_manuales!$H$38="Todos",'Plan mensual'!L53+'Plan mensual'!L164,0)))*parametros_manuales!$I$38*parametros_manuales!$J$38</f>
        <v>2056.430878682</v>
      </c>
      <c r="K129" s="9" t="n">
        <f aca="false">(parametros_manuales!$D$38*('Plan mensual'!M46+'Plan mensual'!M157+IF(parametros_manuales!$H$38="Todos",'Plan mensual'!M50+'Plan mensual'!M161,0))+parametros_manuales!$E$38*('Plan mensual'!M47+'Plan mensual'!M158+IF(parametros_manuales!$H$38="Todos",'Plan mensual'!M51+'Plan mensual'!M162,0))+parametros_manuales!$F$38*('Plan mensual'!M48+'Plan mensual'!M159+IF(parametros_manuales!$H$38="Todos",'Plan mensual'!M52+'Plan mensual'!M163,0))+parametros_manuales!$G$38*('Plan mensual'!M49+'Plan mensual'!M160+IF(parametros_manuales!$H$38="Todos",'Plan mensual'!M53+'Plan mensual'!M164,0)))*parametros_manuales!$I$38*parametros_manuales!$J$38</f>
        <v>1987.3444145925</v>
      </c>
      <c r="L129" s="9" t="n">
        <f aca="false">(parametros_manuales!$D$38*('Plan mensual'!N46+'Plan mensual'!N157+IF(parametros_manuales!$H$38="Todos",'Plan mensual'!N50+'Plan mensual'!N161,0))+parametros_manuales!$E$38*('Plan mensual'!N47+'Plan mensual'!N158+IF(parametros_manuales!$H$38="Todos",'Plan mensual'!N51+'Plan mensual'!N162,0))+parametros_manuales!$F$38*('Plan mensual'!N48+'Plan mensual'!N159+IF(parametros_manuales!$H$38="Todos",'Plan mensual'!N52+'Plan mensual'!N163,0))+parametros_manuales!$G$38*('Plan mensual'!N49+'Plan mensual'!N160+IF(parametros_manuales!$H$38="Todos",'Plan mensual'!N53+'Plan mensual'!N164,0)))*parametros_manuales!$I$38*parametros_manuales!$J$38</f>
        <v>1918.257950503</v>
      </c>
      <c r="M129" s="9" t="n">
        <f aca="false">(parametros_manuales!$D$38*('Plan mensual'!O46+'Plan mensual'!O157+IF(parametros_manuales!$H$38="Todos",'Plan mensual'!O50+'Plan mensual'!O161,0))+parametros_manuales!$E$38*('Plan mensual'!O47+'Plan mensual'!O158+IF(parametros_manuales!$H$38="Todos",'Plan mensual'!O51+'Plan mensual'!O162,0))+parametros_manuales!$F$38*('Plan mensual'!O48+'Plan mensual'!O159+IF(parametros_manuales!$H$38="Todos",'Plan mensual'!O52+'Plan mensual'!O163,0))+parametros_manuales!$G$38*('Plan mensual'!O49+'Plan mensual'!O160+IF(parametros_manuales!$H$38="Todos",'Plan mensual'!O53+'Plan mensual'!O164,0)))*parametros_manuales!$I$38*parametros_manuales!$J$38</f>
        <v>3041.578135169</v>
      </c>
      <c r="N129" s="9" t="n">
        <f aca="false">SUM(B129:M129)</f>
        <v>26497.9255279</v>
      </c>
      <c r="O129" s="9" t="n">
        <f aca="false">MAX(B129:M129)</f>
        <v>3041.578135169</v>
      </c>
      <c r="P129" s="44" t="n">
        <f aca="false">O129/(parametros_manuales!$B$7)</f>
        <v>20.2771875677933</v>
      </c>
      <c r="Q129" s="8" t="str">
        <f aca="false">IF(O129=0,"-",INDEX($B$109:$M$109,MATCH(O129,B129:M129,0)))</f>
        <v>Dic</v>
      </c>
    </row>
    <row r="130" customFormat="false" ht="14.25" hidden="false" customHeight="true" outlineLevel="0" collapsed="false">
      <c r="A130" s="8" t="str">
        <f aca="false">parametros_manuales!$B$39</f>
        <v>Ensamblaje</v>
      </c>
      <c r="B130" s="9" t="n">
        <f aca="false">(parametros_manuales!$D$39*('Plan mensual'!D46+'Plan mensual'!D157+IF(parametros_manuales!$H$39="Todos",'Plan mensual'!D50+'Plan mensual'!D161,0))+parametros_manuales!$E$39*('Plan mensual'!D47+'Plan mensual'!D158+IF(parametros_manuales!$H$39="Todos",'Plan mensual'!D51+'Plan mensual'!D162,0))+parametros_manuales!$F$39*('Plan mensual'!D48+'Plan mensual'!D159+IF(parametros_manuales!$H$39="Todos",'Plan mensual'!D52+'Plan mensual'!D163,0))+parametros_manuales!$G$39*('Plan mensual'!D49+'Plan mensual'!D160+IF(parametros_manuales!$H$39="Todos",'Plan mensual'!D53+'Plan mensual'!D164,0)))*parametros_manuales!$I$39*parametros_manuales!$J$39</f>
        <v>2903.40520699</v>
      </c>
      <c r="C130" s="9" t="n">
        <f aca="false">(parametros_manuales!$D$39*('Plan mensual'!E46+'Plan mensual'!E157+IF(parametros_manuales!$H$39="Todos",'Plan mensual'!E50+'Plan mensual'!E161,0))+parametros_manuales!$E$39*('Plan mensual'!E47+'Plan mensual'!E158+IF(parametros_manuales!$H$39="Todos",'Plan mensual'!E51+'Plan mensual'!E162,0))+parametros_manuales!$F$39*('Plan mensual'!E48+'Plan mensual'!E159+IF(parametros_manuales!$H$39="Todos",'Plan mensual'!E52+'Plan mensual'!E163,0))+parametros_manuales!$G$39*('Plan mensual'!E49+'Plan mensual'!E160+IF(parametros_manuales!$H$39="Todos",'Plan mensual'!E53+'Plan mensual'!E164,0)))*parametros_manuales!$I$39*parametros_manuales!$J$39</f>
        <v>2246.640369332</v>
      </c>
      <c r="D130" s="9" t="n">
        <f aca="false">(parametros_manuales!$D$39*('Plan mensual'!F46+'Plan mensual'!F157+IF(parametros_manuales!$H$39="Todos",'Plan mensual'!F50+'Plan mensual'!F161,0))+parametros_manuales!$E$39*('Plan mensual'!F47+'Plan mensual'!F158+IF(parametros_manuales!$H$39="Todos",'Plan mensual'!F51+'Plan mensual'!F162,0))+parametros_manuales!$F$39*('Plan mensual'!F48+'Plan mensual'!F159+IF(parametros_manuales!$H$39="Todos",'Plan mensual'!F52+'Plan mensual'!F163,0))+parametros_manuales!$G$39*('Plan mensual'!F49+'Plan mensual'!F160+IF(parametros_manuales!$H$39="Todos",'Plan mensual'!F53+'Plan mensual'!F164,0)))*parametros_manuales!$I$39*parametros_manuales!$J$39</f>
        <v>2188.9205063215</v>
      </c>
      <c r="E130" s="9" t="n">
        <f aca="false">(parametros_manuales!$D$39*('Plan mensual'!G46+'Plan mensual'!G157+IF(parametros_manuales!$H$39="Todos",'Plan mensual'!G50+'Plan mensual'!G161,0))+parametros_manuales!$E$39*('Plan mensual'!G47+'Plan mensual'!G158+IF(parametros_manuales!$H$39="Todos",'Plan mensual'!G51+'Plan mensual'!G162,0))+parametros_manuales!$F$39*('Plan mensual'!G48+'Plan mensual'!G159+IF(parametros_manuales!$H$39="Todos",'Plan mensual'!G52+'Plan mensual'!G163,0))+parametros_manuales!$G$39*('Plan mensual'!G49+'Plan mensual'!G160+IF(parametros_manuales!$H$39="Todos",'Plan mensual'!G53+'Plan mensual'!G164,0)))*parametros_manuales!$I$39*parametros_manuales!$J$39</f>
        <v>2125.5173427715</v>
      </c>
      <c r="F130" s="9" t="n">
        <f aca="false">(parametros_manuales!$D$39*('Plan mensual'!H46+'Plan mensual'!H157+IF(parametros_manuales!$H$39="Todos",'Plan mensual'!H50+'Plan mensual'!H161,0))+parametros_manuales!$E$39*('Plan mensual'!H47+'Plan mensual'!H158+IF(parametros_manuales!$H$39="Todos",'Plan mensual'!H51+'Plan mensual'!H162,0))+parametros_manuales!$F$39*('Plan mensual'!H48+'Plan mensual'!H159+IF(parametros_manuales!$H$39="Todos",'Plan mensual'!H52+'Plan mensual'!H163,0))+parametros_manuales!$G$39*('Plan mensual'!H49+'Plan mensual'!H160+IF(parametros_manuales!$H$39="Todos",'Plan mensual'!H53+'Plan mensual'!H164,0)))*parametros_manuales!$I$39*parametros_manuales!$J$39</f>
        <v>1993.027715132</v>
      </c>
      <c r="G130" s="9" t="n">
        <f aca="false">(parametros_manuales!$D$39*('Plan mensual'!I46+'Plan mensual'!I157+IF(parametros_manuales!$H$39="Todos",'Plan mensual'!I50+'Plan mensual'!I161,0))+parametros_manuales!$E$39*('Plan mensual'!I47+'Plan mensual'!I158+IF(parametros_manuales!$H$39="Todos",'Plan mensual'!I51+'Plan mensual'!I162,0))+parametros_manuales!$F$39*('Plan mensual'!I48+'Plan mensual'!I159+IF(parametros_manuales!$H$39="Todos",'Plan mensual'!I52+'Plan mensual'!I163,0))+parametros_manuales!$G$39*('Plan mensual'!I49+'Plan mensual'!I160+IF(parametros_manuales!$H$39="Todos",'Plan mensual'!I53+'Plan mensual'!I164,0)))*parametros_manuales!$I$39*parametros_manuales!$J$39</f>
        <v>1923.9412510425</v>
      </c>
      <c r="H130" s="9" t="n">
        <f aca="false">(parametros_manuales!$D$39*('Plan mensual'!J46+'Plan mensual'!J157+IF(parametros_manuales!$H$39="Todos",'Plan mensual'!J50+'Plan mensual'!J161,0))+parametros_manuales!$E$39*('Plan mensual'!J47+'Plan mensual'!J158+IF(parametros_manuales!$H$39="Todos",'Plan mensual'!J51+'Plan mensual'!J162,0))+parametros_manuales!$F$39*('Plan mensual'!J48+'Plan mensual'!J159+IF(parametros_manuales!$H$39="Todos",'Plan mensual'!J52+'Plan mensual'!J163,0))+parametros_manuales!$G$39*('Plan mensual'!J49+'Plan mensual'!J160+IF(parametros_manuales!$H$39="Todos",'Plan mensual'!J53+'Plan mensual'!J164,0)))*parametros_manuales!$I$39*parametros_manuales!$J$39</f>
        <v>2056.430878682</v>
      </c>
      <c r="I130" s="9" t="n">
        <f aca="false">(parametros_manuales!$D$39*('Plan mensual'!K46+'Plan mensual'!K157+IF(parametros_manuales!$H$39="Todos",'Plan mensual'!K50+'Plan mensual'!K161,0))+parametros_manuales!$E$39*('Plan mensual'!K47+'Plan mensual'!K158+IF(parametros_manuales!$H$39="Todos",'Plan mensual'!K51+'Plan mensual'!K162,0))+parametros_manuales!$F$39*('Plan mensual'!K48+'Plan mensual'!K159+IF(parametros_manuales!$H$39="Todos",'Plan mensual'!K52+'Plan mensual'!K163,0))+parametros_manuales!$G$39*('Plan mensual'!K49+'Plan mensual'!K160+IF(parametros_manuales!$H$39="Todos",'Plan mensual'!K53+'Plan mensual'!K164,0)))*parametros_manuales!$I$39*parametros_manuales!$J$39</f>
        <v>2056.430878682</v>
      </c>
      <c r="J130" s="9" t="n">
        <f aca="false">(parametros_manuales!$D$39*('Plan mensual'!L46+'Plan mensual'!L157+IF(parametros_manuales!$H$39="Todos",'Plan mensual'!L50+'Plan mensual'!L161,0))+parametros_manuales!$E$39*('Plan mensual'!L47+'Plan mensual'!L158+IF(parametros_manuales!$H$39="Todos",'Plan mensual'!L51+'Plan mensual'!L162,0))+parametros_manuales!$F$39*('Plan mensual'!L48+'Plan mensual'!L159+IF(parametros_manuales!$H$39="Todos",'Plan mensual'!L52+'Plan mensual'!L163,0))+parametros_manuales!$G$39*('Plan mensual'!L49+'Plan mensual'!L160+IF(parametros_manuales!$H$39="Todos",'Plan mensual'!L53+'Plan mensual'!L164,0)))*parametros_manuales!$I$39*parametros_manuales!$J$39</f>
        <v>2056.430878682</v>
      </c>
      <c r="K130" s="9" t="n">
        <f aca="false">(parametros_manuales!$D$39*('Plan mensual'!M46+'Plan mensual'!M157+IF(parametros_manuales!$H$39="Todos",'Plan mensual'!M50+'Plan mensual'!M161,0))+parametros_manuales!$E$39*('Plan mensual'!M47+'Plan mensual'!M158+IF(parametros_manuales!$H$39="Todos",'Plan mensual'!M51+'Plan mensual'!M162,0))+parametros_manuales!$F$39*('Plan mensual'!M48+'Plan mensual'!M159+IF(parametros_manuales!$H$39="Todos",'Plan mensual'!M52+'Plan mensual'!M163,0))+parametros_manuales!$G$39*('Plan mensual'!M49+'Plan mensual'!M160+IF(parametros_manuales!$H$39="Todos",'Plan mensual'!M53+'Plan mensual'!M164,0)))*parametros_manuales!$I$39*parametros_manuales!$J$39</f>
        <v>1987.3444145925</v>
      </c>
      <c r="L130" s="9" t="n">
        <f aca="false">(parametros_manuales!$D$39*('Plan mensual'!N46+'Plan mensual'!N157+IF(parametros_manuales!$H$39="Todos",'Plan mensual'!N50+'Plan mensual'!N161,0))+parametros_manuales!$E$39*('Plan mensual'!N47+'Plan mensual'!N158+IF(parametros_manuales!$H$39="Todos",'Plan mensual'!N51+'Plan mensual'!N162,0))+parametros_manuales!$F$39*('Plan mensual'!N48+'Plan mensual'!N159+IF(parametros_manuales!$H$39="Todos",'Plan mensual'!N52+'Plan mensual'!N163,0))+parametros_manuales!$G$39*('Plan mensual'!N49+'Plan mensual'!N160+IF(parametros_manuales!$H$39="Todos",'Plan mensual'!N53+'Plan mensual'!N164,0)))*parametros_manuales!$I$39*parametros_manuales!$J$39</f>
        <v>1918.257950503</v>
      </c>
      <c r="M130" s="9" t="n">
        <f aca="false">(parametros_manuales!$D$39*('Plan mensual'!O46+'Plan mensual'!O157+IF(parametros_manuales!$H$39="Todos",'Plan mensual'!O50+'Plan mensual'!O161,0))+parametros_manuales!$E$39*('Plan mensual'!O47+'Plan mensual'!O158+IF(parametros_manuales!$H$39="Todos",'Plan mensual'!O51+'Plan mensual'!O162,0))+parametros_manuales!$F$39*('Plan mensual'!O48+'Plan mensual'!O159+IF(parametros_manuales!$H$39="Todos",'Plan mensual'!O52+'Plan mensual'!O163,0))+parametros_manuales!$G$39*('Plan mensual'!O49+'Plan mensual'!O160+IF(parametros_manuales!$H$39="Todos",'Plan mensual'!O53+'Plan mensual'!O164,0)))*parametros_manuales!$I$39*parametros_manuales!$J$39</f>
        <v>3041.578135169</v>
      </c>
      <c r="N130" s="9" t="n">
        <f aca="false">SUM(B130:M130)</f>
        <v>26497.9255279</v>
      </c>
      <c r="O130" s="9" t="n">
        <f aca="false">MAX(B130:M130)</f>
        <v>3041.578135169</v>
      </c>
      <c r="P130" s="44" t="n">
        <f aca="false">O130/(parametros_manuales!$B$7)</f>
        <v>20.2771875677933</v>
      </c>
      <c r="Q130" s="8" t="str">
        <f aca="false">IF(O130=0,"-",INDEX($B$109:$M$109,MATCH(O130,B130:M130,0)))</f>
        <v>Dic</v>
      </c>
    </row>
    <row r="131" customFormat="false" ht="14.25" hidden="false" customHeight="true" outlineLevel="0" collapsed="false">
      <c r="A131" s="8" t="str">
        <f aca="false">parametros_manuales!$B$40</f>
        <v>Presurización</v>
      </c>
      <c r="B131" s="9" t="n">
        <f aca="false">(parametros_manuales!$D$40*('Plan mensual'!D46+'Plan mensual'!D157+IF(parametros_manuales!$H$40="Todos",'Plan mensual'!D50+'Plan mensual'!D161,0))+parametros_manuales!$E$40*('Plan mensual'!D47+'Plan mensual'!D158+IF(parametros_manuales!$H$40="Todos",'Plan mensual'!D51+'Plan mensual'!D162,0))+parametros_manuales!$F$40*('Plan mensual'!D48+'Plan mensual'!D159+IF(parametros_manuales!$H$40="Todos",'Plan mensual'!D52+'Plan mensual'!D163,0))+parametros_manuales!$G$40*('Plan mensual'!D49+'Plan mensual'!D160+IF(parametros_manuales!$H$40="Todos",'Plan mensual'!D53+'Plan mensual'!D164,0)))*parametros_manuales!$I$40*parametros_manuales!$J$40</f>
        <v>2903.40520699</v>
      </c>
      <c r="C131" s="9" t="n">
        <f aca="false">(parametros_manuales!$D$40*('Plan mensual'!E46+'Plan mensual'!E157+IF(parametros_manuales!$H$40="Todos",'Plan mensual'!E50+'Plan mensual'!E161,0))+parametros_manuales!$E$40*('Plan mensual'!E47+'Plan mensual'!E158+IF(parametros_manuales!$H$40="Todos",'Plan mensual'!E51+'Plan mensual'!E162,0))+parametros_manuales!$F$40*('Plan mensual'!E48+'Plan mensual'!E159+IF(parametros_manuales!$H$40="Todos",'Plan mensual'!E52+'Plan mensual'!E163,0))+parametros_manuales!$G$40*('Plan mensual'!E49+'Plan mensual'!E160+IF(parametros_manuales!$H$40="Todos",'Plan mensual'!E53+'Plan mensual'!E164,0)))*parametros_manuales!$I$40*parametros_manuales!$J$40</f>
        <v>2246.640369332</v>
      </c>
      <c r="D131" s="9" t="n">
        <f aca="false">(parametros_manuales!$D$40*('Plan mensual'!F46+'Plan mensual'!F157+IF(parametros_manuales!$H$40="Todos",'Plan mensual'!F50+'Plan mensual'!F161,0))+parametros_manuales!$E$40*('Plan mensual'!F47+'Plan mensual'!F158+IF(parametros_manuales!$H$40="Todos",'Plan mensual'!F51+'Plan mensual'!F162,0))+parametros_manuales!$F$40*('Plan mensual'!F48+'Plan mensual'!F159+IF(parametros_manuales!$H$40="Todos",'Plan mensual'!F52+'Plan mensual'!F163,0))+parametros_manuales!$G$40*('Plan mensual'!F49+'Plan mensual'!F160+IF(parametros_manuales!$H$40="Todos",'Plan mensual'!F53+'Plan mensual'!F164,0)))*parametros_manuales!$I$40*parametros_manuales!$J$40</f>
        <v>2188.9205063215</v>
      </c>
      <c r="E131" s="9" t="n">
        <f aca="false">(parametros_manuales!$D$40*('Plan mensual'!G46+'Plan mensual'!G157+IF(parametros_manuales!$H$40="Todos",'Plan mensual'!G50+'Plan mensual'!G161,0))+parametros_manuales!$E$40*('Plan mensual'!G47+'Plan mensual'!G158+IF(parametros_manuales!$H$40="Todos",'Plan mensual'!G51+'Plan mensual'!G162,0))+parametros_manuales!$F$40*('Plan mensual'!G48+'Plan mensual'!G159+IF(parametros_manuales!$H$40="Todos",'Plan mensual'!G52+'Plan mensual'!G163,0))+parametros_manuales!$G$40*('Plan mensual'!G49+'Plan mensual'!G160+IF(parametros_manuales!$H$40="Todos",'Plan mensual'!G53+'Plan mensual'!G164,0)))*parametros_manuales!$I$40*parametros_manuales!$J$40</f>
        <v>2125.5173427715</v>
      </c>
      <c r="F131" s="9" t="n">
        <f aca="false">(parametros_manuales!$D$40*('Plan mensual'!H46+'Plan mensual'!H157+IF(parametros_manuales!$H$40="Todos",'Plan mensual'!H50+'Plan mensual'!H161,0))+parametros_manuales!$E$40*('Plan mensual'!H47+'Plan mensual'!H158+IF(parametros_manuales!$H$40="Todos",'Plan mensual'!H51+'Plan mensual'!H162,0))+parametros_manuales!$F$40*('Plan mensual'!H48+'Plan mensual'!H159+IF(parametros_manuales!$H$40="Todos",'Plan mensual'!H52+'Plan mensual'!H163,0))+parametros_manuales!$G$40*('Plan mensual'!H49+'Plan mensual'!H160+IF(parametros_manuales!$H$40="Todos",'Plan mensual'!H53+'Plan mensual'!H164,0)))*parametros_manuales!$I$40*parametros_manuales!$J$40</f>
        <v>1993.027715132</v>
      </c>
      <c r="G131" s="9" t="n">
        <f aca="false">(parametros_manuales!$D$40*('Plan mensual'!I46+'Plan mensual'!I157+IF(parametros_manuales!$H$40="Todos",'Plan mensual'!I50+'Plan mensual'!I161,0))+parametros_manuales!$E$40*('Plan mensual'!I47+'Plan mensual'!I158+IF(parametros_manuales!$H$40="Todos",'Plan mensual'!I51+'Plan mensual'!I162,0))+parametros_manuales!$F$40*('Plan mensual'!I48+'Plan mensual'!I159+IF(parametros_manuales!$H$40="Todos",'Plan mensual'!I52+'Plan mensual'!I163,0))+parametros_manuales!$G$40*('Plan mensual'!I49+'Plan mensual'!I160+IF(parametros_manuales!$H$40="Todos",'Plan mensual'!I53+'Plan mensual'!I164,0)))*parametros_manuales!$I$40*parametros_manuales!$J$40</f>
        <v>1923.9412510425</v>
      </c>
      <c r="H131" s="9" t="n">
        <f aca="false">(parametros_manuales!$D$40*('Plan mensual'!J46+'Plan mensual'!J157+IF(parametros_manuales!$H$40="Todos",'Plan mensual'!J50+'Plan mensual'!J161,0))+parametros_manuales!$E$40*('Plan mensual'!J47+'Plan mensual'!J158+IF(parametros_manuales!$H$40="Todos",'Plan mensual'!J51+'Plan mensual'!J162,0))+parametros_manuales!$F$40*('Plan mensual'!J48+'Plan mensual'!J159+IF(parametros_manuales!$H$40="Todos",'Plan mensual'!J52+'Plan mensual'!J163,0))+parametros_manuales!$G$40*('Plan mensual'!J49+'Plan mensual'!J160+IF(parametros_manuales!$H$40="Todos",'Plan mensual'!J53+'Plan mensual'!J164,0)))*parametros_manuales!$I$40*parametros_manuales!$J$40</f>
        <v>2056.430878682</v>
      </c>
      <c r="I131" s="9" t="n">
        <f aca="false">(parametros_manuales!$D$40*('Plan mensual'!K46+'Plan mensual'!K157+IF(parametros_manuales!$H$40="Todos",'Plan mensual'!K50+'Plan mensual'!K161,0))+parametros_manuales!$E$40*('Plan mensual'!K47+'Plan mensual'!K158+IF(parametros_manuales!$H$40="Todos",'Plan mensual'!K51+'Plan mensual'!K162,0))+parametros_manuales!$F$40*('Plan mensual'!K48+'Plan mensual'!K159+IF(parametros_manuales!$H$40="Todos",'Plan mensual'!K52+'Plan mensual'!K163,0))+parametros_manuales!$G$40*('Plan mensual'!K49+'Plan mensual'!K160+IF(parametros_manuales!$H$40="Todos",'Plan mensual'!K53+'Plan mensual'!K164,0)))*parametros_manuales!$I$40*parametros_manuales!$J$40</f>
        <v>2056.430878682</v>
      </c>
      <c r="J131" s="9" t="n">
        <f aca="false">(parametros_manuales!$D$40*('Plan mensual'!L46+'Plan mensual'!L157+IF(parametros_manuales!$H$40="Todos",'Plan mensual'!L50+'Plan mensual'!L161,0))+parametros_manuales!$E$40*('Plan mensual'!L47+'Plan mensual'!L158+IF(parametros_manuales!$H$40="Todos",'Plan mensual'!L51+'Plan mensual'!L162,0))+parametros_manuales!$F$40*('Plan mensual'!L48+'Plan mensual'!L159+IF(parametros_manuales!$H$40="Todos",'Plan mensual'!L52+'Plan mensual'!L163,0))+parametros_manuales!$G$40*('Plan mensual'!L49+'Plan mensual'!L160+IF(parametros_manuales!$H$40="Todos",'Plan mensual'!L53+'Plan mensual'!L164,0)))*parametros_manuales!$I$40*parametros_manuales!$J$40</f>
        <v>2056.430878682</v>
      </c>
      <c r="K131" s="9" t="n">
        <f aca="false">(parametros_manuales!$D$40*('Plan mensual'!M46+'Plan mensual'!M157+IF(parametros_manuales!$H$40="Todos",'Plan mensual'!M50+'Plan mensual'!M161,0))+parametros_manuales!$E$40*('Plan mensual'!M47+'Plan mensual'!M158+IF(parametros_manuales!$H$40="Todos",'Plan mensual'!M51+'Plan mensual'!M162,0))+parametros_manuales!$F$40*('Plan mensual'!M48+'Plan mensual'!M159+IF(parametros_manuales!$H$40="Todos",'Plan mensual'!M52+'Plan mensual'!M163,0))+parametros_manuales!$G$40*('Plan mensual'!M49+'Plan mensual'!M160+IF(parametros_manuales!$H$40="Todos",'Plan mensual'!M53+'Plan mensual'!M164,0)))*parametros_manuales!$I$40*parametros_manuales!$J$40</f>
        <v>1987.3444145925</v>
      </c>
      <c r="L131" s="9" t="n">
        <f aca="false">(parametros_manuales!$D$40*('Plan mensual'!N46+'Plan mensual'!N157+IF(parametros_manuales!$H$40="Todos",'Plan mensual'!N50+'Plan mensual'!N161,0))+parametros_manuales!$E$40*('Plan mensual'!N47+'Plan mensual'!N158+IF(parametros_manuales!$H$40="Todos",'Plan mensual'!N51+'Plan mensual'!N162,0))+parametros_manuales!$F$40*('Plan mensual'!N48+'Plan mensual'!N159+IF(parametros_manuales!$H$40="Todos",'Plan mensual'!N52+'Plan mensual'!N163,0))+parametros_manuales!$G$40*('Plan mensual'!N49+'Plan mensual'!N160+IF(parametros_manuales!$H$40="Todos",'Plan mensual'!N53+'Plan mensual'!N164,0)))*parametros_manuales!$I$40*parametros_manuales!$J$40</f>
        <v>1918.257950503</v>
      </c>
      <c r="M131" s="9" t="n">
        <f aca="false">(parametros_manuales!$D$40*('Plan mensual'!O46+'Plan mensual'!O157+IF(parametros_manuales!$H$40="Todos",'Plan mensual'!O50+'Plan mensual'!O161,0))+parametros_manuales!$E$40*('Plan mensual'!O47+'Plan mensual'!O158+IF(parametros_manuales!$H$40="Todos",'Plan mensual'!O51+'Plan mensual'!O162,0))+parametros_manuales!$F$40*('Plan mensual'!O48+'Plan mensual'!O159+IF(parametros_manuales!$H$40="Todos",'Plan mensual'!O52+'Plan mensual'!O163,0))+parametros_manuales!$G$40*('Plan mensual'!O49+'Plan mensual'!O160+IF(parametros_manuales!$H$40="Todos",'Plan mensual'!O53+'Plan mensual'!O164,0)))*parametros_manuales!$I$40*parametros_manuales!$J$40</f>
        <v>3041.578135169</v>
      </c>
      <c r="N131" s="9" t="n">
        <f aca="false">SUM(B131:M131)</f>
        <v>26497.9255279</v>
      </c>
      <c r="O131" s="9" t="n">
        <f aca="false">MAX(B131:M131)</f>
        <v>3041.578135169</v>
      </c>
      <c r="P131" s="44" t="n">
        <f aca="false">O131/(parametros_manuales!$B$7)</f>
        <v>20.2771875677933</v>
      </c>
      <c r="Q131" s="8" t="str">
        <f aca="false">IF(O131=0,"-",INDEX($B$109:$M$109,MATCH(O131,B131:M131,0)))</f>
        <v>Dic</v>
      </c>
    </row>
    <row r="132" customFormat="false" ht="14.25" hidden="false" customHeight="true" outlineLevel="0" collapsed="false">
      <c r="A132" s="8" t="str">
        <f aca="false">parametros_manuales!$B$41</f>
        <v>Control de calidad — Ensayo de pérdidas</v>
      </c>
      <c r="B132" s="9" t="n">
        <f aca="false">(parametros_manuales!$D$41*('Plan mensual'!D46+'Plan mensual'!D157+IF(parametros_manuales!$H$41="Todos",'Plan mensual'!D50+'Plan mensual'!D161,0))+parametros_manuales!$E$41*('Plan mensual'!D47+'Plan mensual'!D158+IF(parametros_manuales!$H$41="Todos",'Plan mensual'!D51+'Plan mensual'!D162,0))+parametros_manuales!$F$41*('Plan mensual'!D48+'Plan mensual'!D159+IF(parametros_manuales!$H$41="Todos",'Plan mensual'!D52+'Plan mensual'!D163,0))+parametros_manuales!$G$41*('Plan mensual'!D49+'Plan mensual'!D160+IF(parametros_manuales!$H$41="Todos",'Plan mensual'!D53+'Plan mensual'!D164,0)))*parametros_manuales!$I$41*parametros_manuales!$J$41</f>
        <v>2903.40520699</v>
      </c>
      <c r="C132" s="9" t="n">
        <f aca="false">(parametros_manuales!$D$41*('Plan mensual'!E46+'Plan mensual'!E157+IF(parametros_manuales!$H$41="Todos",'Plan mensual'!E50+'Plan mensual'!E161,0))+parametros_manuales!$E$41*('Plan mensual'!E47+'Plan mensual'!E158+IF(parametros_manuales!$H$41="Todos",'Plan mensual'!E51+'Plan mensual'!E162,0))+parametros_manuales!$F$41*('Plan mensual'!E48+'Plan mensual'!E159+IF(parametros_manuales!$H$41="Todos",'Plan mensual'!E52+'Plan mensual'!E163,0))+parametros_manuales!$G$41*('Plan mensual'!E49+'Plan mensual'!E160+IF(parametros_manuales!$H$41="Todos",'Plan mensual'!E53+'Plan mensual'!E164,0)))*parametros_manuales!$I$41*parametros_manuales!$J$41</f>
        <v>2246.640369332</v>
      </c>
      <c r="D132" s="9" t="n">
        <f aca="false">(parametros_manuales!$D$41*('Plan mensual'!F46+'Plan mensual'!F157+IF(parametros_manuales!$H$41="Todos",'Plan mensual'!F50+'Plan mensual'!F161,0))+parametros_manuales!$E$41*('Plan mensual'!F47+'Plan mensual'!F158+IF(parametros_manuales!$H$41="Todos",'Plan mensual'!F51+'Plan mensual'!F162,0))+parametros_manuales!$F$41*('Plan mensual'!F48+'Plan mensual'!F159+IF(parametros_manuales!$H$41="Todos",'Plan mensual'!F52+'Plan mensual'!F163,0))+parametros_manuales!$G$41*('Plan mensual'!F49+'Plan mensual'!F160+IF(parametros_manuales!$H$41="Todos",'Plan mensual'!F53+'Plan mensual'!F164,0)))*parametros_manuales!$I$41*parametros_manuales!$J$41</f>
        <v>2188.9205063215</v>
      </c>
      <c r="E132" s="9" t="n">
        <f aca="false">(parametros_manuales!$D$41*('Plan mensual'!G46+'Plan mensual'!G157+IF(parametros_manuales!$H$41="Todos",'Plan mensual'!G50+'Plan mensual'!G161,0))+parametros_manuales!$E$41*('Plan mensual'!G47+'Plan mensual'!G158+IF(parametros_manuales!$H$41="Todos",'Plan mensual'!G51+'Plan mensual'!G162,0))+parametros_manuales!$F$41*('Plan mensual'!G48+'Plan mensual'!G159+IF(parametros_manuales!$H$41="Todos",'Plan mensual'!G52+'Plan mensual'!G163,0))+parametros_manuales!$G$41*('Plan mensual'!G49+'Plan mensual'!G160+IF(parametros_manuales!$H$41="Todos",'Plan mensual'!G53+'Plan mensual'!G164,0)))*parametros_manuales!$I$41*parametros_manuales!$J$41</f>
        <v>2125.5173427715</v>
      </c>
      <c r="F132" s="9" t="n">
        <f aca="false">(parametros_manuales!$D$41*('Plan mensual'!H46+'Plan mensual'!H157+IF(parametros_manuales!$H$41="Todos",'Plan mensual'!H50+'Plan mensual'!H161,0))+parametros_manuales!$E$41*('Plan mensual'!H47+'Plan mensual'!H158+IF(parametros_manuales!$H$41="Todos",'Plan mensual'!H51+'Plan mensual'!H162,0))+parametros_manuales!$F$41*('Plan mensual'!H48+'Plan mensual'!H159+IF(parametros_manuales!$H$41="Todos",'Plan mensual'!H52+'Plan mensual'!H163,0))+parametros_manuales!$G$41*('Plan mensual'!H49+'Plan mensual'!H160+IF(parametros_manuales!$H$41="Todos",'Plan mensual'!H53+'Plan mensual'!H164,0)))*parametros_manuales!$I$41*parametros_manuales!$J$41</f>
        <v>1993.027715132</v>
      </c>
      <c r="G132" s="9" t="n">
        <f aca="false">(parametros_manuales!$D$41*('Plan mensual'!I46+'Plan mensual'!I157+IF(parametros_manuales!$H$41="Todos",'Plan mensual'!I50+'Plan mensual'!I161,0))+parametros_manuales!$E$41*('Plan mensual'!I47+'Plan mensual'!I158+IF(parametros_manuales!$H$41="Todos",'Plan mensual'!I51+'Plan mensual'!I162,0))+parametros_manuales!$F$41*('Plan mensual'!I48+'Plan mensual'!I159+IF(parametros_manuales!$H$41="Todos",'Plan mensual'!I52+'Plan mensual'!I163,0))+parametros_manuales!$G$41*('Plan mensual'!I49+'Plan mensual'!I160+IF(parametros_manuales!$H$41="Todos",'Plan mensual'!I53+'Plan mensual'!I164,0)))*parametros_manuales!$I$41*parametros_manuales!$J$41</f>
        <v>1923.9412510425</v>
      </c>
      <c r="H132" s="9" t="n">
        <f aca="false">(parametros_manuales!$D$41*('Plan mensual'!J46+'Plan mensual'!J157+IF(parametros_manuales!$H$41="Todos",'Plan mensual'!J50+'Plan mensual'!J161,0))+parametros_manuales!$E$41*('Plan mensual'!J47+'Plan mensual'!J158+IF(parametros_manuales!$H$41="Todos",'Plan mensual'!J51+'Plan mensual'!J162,0))+parametros_manuales!$F$41*('Plan mensual'!J48+'Plan mensual'!J159+IF(parametros_manuales!$H$41="Todos",'Plan mensual'!J52+'Plan mensual'!J163,0))+parametros_manuales!$G$41*('Plan mensual'!J49+'Plan mensual'!J160+IF(parametros_manuales!$H$41="Todos",'Plan mensual'!J53+'Plan mensual'!J164,0)))*parametros_manuales!$I$41*parametros_manuales!$J$41</f>
        <v>2056.430878682</v>
      </c>
      <c r="I132" s="9" t="n">
        <f aca="false">(parametros_manuales!$D$41*('Plan mensual'!K46+'Plan mensual'!K157+IF(parametros_manuales!$H$41="Todos",'Plan mensual'!K50+'Plan mensual'!K161,0))+parametros_manuales!$E$41*('Plan mensual'!K47+'Plan mensual'!K158+IF(parametros_manuales!$H$41="Todos",'Plan mensual'!K51+'Plan mensual'!K162,0))+parametros_manuales!$F$41*('Plan mensual'!K48+'Plan mensual'!K159+IF(parametros_manuales!$H$41="Todos",'Plan mensual'!K52+'Plan mensual'!K163,0))+parametros_manuales!$G$41*('Plan mensual'!K49+'Plan mensual'!K160+IF(parametros_manuales!$H$41="Todos",'Plan mensual'!K53+'Plan mensual'!K164,0)))*parametros_manuales!$I$41*parametros_manuales!$J$41</f>
        <v>2056.430878682</v>
      </c>
      <c r="J132" s="9" t="n">
        <f aca="false">(parametros_manuales!$D$41*('Plan mensual'!L46+'Plan mensual'!L157+IF(parametros_manuales!$H$41="Todos",'Plan mensual'!L50+'Plan mensual'!L161,0))+parametros_manuales!$E$41*('Plan mensual'!L47+'Plan mensual'!L158+IF(parametros_manuales!$H$41="Todos",'Plan mensual'!L51+'Plan mensual'!L162,0))+parametros_manuales!$F$41*('Plan mensual'!L48+'Plan mensual'!L159+IF(parametros_manuales!$H$41="Todos",'Plan mensual'!L52+'Plan mensual'!L163,0))+parametros_manuales!$G$41*('Plan mensual'!L49+'Plan mensual'!L160+IF(parametros_manuales!$H$41="Todos",'Plan mensual'!L53+'Plan mensual'!L164,0)))*parametros_manuales!$I$41*parametros_manuales!$J$41</f>
        <v>2056.430878682</v>
      </c>
      <c r="K132" s="9" t="n">
        <f aca="false">(parametros_manuales!$D$41*('Plan mensual'!M46+'Plan mensual'!M157+IF(parametros_manuales!$H$41="Todos",'Plan mensual'!M50+'Plan mensual'!M161,0))+parametros_manuales!$E$41*('Plan mensual'!M47+'Plan mensual'!M158+IF(parametros_manuales!$H$41="Todos",'Plan mensual'!M51+'Plan mensual'!M162,0))+parametros_manuales!$F$41*('Plan mensual'!M48+'Plan mensual'!M159+IF(parametros_manuales!$H$41="Todos",'Plan mensual'!M52+'Plan mensual'!M163,0))+parametros_manuales!$G$41*('Plan mensual'!M49+'Plan mensual'!M160+IF(parametros_manuales!$H$41="Todos",'Plan mensual'!M53+'Plan mensual'!M164,0)))*parametros_manuales!$I$41*parametros_manuales!$J$41</f>
        <v>1987.3444145925</v>
      </c>
      <c r="L132" s="9" t="n">
        <f aca="false">(parametros_manuales!$D$41*('Plan mensual'!N46+'Plan mensual'!N157+IF(parametros_manuales!$H$41="Todos",'Plan mensual'!N50+'Plan mensual'!N161,0))+parametros_manuales!$E$41*('Plan mensual'!N47+'Plan mensual'!N158+IF(parametros_manuales!$H$41="Todos",'Plan mensual'!N51+'Plan mensual'!N162,0))+parametros_manuales!$F$41*('Plan mensual'!N48+'Plan mensual'!N159+IF(parametros_manuales!$H$41="Todos",'Plan mensual'!N52+'Plan mensual'!N163,0))+parametros_manuales!$G$41*('Plan mensual'!N49+'Plan mensual'!N160+IF(parametros_manuales!$H$41="Todos",'Plan mensual'!N53+'Plan mensual'!N164,0)))*parametros_manuales!$I$41*parametros_manuales!$J$41</f>
        <v>1918.257950503</v>
      </c>
      <c r="M132" s="9" t="n">
        <f aca="false">(parametros_manuales!$D$41*('Plan mensual'!O46+'Plan mensual'!O157+IF(parametros_manuales!$H$41="Todos",'Plan mensual'!O50+'Plan mensual'!O161,0))+parametros_manuales!$E$41*('Plan mensual'!O47+'Plan mensual'!O158+IF(parametros_manuales!$H$41="Todos",'Plan mensual'!O51+'Plan mensual'!O162,0))+parametros_manuales!$F$41*('Plan mensual'!O48+'Plan mensual'!O159+IF(parametros_manuales!$H$41="Todos",'Plan mensual'!O52+'Plan mensual'!O163,0))+parametros_manuales!$G$41*('Plan mensual'!O49+'Plan mensual'!O160+IF(parametros_manuales!$H$41="Todos",'Plan mensual'!O53+'Plan mensual'!O164,0)))*parametros_manuales!$I$41*parametros_manuales!$J$41</f>
        <v>3041.578135169</v>
      </c>
      <c r="N132" s="9" t="n">
        <f aca="false">SUM(B132:M132)</f>
        <v>26497.9255279</v>
      </c>
      <c r="O132" s="9" t="n">
        <f aca="false">MAX(B132:M132)</f>
        <v>3041.578135169</v>
      </c>
      <c r="P132" s="44" t="n">
        <f aca="false">O132/(parametros_manuales!$B$7)</f>
        <v>20.2771875677933</v>
      </c>
      <c r="Q132" s="8" t="str">
        <f aca="false">IF(O132=0,"-",INDEX($B$109:$M$109,MATCH(O132,B132:M132,0)))</f>
        <v>Dic</v>
      </c>
    </row>
    <row r="133" customFormat="false" ht="14.25" hidden="false" customHeight="true" outlineLevel="0" collapsed="false">
      <c r="A133" s="8" t="str">
        <f aca="false">parametros_manuales!$B$42</f>
        <v>Etiquetado</v>
      </c>
      <c r="B133" s="9" t="n">
        <f aca="false">(parametros_manuales!$D$42*('Plan mensual'!D46+'Plan mensual'!D157+IF(parametros_manuales!$H$42="Todos",'Plan mensual'!D50+'Plan mensual'!D161,0))+parametros_manuales!$E$42*('Plan mensual'!D47+'Plan mensual'!D158+IF(parametros_manuales!$H$42="Todos",'Plan mensual'!D51+'Plan mensual'!D162,0))+parametros_manuales!$F$42*('Plan mensual'!D48+'Plan mensual'!D159+IF(parametros_manuales!$H$42="Todos",'Plan mensual'!D52+'Plan mensual'!D163,0))+parametros_manuales!$G$42*('Plan mensual'!D49+'Plan mensual'!D160+IF(parametros_manuales!$H$42="Todos",'Plan mensual'!D53+'Plan mensual'!D164,0)))*parametros_manuales!$I$42*parametros_manuales!$J$42</f>
        <v>2903.40520699</v>
      </c>
      <c r="C133" s="9" t="n">
        <f aca="false">(parametros_manuales!$D$42*('Plan mensual'!E46+'Plan mensual'!E157+IF(parametros_manuales!$H$42="Todos",'Plan mensual'!E50+'Plan mensual'!E161,0))+parametros_manuales!$E$42*('Plan mensual'!E47+'Plan mensual'!E158+IF(parametros_manuales!$H$42="Todos",'Plan mensual'!E51+'Plan mensual'!E162,0))+parametros_manuales!$F$42*('Plan mensual'!E48+'Plan mensual'!E159+IF(parametros_manuales!$H$42="Todos",'Plan mensual'!E52+'Plan mensual'!E163,0))+parametros_manuales!$G$42*('Plan mensual'!E49+'Plan mensual'!E160+IF(parametros_manuales!$H$42="Todos",'Plan mensual'!E53+'Plan mensual'!E164,0)))*parametros_manuales!$I$42*parametros_manuales!$J$42</f>
        <v>2246.640369332</v>
      </c>
      <c r="D133" s="9" t="n">
        <f aca="false">(parametros_manuales!$D$42*('Plan mensual'!F46+'Plan mensual'!F157+IF(parametros_manuales!$H$42="Todos",'Plan mensual'!F50+'Plan mensual'!F161,0))+parametros_manuales!$E$42*('Plan mensual'!F47+'Plan mensual'!F158+IF(parametros_manuales!$H$42="Todos",'Plan mensual'!F51+'Plan mensual'!F162,0))+parametros_manuales!$F$42*('Plan mensual'!F48+'Plan mensual'!F159+IF(parametros_manuales!$H$42="Todos",'Plan mensual'!F52+'Plan mensual'!F163,0))+parametros_manuales!$G$42*('Plan mensual'!F49+'Plan mensual'!F160+IF(parametros_manuales!$H$42="Todos",'Plan mensual'!F53+'Plan mensual'!F164,0)))*parametros_manuales!$I$42*parametros_manuales!$J$42</f>
        <v>2188.9205063215</v>
      </c>
      <c r="E133" s="9" t="n">
        <f aca="false">(parametros_manuales!$D$42*('Plan mensual'!G46+'Plan mensual'!G157+IF(parametros_manuales!$H$42="Todos",'Plan mensual'!G50+'Plan mensual'!G161,0))+parametros_manuales!$E$42*('Plan mensual'!G47+'Plan mensual'!G158+IF(parametros_manuales!$H$42="Todos",'Plan mensual'!G51+'Plan mensual'!G162,0))+parametros_manuales!$F$42*('Plan mensual'!G48+'Plan mensual'!G159+IF(parametros_manuales!$H$42="Todos",'Plan mensual'!G52+'Plan mensual'!G163,0))+parametros_manuales!$G$42*('Plan mensual'!G49+'Plan mensual'!G160+IF(parametros_manuales!$H$42="Todos",'Plan mensual'!G53+'Plan mensual'!G164,0)))*parametros_manuales!$I$42*parametros_manuales!$J$42</f>
        <v>2125.5173427715</v>
      </c>
      <c r="F133" s="9" t="n">
        <f aca="false">(parametros_manuales!$D$42*('Plan mensual'!H46+'Plan mensual'!H157+IF(parametros_manuales!$H$42="Todos",'Plan mensual'!H50+'Plan mensual'!H161,0))+parametros_manuales!$E$42*('Plan mensual'!H47+'Plan mensual'!H158+IF(parametros_manuales!$H$42="Todos",'Plan mensual'!H51+'Plan mensual'!H162,0))+parametros_manuales!$F$42*('Plan mensual'!H48+'Plan mensual'!H159+IF(parametros_manuales!$H$42="Todos",'Plan mensual'!H52+'Plan mensual'!H163,0))+parametros_manuales!$G$42*('Plan mensual'!H49+'Plan mensual'!H160+IF(parametros_manuales!$H$42="Todos",'Plan mensual'!H53+'Plan mensual'!H164,0)))*parametros_manuales!$I$42*parametros_manuales!$J$42</f>
        <v>1993.027715132</v>
      </c>
      <c r="G133" s="9" t="n">
        <f aca="false">(parametros_manuales!$D$42*('Plan mensual'!I46+'Plan mensual'!I157+IF(parametros_manuales!$H$42="Todos",'Plan mensual'!I50+'Plan mensual'!I161,0))+parametros_manuales!$E$42*('Plan mensual'!I47+'Plan mensual'!I158+IF(parametros_manuales!$H$42="Todos",'Plan mensual'!I51+'Plan mensual'!I162,0))+parametros_manuales!$F$42*('Plan mensual'!I48+'Plan mensual'!I159+IF(parametros_manuales!$H$42="Todos",'Plan mensual'!I52+'Plan mensual'!I163,0))+parametros_manuales!$G$42*('Plan mensual'!I49+'Plan mensual'!I160+IF(parametros_manuales!$H$42="Todos",'Plan mensual'!I53+'Plan mensual'!I164,0)))*parametros_manuales!$I$42*parametros_manuales!$J$42</f>
        <v>1923.9412510425</v>
      </c>
      <c r="H133" s="9" t="n">
        <f aca="false">(parametros_manuales!$D$42*('Plan mensual'!J46+'Plan mensual'!J157+IF(parametros_manuales!$H$42="Todos",'Plan mensual'!J50+'Plan mensual'!J161,0))+parametros_manuales!$E$42*('Plan mensual'!J47+'Plan mensual'!J158+IF(parametros_manuales!$H$42="Todos",'Plan mensual'!J51+'Plan mensual'!J162,0))+parametros_manuales!$F$42*('Plan mensual'!J48+'Plan mensual'!J159+IF(parametros_manuales!$H$42="Todos",'Plan mensual'!J52+'Plan mensual'!J163,0))+parametros_manuales!$G$42*('Plan mensual'!J49+'Plan mensual'!J160+IF(parametros_manuales!$H$42="Todos",'Plan mensual'!J53+'Plan mensual'!J164,0)))*parametros_manuales!$I$42*parametros_manuales!$J$42</f>
        <v>2056.430878682</v>
      </c>
      <c r="I133" s="9" t="n">
        <f aca="false">(parametros_manuales!$D$42*('Plan mensual'!K46+'Plan mensual'!K157+IF(parametros_manuales!$H$42="Todos",'Plan mensual'!K50+'Plan mensual'!K161,0))+parametros_manuales!$E$42*('Plan mensual'!K47+'Plan mensual'!K158+IF(parametros_manuales!$H$42="Todos",'Plan mensual'!K51+'Plan mensual'!K162,0))+parametros_manuales!$F$42*('Plan mensual'!K48+'Plan mensual'!K159+IF(parametros_manuales!$H$42="Todos",'Plan mensual'!K52+'Plan mensual'!K163,0))+parametros_manuales!$G$42*('Plan mensual'!K49+'Plan mensual'!K160+IF(parametros_manuales!$H$42="Todos",'Plan mensual'!K53+'Plan mensual'!K164,0)))*parametros_manuales!$I$42*parametros_manuales!$J$42</f>
        <v>2056.430878682</v>
      </c>
      <c r="J133" s="9" t="n">
        <f aca="false">(parametros_manuales!$D$42*('Plan mensual'!L46+'Plan mensual'!L157+IF(parametros_manuales!$H$42="Todos",'Plan mensual'!L50+'Plan mensual'!L161,0))+parametros_manuales!$E$42*('Plan mensual'!L47+'Plan mensual'!L158+IF(parametros_manuales!$H$42="Todos",'Plan mensual'!L51+'Plan mensual'!L162,0))+parametros_manuales!$F$42*('Plan mensual'!L48+'Plan mensual'!L159+IF(parametros_manuales!$H$42="Todos",'Plan mensual'!L52+'Plan mensual'!L163,0))+parametros_manuales!$G$42*('Plan mensual'!L49+'Plan mensual'!L160+IF(parametros_manuales!$H$42="Todos",'Plan mensual'!L53+'Plan mensual'!L164,0)))*parametros_manuales!$I$42*parametros_manuales!$J$42</f>
        <v>2056.430878682</v>
      </c>
      <c r="K133" s="9" t="n">
        <f aca="false">(parametros_manuales!$D$42*('Plan mensual'!M46+'Plan mensual'!M157+IF(parametros_manuales!$H$42="Todos",'Plan mensual'!M50+'Plan mensual'!M161,0))+parametros_manuales!$E$42*('Plan mensual'!M47+'Plan mensual'!M158+IF(parametros_manuales!$H$42="Todos",'Plan mensual'!M51+'Plan mensual'!M162,0))+parametros_manuales!$F$42*('Plan mensual'!M48+'Plan mensual'!M159+IF(parametros_manuales!$H$42="Todos",'Plan mensual'!M52+'Plan mensual'!M163,0))+parametros_manuales!$G$42*('Plan mensual'!M49+'Plan mensual'!M160+IF(parametros_manuales!$H$42="Todos",'Plan mensual'!M53+'Plan mensual'!M164,0)))*parametros_manuales!$I$42*parametros_manuales!$J$42</f>
        <v>1987.3444145925</v>
      </c>
      <c r="L133" s="9" t="n">
        <f aca="false">(parametros_manuales!$D$42*('Plan mensual'!N46+'Plan mensual'!N157+IF(parametros_manuales!$H$42="Todos",'Plan mensual'!N50+'Plan mensual'!N161,0))+parametros_manuales!$E$42*('Plan mensual'!N47+'Plan mensual'!N158+IF(parametros_manuales!$H$42="Todos",'Plan mensual'!N51+'Plan mensual'!N162,0))+parametros_manuales!$F$42*('Plan mensual'!N48+'Plan mensual'!N159+IF(parametros_manuales!$H$42="Todos",'Plan mensual'!N52+'Plan mensual'!N163,0))+parametros_manuales!$G$42*('Plan mensual'!N49+'Plan mensual'!N160+IF(parametros_manuales!$H$42="Todos",'Plan mensual'!N53+'Plan mensual'!N164,0)))*parametros_manuales!$I$42*parametros_manuales!$J$42</f>
        <v>1918.257950503</v>
      </c>
      <c r="M133" s="9" t="n">
        <f aca="false">(parametros_manuales!$D$42*('Plan mensual'!O46+'Plan mensual'!O157+IF(parametros_manuales!$H$42="Todos",'Plan mensual'!O50+'Plan mensual'!O161,0))+parametros_manuales!$E$42*('Plan mensual'!O47+'Plan mensual'!O158+IF(parametros_manuales!$H$42="Todos",'Plan mensual'!O51+'Plan mensual'!O162,0))+parametros_manuales!$F$42*('Plan mensual'!O48+'Plan mensual'!O159+IF(parametros_manuales!$H$42="Todos",'Plan mensual'!O52+'Plan mensual'!O163,0))+parametros_manuales!$G$42*('Plan mensual'!O49+'Plan mensual'!O160+IF(parametros_manuales!$H$42="Todos",'Plan mensual'!O53+'Plan mensual'!O164,0)))*parametros_manuales!$I$42*parametros_manuales!$J$42</f>
        <v>3041.578135169</v>
      </c>
      <c r="N133" s="9" t="n">
        <f aca="false">SUM(B133:M133)</f>
        <v>26497.9255279</v>
      </c>
      <c r="O133" s="9" t="n">
        <f aca="false">MAX(B133:M133)</f>
        <v>3041.578135169</v>
      </c>
      <c r="P133" s="44" t="n">
        <f aca="false">O133/(parametros_manuales!$B$7)</f>
        <v>20.2771875677933</v>
      </c>
      <c r="Q133" s="8" t="str">
        <f aca="false">IF(O133=0,"-",INDEX($B$109:$M$109,MATCH(O133,B133:M133,0)))</f>
        <v>Dic</v>
      </c>
    </row>
    <row r="134" customFormat="false" ht="14.25" hidden="false" customHeight="true" outlineLevel="0" collapsed="false">
      <c r="A134" s="8" t="str">
        <f aca="false">parametros_manuales!$B$43</f>
        <v>Embalaje y paletizado</v>
      </c>
      <c r="B134" s="9" t="n">
        <f aca="false">(parametros_manuales!$D$43*('Plan mensual'!D46+'Plan mensual'!D157+IF(parametros_manuales!$H$43="Todos",'Plan mensual'!D50+'Plan mensual'!D161,0))+parametros_manuales!$E$43*('Plan mensual'!D47+'Plan mensual'!D158+IF(parametros_manuales!$H$43="Todos",'Plan mensual'!D51+'Plan mensual'!D162,0))+parametros_manuales!$F$43*('Plan mensual'!D48+'Plan mensual'!D159+IF(parametros_manuales!$H$43="Todos",'Plan mensual'!D52+'Plan mensual'!D163,0))+parametros_manuales!$G$43*('Plan mensual'!D49+'Plan mensual'!D160+IF(parametros_manuales!$H$43="Todos",'Plan mensual'!D53+'Plan mensual'!D164,0)))*parametros_manuales!$I$43*parametros_manuales!$J$43</f>
        <v>10057.26520699</v>
      </c>
      <c r="C134" s="9" t="n">
        <f aca="false">(parametros_manuales!$D$43*('Plan mensual'!E46+'Plan mensual'!E157+IF(parametros_manuales!$H$43="Todos",'Plan mensual'!E50+'Plan mensual'!E161,0))+parametros_manuales!$E$43*('Plan mensual'!E47+'Plan mensual'!E158+IF(parametros_manuales!$H$43="Todos",'Plan mensual'!E51+'Plan mensual'!E162,0))+parametros_manuales!$F$43*('Plan mensual'!E48+'Plan mensual'!E159+IF(parametros_manuales!$H$43="Todos",'Plan mensual'!E52+'Plan mensual'!E163,0))+parametros_manuales!$G$43*('Plan mensual'!E49+'Plan mensual'!E160+IF(parametros_manuales!$H$43="Todos",'Plan mensual'!E53+'Plan mensual'!E164,0)))*parametros_manuales!$I$43*parametros_manuales!$J$43</f>
        <v>7673.119569332</v>
      </c>
      <c r="D134" s="9" t="n">
        <f aca="false">(parametros_manuales!$D$43*('Plan mensual'!F46+'Plan mensual'!F157+IF(parametros_manuales!$H$43="Todos",'Plan mensual'!F50+'Plan mensual'!F161,0))+parametros_manuales!$E$43*('Plan mensual'!F47+'Plan mensual'!F158+IF(parametros_manuales!$H$43="Todos",'Plan mensual'!F51+'Plan mensual'!F162,0))+parametros_manuales!$F$43*('Plan mensual'!F48+'Plan mensual'!F159+IF(parametros_manuales!$H$43="Todos",'Plan mensual'!F52+'Plan mensual'!F163,0))+parametros_manuales!$G$43*('Plan mensual'!F49+'Plan mensual'!F160+IF(parametros_manuales!$H$43="Todos",'Plan mensual'!F53+'Plan mensual'!F164,0)))*parametros_manuales!$I$43*parametros_manuales!$J$43</f>
        <v>7182.1359063215</v>
      </c>
      <c r="E134" s="9" t="n">
        <f aca="false">(parametros_manuales!$D$43*('Plan mensual'!G46+'Plan mensual'!G157+IF(parametros_manuales!$H$43="Todos",'Plan mensual'!G50+'Plan mensual'!G161,0))+parametros_manuales!$E$43*('Plan mensual'!G47+'Plan mensual'!G158+IF(parametros_manuales!$H$43="Todos",'Plan mensual'!G51+'Plan mensual'!G162,0))+parametros_manuales!$F$43*('Plan mensual'!G48+'Plan mensual'!G159+IF(parametros_manuales!$H$43="Todos",'Plan mensual'!G52+'Plan mensual'!G163,0))+parametros_manuales!$G$43*('Plan mensual'!G49+'Plan mensual'!G160+IF(parametros_manuales!$H$43="Todos",'Plan mensual'!G53+'Plan mensual'!G164,0)))*parametros_manuales!$I$43*parametros_manuales!$J$43</f>
        <v>6871.5587427715</v>
      </c>
      <c r="F134" s="9" t="n">
        <f aca="false">(parametros_manuales!$D$43*('Plan mensual'!H46+'Plan mensual'!H157+IF(parametros_manuales!$H$43="Todos",'Plan mensual'!H50+'Plan mensual'!H161,0))+parametros_manuales!$E$43*('Plan mensual'!H47+'Plan mensual'!H158+IF(parametros_manuales!$H$43="Todos",'Plan mensual'!H51+'Plan mensual'!H162,0))+parametros_manuales!$F$43*('Plan mensual'!H48+'Plan mensual'!H159+IF(parametros_manuales!$H$43="Todos",'Plan mensual'!H52+'Plan mensual'!H163,0))+parametros_manuales!$G$43*('Plan mensual'!H49+'Plan mensual'!H160+IF(parametros_manuales!$H$43="Todos",'Plan mensual'!H53+'Plan mensual'!H164,0)))*parametros_manuales!$I$43*parametros_manuales!$J$43</f>
        <v>6430.810915132</v>
      </c>
      <c r="G134" s="9" t="n">
        <f aca="false">(parametros_manuales!$D$43*('Plan mensual'!I46+'Plan mensual'!I157+IF(parametros_manuales!$H$43="Todos",'Plan mensual'!I50+'Plan mensual'!I161,0))+parametros_manuales!$E$43*('Plan mensual'!I47+'Plan mensual'!I158+IF(parametros_manuales!$H$43="Todos",'Plan mensual'!I51+'Plan mensual'!I162,0))+parametros_manuales!$F$43*('Plan mensual'!I48+'Plan mensual'!I159+IF(parametros_manuales!$H$43="Todos",'Plan mensual'!I52+'Plan mensual'!I163,0))+parametros_manuales!$G$43*('Plan mensual'!I49+'Plan mensual'!I160+IF(parametros_manuales!$H$43="Todos",'Plan mensual'!I53+'Plan mensual'!I164,0)))*parametros_manuales!$I$43*parametros_manuales!$J$43</f>
        <v>6300.6402510425</v>
      </c>
      <c r="H134" s="9" t="n">
        <f aca="false">(parametros_manuales!$D$43*('Plan mensual'!J46+'Plan mensual'!J157+IF(parametros_manuales!$H$43="Todos",'Plan mensual'!J50+'Plan mensual'!J161,0))+parametros_manuales!$E$43*('Plan mensual'!J47+'Plan mensual'!J158+IF(parametros_manuales!$H$43="Todos",'Plan mensual'!J51+'Plan mensual'!J162,0))+parametros_manuales!$F$43*('Plan mensual'!J48+'Plan mensual'!J159+IF(parametros_manuales!$H$43="Todos",'Plan mensual'!J52+'Plan mensual'!J163,0))+parametros_manuales!$G$43*('Plan mensual'!J49+'Plan mensual'!J160+IF(parametros_manuales!$H$43="Todos",'Plan mensual'!J53+'Plan mensual'!J164,0)))*parametros_manuales!$I$43*parametros_manuales!$J$43</f>
        <v>6741.388078682</v>
      </c>
      <c r="I134" s="9" t="n">
        <f aca="false">(parametros_manuales!$D$43*('Plan mensual'!K46+'Plan mensual'!K157+IF(parametros_manuales!$H$43="Todos",'Plan mensual'!K50+'Plan mensual'!K161,0))+parametros_manuales!$E$43*('Plan mensual'!K47+'Plan mensual'!K158+IF(parametros_manuales!$H$43="Todos",'Plan mensual'!K51+'Plan mensual'!K162,0))+parametros_manuales!$F$43*('Plan mensual'!K48+'Plan mensual'!K159+IF(parametros_manuales!$H$43="Todos",'Plan mensual'!K52+'Plan mensual'!K163,0))+parametros_manuales!$G$43*('Plan mensual'!K49+'Plan mensual'!K160+IF(parametros_manuales!$H$43="Todos",'Plan mensual'!K53+'Plan mensual'!K164,0)))*parametros_manuales!$I$43*parametros_manuales!$J$43</f>
        <v>6741.388078682</v>
      </c>
      <c r="J134" s="9" t="n">
        <f aca="false">(parametros_manuales!$D$43*('Plan mensual'!L46+'Plan mensual'!L157+IF(parametros_manuales!$H$43="Todos",'Plan mensual'!L50+'Plan mensual'!L161,0))+parametros_manuales!$E$43*('Plan mensual'!L47+'Plan mensual'!L158+IF(parametros_manuales!$H$43="Todos",'Plan mensual'!L51+'Plan mensual'!L162,0))+parametros_manuales!$F$43*('Plan mensual'!L48+'Plan mensual'!L159+IF(parametros_manuales!$H$43="Todos",'Plan mensual'!L52+'Plan mensual'!L163,0))+parametros_manuales!$G$43*('Plan mensual'!L49+'Plan mensual'!L160+IF(parametros_manuales!$H$43="Todos",'Plan mensual'!L53+'Plan mensual'!L164,0)))*parametros_manuales!$I$43*parametros_manuales!$J$43</f>
        <v>6741.388078682</v>
      </c>
      <c r="K134" s="9" t="n">
        <f aca="false">(parametros_manuales!$D$43*('Plan mensual'!M46+'Plan mensual'!M157+IF(parametros_manuales!$H$43="Todos",'Plan mensual'!M50+'Plan mensual'!M161,0))+parametros_manuales!$E$43*('Plan mensual'!M47+'Plan mensual'!M158+IF(parametros_manuales!$H$43="Todos",'Plan mensual'!M51+'Plan mensual'!M162,0))+parametros_manuales!$F$43*('Plan mensual'!M48+'Plan mensual'!M159+IF(parametros_manuales!$H$43="Todos",'Plan mensual'!M52+'Plan mensual'!M163,0))+parametros_manuales!$G$43*('Plan mensual'!M49+'Plan mensual'!M160+IF(parametros_manuales!$H$43="Todos",'Plan mensual'!M53+'Plan mensual'!M164,0)))*parametros_manuales!$I$43*parametros_manuales!$J$43</f>
        <v>6611.2174145925</v>
      </c>
      <c r="L134" s="9" t="n">
        <f aca="false">(parametros_manuales!$D$43*('Plan mensual'!N46+'Plan mensual'!N157+IF(parametros_manuales!$H$43="Todos",'Plan mensual'!N50+'Plan mensual'!N161,0))+parametros_manuales!$E$43*('Plan mensual'!N47+'Plan mensual'!N158+IF(parametros_manuales!$H$43="Todos",'Plan mensual'!N51+'Plan mensual'!N162,0))+parametros_manuales!$F$43*('Plan mensual'!N48+'Plan mensual'!N159+IF(parametros_manuales!$H$43="Todos",'Plan mensual'!N52+'Plan mensual'!N163,0))+parametros_manuales!$G$43*('Plan mensual'!N49+'Plan mensual'!N160+IF(parametros_manuales!$H$43="Todos",'Plan mensual'!N53+'Plan mensual'!N164,0)))*parametros_manuales!$I$43*parametros_manuales!$J$43</f>
        <v>6481.046750503</v>
      </c>
      <c r="M134" s="9" t="n">
        <f aca="false">(parametros_manuales!$D$43*('Plan mensual'!O46+'Plan mensual'!O157+IF(parametros_manuales!$H$43="Todos",'Plan mensual'!O50+'Plan mensual'!O161,0))+parametros_manuales!$E$43*('Plan mensual'!O47+'Plan mensual'!O158+IF(parametros_manuales!$H$43="Todos",'Plan mensual'!O51+'Plan mensual'!O162,0))+parametros_manuales!$F$43*('Plan mensual'!O48+'Plan mensual'!O159+IF(parametros_manuales!$H$43="Todos",'Plan mensual'!O52+'Plan mensual'!O163,0))+parametros_manuales!$G$43*('Plan mensual'!O49+'Plan mensual'!O160+IF(parametros_manuales!$H$43="Todos",'Plan mensual'!O53+'Plan mensual'!O164,0)))*parametros_manuales!$I$43*parametros_manuales!$J$43</f>
        <v>10317.606535169</v>
      </c>
      <c r="N134" s="9" t="n">
        <f aca="false">SUM(B134:M134)</f>
        <v>88149.5655279</v>
      </c>
      <c r="O134" s="9" t="n">
        <f aca="false">MAX(B134:M134)</f>
        <v>10317.606535169</v>
      </c>
      <c r="P134" s="44" t="n">
        <f aca="false">O134/(parametros_manuales!$B$7)</f>
        <v>68.7840435677934</v>
      </c>
      <c r="Q134" s="8" t="str">
        <f aca="false">IF(O134=0,"-",INDEX($B$109:$M$109,MATCH(O134,B134:M134,0)))</f>
        <v>Dic</v>
      </c>
    </row>
    <row r="135" customFormat="false" ht="14.25" hidden="false" customHeight="true" outlineLevel="0" collapsed="false"/>
    <row r="136" customFormat="false" ht="14.25" hidden="false" customHeight="true" outlineLevel="0" collapsed="false">
      <c r="A136" s="7" t="s">
        <v>205</v>
      </c>
      <c r="B136" s="7" t="s">
        <v>59</v>
      </c>
      <c r="C136" s="7" t="s">
        <v>60</v>
      </c>
      <c r="D136" s="7" t="s">
        <v>61</v>
      </c>
      <c r="E136" s="7" t="s">
        <v>62</v>
      </c>
      <c r="F136" s="7" t="s">
        <v>63</v>
      </c>
      <c r="G136" s="7" t="s">
        <v>64</v>
      </c>
      <c r="H136" s="7" t="s">
        <v>65</v>
      </c>
      <c r="I136" s="7" t="s">
        <v>66</v>
      </c>
      <c r="J136" s="7" t="s">
        <v>67</v>
      </c>
      <c r="K136" s="7" t="s">
        <v>68</v>
      </c>
      <c r="L136" s="7" t="s">
        <v>69</v>
      </c>
      <c r="M136" s="7" t="s">
        <v>70</v>
      </c>
      <c r="N136" s="7" t="s">
        <v>181</v>
      </c>
      <c r="O136" s="7" t="s">
        <v>198</v>
      </c>
      <c r="P136" s="7" t="s">
        <v>199</v>
      </c>
      <c r="Q136" s="7" t="s">
        <v>200</v>
      </c>
    </row>
    <row r="137" customFormat="false" ht="14.25" hidden="false" customHeight="true" outlineLevel="0" collapsed="false">
      <c r="A137" s="8" t="str">
        <f aca="false">parametros_manuales!$B$19</f>
        <v>Recepción de materia prima</v>
      </c>
      <c r="B137" s="9" t="n">
        <f aca="false">(parametros_manuales!$D$19*('Plan mensual'!D57+'Plan mensual'!D168+IF(parametros_manuales!$H$19="Todos",'Plan mensual'!D61+'Plan mensual'!D172,0))+parametros_manuales!$E$19*('Plan mensual'!D58+'Plan mensual'!D169+IF(parametros_manuales!$H$19="Todos",'Plan mensual'!D62+'Plan mensual'!D173,0))+parametros_manuales!$F$19*('Plan mensual'!D59+'Plan mensual'!D170+IF(parametros_manuales!$H$19="Todos",'Plan mensual'!D63+'Plan mensual'!D174,0))+parametros_manuales!$G$19*('Plan mensual'!D60+'Plan mensual'!D171+IF(parametros_manuales!$H$19="Todos",'Plan mensual'!D64+'Plan mensual'!D175,0)))*parametros_manuales!$I$19*parametros_manuales!$J$19</f>
        <v>14124.8662713</v>
      </c>
      <c r="C137" s="9" t="n">
        <f aca="false">(parametros_manuales!$D$19*('Plan mensual'!E57+'Plan mensual'!E168+IF(parametros_manuales!$H$19="Todos",'Plan mensual'!E61+'Plan mensual'!E172,0))+parametros_manuales!$E$19*('Plan mensual'!E58+'Plan mensual'!E169+IF(parametros_manuales!$H$19="Todos",'Plan mensual'!E62+'Plan mensual'!E173,0))+parametros_manuales!$F$19*('Plan mensual'!E59+'Plan mensual'!E170+IF(parametros_manuales!$H$19="Todos",'Plan mensual'!E63+'Plan mensual'!E174,0))+parametros_manuales!$G$19*('Plan mensual'!E60+'Plan mensual'!E171+IF(parametros_manuales!$H$19="Todos",'Plan mensual'!E64+'Plan mensual'!E175,0)))*parametros_manuales!$I$19*parametros_manuales!$J$19</f>
        <v>10776.09029862</v>
      </c>
      <c r="D137" s="9" t="n">
        <f aca="false">(parametros_manuales!$D$19*('Plan mensual'!F57+'Plan mensual'!F168+IF(parametros_manuales!$H$19="Todos",'Plan mensual'!F61+'Plan mensual'!F172,0))+parametros_manuales!$E$19*('Plan mensual'!F58+'Plan mensual'!F169+IF(parametros_manuales!$H$19="Todos",'Plan mensual'!F62+'Plan mensual'!F173,0))+parametros_manuales!$F$19*('Plan mensual'!F59+'Plan mensual'!F170+IF(parametros_manuales!$H$19="Todos",'Plan mensual'!F63+'Plan mensual'!F174,0))+parametros_manuales!$G$19*('Plan mensual'!F60+'Plan mensual'!F171+IF(parametros_manuales!$H$19="Todos",'Plan mensual'!F64+'Plan mensual'!F175,0)))*parametros_manuales!$I$19*parametros_manuales!$J$19</f>
        <v>10085.526363065</v>
      </c>
      <c r="E137" s="9" t="n">
        <f aca="false">(parametros_manuales!$D$19*('Plan mensual'!G57+'Plan mensual'!G168+IF(parametros_manuales!$H$19="Todos",'Plan mensual'!G61+'Plan mensual'!G172,0))+parametros_manuales!$E$19*('Plan mensual'!G58+'Plan mensual'!G169+IF(parametros_manuales!$H$19="Todos",'Plan mensual'!G62+'Plan mensual'!G173,0))+parametros_manuales!$F$19*('Plan mensual'!G59+'Plan mensual'!G170+IF(parametros_manuales!$H$19="Todos",'Plan mensual'!G63+'Plan mensual'!G174,0))+parametros_manuales!$G$19*('Plan mensual'!G60+'Plan mensual'!G171+IF(parametros_manuales!$H$19="Todos",'Plan mensual'!G64+'Plan mensual'!G175,0)))*parametros_manuales!$I$19*parametros_manuales!$J$19</f>
        <v>9649.024097715</v>
      </c>
      <c r="F137" s="9" t="n">
        <f aca="false">(parametros_manuales!$D$19*('Plan mensual'!H57+'Plan mensual'!H168+IF(parametros_manuales!$H$19="Todos",'Plan mensual'!H61+'Plan mensual'!H172,0))+parametros_manuales!$E$19*('Plan mensual'!H58+'Plan mensual'!H169+IF(parametros_manuales!$H$19="Todos",'Plan mensual'!H62+'Plan mensual'!H173,0))+parametros_manuales!$F$19*('Plan mensual'!H59+'Plan mensual'!H170+IF(parametros_manuales!$H$19="Todos",'Plan mensual'!H63+'Plan mensual'!H174,0))+parametros_manuales!$G$19*('Plan mensual'!H60+'Plan mensual'!H171+IF(parametros_manuales!$H$19="Todos",'Plan mensual'!H64+'Plan mensual'!H175,0)))*parametros_manuales!$I$19*parametros_manuales!$J$19</f>
        <v>9030.08123722</v>
      </c>
      <c r="G137" s="9" t="n">
        <f aca="false">(parametros_manuales!$D$19*('Plan mensual'!I57+'Plan mensual'!I168+IF(parametros_manuales!$H$19="Todos",'Plan mensual'!I61+'Plan mensual'!I172,0))+parametros_manuales!$E$19*('Plan mensual'!I58+'Plan mensual'!I169+IF(parametros_manuales!$H$19="Todos",'Plan mensual'!I62+'Plan mensual'!I173,0))+parametros_manuales!$F$19*('Plan mensual'!I59+'Plan mensual'!I170+IF(parametros_manuales!$H$19="Todos",'Plan mensual'!I63+'Plan mensual'!I174,0))+parametros_manuales!$G$19*('Plan mensual'!I60+'Plan mensual'!I171+IF(parametros_manuales!$H$19="Todos",'Plan mensual'!I64+'Plan mensual'!I175,0)))*parametros_manuales!$I$19*parametros_manuales!$J$19</f>
        <v>8847.640642075</v>
      </c>
      <c r="H137" s="9" t="n">
        <f aca="false">(parametros_manuales!$D$19*('Plan mensual'!J57+'Plan mensual'!J168+IF(parametros_manuales!$H$19="Todos",'Plan mensual'!J61+'Plan mensual'!J172,0))+parametros_manuales!$E$19*('Plan mensual'!J58+'Plan mensual'!J169+IF(parametros_manuales!$H$19="Todos",'Plan mensual'!J62+'Plan mensual'!J173,0))+parametros_manuales!$F$19*('Plan mensual'!J59+'Plan mensual'!J170+IF(parametros_manuales!$H$19="Todos",'Plan mensual'!J63+'Plan mensual'!J174,0))+parametros_manuales!$G$19*('Plan mensual'!J60+'Plan mensual'!J171+IF(parametros_manuales!$H$19="Todos",'Plan mensual'!J64+'Plan mensual'!J175,0)))*parametros_manuales!$I$19*parametros_manuales!$J$19</f>
        <v>9466.58350257</v>
      </c>
      <c r="I137" s="9" t="n">
        <f aca="false">(parametros_manuales!$D$19*('Plan mensual'!K57+'Plan mensual'!K168+IF(parametros_manuales!$H$19="Todos",'Plan mensual'!K61+'Plan mensual'!K172,0))+parametros_manuales!$E$19*('Plan mensual'!K58+'Plan mensual'!K169+IF(parametros_manuales!$H$19="Todos",'Plan mensual'!K62+'Plan mensual'!K173,0))+parametros_manuales!$F$19*('Plan mensual'!K59+'Plan mensual'!K170+IF(parametros_manuales!$H$19="Todos",'Plan mensual'!K63+'Plan mensual'!K174,0))+parametros_manuales!$G$19*('Plan mensual'!K60+'Plan mensual'!K171+IF(parametros_manuales!$H$19="Todos",'Plan mensual'!K64+'Plan mensual'!K175,0)))*parametros_manuales!$I$19*parametros_manuales!$J$19</f>
        <v>9466.58350257</v>
      </c>
      <c r="J137" s="9" t="n">
        <f aca="false">(parametros_manuales!$D$19*('Plan mensual'!L57+'Plan mensual'!L168+IF(parametros_manuales!$H$19="Todos",'Plan mensual'!L61+'Plan mensual'!L172,0))+parametros_manuales!$E$19*('Plan mensual'!L58+'Plan mensual'!L169+IF(parametros_manuales!$H$19="Todos",'Plan mensual'!L62+'Plan mensual'!L173,0))+parametros_manuales!$F$19*('Plan mensual'!L59+'Plan mensual'!L170+IF(parametros_manuales!$H$19="Todos",'Plan mensual'!L63+'Plan mensual'!L174,0))+parametros_manuales!$G$19*('Plan mensual'!L60+'Plan mensual'!L171+IF(parametros_manuales!$H$19="Todos",'Plan mensual'!L64+'Plan mensual'!L175,0)))*parametros_manuales!$I$19*parametros_manuales!$J$19</f>
        <v>9466.58350257</v>
      </c>
      <c r="K137" s="9" t="n">
        <f aca="false">(parametros_manuales!$D$19*('Plan mensual'!M57+'Plan mensual'!M168+IF(parametros_manuales!$H$19="Todos",'Plan mensual'!M61+'Plan mensual'!M172,0))+parametros_manuales!$E$19*('Plan mensual'!M58+'Plan mensual'!M169+IF(parametros_manuales!$H$19="Todos",'Plan mensual'!M62+'Plan mensual'!M173,0))+parametros_manuales!$F$19*('Plan mensual'!M59+'Plan mensual'!M170+IF(parametros_manuales!$H$19="Todos",'Plan mensual'!M63+'Plan mensual'!M174,0))+parametros_manuales!$G$19*('Plan mensual'!M60+'Plan mensual'!M171+IF(parametros_manuales!$H$19="Todos",'Plan mensual'!M64+'Plan mensual'!M175,0)))*parametros_manuales!$I$19*parametros_manuales!$J$19</f>
        <v>9284.142907425</v>
      </c>
      <c r="L137" s="9" t="n">
        <f aca="false">(parametros_manuales!$D$19*('Plan mensual'!N57+'Plan mensual'!N168+IF(parametros_manuales!$H$19="Todos",'Plan mensual'!N61+'Plan mensual'!N172,0))+parametros_manuales!$E$19*('Plan mensual'!N58+'Plan mensual'!N169+IF(parametros_manuales!$H$19="Todos",'Plan mensual'!N62+'Plan mensual'!N173,0))+parametros_manuales!$F$19*('Plan mensual'!N59+'Plan mensual'!N170+IF(parametros_manuales!$H$19="Todos",'Plan mensual'!N63+'Plan mensual'!N174,0))+parametros_manuales!$G$19*('Plan mensual'!N60+'Plan mensual'!N171+IF(parametros_manuales!$H$19="Todos",'Plan mensual'!N64+'Plan mensual'!N175,0)))*parametros_manuales!$I$19*parametros_manuales!$J$19</f>
        <v>9101.70231228</v>
      </c>
      <c r="M137" s="9" t="n">
        <f aca="false">(parametros_manuales!$D$19*('Plan mensual'!O57+'Plan mensual'!O168+IF(parametros_manuales!$H$19="Todos",'Plan mensual'!O61+'Plan mensual'!O172,0))+parametros_manuales!$E$19*('Plan mensual'!O58+'Plan mensual'!O169+IF(parametros_manuales!$H$19="Todos",'Plan mensual'!O62+'Plan mensual'!O173,0))+parametros_manuales!$F$19*('Plan mensual'!O59+'Plan mensual'!O170+IF(parametros_manuales!$H$19="Todos",'Plan mensual'!O63+'Plan mensual'!O174,0))+parametros_manuales!$G$19*('Plan mensual'!O60+'Plan mensual'!O171+IF(parametros_manuales!$H$19="Todos",'Plan mensual'!O64+'Plan mensual'!O175,0)))*parametros_manuales!$I$19*parametros_manuales!$J$19</f>
        <v>14489.74746159</v>
      </c>
      <c r="N137" s="9" t="n">
        <f aca="false">SUM(B137:M137)</f>
        <v>123788.572099</v>
      </c>
      <c r="O137" s="9" t="n">
        <f aca="false">MAX(B137:M137)</f>
        <v>14489.74746159</v>
      </c>
      <c r="P137" s="44" t="n">
        <f aca="false">O137/(parametros_manuales!$B$7)</f>
        <v>96.5983164106</v>
      </c>
      <c r="Q137" s="8" t="str">
        <f aca="false">IF(O137=0,"-",INDEX($B$136:$M$136,MATCH(O137,B137:M137,0)))</f>
        <v>Dic</v>
      </c>
    </row>
    <row r="138" customFormat="false" ht="14.25" hidden="false" customHeight="true" outlineLevel="0" collapsed="false">
      <c r="A138" s="8" t="str">
        <f aca="false">parametros_manuales!$B$20</f>
        <v>Corte de chapa (guillotina) — 2,5 a 10 kg</v>
      </c>
      <c r="B138" s="9" t="n">
        <f aca="false">(parametros_manuales!$D$20*('Plan mensual'!D57+'Plan mensual'!D168+IF(parametros_manuales!$H$20="Todos",'Plan mensual'!D61+'Plan mensual'!D172,0))+parametros_manuales!$E$20*('Plan mensual'!D58+'Plan mensual'!D169+IF(parametros_manuales!$H$20="Todos",'Plan mensual'!D62+'Plan mensual'!D173,0))+parametros_manuales!$F$20*('Plan mensual'!D59+'Plan mensual'!D170+IF(parametros_manuales!$H$20="Todos",'Plan mensual'!D63+'Plan mensual'!D174,0))+parametros_manuales!$G$20*('Plan mensual'!D60+'Plan mensual'!D171+IF(parametros_manuales!$H$20="Todos",'Plan mensual'!D64+'Plan mensual'!D175,0)))*parametros_manuales!$I$20*parametros_manuales!$J$20</f>
        <v>3648.8119029</v>
      </c>
      <c r="C138" s="9" t="n">
        <f aca="false">(parametros_manuales!$D$20*('Plan mensual'!E57+'Plan mensual'!E168+IF(parametros_manuales!$H$20="Todos",'Plan mensual'!E61+'Plan mensual'!E172,0))+parametros_manuales!$E$20*('Plan mensual'!E58+'Plan mensual'!E169+IF(parametros_manuales!$H$20="Todos",'Plan mensual'!E62+'Plan mensual'!E173,0))+parametros_manuales!$F$20*('Plan mensual'!E59+'Plan mensual'!E170+IF(parametros_manuales!$H$20="Todos",'Plan mensual'!E63+'Plan mensual'!E174,0))+parametros_manuales!$G$20*('Plan mensual'!E60+'Plan mensual'!E171+IF(parametros_manuales!$H$20="Todos",'Plan mensual'!E64+'Plan mensual'!E175,0)))*parametros_manuales!$I$20*parametros_manuales!$J$20</f>
        <v>2919.04952232</v>
      </c>
      <c r="D138" s="9" t="n">
        <f aca="false">(parametros_manuales!$D$20*('Plan mensual'!F57+'Plan mensual'!F168+IF(parametros_manuales!$H$20="Todos",'Plan mensual'!F61+'Plan mensual'!F172,0))+parametros_manuales!$E$20*('Plan mensual'!F58+'Plan mensual'!F169+IF(parametros_manuales!$H$20="Todos",'Plan mensual'!F62+'Plan mensual'!F173,0))+parametros_manuales!$F$20*('Plan mensual'!F59+'Plan mensual'!F170+IF(parametros_manuales!$H$20="Todos",'Plan mensual'!F63+'Plan mensual'!F174,0))+parametros_manuales!$G$20*('Plan mensual'!F60+'Plan mensual'!F171+IF(parametros_manuales!$H$20="Todos",'Plan mensual'!F64+'Plan mensual'!F175,0)))*parametros_manuales!$I$20*parametros_manuales!$J$20</f>
        <v>3101.490117465</v>
      </c>
      <c r="E138" s="9" t="n">
        <f aca="false">(parametros_manuales!$D$20*('Plan mensual'!G57+'Plan mensual'!G168+IF(parametros_manuales!$H$20="Todos",'Plan mensual'!G61+'Plan mensual'!G172,0))+parametros_manuales!$E$20*('Plan mensual'!G58+'Plan mensual'!G169+IF(parametros_manuales!$H$20="Todos",'Plan mensual'!G62+'Plan mensual'!G173,0))+parametros_manuales!$F$20*('Plan mensual'!G59+'Plan mensual'!G170+IF(parametros_manuales!$H$20="Todos",'Plan mensual'!G63+'Plan mensual'!G174,0))+parametros_manuales!$G$20*('Plan mensual'!G60+'Plan mensual'!G171+IF(parametros_manuales!$H$20="Todos",'Plan mensual'!G64+'Plan mensual'!G175,0)))*parametros_manuales!$I$20*parametros_manuales!$J$20</f>
        <v>3101.490117465</v>
      </c>
      <c r="F138" s="9" t="n">
        <f aca="false">(parametros_manuales!$D$20*('Plan mensual'!H57+'Plan mensual'!H168+IF(parametros_manuales!$H$20="Todos",'Plan mensual'!H61+'Plan mensual'!H172,0))+parametros_manuales!$E$20*('Plan mensual'!H58+'Plan mensual'!H169+IF(parametros_manuales!$H$20="Todos",'Plan mensual'!H62+'Plan mensual'!H173,0))+parametros_manuales!$F$20*('Plan mensual'!H59+'Plan mensual'!H170+IF(parametros_manuales!$H$20="Todos",'Plan mensual'!H63+'Plan mensual'!H174,0))+parametros_manuales!$G$20*('Plan mensual'!H60+'Plan mensual'!H171+IF(parametros_manuales!$H$20="Todos",'Plan mensual'!H64+'Plan mensual'!H175,0)))*parametros_manuales!$I$20*parametros_manuales!$J$20</f>
        <v>2919.04952232</v>
      </c>
      <c r="G138" s="9" t="n">
        <f aca="false">(parametros_manuales!$D$20*('Plan mensual'!I57+'Plan mensual'!I168+IF(parametros_manuales!$H$20="Todos",'Plan mensual'!I61+'Plan mensual'!I172,0))+parametros_manuales!$E$20*('Plan mensual'!I58+'Plan mensual'!I169+IF(parametros_manuales!$H$20="Todos",'Plan mensual'!I62+'Plan mensual'!I173,0))+parametros_manuales!$F$20*('Plan mensual'!I59+'Plan mensual'!I170+IF(parametros_manuales!$H$20="Todos",'Plan mensual'!I63+'Plan mensual'!I174,0))+parametros_manuales!$G$20*('Plan mensual'!I60+'Plan mensual'!I171+IF(parametros_manuales!$H$20="Todos",'Plan mensual'!I64+'Plan mensual'!I175,0)))*parametros_manuales!$I$20*parametros_manuales!$J$20</f>
        <v>2736.608927175</v>
      </c>
      <c r="H138" s="9" t="n">
        <f aca="false">(parametros_manuales!$D$20*('Plan mensual'!J57+'Plan mensual'!J168+IF(parametros_manuales!$H$20="Todos",'Plan mensual'!J61+'Plan mensual'!J172,0))+parametros_manuales!$E$20*('Plan mensual'!J58+'Plan mensual'!J169+IF(parametros_manuales!$H$20="Todos",'Plan mensual'!J62+'Plan mensual'!J173,0))+parametros_manuales!$F$20*('Plan mensual'!J59+'Plan mensual'!J170+IF(parametros_manuales!$H$20="Todos",'Plan mensual'!J63+'Plan mensual'!J174,0))+parametros_manuales!$G$20*('Plan mensual'!J60+'Plan mensual'!J171+IF(parametros_manuales!$H$20="Todos",'Plan mensual'!J64+'Plan mensual'!J175,0)))*parametros_manuales!$I$20*parametros_manuales!$J$20</f>
        <v>2919.04952232</v>
      </c>
      <c r="I138" s="9" t="n">
        <f aca="false">(parametros_manuales!$D$20*('Plan mensual'!K57+'Plan mensual'!K168+IF(parametros_manuales!$H$20="Todos",'Plan mensual'!K61+'Plan mensual'!K172,0))+parametros_manuales!$E$20*('Plan mensual'!K58+'Plan mensual'!K169+IF(parametros_manuales!$H$20="Todos",'Plan mensual'!K62+'Plan mensual'!K173,0))+parametros_manuales!$F$20*('Plan mensual'!K59+'Plan mensual'!K170+IF(parametros_manuales!$H$20="Todos",'Plan mensual'!K63+'Plan mensual'!K174,0))+parametros_manuales!$G$20*('Plan mensual'!K60+'Plan mensual'!K171+IF(parametros_manuales!$H$20="Todos",'Plan mensual'!K64+'Plan mensual'!K175,0)))*parametros_manuales!$I$20*parametros_manuales!$J$20</f>
        <v>2919.04952232</v>
      </c>
      <c r="J138" s="9" t="n">
        <f aca="false">(parametros_manuales!$D$20*('Plan mensual'!L57+'Plan mensual'!L168+IF(parametros_manuales!$H$20="Todos",'Plan mensual'!L61+'Plan mensual'!L172,0))+parametros_manuales!$E$20*('Plan mensual'!L58+'Plan mensual'!L169+IF(parametros_manuales!$H$20="Todos",'Plan mensual'!L62+'Plan mensual'!L173,0))+parametros_manuales!$F$20*('Plan mensual'!L59+'Plan mensual'!L170+IF(parametros_manuales!$H$20="Todos",'Plan mensual'!L63+'Plan mensual'!L174,0))+parametros_manuales!$G$20*('Plan mensual'!L60+'Plan mensual'!L171+IF(parametros_manuales!$H$20="Todos",'Plan mensual'!L64+'Plan mensual'!L175,0)))*parametros_manuales!$I$20*parametros_manuales!$J$20</f>
        <v>2919.04952232</v>
      </c>
      <c r="K138" s="9" t="n">
        <f aca="false">(parametros_manuales!$D$20*('Plan mensual'!M57+'Plan mensual'!M168+IF(parametros_manuales!$H$20="Todos",'Plan mensual'!M61+'Plan mensual'!M172,0))+parametros_manuales!$E$20*('Plan mensual'!M58+'Plan mensual'!M169+IF(parametros_manuales!$H$20="Todos",'Plan mensual'!M62+'Plan mensual'!M173,0))+parametros_manuales!$F$20*('Plan mensual'!M59+'Plan mensual'!M170+IF(parametros_manuales!$H$20="Todos",'Plan mensual'!M63+'Plan mensual'!M174,0))+parametros_manuales!$G$20*('Plan mensual'!M60+'Plan mensual'!M171+IF(parametros_manuales!$H$20="Todos",'Plan mensual'!M64+'Plan mensual'!M175,0)))*parametros_manuales!$I$20*parametros_manuales!$J$20</f>
        <v>2736.608927175</v>
      </c>
      <c r="L138" s="9" t="n">
        <f aca="false">(parametros_manuales!$D$20*('Plan mensual'!N57+'Plan mensual'!N168+IF(parametros_manuales!$H$20="Todos",'Plan mensual'!N61+'Plan mensual'!N172,0))+parametros_manuales!$E$20*('Plan mensual'!N58+'Plan mensual'!N169+IF(parametros_manuales!$H$20="Todos",'Plan mensual'!N62+'Plan mensual'!N173,0))+parametros_manuales!$F$20*('Plan mensual'!N59+'Plan mensual'!N170+IF(parametros_manuales!$H$20="Todos",'Plan mensual'!N63+'Plan mensual'!N174,0))+parametros_manuales!$G$20*('Plan mensual'!N60+'Plan mensual'!N171+IF(parametros_manuales!$H$20="Todos",'Plan mensual'!N64+'Plan mensual'!N175,0)))*parametros_manuales!$I$20*parametros_manuales!$J$20</f>
        <v>2554.16833203</v>
      </c>
      <c r="M138" s="9" t="n">
        <f aca="false">(parametros_manuales!$D$20*('Plan mensual'!O57+'Plan mensual'!O168+IF(parametros_manuales!$H$20="Todos",'Plan mensual'!O61+'Plan mensual'!O172,0))+parametros_manuales!$E$20*('Plan mensual'!O58+'Plan mensual'!O169+IF(parametros_manuales!$H$20="Todos",'Plan mensual'!O62+'Plan mensual'!O173,0))+parametros_manuales!$F$20*('Plan mensual'!O59+'Plan mensual'!O170+IF(parametros_manuales!$H$20="Todos",'Plan mensual'!O63+'Plan mensual'!O174,0))+parametros_manuales!$G$20*('Plan mensual'!O60+'Plan mensual'!O171+IF(parametros_manuales!$H$20="Todos",'Plan mensual'!O64+'Plan mensual'!O175,0)))*parametros_manuales!$I$20*parametros_manuales!$J$20</f>
        <v>4013.69309319</v>
      </c>
      <c r="N138" s="9" t="n">
        <f aca="false">SUM(B138:M138)</f>
        <v>36488.119029</v>
      </c>
      <c r="O138" s="9" t="n">
        <f aca="false">MAX(B138:M138)</f>
        <v>4013.69309319</v>
      </c>
      <c r="P138" s="44" t="n">
        <f aca="false">O138/(parametros_manuales!$B$7)</f>
        <v>26.7579539546</v>
      </c>
      <c r="Q138" s="8" t="str">
        <f aca="false">IF(O138=0,"-",INDEX($B$136:$M$136,MATCH(O138,B138:M138,0)))</f>
        <v>Dic</v>
      </c>
    </row>
    <row r="139" customFormat="false" ht="14.25" hidden="false" customHeight="true" outlineLevel="0" collapsed="false">
      <c r="A139" s="8" t="str">
        <f aca="false">parametros_manuales!$B$21</f>
        <v>Corte de tubo — 1 kg</v>
      </c>
      <c r="B139" s="9" t="n">
        <f aca="false">(parametros_manuales!$D$21*('Plan mensual'!D57+'Plan mensual'!D168+IF(parametros_manuales!$H$21="Todos",'Plan mensual'!D61+'Plan mensual'!D172,0))+parametros_manuales!$E$21*('Plan mensual'!D58+'Plan mensual'!D169+IF(parametros_manuales!$H$21="Todos",'Plan mensual'!D62+'Plan mensual'!D173,0))+parametros_manuales!$F$21*('Plan mensual'!D59+'Plan mensual'!D170+IF(parametros_manuales!$H$21="Todos",'Plan mensual'!D63+'Plan mensual'!D174,0))+parametros_manuales!$G$21*('Plan mensual'!D60+'Plan mensual'!D171+IF(parametros_manuales!$H$21="Todos",'Plan mensual'!D64+'Plan mensual'!D175,0)))*parametros_manuales!$I$21*parametros_manuales!$J$21</f>
        <v>10476.0543684</v>
      </c>
      <c r="C139" s="9" t="n">
        <f aca="false">(parametros_manuales!$D$21*('Plan mensual'!E57+'Plan mensual'!E168+IF(parametros_manuales!$H$21="Todos",'Plan mensual'!E61+'Plan mensual'!E172,0))+parametros_manuales!$E$21*('Plan mensual'!E58+'Plan mensual'!E169+IF(parametros_manuales!$H$21="Todos",'Plan mensual'!E62+'Plan mensual'!E173,0))+parametros_manuales!$F$21*('Plan mensual'!E59+'Plan mensual'!E170+IF(parametros_manuales!$H$21="Todos",'Plan mensual'!E63+'Plan mensual'!E174,0))+parametros_manuales!$G$21*('Plan mensual'!E60+'Plan mensual'!E171+IF(parametros_manuales!$H$21="Todos",'Plan mensual'!E64+'Plan mensual'!E175,0)))*parametros_manuales!$I$21*parametros_manuales!$J$21</f>
        <v>7857.0407763</v>
      </c>
      <c r="D139" s="9" t="n">
        <f aca="false">(parametros_manuales!$D$21*('Plan mensual'!F57+'Plan mensual'!F168+IF(parametros_manuales!$H$21="Todos",'Plan mensual'!F61+'Plan mensual'!F172,0))+parametros_manuales!$E$21*('Plan mensual'!F58+'Plan mensual'!F169+IF(parametros_manuales!$H$21="Todos",'Plan mensual'!F62+'Plan mensual'!F173,0))+parametros_manuales!$F$21*('Plan mensual'!F59+'Plan mensual'!F170+IF(parametros_manuales!$H$21="Todos",'Plan mensual'!F63+'Plan mensual'!F174,0))+parametros_manuales!$G$21*('Plan mensual'!F60+'Plan mensual'!F171+IF(parametros_manuales!$H$21="Todos",'Plan mensual'!F64+'Plan mensual'!F175,0)))*parametros_manuales!$I$21*parametros_manuales!$J$21</f>
        <v>6984.0362456</v>
      </c>
      <c r="E139" s="9" t="n">
        <f aca="false">(parametros_manuales!$D$21*('Plan mensual'!G57+'Plan mensual'!G168+IF(parametros_manuales!$H$21="Todos",'Plan mensual'!G61+'Plan mensual'!G172,0))+parametros_manuales!$E$21*('Plan mensual'!G58+'Plan mensual'!G169+IF(parametros_manuales!$H$21="Todos",'Plan mensual'!G62+'Plan mensual'!G173,0))+parametros_manuales!$F$21*('Plan mensual'!G59+'Plan mensual'!G170+IF(parametros_manuales!$H$21="Todos",'Plan mensual'!G63+'Plan mensual'!G174,0))+parametros_manuales!$G$21*('Plan mensual'!G60+'Plan mensual'!G171+IF(parametros_manuales!$H$21="Todos",'Plan mensual'!G64+'Plan mensual'!G175,0)))*parametros_manuales!$I$21*parametros_manuales!$J$21</f>
        <v>6547.53398025</v>
      </c>
      <c r="F139" s="9" t="n">
        <f aca="false">(parametros_manuales!$D$21*('Plan mensual'!H57+'Plan mensual'!H168+IF(parametros_manuales!$H$21="Todos",'Plan mensual'!H61+'Plan mensual'!H172,0))+parametros_manuales!$E$21*('Plan mensual'!H58+'Plan mensual'!H169+IF(parametros_manuales!$H$21="Todos",'Plan mensual'!H62+'Plan mensual'!H173,0))+parametros_manuales!$F$21*('Plan mensual'!H59+'Plan mensual'!H170+IF(parametros_manuales!$H$21="Todos",'Plan mensual'!H63+'Plan mensual'!H174,0))+parametros_manuales!$G$21*('Plan mensual'!H60+'Plan mensual'!H171+IF(parametros_manuales!$H$21="Todos",'Plan mensual'!H64+'Plan mensual'!H175,0)))*parametros_manuales!$I$21*parametros_manuales!$J$21</f>
        <v>6111.0317149</v>
      </c>
      <c r="G139" s="9" t="n">
        <f aca="false">(parametros_manuales!$D$21*('Plan mensual'!I57+'Plan mensual'!I168+IF(parametros_manuales!$H$21="Todos",'Plan mensual'!I61+'Plan mensual'!I172,0))+parametros_manuales!$E$21*('Plan mensual'!I58+'Plan mensual'!I169+IF(parametros_manuales!$H$21="Todos",'Plan mensual'!I62+'Plan mensual'!I173,0))+parametros_manuales!$F$21*('Plan mensual'!I59+'Plan mensual'!I170+IF(parametros_manuales!$H$21="Todos",'Plan mensual'!I63+'Plan mensual'!I174,0))+parametros_manuales!$G$21*('Plan mensual'!I60+'Plan mensual'!I171+IF(parametros_manuales!$H$21="Todos",'Plan mensual'!I64+'Plan mensual'!I175,0)))*parametros_manuales!$I$21*parametros_manuales!$J$21</f>
        <v>6111.0317149</v>
      </c>
      <c r="H139" s="9" t="n">
        <f aca="false">(parametros_manuales!$D$21*('Plan mensual'!J57+'Plan mensual'!J168+IF(parametros_manuales!$H$21="Todos",'Plan mensual'!J61+'Plan mensual'!J172,0))+parametros_manuales!$E$21*('Plan mensual'!J58+'Plan mensual'!J169+IF(parametros_manuales!$H$21="Todos",'Plan mensual'!J62+'Plan mensual'!J173,0))+parametros_manuales!$F$21*('Plan mensual'!J59+'Plan mensual'!J170+IF(parametros_manuales!$H$21="Todos",'Plan mensual'!J63+'Plan mensual'!J174,0))+parametros_manuales!$G$21*('Plan mensual'!J60+'Plan mensual'!J171+IF(parametros_manuales!$H$21="Todos",'Plan mensual'!J64+'Plan mensual'!J175,0)))*parametros_manuales!$I$21*parametros_manuales!$J$21</f>
        <v>6547.53398025</v>
      </c>
      <c r="I139" s="9" t="n">
        <f aca="false">(parametros_manuales!$D$21*('Plan mensual'!K57+'Plan mensual'!K168+IF(parametros_manuales!$H$21="Todos",'Plan mensual'!K61+'Plan mensual'!K172,0))+parametros_manuales!$E$21*('Plan mensual'!K58+'Plan mensual'!K169+IF(parametros_manuales!$H$21="Todos",'Plan mensual'!K62+'Plan mensual'!K173,0))+parametros_manuales!$F$21*('Plan mensual'!K59+'Plan mensual'!K170+IF(parametros_manuales!$H$21="Todos",'Plan mensual'!K63+'Plan mensual'!K174,0))+parametros_manuales!$G$21*('Plan mensual'!K60+'Plan mensual'!K171+IF(parametros_manuales!$H$21="Todos",'Plan mensual'!K64+'Plan mensual'!K175,0)))*parametros_manuales!$I$21*parametros_manuales!$J$21</f>
        <v>6547.53398025</v>
      </c>
      <c r="J139" s="9" t="n">
        <f aca="false">(parametros_manuales!$D$21*('Plan mensual'!L57+'Plan mensual'!L168+IF(parametros_manuales!$H$21="Todos",'Plan mensual'!L61+'Plan mensual'!L172,0))+parametros_manuales!$E$21*('Plan mensual'!L58+'Plan mensual'!L169+IF(parametros_manuales!$H$21="Todos",'Plan mensual'!L62+'Plan mensual'!L173,0))+parametros_manuales!$F$21*('Plan mensual'!L59+'Plan mensual'!L170+IF(parametros_manuales!$H$21="Todos",'Plan mensual'!L63+'Plan mensual'!L174,0))+parametros_manuales!$G$21*('Plan mensual'!L60+'Plan mensual'!L171+IF(parametros_manuales!$H$21="Todos",'Plan mensual'!L64+'Plan mensual'!L175,0)))*parametros_manuales!$I$21*parametros_manuales!$J$21</f>
        <v>6547.53398025</v>
      </c>
      <c r="K139" s="9" t="n">
        <f aca="false">(parametros_manuales!$D$21*('Plan mensual'!M57+'Plan mensual'!M168+IF(parametros_manuales!$H$21="Todos",'Plan mensual'!M61+'Plan mensual'!M172,0))+parametros_manuales!$E$21*('Plan mensual'!M58+'Plan mensual'!M169+IF(parametros_manuales!$H$21="Todos",'Plan mensual'!M62+'Plan mensual'!M173,0))+parametros_manuales!$F$21*('Plan mensual'!M59+'Plan mensual'!M170+IF(parametros_manuales!$H$21="Todos",'Plan mensual'!M63+'Plan mensual'!M174,0))+parametros_manuales!$G$21*('Plan mensual'!M60+'Plan mensual'!M171+IF(parametros_manuales!$H$21="Todos",'Plan mensual'!M64+'Plan mensual'!M175,0)))*parametros_manuales!$I$21*parametros_manuales!$J$21</f>
        <v>6547.53398025</v>
      </c>
      <c r="L139" s="9" t="n">
        <f aca="false">(parametros_manuales!$D$21*('Plan mensual'!N57+'Plan mensual'!N168+IF(parametros_manuales!$H$21="Todos",'Plan mensual'!N61+'Plan mensual'!N172,0))+parametros_manuales!$E$21*('Plan mensual'!N58+'Plan mensual'!N169+IF(parametros_manuales!$H$21="Todos",'Plan mensual'!N62+'Plan mensual'!N173,0))+parametros_manuales!$F$21*('Plan mensual'!N59+'Plan mensual'!N170+IF(parametros_manuales!$H$21="Todos",'Plan mensual'!N63+'Plan mensual'!N174,0))+parametros_manuales!$G$21*('Plan mensual'!N60+'Plan mensual'!N171+IF(parametros_manuales!$H$21="Todos",'Plan mensual'!N64+'Plan mensual'!N175,0)))*parametros_manuales!$I$21*parametros_manuales!$J$21</f>
        <v>6547.53398025</v>
      </c>
      <c r="M139" s="9" t="n">
        <f aca="false">(parametros_manuales!$D$21*('Plan mensual'!O57+'Plan mensual'!O168+IF(parametros_manuales!$H$21="Todos",'Plan mensual'!O61+'Plan mensual'!O172,0))+parametros_manuales!$E$21*('Plan mensual'!O58+'Plan mensual'!O169+IF(parametros_manuales!$H$21="Todos",'Plan mensual'!O62+'Plan mensual'!O173,0))+parametros_manuales!$F$21*('Plan mensual'!O59+'Plan mensual'!O170+IF(parametros_manuales!$H$21="Todos",'Plan mensual'!O63+'Plan mensual'!O174,0))+parametros_manuales!$G$21*('Plan mensual'!O60+'Plan mensual'!O171+IF(parametros_manuales!$H$21="Todos",'Plan mensual'!O64+'Plan mensual'!O175,0)))*parametros_manuales!$I$21*parametros_manuales!$J$21</f>
        <v>10476.0543684</v>
      </c>
      <c r="N139" s="9" t="n">
        <f aca="false">SUM(B139:M139)</f>
        <v>87300.45307</v>
      </c>
      <c r="O139" s="9" t="n">
        <f aca="false">MAX(B139:M139)</f>
        <v>10476.0543684</v>
      </c>
      <c r="P139" s="44" t="n">
        <f aca="false">O139/(parametros_manuales!$B$7)</f>
        <v>69.840362456</v>
      </c>
      <c r="Q139" s="8" t="str">
        <f aca="false">IF(O139=0,"-",INDEX($B$136:$M$136,MATCH(O139,B139:M139,0)))</f>
        <v>Ene</v>
      </c>
    </row>
    <row r="140" customFormat="false" ht="14.25" hidden="false" customHeight="true" outlineLevel="0" collapsed="false">
      <c r="A140" s="8" t="str">
        <f aca="false">parametros_manuales!$B$22</f>
        <v>Corte de disco y embutido (cúpula y fondo)</v>
      </c>
      <c r="B140" s="9" t="n">
        <f aca="false">(parametros_manuales!$D$22*('Plan mensual'!D57+'Plan mensual'!D168+IF(parametros_manuales!$H$22="Todos",'Plan mensual'!D61+'Plan mensual'!D172,0))+parametros_manuales!$E$22*('Plan mensual'!D58+'Plan mensual'!D169+IF(parametros_manuales!$H$22="Todos",'Plan mensual'!D62+'Plan mensual'!D173,0))+parametros_manuales!$F$22*('Plan mensual'!D59+'Plan mensual'!D170+IF(parametros_manuales!$H$22="Todos",'Plan mensual'!D63+'Plan mensual'!D174,0))+parametros_manuales!$G$22*('Plan mensual'!D60+'Plan mensual'!D171+IF(parametros_manuales!$H$22="Todos",'Plan mensual'!D64+'Plan mensual'!D175,0)))*parametros_manuales!$I$22*parametros_manuales!$J$22</f>
        <v>28249.7325426</v>
      </c>
      <c r="C140" s="9" t="n">
        <f aca="false">(parametros_manuales!$D$22*('Plan mensual'!E57+'Plan mensual'!E168+IF(parametros_manuales!$H$22="Todos",'Plan mensual'!E61+'Plan mensual'!E172,0))+parametros_manuales!$E$22*('Plan mensual'!E58+'Plan mensual'!E169+IF(parametros_manuales!$H$22="Todos",'Plan mensual'!E62+'Plan mensual'!E173,0))+parametros_manuales!$F$22*('Plan mensual'!E59+'Plan mensual'!E170+IF(parametros_manuales!$H$22="Todos",'Plan mensual'!E63+'Plan mensual'!E174,0))+parametros_manuales!$G$22*('Plan mensual'!E60+'Plan mensual'!E171+IF(parametros_manuales!$H$22="Todos",'Plan mensual'!E64+'Plan mensual'!E175,0)))*parametros_manuales!$I$22*parametros_manuales!$J$22</f>
        <v>21552.18059724</v>
      </c>
      <c r="D140" s="9" t="n">
        <f aca="false">(parametros_manuales!$D$22*('Plan mensual'!F57+'Plan mensual'!F168+IF(parametros_manuales!$H$22="Todos",'Plan mensual'!F61+'Plan mensual'!F172,0))+parametros_manuales!$E$22*('Plan mensual'!F58+'Plan mensual'!F169+IF(parametros_manuales!$H$22="Todos",'Plan mensual'!F62+'Plan mensual'!F173,0))+parametros_manuales!$F$22*('Plan mensual'!F59+'Plan mensual'!F170+IF(parametros_manuales!$H$22="Todos",'Plan mensual'!F63+'Plan mensual'!F174,0))+parametros_manuales!$G$22*('Plan mensual'!F60+'Plan mensual'!F171+IF(parametros_manuales!$H$22="Todos",'Plan mensual'!F64+'Plan mensual'!F175,0)))*parametros_manuales!$I$22*parametros_manuales!$J$22</f>
        <v>20171.05272613</v>
      </c>
      <c r="E140" s="9" t="n">
        <f aca="false">(parametros_manuales!$D$22*('Plan mensual'!G57+'Plan mensual'!G168+IF(parametros_manuales!$H$22="Todos",'Plan mensual'!G61+'Plan mensual'!G172,0))+parametros_manuales!$E$22*('Plan mensual'!G58+'Plan mensual'!G169+IF(parametros_manuales!$H$22="Todos",'Plan mensual'!G62+'Plan mensual'!G173,0))+parametros_manuales!$F$22*('Plan mensual'!G59+'Plan mensual'!G170+IF(parametros_manuales!$H$22="Todos",'Plan mensual'!G63+'Plan mensual'!G174,0))+parametros_manuales!$G$22*('Plan mensual'!G60+'Plan mensual'!G171+IF(parametros_manuales!$H$22="Todos",'Plan mensual'!G64+'Plan mensual'!G175,0)))*parametros_manuales!$I$22*parametros_manuales!$J$22</f>
        <v>19298.04819543</v>
      </c>
      <c r="F140" s="9" t="n">
        <f aca="false">(parametros_manuales!$D$22*('Plan mensual'!H57+'Plan mensual'!H168+IF(parametros_manuales!$H$22="Todos",'Plan mensual'!H61+'Plan mensual'!H172,0))+parametros_manuales!$E$22*('Plan mensual'!H58+'Plan mensual'!H169+IF(parametros_manuales!$H$22="Todos",'Plan mensual'!H62+'Plan mensual'!H173,0))+parametros_manuales!$F$22*('Plan mensual'!H59+'Plan mensual'!H170+IF(parametros_manuales!$H$22="Todos",'Plan mensual'!H63+'Plan mensual'!H174,0))+parametros_manuales!$G$22*('Plan mensual'!H60+'Plan mensual'!H171+IF(parametros_manuales!$H$22="Todos",'Plan mensual'!H64+'Plan mensual'!H175,0)))*parametros_manuales!$I$22*parametros_manuales!$J$22</f>
        <v>18060.16247444</v>
      </c>
      <c r="G140" s="9" t="n">
        <f aca="false">(parametros_manuales!$D$22*('Plan mensual'!I57+'Plan mensual'!I168+IF(parametros_manuales!$H$22="Todos",'Plan mensual'!I61+'Plan mensual'!I172,0))+parametros_manuales!$E$22*('Plan mensual'!I58+'Plan mensual'!I169+IF(parametros_manuales!$H$22="Todos",'Plan mensual'!I62+'Plan mensual'!I173,0))+parametros_manuales!$F$22*('Plan mensual'!I59+'Plan mensual'!I170+IF(parametros_manuales!$H$22="Todos",'Plan mensual'!I63+'Plan mensual'!I174,0))+parametros_manuales!$G$22*('Plan mensual'!I60+'Plan mensual'!I171+IF(parametros_manuales!$H$22="Todos",'Plan mensual'!I64+'Plan mensual'!I175,0)))*parametros_manuales!$I$22*parametros_manuales!$J$22</f>
        <v>17695.28128415</v>
      </c>
      <c r="H140" s="9" t="n">
        <f aca="false">(parametros_manuales!$D$22*('Plan mensual'!J57+'Plan mensual'!J168+IF(parametros_manuales!$H$22="Todos",'Plan mensual'!J61+'Plan mensual'!J172,0))+parametros_manuales!$E$22*('Plan mensual'!J58+'Plan mensual'!J169+IF(parametros_manuales!$H$22="Todos",'Plan mensual'!J62+'Plan mensual'!J173,0))+parametros_manuales!$F$22*('Plan mensual'!J59+'Plan mensual'!J170+IF(parametros_manuales!$H$22="Todos",'Plan mensual'!J63+'Plan mensual'!J174,0))+parametros_manuales!$G$22*('Plan mensual'!J60+'Plan mensual'!J171+IF(parametros_manuales!$H$22="Todos",'Plan mensual'!J64+'Plan mensual'!J175,0)))*parametros_manuales!$I$22*parametros_manuales!$J$22</f>
        <v>18933.16700514</v>
      </c>
      <c r="I140" s="9" t="n">
        <f aca="false">(parametros_manuales!$D$22*('Plan mensual'!K57+'Plan mensual'!K168+IF(parametros_manuales!$H$22="Todos",'Plan mensual'!K61+'Plan mensual'!K172,0))+parametros_manuales!$E$22*('Plan mensual'!K58+'Plan mensual'!K169+IF(parametros_manuales!$H$22="Todos",'Plan mensual'!K62+'Plan mensual'!K173,0))+parametros_manuales!$F$22*('Plan mensual'!K59+'Plan mensual'!K170+IF(parametros_manuales!$H$22="Todos",'Plan mensual'!K63+'Plan mensual'!K174,0))+parametros_manuales!$G$22*('Plan mensual'!K60+'Plan mensual'!K171+IF(parametros_manuales!$H$22="Todos",'Plan mensual'!K64+'Plan mensual'!K175,0)))*parametros_manuales!$I$22*parametros_manuales!$J$22</f>
        <v>18933.16700514</v>
      </c>
      <c r="J140" s="9" t="n">
        <f aca="false">(parametros_manuales!$D$22*('Plan mensual'!L57+'Plan mensual'!L168+IF(parametros_manuales!$H$22="Todos",'Plan mensual'!L61+'Plan mensual'!L172,0))+parametros_manuales!$E$22*('Plan mensual'!L58+'Plan mensual'!L169+IF(parametros_manuales!$H$22="Todos",'Plan mensual'!L62+'Plan mensual'!L173,0))+parametros_manuales!$F$22*('Plan mensual'!L59+'Plan mensual'!L170+IF(parametros_manuales!$H$22="Todos",'Plan mensual'!L63+'Plan mensual'!L174,0))+parametros_manuales!$G$22*('Plan mensual'!L60+'Plan mensual'!L171+IF(parametros_manuales!$H$22="Todos",'Plan mensual'!L64+'Plan mensual'!L175,0)))*parametros_manuales!$I$22*parametros_manuales!$J$22</f>
        <v>18933.16700514</v>
      </c>
      <c r="K140" s="9" t="n">
        <f aca="false">(parametros_manuales!$D$22*('Plan mensual'!M57+'Plan mensual'!M168+IF(parametros_manuales!$H$22="Todos",'Plan mensual'!M61+'Plan mensual'!M172,0))+parametros_manuales!$E$22*('Plan mensual'!M58+'Plan mensual'!M169+IF(parametros_manuales!$H$22="Todos",'Plan mensual'!M62+'Plan mensual'!M173,0))+parametros_manuales!$F$22*('Plan mensual'!M59+'Plan mensual'!M170+IF(parametros_manuales!$H$22="Todos",'Plan mensual'!M63+'Plan mensual'!M174,0))+parametros_manuales!$G$22*('Plan mensual'!M60+'Plan mensual'!M171+IF(parametros_manuales!$H$22="Todos",'Plan mensual'!M64+'Plan mensual'!M175,0)))*parametros_manuales!$I$22*parametros_manuales!$J$22</f>
        <v>18568.28581485</v>
      </c>
      <c r="L140" s="9" t="n">
        <f aca="false">(parametros_manuales!$D$22*('Plan mensual'!N57+'Plan mensual'!N168+IF(parametros_manuales!$H$22="Todos",'Plan mensual'!N61+'Plan mensual'!N172,0))+parametros_manuales!$E$22*('Plan mensual'!N58+'Plan mensual'!N169+IF(parametros_manuales!$H$22="Todos",'Plan mensual'!N62+'Plan mensual'!N173,0))+parametros_manuales!$F$22*('Plan mensual'!N59+'Plan mensual'!N170+IF(parametros_manuales!$H$22="Todos",'Plan mensual'!N63+'Plan mensual'!N174,0))+parametros_manuales!$G$22*('Plan mensual'!N60+'Plan mensual'!N171+IF(parametros_manuales!$H$22="Todos",'Plan mensual'!N64+'Plan mensual'!N175,0)))*parametros_manuales!$I$22*parametros_manuales!$J$22</f>
        <v>18203.40462456</v>
      </c>
      <c r="M140" s="9" t="n">
        <f aca="false">(parametros_manuales!$D$22*('Plan mensual'!O57+'Plan mensual'!O168+IF(parametros_manuales!$H$22="Todos",'Plan mensual'!O61+'Plan mensual'!O172,0))+parametros_manuales!$E$22*('Plan mensual'!O58+'Plan mensual'!O169+IF(parametros_manuales!$H$22="Todos",'Plan mensual'!O62+'Plan mensual'!O173,0))+parametros_manuales!$F$22*('Plan mensual'!O59+'Plan mensual'!O170+IF(parametros_manuales!$H$22="Todos",'Plan mensual'!O63+'Plan mensual'!O174,0))+parametros_manuales!$G$22*('Plan mensual'!O60+'Plan mensual'!O171+IF(parametros_manuales!$H$22="Todos",'Plan mensual'!O64+'Plan mensual'!O175,0)))*parametros_manuales!$I$22*parametros_manuales!$J$22</f>
        <v>28979.49492318</v>
      </c>
      <c r="N140" s="9" t="n">
        <f aca="false">SUM(B140:M140)</f>
        <v>247577.144198</v>
      </c>
      <c r="O140" s="9" t="n">
        <f aca="false">MAX(B140:M140)</f>
        <v>28979.49492318</v>
      </c>
      <c r="P140" s="44" t="n">
        <f aca="false">O140/(parametros_manuales!$B$7)</f>
        <v>193.1966328212</v>
      </c>
      <c r="Q140" s="8" t="str">
        <f aca="false">IF(O140=0,"-",INDEX($B$136:$M$136,MATCH(O140,B140:M140,0)))</f>
        <v>Dic</v>
      </c>
    </row>
    <row r="141" customFormat="false" ht="14.25" hidden="false" customHeight="true" outlineLevel="0" collapsed="false">
      <c r="A141" s="8" t="str">
        <f aca="false">parametros_manuales!$B$23</f>
        <v>Preparación de cuello</v>
      </c>
      <c r="B141" s="9" t="n">
        <f aca="false">(parametros_manuales!$D$23*('Plan mensual'!D57+'Plan mensual'!D168+IF(parametros_manuales!$H$23="Todos",'Plan mensual'!D61+'Plan mensual'!D172,0))+parametros_manuales!$E$23*('Plan mensual'!D58+'Plan mensual'!D169+IF(parametros_manuales!$H$23="Todos",'Plan mensual'!D62+'Plan mensual'!D173,0))+parametros_manuales!$F$23*('Plan mensual'!D59+'Plan mensual'!D170+IF(parametros_manuales!$H$23="Todos",'Plan mensual'!D63+'Plan mensual'!D174,0))+parametros_manuales!$G$23*('Plan mensual'!D60+'Plan mensual'!D171+IF(parametros_manuales!$H$23="Todos",'Plan mensual'!D64+'Plan mensual'!D175,0)))*parametros_manuales!$I$23*parametros_manuales!$J$23</f>
        <v>14124.8662713</v>
      </c>
      <c r="C141" s="9" t="n">
        <f aca="false">(parametros_manuales!$D$23*('Plan mensual'!E57+'Plan mensual'!E168+IF(parametros_manuales!$H$23="Todos",'Plan mensual'!E61+'Plan mensual'!E172,0))+parametros_manuales!$E$23*('Plan mensual'!E58+'Plan mensual'!E169+IF(parametros_manuales!$H$23="Todos",'Plan mensual'!E62+'Plan mensual'!E173,0))+parametros_manuales!$F$23*('Plan mensual'!E59+'Plan mensual'!E170+IF(parametros_manuales!$H$23="Todos",'Plan mensual'!E63+'Plan mensual'!E174,0))+parametros_manuales!$G$23*('Plan mensual'!E60+'Plan mensual'!E171+IF(parametros_manuales!$H$23="Todos",'Plan mensual'!E64+'Plan mensual'!E175,0)))*parametros_manuales!$I$23*parametros_manuales!$J$23</f>
        <v>10776.09029862</v>
      </c>
      <c r="D141" s="9" t="n">
        <f aca="false">(parametros_manuales!$D$23*('Plan mensual'!F57+'Plan mensual'!F168+IF(parametros_manuales!$H$23="Todos",'Plan mensual'!F61+'Plan mensual'!F172,0))+parametros_manuales!$E$23*('Plan mensual'!F58+'Plan mensual'!F169+IF(parametros_manuales!$H$23="Todos",'Plan mensual'!F62+'Plan mensual'!F173,0))+parametros_manuales!$F$23*('Plan mensual'!F59+'Plan mensual'!F170+IF(parametros_manuales!$H$23="Todos",'Plan mensual'!F63+'Plan mensual'!F174,0))+parametros_manuales!$G$23*('Plan mensual'!F60+'Plan mensual'!F171+IF(parametros_manuales!$H$23="Todos",'Plan mensual'!F64+'Plan mensual'!F175,0)))*parametros_manuales!$I$23*parametros_manuales!$J$23</f>
        <v>10085.526363065</v>
      </c>
      <c r="E141" s="9" t="n">
        <f aca="false">(parametros_manuales!$D$23*('Plan mensual'!G57+'Plan mensual'!G168+IF(parametros_manuales!$H$23="Todos",'Plan mensual'!G61+'Plan mensual'!G172,0))+parametros_manuales!$E$23*('Plan mensual'!G58+'Plan mensual'!G169+IF(parametros_manuales!$H$23="Todos",'Plan mensual'!G62+'Plan mensual'!G173,0))+parametros_manuales!$F$23*('Plan mensual'!G59+'Plan mensual'!G170+IF(parametros_manuales!$H$23="Todos",'Plan mensual'!G63+'Plan mensual'!G174,0))+parametros_manuales!$G$23*('Plan mensual'!G60+'Plan mensual'!G171+IF(parametros_manuales!$H$23="Todos",'Plan mensual'!G64+'Plan mensual'!G175,0)))*parametros_manuales!$I$23*parametros_manuales!$J$23</f>
        <v>9649.024097715</v>
      </c>
      <c r="F141" s="9" t="n">
        <f aca="false">(parametros_manuales!$D$23*('Plan mensual'!H57+'Plan mensual'!H168+IF(parametros_manuales!$H$23="Todos",'Plan mensual'!H61+'Plan mensual'!H172,0))+parametros_manuales!$E$23*('Plan mensual'!H58+'Plan mensual'!H169+IF(parametros_manuales!$H$23="Todos",'Plan mensual'!H62+'Plan mensual'!H173,0))+parametros_manuales!$F$23*('Plan mensual'!H59+'Plan mensual'!H170+IF(parametros_manuales!$H$23="Todos",'Plan mensual'!H63+'Plan mensual'!H174,0))+parametros_manuales!$G$23*('Plan mensual'!H60+'Plan mensual'!H171+IF(parametros_manuales!$H$23="Todos",'Plan mensual'!H64+'Plan mensual'!H175,0)))*parametros_manuales!$I$23*parametros_manuales!$J$23</f>
        <v>9030.08123722</v>
      </c>
      <c r="G141" s="9" t="n">
        <f aca="false">(parametros_manuales!$D$23*('Plan mensual'!I57+'Plan mensual'!I168+IF(parametros_manuales!$H$23="Todos",'Plan mensual'!I61+'Plan mensual'!I172,0))+parametros_manuales!$E$23*('Plan mensual'!I58+'Plan mensual'!I169+IF(parametros_manuales!$H$23="Todos",'Plan mensual'!I62+'Plan mensual'!I173,0))+parametros_manuales!$F$23*('Plan mensual'!I59+'Plan mensual'!I170+IF(parametros_manuales!$H$23="Todos",'Plan mensual'!I63+'Plan mensual'!I174,0))+parametros_manuales!$G$23*('Plan mensual'!I60+'Plan mensual'!I171+IF(parametros_manuales!$H$23="Todos",'Plan mensual'!I64+'Plan mensual'!I175,0)))*parametros_manuales!$I$23*parametros_manuales!$J$23</f>
        <v>8847.640642075</v>
      </c>
      <c r="H141" s="9" t="n">
        <f aca="false">(parametros_manuales!$D$23*('Plan mensual'!J57+'Plan mensual'!J168+IF(parametros_manuales!$H$23="Todos",'Plan mensual'!J61+'Plan mensual'!J172,0))+parametros_manuales!$E$23*('Plan mensual'!J58+'Plan mensual'!J169+IF(parametros_manuales!$H$23="Todos",'Plan mensual'!J62+'Plan mensual'!J173,0))+parametros_manuales!$F$23*('Plan mensual'!J59+'Plan mensual'!J170+IF(parametros_manuales!$H$23="Todos",'Plan mensual'!J63+'Plan mensual'!J174,0))+parametros_manuales!$G$23*('Plan mensual'!J60+'Plan mensual'!J171+IF(parametros_manuales!$H$23="Todos",'Plan mensual'!J64+'Plan mensual'!J175,0)))*parametros_manuales!$I$23*parametros_manuales!$J$23</f>
        <v>9466.58350257</v>
      </c>
      <c r="I141" s="9" t="n">
        <f aca="false">(parametros_manuales!$D$23*('Plan mensual'!K57+'Plan mensual'!K168+IF(parametros_manuales!$H$23="Todos",'Plan mensual'!K61+'Plan mensual'!K172,0))+parametros_manuales!$E$23*('Plan mensual'!K58+'Plan mensual'!K169+IF(parametros_manuales!$H$23="Todos",'Plan mensual'!K62+'Plan mensual'!K173,0))+parametros_manuales!$F$23*('Plan mensual'!K59+'Plan mensual'!K170+IF(parametros_manuales!$H$23="Todos",'Plan mensual'!K63+'Plan mensual'!K174,0))+parametros_manuales!$G$23*('Plan mensual'!K60+'Plan mensual'!K171+IF(parametros_manuales!$H$23="Todos",'Plan mensual'!K64+'Plan mensual'!K175,0)))*parametros_manuales!$I$23*parametros_manuales!$J$23</f>
        <v>9466.58350257</v>
      </c>
      <c r="J141" s="9" t="n">
        <f aca="false">(parametros_manuales!$D$23*('Plan mensual'!L57+'Plan mensual'!L168+IF(parametros_manuales!$H$23="Todos",'Plan mensual'!L61+'Plan mensual'!L172,0))+parametros_manuales!$E$23*('Plan mensual'!L58+'Plan mensual'!L169+IF(parametros_manuales!$H$23="Todos",'Plan mensual'!L62+'Plan mensual'!L173,0))+parametros_manuales!$F$23*('Plan mensual'!L59+'Plan mensual'!L170+IF(parametros_manuales!$H$23="Todos",'Plan mensual'!L63+'Plan mensual'!L174,0))+parametros_manuales!$G$23*('Plan mensual'!L60+'Plan mensual'!L171+IF(parametros_manuales!$H$23="Todos",'Plan mensual'!L64+'Plan mensual'!L175,0)))*parametros_manuales!$I$23*parametros_manuales!$J$23</f>
        <v>9466.58350257</v>
      </c>
      <c r="K141" s="9" t="n">
        <f aca="false">(parametros_manuales!$D$23*('Plan mensual'!M57+'Plan mensual'!M168+IF(parametros_manuales!$H$23="Todos",'Plan mensual'!M61+'Plan mensual'!M172,0))+parametros_manuales!$E$23*('Plan mensual'!M58+'Plan mensual'!M169+IF(parametros_manuales!$H$23="Todos",'Plan mensual'!M62+'Plan mensual'!M173,0))+parametros_manuales!$F$23*('Plan mensual'!M59+'Plan mensual'!M170+IF(parametros_manuales!$H$23="Todos",'Plan mensual'!M63+'Plan mensual'!M174,0))+parametros_manuales!$G$23*('Plan mensual'!M60+'Plan mensual'!M171+IF(parametros_manuales!$H$23="Todos",'Plan mensual'!M64+'Plan mensual'!M175,0)))*parametros_manuales!$I$23*parametros_manuales!$J$23</f>
        <v>9284.142907425</v>
      </c>
      <c r="L141" s="9" t="n">
        <f aca="false">(parametros_manuales!$D$23*('Plan mensual'!N57+'Plan mensual'!N168+IF(parametros_manuales!$H$23="Todos",'Plan mensual'!N61+'Plan mensual'!N172,0))+parametros_manuales!$E$23*('Plan mensual'!N58+'Plan mensual'!N169+IF(parametros_manuales!$H$23="Todos",'Plan mensual'!N62+'Plan mensual'!N173,0))+parametros_manuales!$F$23*('Plan mensual'!N59+'Plan mensual'!N170+IF(parametros_manuales!$H$23="Todos",'Plan mensual'!N63+'Plan mensual'!N174,0))+parametros_manuales!$G$23*('Plan mensual'!N60+'Plan mensual'!N171+IF(parametros_manuales!$H$23="Todos",'Plan mensual'!N64+'Plan mensual'!N175,0)))*parametros_manuales!$I$23*parametros_manuales!$J$23</f>
        <v>9101.70231228</v>
      </c>
      <c r="M141" s="9" t="n">
        <f aca="false">(parametros_manuales!$D$23*('Plan mensual'!O57+'Plan mensual'!O168+IF(parametros_manuales!$H$23="Todos",'Plan mensual'!O61+'Plan mensual'!O172,0))+parametros_manuales!$E$23*('Plan mensual'!O58+'Plan mensual'!O169+IF(parametros_manuales!$H$23="Todos",'Plan mensual'!O62+'Plan mensual'!O173,0))+parametros_manuales!$F$23*('Plan mensual'!O59+'Plan mensual'!O170+IF(parametros_manuales!$H$23="Todos",'Plan mensual'!O63+'Plan mensual'!O174,0))+parametros_manuales!$G$23*('Plan mensual'!O60+'Plan mensual'!O171+IF(parametros_manuales!$H$23="Todos",'Plan mensual'!O64+'Plan mensual'!O175,0)))*parametros_manuales!$I$23*parametros_manuales!$J$23</f>
        <v>14489.74746159</v>
      </c>
      <c r="N141" s="9" t="n">
        <f aca="false">SUM(B141:M141)</f>
        <v>123788.572099</v>
      </c>
      <c r="O141" s="9" t="n">
        <f aca="false">MAX(B141:M141)</f>
        <v>14489.74746159</v>
      </c>
      <c r="P141" s="44" t="n">
        <f aca="false">O141/(parametros_manuales!$B$7)</f>
        <v>96.5983164106</v>
      </c>
      <c r="Q141" s="8" t="str">
        <f aca="false">IF(O141=0,"-",INDEX($B$136:$M$136,MATCH(O141,B141:M141,0)))</f>
        <v>Dic</v>
      </c>
    </row>
    <row r="142" customFormat="false" ht="14.25" hidden="false" customHeight="true" outlineLevel="0" collapsed="false">
      <c r="A142" s="8" t="str">
        <f aca="false">parametros_manuales!$B$24</f>
        <v>Numerado de cúpula</v>
      </c>
      <c r="B142" s="9" t="n">
        <f aca="false">(parametros_manuales!$D$24*('Plan mensual'!D57+'Plan mensual'!D168+IF(parametros_manuales!$H$24="Todos",'Plan mensual'!D61+'Plan mensual'!D172,0))+parametros_manuales!$E$24*('Plan mensual'!D58+'Plan mensual'!D169+IF(parametros_manuales!$H$24="Todos",'Plan mensual'!D62+'Plan mensual'!D173,0))+parametros_manuales!$F$24*('Plan mensual'!D59+'Plan mensual'!D170+IF(parametros_manuales!$H$24="Todos",'Plan mensual'!D63+'Plan mensual'!D174,0))+parametros_manuales!$G$24*('Plan mensual'!D60+'Plan mensual'!D171+IF(parametros_manuales!$H$24="Todos",'Plan mensual'!D64+'Plan mensual'!D175,0)))*parametros_manuales!$I$24*parametros_manuales!$J$24</f>
        <v>14124.8662713</v>
      </c>
      <c r="C142" s="9" t="n">
        <f aca="false">(parametros_manuales!$D$24*('Plan mensual'!E57+'Plan mensual'!E168+IF(parametros_manuales!$H$24="Todos",'Plan mensual'!E61+'Plan mensual'!E172,0))+parametros_manuales!$E$24*('Plan mensual'!E58+'Plan mensual'!E169+IF(parametros_manuales!$H$24="Todos",'Plan mensual'!E62+'Plan mensual'!E173,0))+parametros_manuales!$F$24*('Plan mensual'!E59+'Plan mensual'!E170+IF(parametros_manuales!$H$24="Todos",'Plan mensual'!E63+'Plan mensual'!E174,0))+parametros_manuales!$G$24*('Plan mensual'!E60+'Plan mensual'!E171+IF(parametros_manuales!$H$24="Todos",'Plan mensual'!E64+'Plan mensual'!E175,0)))*parametros_manuales!$I$24*parametros_manuales!$J$24</f>
        <v>10776.09029862</v>
      </c>
      <c r="D142" s="9" t="n">
        <f aca="false">(parametros_manuales!$D$24*('Plan mensual'!F57+'Plan mensual'!F168+IF(parametros_manuales!$H$24="Todos",'Plan mensual'!F61+'Plan mensual'!F172,0))+parametros_manuales!$E$24*('Plan mensual'!F58+'Plan mensual'!F169+IF(parametros_manuales!$H$24="Todos",'Plan mensual'!F62+'Plan mensual'!F173,0))+parametros_manuales!$F$24*('Plan mensual'!F59+'Plan mensual'!F170+IF(parametros_manuales!$H$24="Todos",'Plan mensual'!F63+'Plan mensual'!F174,0))+parametros_manuales!$G$24*('Plan mensual'!F60+'Plan mensual'!F171+IF(parametros_manuales!$H$24="Todos",'Plan mensual'!F64+'Plan mensual'!F175,0)))*parametros_manuales!$I$24*parametros_manuales!$J$24</f>
        <v>10085.526363065</v>
      </c>
      <c r="E142" s="9" t="n">
        <f aca="false">(parametros_manuales!$D$24*('Plan mensual'!G57+'Plan mensual'!G168+IF(parametros_manuales!$H$24="Todos",'Plan mensual'!G61+'Plan mensual'!G172,0))+parametros_manuales!$E$24*('Plan mensual'!G58+'Plan mensual'!G169+IF(parametros_manuales!$H$24="Todos",'Plan mensual'!G62+'Plan mensual'!G173,0))+parametros_manuales!$F$24*('Plan mensual'!G59+'Plan mensual'!G170+IF(parametros_manuales!$H$24="Todos",'Plan mensual'!G63+'Plan mensual'!G174,0))+parametros_manuales!$G$24*('Plan mensual'!G60+'Plan mensual'!G171+IF(parametros_manuales!$H$24="Todos",'Plan mensual'!G64+'Plan mensual'!G175,0)))*parametros_manuales!$I$24*parametros_manuales!$J$24</f>
        <v>9649.024097715</v>
      </c>
      <c r="F142" s="9" t="n">
        <f aca="false">(parametros_manuales!$D$24*('Plan mensual'!H57+'Plan mensual'!H168+IF(parametros_manuales!$H$24="Todos",'Plan mensual'!H61+'Plan mensual'!H172,0))+parametros_manuales!$E$24*('Plan mensual'!H58+'Plan mensual'!H169+IF(parametros_manuales!$H$24="Todos",'Plan mensual'!H62+'Plan mensual'!H173,0))+parametros_manuales!$F$24*('Plan mensual'!H59+'Plan mensual'!H170+IF(parametros_manuales!$H$24="Todos",'Plan mensual'!H63+'Plan mensual'!H174,0))+parametros_manuales!$G$24*('Plan mensual'!H60+'Plan mensual'!H171+IF(parametros_manuales!$H$24="Todos",'Plan mensual'!H64+'Plan mensual'!H175,0)))*parametros_manuales!$I$24*parametros_manuales!$J$24</f>
        <v>9030.08123722</v>
      </c>
      <c r="G142" s="9" t="n">
        <f aca="false">(parametros_manuales!$D$24*('Plan mensual'!I57+'Plan mensual'!I168+IF(parametros_manuales!$H$24="Todos",'Plan mensual'!I61+'Plan mensual'!I172,0))+parametros_manuales!$E$24*('Plan mensual'!I58+'Plan mensual'!I169+IF(parametros_manuales!$H$24="Todos",'Plan mensual'!I62+'Plan mensual'!I173,0))+parametros_manuales!$F$24*('Plan mensual'!I59+'Plan mensual'!I170+IF(parametros_manuales!$H$24="Todos",'Plan mensual'!I63+'Plan mensual'!I174,0))+parametros_manuales!$G$24*('Plan mensual'!I60+'Plan mensual'!I171+IF(parametros_manuales!$H$24="Todos",'Plan mensual'!I64+'Plan mensual'!I175,0)))*parametros_manuales!$I$24*parametros_manuales!$J$24</f>
        <v>8847.640642075</v>
      </c>
      <c r="H142" s="9" t="n">
        <f aca="false">(parametros_manuales!$D$24*('Plan mensual'!J57+'Plan mensual'!J168+IF(parametros_manuales!$H$24="Todos",'Plan mensual'!J61+'Plan mensual'!J172,0))+parametros_manuales!$E$24*('Plan mensual'!J58+'Plan mensual'!J169+IF(parametros_manuales!$H$24="Todos",'Plan mensual'!J62+'Plan mensual'!J173,0))+parametros_manuales!$F$24*('Plan mensual'!J59+'Plan mensual'!J170+IF(parametros_manuales!$H$24="Todos",'Plan mensual'!J63+'Plan mensual'!J174,0))+parametros_manuales!$G$24*('Plan mensual'!J60+'Plan mensual'!J171+IF(parametros_manuales!$H$24="Todos",'Plan mensual'!J64+'Plan mensual'!J175,0)))*parametros_manuales!$I$24*parametros_manuales!$J$24</f>
        <v>9466.58350257</v>
      </c>
      <c r="I142" s="9" t="n">
        <f aca="false">(parametros_manuales!$D$24*('Plan mensual'!K57+'Plan mensual'!K168+IF(parametros_manuales!$H$24="Todos",'Plan mensual'!K61+'Plan mensual'!K172,0))+parametros_manuales!$E$24*('Plan mensual'!K58+'Plan mensual'!K169+IF(parametros_manuales!$H$24="Todos",'Plan mensual'!K62+'Plan mensual'!K173,0))+parametros_manuales!$F$24*('Plan mensual'!K59+'Plan mensual'!K170+IF(parametros_manuales!$H$24="Todos",'Plan mensual'!K63+'Plan mensual'!K174,0))+parametros_manuales!$G$24*('Plan mensual'!K60+'Plan mensual'!K171+IF(parametros_manuales!$H$24="Todos",'Plan mensual'!K64+'Plan mensual'!K175,0)))*parametros_manuales!$I$24*parametros_manuales!$J$24</f>
        <v>9466.58350257</v>
      </c>
      <c r="J142" s="9" t="n">
        <f aca="false">(parametros_manuales!$D$24*('Plan mensual'!L57+'Plan mensual'!L168+IF(parametros_manuales!$H$24="Todos",'Plan mensual'!L61+'Plan mensual'!L172,0))+parametros_manuales!$E$24*('Plan mensual'!L58+'Plan mensual'!L169+IF(parametros_manuales!$H$24="Todos",'Plan mensual'!L62+'Plan mensual'!L173,0))+parametros_manuales!$F$24*('Plan mensual'!L59+'Plan mensual'!L170+IF(parametros_manuales!$H$24="Todos",'Plan mensual'!L63+'Plan mensual'!L174,0))+parametros_manuales!$G$24*('Plan mensual'!L60+'Plan mensual'!L171+IF(parametros_manuales!$H$24="Todos",'Plan mensual'!L64+'Plan mensual'!L175,0)))*parametros_manuales!$I$24*parametros_manuales!$J$24</f>
        <v>9466.58350257</v>
      </c>
      <c r="K142" s="9" t="n">
        <f aca="false">(parametros_manuales!$D$24*('Plan mensual'!M57+'Plan mensual'!M168+IF(parametros_manuales!$H$24="Todos",'Plan mensual'!M61+'Plan mensual'!M172,0))+parametros_manuales!$E$24*('Plan mensual'!M58+'Plan mensual'!M169+IF(parametros_manuales!$H$24="Todos",'Plan mensual'!M62+'Plan mensual'!M173,0))+parametros_manuales!$F$24*('Plan mensual'!M59+'Plan mensual'!M170+IF(parametros_manuales!$H$24="Todos",'Plan mensual'!M63+'Plan mensual'!M174,0))+parametros_manuales!$G$24*('Plan mensual'!M60+'Plan mensual'!M171+IF(parametros_manuales!$H$24="Todos",'Plan mensual'!M64+'Plan mensual'!M175,0)))*parametros_manuales!$I$24*parametros_manuales!$J$24</f>
        <v>9284.142907425</v>
      </c>
      <c r="L142" s="9" t="n">
        <f aca="false">(parametros_manuales!$D$24*('Plan mensual'!N57+'Plan mensual'!N168+IF(parametros_manuales!$H$24="Todos",'Plan mensual'!N61+'Plan mensual'!N172,0))+parametros_manuales!$E$24*('Plan mensual'!N58+'Plan mensual'!N169+IF(parametros_manuales!$H$24="Todos",'Plan mensual'!N62+'Plan mensual'!N173,0))+parametros_manuales!$F$24*('Plan mensual'!N59+'Plan mensual'!N170+IF(parametros_manuales!$H$24="Todos",'Plan mensual'!N63+'Plan mensual'!N174,0))+parametros_manuales!$G$24*('Plan mensual'!N60+'Plan mensual'!N171+IF(parametros_manuales!$H$24="Todos",'Plan mensual'!N64+'Plan mensual'!N175,0)))*parametros_manuales!$I$24*parametros_manuales!$J$24</f>
        <v>9101.70231228</v>
      </c>
      <c r="M142" s="9" t="n">
        <f aca="false">(parametros_manuales!$D$24*('Plan mensual'!O57+'Plan mensual'!O168+IF(parametros_manuales!$H$24="Todos",'Plan mensual'!O61+'Plan mensual'!O172,0))+parametros_manuales!$E$24*('Plan mensual'!O58+'Plan mensual'!O169+IF(parametros_manuales!$H$24="Todos",'Plan mensual'!O62+'Plan mensual'!O173,0))+parametros_manuales!$F$24*('Plan mensual'!O59+'Plan mensual'!O170+IF(parametros_manuales!$H$24="Todos",'Plan mensual'!O63+'Plan mensual'!O174,0))+parametros_manuales!$G$24*('Plan mensual'!O60+'Plan mensual'!O171+IF(parametros_manuales!$H$24="Todos",'Plan mensual'!O64+'Plan mensual'!O175,0)))*parametros_manuales!$I$24*parametros_manuales!$J$24</f>
        <v>14489.74746159</v>
      </c>
      <c r="N142" s="9" t="n">
        <f aca="false">SUM(B142:M142)</f>
        <v>123788.572099</v>
      </c>
      <c r="O142" s="9" t="n">
        <f aca="false">MAX(B142:M142)</f>
        <v>14489.74746159</v>
      </c>
      <c r="P142" s="44" t="n">
        <f aca="false">O142/(parametros_manuales!$B$7)</f>
        <v>96.5983164106</v>
      </c>
      <c r="Q142" s="8" t="str">
        <f aca="false">IF(O142=0,"-",INDEX($B$136:$M$136,MATCH(O142,B142:M142,0)))</f>
        <v>Dic</v>
      </c>
    </row>
    <row r="143" customFormat="false" ht="14.25" hidden="false" customHeight="true" outlineLevel="0" collapsed="false">
      <c r="A143" s="8" t="str">
        <f aca="false">parametros_manuales!$B$25</f>
        <v>Soldadura del cuello a la cúpula</v>
      </c>
      <c r="B143" s="9" t="n">
        <f aca="false">(parametros_manuales!$D$25*('Plan mensual'!D57+'Plan mensual'!D168+IF(parametros_manuales!$H$25="Todos",'Plan mensual'!D61+'Plan mensual'!D172,0))+parametros_manuales!$E$25*('Plan mensual'!D58+'Plan mensual'!D169+IF(parametros_manuales!$H$25="Todos",'Plan mensual'!D62+'Plan mensual'!D173,0))+parametros_manuales!$F$25*('Plan mensual'!D59+'Plan mensual'!D170+IF(parametros_manuales!$H$25="Todos",'Plan mensual'!D63+'Plan mensual'!D174,0))+parametros_manuales!$G$25*('Plan mensual'!D60+'Plan mensual'!D171+IF(parametros_manuales!$H$25="Todos",'Plan mensual'!D64+'Plan mensual'!D175,0)))*parametros_manuales!$I$25*parametros_manuales!$J$25</f>
        <v>14124.8662713</v>
      </c>
      <c r="C143" s="9" t="n">
        <f aca="false">(parametros_manuales!$D$25*('Plan mensual'!E57+'Plan mensual'!E168+IF(parametros_manuales!$H$25="Todos",'Plan mensual'!E61+'Plan mensual'!E172,0))+parametros_manuales!$E$25*('Plan mensual'!E58+'Plan mensual'!E169+IF(parametros_manuales!$H$25="Todos",'Plan mensual'!E62+'Plan mensual'!E173,0))+parametros_manuales!$F$25*('Plan mensual'!E59+'Plan mensual'!E170+IF(parametros_manuales!$H$25="Todos",'Plan mensual'!E63+'Plan mensual'!E174,0))+parametros_manuales!$G$25*('Plan mensual'!E60+'Plan mensual'!E171+IF(parametros_manuales!$H$25="Todos",'Plan mensual'!E64+'Plan mensual'!E175,0)))*parametros_manuales!$I$25*parametros_manuales!$J$25</f>
        <v>10776.09029862</v>
      </c>
      <c r="D143" s="9" t="n">
        <f aca="false">(parametros_manuales!$D$25*('Plan mensual'!F57+'Plan mensual'!F168+IF(parametros_manuales!$H$25="Todos",'Plan mensual'!F61+'Plan mensual'!F172,0))+parametros_manuales!$E$25*('Plan mensual'!F58+'Plan mensual'!F169+IF(parametros_manuales!$H$25="Todos",'Plan mensual'!F62+'Plan mensual'!F173,0))+parametros_manuales!$F$25*('Plan mensual'!F59+'Plan mensual'!F170+IF(parametros_manuales!$H$25="Todos",'Plan mensual'!F63+'Plan mensual'!F174,0))+parametros_manuales!$G$25*('Plan mensual'!F60+'Plan mensual'!F171+IF(parametros_manuales!$H$25="Todos",'Plan mensual'!F64+'Plan mensual'!F175,0)))*parametros_manuales!$I$25*parametros_manuales!$J$25</f>
        <v>10085.526363065</v>
      </c>
      <c r="E143" s="9" t="n">
        <f aca="false">(parametros_manuales!$D$25*('Plan mensual'!G57+'Plan mensual'!G168+IF(parametros_manuales!$H$25="Todos",'Plan mensual'!G61+'Plan mensual'!G172,0))+parametros_manuales!$E$25*('Plan mensual'!G58+'Plan mensual'!G169+IF(parametros_manuales!$H$25="Todos",'Plan mensual'!G62+'Plan mensual'!G173,0))+parametros_manuales!$F$25*('Plan mensual'!G59+'Plan mensual'!G170+IF(parametros_manuales!$H$25="Todos",'Plan mensual'!G63+'Plan mensual'!G174,0))+parametros_manuales!$G$25*('Plan mensual'!G60+'Plan mensual'!G171+IF(parametros_manuales!$H$25="Todos",'Plan mensual'!G64+'Plan mensual'!G175,0)))*parametros_manuales!$I$25*parametros_manuales!$J$25</f>
        <v>9649.024097715</v>
      </c>
      <c r="F143" s="9" t="n">
        <f aca="false">(parametros_manuales!$D$25*('Plan mensual'!H57+'Plan mensual'!H168+IF(parametros_manuales!$H$25="Todos",'Plan mensual'!H61+'Plan mensual'!H172,0))+parametros_manuales!$E$25*('Plan mensual'!H58+'Plan mensual'!H169+IF(parametros_manuales!$H$25="Todos",'Plan mensual'!H62+'Plan mensual'!H173,0))+parametros_manuales!$F$25*('Plan mensual'!H59+'Plan mensual'!H170+IF(parametros_manuales!$H$25="Todos",'Plan mensual'!H63+'Plan mensual'!H174,0))+parametros_manuales!$G$25*('Plan mensual'!H60+'Plan mensual'!H171+IF(parametros_manuales!$H$25="Todos",'Plan mensual'!H64+'Plan mensual'!H175,0)))*parametros_manuales!$I$25*parametros_manuales!$J$25</f>
        <v>9030.08123722</v>
      </c>
      <c r="G143" s="9" t="n">
        <f aca="false">(parametros_manuales!$D$25*('Plan mensual'!I57+'Plan mensual'!I168+IF(parametros_manuales!$H$25="Todos",'Plan mensual'!I61+'Plan mensual'!I172,0))+parametros_manuales!$E$25*('Plan mensual'!I58+'Plan mensual'!I169+IF(parametros_manuales!$H$25="Todos",'Plan mensual'!I62+'Plan mensual'!I173,0))+parametros_manuales!$F$25*('Plan mensual'!I59+'Plan mensual'!I170+IF(parametros_manuales!$H$25="Todos",'Plan mensual'!I63+'Plan mensual'!I174,0))+parametros_manuales!$G$25*('Plan mensual'!I60+'Plan mensual'!I171+IF(parametros_manuales!$H$25="Todos",'Plan mensual'!I64+'Plan mensual'!I175,0)))*parametros_manuales!$I$25*parametros_manuales!$J$25</f>
        <v>8847.640642075</v>
      </c>
      <c r="H143" s="9" t="n">
        <f aca="false">(parametros_manuales!$D$25*('Plan mensual'!J57+'Plan mensual'!J168+IF(parametros_manuales!$H$25="Todos",'Plan mensual'!J61+'Plan mensual'!J172,0))+parametros_manuales!$E$25*('Plan mensual'!J58+'Plan mensual'!J169+IF(parametros_manuales!$H$25="Todos",'Plan mensual'!J62+'Plan mensual'!J173,0))+parametros_manuales!$F$25*('Plan mensual'!J59+'Plan mensual'!J170+IF(parametros_manuales!$H$25="Todos",'Plan mensual'!J63+'Plan mensual'!J174,0))+parametros_manuales!$G$25*('Plan mensual'!J60+'Plan mensual'!J171+IF(parametros_manuales!$H$25="Todos",'Plan mensual'!J64+'Plan mensual'!J175,0)))*parametros_manuales!$I$25*parametros_manuales!$J$25</f>
        <v>9466.58350257</v>
      </c>
      <c r="I143" s="9" t="n">
        <f aca="false">(parametros_manuales!$D$25*('Plan mensual'!K57+'Plan mensual'!K168+IF(parametros_manuales!$H$25="Todos",'Plan mensual'!K61+'Plan mensual'!K172,0))+parametros_manuales!$E$25*('Plan mensual'!K58+'Plan mensual'!K169+IF(parametros_manuales!$H$25="Todos",'Plan mensual'!K62+'Plan mensual'!K173,0))+parametros_manuales!$F$25*('Plan mensual'!K59+'Plan mensual'!K170+IF(parametros_manuales!$H$25="Todos",'Plan mensual'!K63+'Plan mensual'!K174,0))+parametros_manuales!$G$25*('Plan mensual'!K60+'Plan mensual'!K171+IF(parametros_manuales!$H$25="Todos",'Plan mensual'!K64+'Plan mensual'!K175,0)))*parametros_manuales!$I$25*parametros_manuales!$J$25</f>
        <v>9466.58350257</v>
      </c>
      <c r="J143" s="9" t="n">
        <f aca="false">(parametros_manuales!$D$25*('Plan mensual'!L57+'Plan mensual'!L168+IF(parametros_manuales!$H$25="Todos",'Plan mensual'!L61+'Plan mensual'!L172,0))+parametros_manuales!$E$25*('Plan mensual'!L58+'Plan mensual'!L169+IF(parametros_manuales!$H$25="Todos",'Plan mensual'!L62+'Plan mensual'!L173,0))+parametros_manuales!$F$25*('Plan mensual'!L59+'Plan mensual'!L170+IF(parametros_manuales!$H$25="Todos",'Plan mensual'!L63+'Plan mensual'!L174,0))+parametros_manuales!$G$25*('Plan mensual'!L60+'Plan mensual'!L171+IF(parametros_manuales!$H$25="Todos",'Plan mensual'!L64+'Plan mensual'!L175,0)))*parametros_manuales!$I$25*parametros_manuales!$J$25</f>
        <v>9466.58350257</v>
      </c>
      <c r="K143" s="9" t="n">
        <f aca="false">(parametros_manuales!$D$25*('Plan mensual'!M57+'Plan mensual'!M168+IF(parametros_manuales!$H$25="Todos",'Plan mensual'!M61+'Plan mensual'!M172,0))+parametros_manuales!$E$25*('Plan mensual'!M58+'Plan mensual'!M169+IF(parametros_manuales!$H$25="Todos",'Plan mensual'!M62+'Plan mensual'!M173,0))+parametros_manuales!$F$25*('Plan mensual'!M59+'Plan mensual'!M170+IF(parametros_manuales!$H$25="Todos",'Plan mensual'!M63+'Plan mensual'!M174,0))+parametros_manuales!$G$25*('Plan mensual'!M60+'Plan mensual'!M171+IF(parametros_manuales!$H$25="Todos",'Plan mensual'!M64+'Plan mensual'!M175,0)))*parametros_manuales!$I$25*parametros_manuales!$J$25</f>
        <v>9284.142907425</v>
      </c>
      <c r="L143" s="9" t="n">
        <f aca="false">(parametros_manuales!$D$25*('Plan mensual'!N57+'Plan mensual'!N168+IF(parametros_manuales!$H$25="Todos",'Plan mensual'!N61+'Plan mensual'!N172,0))+parametros_manuales!$E$25*('Plan mensual'!N58+'Plan mensual'!N169+IF(parametros_manuales!$H$25="Todos",'Plan mensual'!N62+'Plan mensual'!N173,0))+parametros_manuales!$F$25*('Plan mensual'!N59+'Plan mensual'!N170+IF(parametros_manuales!$H$25="Todos",'Plan mensual'!N63+'Plan mensual'!N174,0))+parametros_manuales!$G$25*('Plan mensual'!N60+'Plan mensual'!N171+IF(parametros_manuales!$H$25="Todos",'Plan mensual'!N64+'Plan mensual'!N175,0)))*parametros_manuales!$I$25*parametros_manuales!$J$25</f>
        <v>9101.70231228</v>
      </c>
      <c r="M143" s="9" t="n">
        <f aca="false">(parametros_manuales!$D$25*('Plan mensual'!O57+'Plan mensual'!O168+IF(parametros_manuales!$H$25="Todos",'Plan mensual'!O61+'Plan mensual'!O172,0))+parametros_manuales!$E$25*('Plan mensual'!O58+'Plan mensual'!O169+IF(parametros_manuales!$H$25="Todos",'Plan mensual'!O62+'Plan mensual'!O173,0))+parametros_manuales!$F$25*('Plan mensual'!O59+'Plan mensual'!O170+IF(parametros_manuales!$H$25="Todos",'Plan mensual'!O63+'Plan mensual'!O174,0))+parametros_manuales!$G$25*('Plan mensual'!O60+'Plan mensual'!O171+IF(parametros_manuales!$H$25="Todos",'Plan mensual'!O64+'Plan mensual'!O175,0)))*parametros_manuales!$I$25*parametros_manuales!$J$25</f>
        <v>14489.74746159</v>
      </c>
      <c r="N143" s="9" t="n">
        <f aca="false">SUM(B143:M143)</f>
        <v>123788.572099</v>
      </c>
      <c r="O143" s="9" t="n">
        <f aca="false">MAX(B143:M143)</f>
        <v>14489.74746159</v>
      </c>
      <c r="P143" s="44" t="n">
        <f aca="false">O143/(parametros_manuales!$B$7)</f>
        <v>96.5983164106</v>
      </c>
      <c r="Q143" s="8" t="str">
        <f aca="false">IF(O143=0,"-",INDEX($B$136:$M$136,MATCH(O143,B143:M143,0)))</f>
        <v>Dic</v>
      </c>
    </row>
    <row r="144" customFormat="false" ht="14.25" hidden="false" customHeight="true" outlineLevel="0" collapsed="false">
      <c r="A144" s="8" t="str">
        <f aca="false">parametros_manuales!$B$26</f>
        <v>Cilindrado</v>
      </c>
      <c r="B144" s="9" t="n">
        <f aca="false">(parametros_manuales!$D$26*('Plan mensual'!D57+'Plan mensual'!D168+IF(parametros_manuales!$H$26="Todos",'Plan mensual'!D61+'Plan mensual'!D172,0))+parametros_manuales!$E$26*('Plan mensual'!D58+'Plan mensual'!D169+IF(parametros_manuales!$H$26="Todos",'Plan mensual'!D62+'Plan mensual'!D173,0))+parametros_manuales!$F$26*('Plan mensual'!D59+'Plan mensual'!D170+IF(parametros_manuales!$H$26="Todos",'Plan mensual'!D63+'Plan mensual'!D174,0))+parametros_manuales!$G$26*('Plan mensual'!D60+'Plan mensual'!D171+IF(parametros_manuales!$H$26="Todos",'Plan mensual'!D64+'Plan mensual'!D175,0)))*parametros_manuales!$I$26*parametros_manuales!$J$26</f>
        <v>3648.8119029</v>
      </c>
      <c r="C144" s="9" t="n">
        <f aca="false">(parametros_manuales!$D$26*('Plan mensual'!E57+'Plan mensual'!E168+IF(parametros_manuales!$H$26="Todos",'Plan mensual'!E61+'Plan mensual'!E172,0))+parametros_manuales!$E$26*('Plan mensual'!E58+'Plan mensual'!E169+IF(parametros_manuales!$H$26="Todos",'Plan mensual'!E62+'Plan mensual'!E173,0))+parametros_manuales!$F$26*('Plan mensual'!E59+'Plan mensual'!E170+IF(parametros_manuales!$H$26="Todos",'Plan mensual'!E63+'Plan mensual'!E174,0))+parametros_manuales!$G$26*('Plan mensual'!E60+'Plan mensual'!E171+IF(parametros_manuales!$H$26="Todos",'Plan mensual'!E64+'Plan mensual'!E175,0)))*parametros_manuales!$I$26*parametros_manuales!$J$26</f>
        <v>2919.04952232</v>
      </c>
      <c r="D144" s="9" t="n">
        <f aca="false">(parametros_manuales!$D$26*('Plan mensual'!F57+'Plan mensual'!F168+IF(parametros_manuales!$H$26="Todos",'Plan mensual'!F61+'Plan mensual'!F172,0))+parametros_manuales!$E$26*('Plan mensual'!F58+'Plan mensual'!F169+IF(parametros_manuales!$H$26="Todos",'Plan mensual'!F62+'Plan mensual'!F173,0))+parametros_manuales!$F$26*('Plan mensual'!F59+'Plan mensual'!F170+IF(parametros_manuales!$H$26="Todos",'Plan mensual'!F63+'Plan mensual'!F174,0))+parametros_manuales!$G$26*('Plan mensual'!F60+'Plan mensual'!F171+IF(parametros_manuales!$H$26="Todos",'Plan mensual'!F64+'Plan mensual'!F175,0)))*parametros_manuales!$I$26*parametros_manuales!$J$26</f>
        <v>3101.490117465</v>
      </c>
      <c r="E144" s="9" t="n">
        <f aca="false">(parametros_manuales!$D$26*('Plan mensual'!G57+'Plan mensual'!G168+IF(parametros_manuales!$H$26="Todos",'Plan mensual'!G61+'Plan mensual'!G172,0))+parametros_manuales!$E$26*('Plan mensual'!G58+'Plan mensual'!G169+IF(parametros_manuales!$H$26="Todos",'Plan mensual'!G62+'Plan mensual'!G173,0))+parametros_manuales!$F$26*('Plan mensual'!G59+'Plan mensual'!G170+IF(parametros_manuales!$H$26="Todos",'Plan mensual'!G63+'Plan mensual'!G174,0))+parametros_manuales!$G$26*('Plan mensual'!G60+'Plan mensual'!G171+IF(parametros_manuales!$H$26="Todos",'Plan mensual'!G64+'Plan mensual'!G175,0)))*parametros_manuales!$I$26*parametros_manuales!$J$26</f>
        <v>3101.490117465</v>
      </c>
      <c r="F144" s="9" t="n">
        <f aca="false">(parametros_manuales!$D$26*('Plan mensual'!H57+'Plan mensual'!H168+IF(parametros_manuales!$H$26="Todos",'Plan mensual'!H61+'Plan mensual'!H172,0))+parametros_manuales!$E$26*('Plan mensual'!H58+'Plan mensual'!H169+IF(parametros_manuales!$H$26="Todos",'Plan mensual'!H62+'Plan mensual'!H173,0))+parametros_manuales!$F$26*('Plan mensual'!H59+'Plan mensual'!H170+IF(parametros_manuales!$H$26="Todos",'Plan mensual'!H63+'Plan mensual'!H174,0))+parametros_manuales!$G$26*('Plan mensual'!H60+'Plan mensual'!H171+IF(parametros_manuales!$H$26="Todos",'Plan mensual'!H64+'Plan mensual'!H175,0)))*parametros_manuales!$I$26*parametros_manuales!$J$26</f>
        <v>2919.04952232</v>
      </c>
      <c r="G144" s="9" t="n">
        <f aca="false">(parametros_manuales!$D$26*('Plan mensual'!I57+'Plan mensual'!I168+IF(parametros_manuales!$H$26="Todos",'Plan mensual'!I61+'Plan mensual'!I172,0))+parametros_manuales!$E$26*('Plan mensual'!I58+'Plan mensual'!I169+IF(parametros_manuales!$H$26="Todos",'Plan mensual'!I62+'Plan mensual'!I173,0))+parametros_manuales!$F$26*('Plan mensual'!I59+'Plan mensual'!I170+IF(parametros_manuales!$H$26="Todos",'Plan mensual'!I63+'Plan mensual'!I174,0))+parametros_manuales!$G$26*('Plan mensual'!I60+'Plan mensual'!I171+IF(parametros_manuales!$H$26="Todos",'Plan mensual'!I64+'Plan mensual'!I175,0)))*parametros_manuales!$I$26*parametros_manuales!$J$26</f>
        <v>2736.608927175</v>
      </c>
      <c r="H144" s="9" t="n">
        <f aca="false">(parametros_manuales!$D$26*('Plan mensual'!J57+'Plan mensual'!J168+IF(parametros_manuales!$H$26="Todos",'Plan mensual'!J61+'Plan mensual'!J172,0))+parametros_manuales!$E$26*('Plan mensual'!J58+'Plan mensual'!J169+IF(parametros_manuales!$H$26="Todos",'Plan mensual'!J62+'Plan mensual'!J173,0))+parametros_manuales!$F$26*('Plan mensual'!J59+'Plan mensual'!J170+IF(parametros_manuales!$H$26="Todos",'Plan mensual'!J63+'Plan mensual'!J174,0))+parametros_manuales!$G$26*('Plan mensual'!J60+'Plan mensual'!J171+IF(parametros_manuales!$H$26="Todos",'Plan mensual'!J64+'Plan mensual'!J175,0)))*parametros_manuales!$I$26*parametros_manuales!$J$26</f>
        <v>2919.04952232</v>
      </c>
      <c r="I144" s="9" t="n">
        <f aca="false">(parametros_manuales!$D$26*('Plan mensual'!K57+'Plan mensual'!K168+IF(parametros_manuales!$H$26="Todos",'Plan mensual'!K61+'Plan mensual'!K172,0))+parametros_manuales!$E$26*('Plan mensual'!K58+'Plan mensual'!K169+IF(parametros_manuales!$H$26="Todos",'Plan mensual'!K62+'Plan mensual'!K173,0))+parametros_manuales!$F$26*('Plan mensual'!K59+'Plan mensual'!K170+IF(parametros_manuales!$H$26="Todos",'Plan mensual'!K63+'Plan mensual'!K174,0))+parametros_manuales!$G$26*('Plan mensual'!K60+'Plan mensual'!K171+IF(parametros_manuales!$H$26="Todos",'Plan mensual'!K64+'Plan mensual'!K175,0)))*parametros_manuales!$I$26*parametros_manuales!$J$26</f>
        <v>2919.04952232</v>
      </c>
      <c r="J144" s="9" t="n">
        <f aca="false">(parametros_manuales!$D$26*('Plan mensual'!L57+'Plan mensual'!L168+IF(parametros_manuales!$H$26="Todos",'Plan mensual'!L61+'Plan mensual'!L172,0))+parametros_manuales!$E$26*('Plan mensual'!L58+'Plan mensual'!L169+IF(parametros_manuales!$H$26="Todos",'Plan mensual'!L62+'Plan mensual'!L173,0))+parametros_manuales!$F$26*('Plan mensual'!L59+'Plan mensual'!L170+IF(parametros_manuales!$H$26="Todos",'Plan mensual'!L63+'Plan mensual'!L174,0))+parametros_manuales!$G$26*('Plan mensual'!L60+'Plan mensual'!L171+IF(parametros_manuales!$H$26="Todos",'Plan mensual'!L64+'Plan mensual'!L175,0)))*parametros_manuales!$I$26*parametros_manuales!$J$26</f>
        <v>2919.04952232</v>
      </c>
      <c r="K144" s="9" t="n">
        <f aca="false">(parametros_manuales!$D$26*('Plan mensual'!M57+'Plan mensual'!M168+IF(parametros_manuales!$H$26="Todos",'Plan mensual'!M61+'Plan mensual'!M172,0))+parametros_manuales!$E$26*('Plan mensual'!M58+'Plan mensual'!M169+IF(parametros_manuales!$H$26="Todos",'Plan mensual'!M62+'Plan mensual'!M173,0))+parametros_manuales!$F$26*('Plan mensual'!M59+'Plan mensual'!M170+IF(parametros_manuales!$H$26="Todos",'Plan mensual'!M63+'Plan mensual'!M174,0))+parametros_manuales!$G$26*('Plan mensual'!M60+'Plan mensual'!M171+IF(parametros_manuales!$H$26="Todos",'Plan mensual'!M64+'Plan mensual'!M175,0)))*parametros_manuales!$I$26*parametros_manuales!$J$26</f>
        <v>2736.608927175</v>
      </c>
      <c r="L144" s="9" t="n">
        <f aca="false">(parametros_manuales!$D$26*('Plan mensual'!N57+'Plan mensual'!N168+IF(parametros_manuales!$H$26="Todos",'Plan mensual'!N61+'Plan mensual'!N172,0))+parametros_manuales!$E$26*('Plan mensual'!N58+'Plan mensual'!N169+IF(parametros_manuales!$H$26="Todos",'Plan mensual'!N62+'Plan mensual'!N173,0))+parametros_manuales!$F$26*('Plan mensual'!N59+'Plan mensual'!N170+IF(parametros_manuales!$H$26="Todos",'Plan mensual'!N63+'Plan mensual'!N174,0))+parametros_manuales!$G$26*('Plan mensual'!N60+'Plan mensual'!N171+IF(parametros_manuales!$H$26="Todos",'Plan mensual'!N64+'Plan mensual'!N175,0)))*parametros_manuales!$I$26*parametros_manuales!$J$26</f>
        <v>2554.16833203</v>
      </c>
      <c r="M144" s="9" t="n">
        <f aca="false">(parametros_manuales!$D$26*('Plan mensual'!O57+'Plan mensual'!O168+IF(parametros_manuales!$H$26="Todos",'Plan mensual'!O61+'Plan mensual'!O172,0))+parametros_manuales!$E$26*('Plan mensual'!O58+'Plan mensual'!O169+IF(parametros_manuales!$H$26="Todos",'Plan mensual'!O62+'Plan mensual'!O173,0))+parametros_manuales!$F$26*('Plan mensual'!O59+'Plan mensual'!O170+IF(parametros_manuales!$H$26="Todos",'Plan mensual'!O63+'Plan mensual'!O174,0))+parametros_manuales!$G$26*('Plan mensual'!O60+'Plan mensual'!O171+IF(parametros_manuales!$H$26="Todos",'Plan mensual'!O64+'Plan mensual'!O175,0)))*parametros_manuales!$I$26*parametros_manuales!$J$26</f>
        <v>4013.69309319</v>
      </c>
      <c r="N144" s="9" t="n">
        <f aca="false">SUM(B144:M144)</f>
        <v>36488.119029</v>
      </c>
      <c r="O144" s="9" t="n">
        <f aca="false">MAX(B144:M144)</f>
        <v>4013.69309319</v>
      </c>
      <c r="P144" s="44" t="n">
        <f aca="false">O144/(parametros_manuales!$B$7)</f>
        <v>26.7579539546</v>
      </c>
      <c r="Q144" s="8" t="str">
        <f aca="false">IF(O144=0,"-",INDEX($B$136:$M$136,MATCH(O144,B144:M144,0)))</f>
        <v>Dic</v>
      </c>
    </row>
    <row r="145" customFormat="false" ht="14.25" hidden="false" customHeight="true" outlineLevel="0" collapsed="false">
      <c r="A145" s="8" t="str">
        <f aca="false">parametros_manuales!$B$27</f>
        <v>Soldadura longitudinal</v>
      </c>
      <c r="B145" s="9" t="n">
        <f aca="false">(parametros_manuales!$D$27*('Plan mensual'!D57+'Plan mensual'!D168+IF(parametros_manuales!$H$27="Todos",'Plan mensual'!D61+'Plan mensual'!D172,0))+parametros_manuales!$E$27*('Plan mensual'!D58+'Plan mensual'!D169+IF(parametros_manuales!$H$27="Todos",'Plan mensual'!D62+'Plan mensual'!D173,0))+parametros_manuales!$F$27*('Plan mensual'!D59+'Plan mensual'!D170+IF(parametros_manuales!$H$27="Todos",'Plan mensual'!D63+'Plan mensual'!D174,0))+parametros_manuales!$G$27*('Plan mensual'!D60+'Plan mensual'!D171+IF(parametros_manuales!$H$27="Todos",'Plan mensual'!D64+'Plan mensual'!D175,0)))*parametros_manuales!$I$27*parametros_manuales!$J$27</f>
        <v>3648.8119029</v>
      </c>
      <c r="C145" s="9" t="n">
        <f aca="false">(parametros_manuales!$D$27*('Plan mensual'!E57+'Plan mensual'!E168+IF(parametros_manuales!$H$27="Todos",'Plan mensual'!E61+'Plan mensual'!E172,0))+parametros_manuales!$E$27*('Plan mensual'!E58+'Plan mensual'!E169+IF(parametros_manuales!$H$27="Todos",'Plan mensual'!E62+'Plan mensual'!E173,0))+parametros_manuales!$F$27*('Plan mensual'!E59+'Plan mensual'!E170+IF(parametros_manuales!$H$27="Todos",'Plan mensual'!E63+'Plan mensual'!E174,0))+parametros_manuales!$G$27*('Plan mensual'!E60+'Plan mensual'!E171+IF(parametros_manuales!$H$27="Todos",'Plan mensual'!E64+'Plan mensual'!E175,0)))*parametros_manuales!$I$27*parametros_manuales!$J$27</f>
        <v>2919.04952232</v>
      </c>
      <c r="D145" s="9" t="n">
        <f aca="false">(parametros_manuales!$D$27*('Plan mensual'!F57+'Plan mensual'!F168+IF(parametros_manuales!$H$27="Todos",'Plan mensual'!F61+'Plan mensual'!F172,0))+parametros_manuales!$E$27*('Plan mensual'!F58+'Plan mensual'!F169+IF(parametros_manuales!$H$27="Todos",'Plan mensual'!F62+'Plan mensual'!F173,0))+parametros_manuales!$F$27*('Plan mensual'!F59+'Plan mensual'!F170+IF(parametros_manuales!$H$27="Todos",'Plan mensual'!F63+'Plan mensual'!F174,0))+parametros_manuales!$G$27*('Plan mensual'!F60+'Plan mensual'!F171+IF(parametros_manuales!$H$27="Todos",'Plan mensual'!F64+'Plan mensual'!F175,0)))*parametros_manuales!$I$27*parametros_manuales!$J$27</f>
        <v>3101.490117465</v>
      </c>
      <c r="E145" s="9" t="n">
        <f aca="false">(parametros_manuales!$D$27*('Plan mensual'!G57+'Plan mensual'!G168+IF(parametros_manuales!$H$27="Todos",'Plan mensual'!G61+'Plan mensual'!G172,0))+parametros_manuales!$E$27*('Plan mensual'!G58+'Plan mensual'!G169+IF(parametros_manuales!$H$27="Todos",'Plan mensual'!G62+'Plan mensual'!G173,0))+parametros_manuales!$F$27*('Plan mensual'!G59+'Plan mensual'!G170+IF(parametros_manuales!$H$27="Todos",'Plan mensual'!G63+'Plan mensual'!G174,0))+parametros_manuales!$G$27*('Plan mensual'!G60+'Plan mensual'!G171+IF(parametros_manuales!$H$27="Todos",'Plan mensual'!G64+'Plan mensual'!G175,0)))*parametros_manuales!$I$27*parametros_manuales!$J$27</f>
        <v>3101.490117465</v>
      </c>
      <c r="F145" s="9" t="n">
        <f aca="false">(parametros_manuales!$D$27*('Plan mensual'!H57+'Plan mensual'!H168+IF(parametros_manuales!$H$27="Todos",'Plan mensual'!H61+'Plan mensual'!H172,0))+parametros_manuales!$E$27*('Plan mensual'!H58+'Plan mensual'!H169+IF(parametros_manuales!$H$27="Todos",'Plan mensual'!H62+'Plan mensual'!H173,0))+parametros_manuales!$F$27*('Plan mensual'!H59+'Plan mensual'!H170+IF(parametros_manuales!$H$27="Todos",'Plan mensual'!H63+'Plan mensual'!H174,0))+parametros_manuales!$G$27*('Plan mensual'!H60+'Plan mensual'!H171+IF(parametros_manuales!$H$27="Todos",'Plan mensual'!H64+'Plan mensual'!H175,0)))*parametros_manuales!$I$27*parametros_manuales!$J$27</f>
        <v>2919.04952232</v>
      </c>
      <c r="G145" s="9" t="n">
        <f aca="false">(parametros_manuales!$D$27*('Plan mensual'!I57+'Plan mensual'!I168+IF(parametros_manuales!$H$27="Todos",'Plan mensual'!I61+'Plan mensual'!I172,0))+parametros_manuales!$E$27*('Plan mensual'!I58+'Plan mensual'!I169+IF(parametros_manuales!$H$27="Todos",'Plan mensual'!I62+'Plan mensual'!I173,0))+parametros_manuales!$F$27*('Plan mensual'!I59+'Plan mensual'!I170+IF(parametros_manuales!$H$27="Todos",'Plan mensual'!I63+'Plan mensual'!I174,0))+parametros_manuales!$G$27*('Plan mensual'!I60+'Plan mensual'!I171+IF(parametros_manuales!$H$27="Todos",'Plan mensual'!I64+'Plan mensual'!I175,0)))*parametros_manuales!$I$27*parametros_manuales!$J$27</f>
        <v>2736.608927175</v>
      </c>
      <c r="H145" s="9" t="n">
        <f aca="false">(parametros_manuales!$D$27*('Plan mensual'!J57+'Plan mensual'!J168+IF(parametros_manuales!$H$27="Todos",'Plan mensual'!J61+'Plan mensual'!J172,0))+parametros_manuales!$E$27*('Plan mensual'!J58+'Plan mensual'!J169+IF(parametros_manuales!$H$27="Todos",'Plan mensual'!J62+'Plan mensual'!J173,0))+parametros_manuales!$F$27*('Plan mensual'!J59+'Plan mensual'!J170+IF(parametros_manuales!$H$27="Todos",'Plan mensual'!J63+'Plan mensual'!J174,0))+parametros_manuales!$G$27*('Plan mensual'!J60+'Plan mensual'!J171+IF(parametros_manuales!$H$27="Todos",'Plan mensual'!J64+'Plan mensual'!J175,0)))*parametros_manuales!$I$27*parametros_manuales!$J$27</f>
        <v>2919.04952232</v>
      </c>
      <c r="I145" s="9" t="n">
        <f aca="false">(parametros_manuales!$D$27*('Plan mensual'!K57+'Plan mensual'!K168+IF(parametros_manuales!$H$27="Todos",'Plan mensual'!K61+'Plan mensual'!K172,0))+parametros_manuales!$E$27*('Plan mensual'!K58+'Plan mensual'!K169+IF(parametros_manuales!$H$27="Todos",'Plan mensual'!K62+'Plan mensual'!K173,0))+parametros_manuales!$F$27*('Plan mensual'!K59+'Plan mensual'!K170+IF(parametros_manuales!$H$27="Todos",'Plan mensual'!K63+'Plan mensual'!K174,0))+parametros_manuales!$G$27*('Plan mensual'!K60+'Plan mensual'!K171+IF(parametros_manuales!$H$27="Todos",'Plan mensual'!K64+'Plan mensual'!K175,0)))*parametros_manuales!$I$27*parametros_manuales!$J$27</f>
        <v>2919.04952232</v>
      </c>
      <c r="J145" s="9" t="n">
        <f aca="false">(parametros_manuales!$D$27*('Plan mensual'!L57+'Plan mensual'!L168+IF(parametros_manuales!$H$27="Todos",'Plan mensual'!L61+'Plan mensual'!L172,0))+parametros_manuales!$E$27*('Plan mensual'!L58+'Plan mensual'!L169+IF(parametros_manuales!$H$27="Todos",'Plan mensual'!L62+'Plan mensual'!L173,0))+parametros_manuales!$F$27*('Plan mensual'!L59+'Plan mensual'!L170+IF(parametros_manuales!$H$27="Todos",'Plan mensual'!L63+'Plan mensual'!L174,0))+parametros_manuales!$G$27*('Plan mensual'!L60+'Plan mensual'!L171+IF(parametros_manuales!$H$27="Todos",'Plan mensual'!L64+'Plan mensual'!L175,0)))*parametros_manuales!$I$27*parametros_manuales!$J$27</f>
        <v>2919.04952232</v>
      </c>
      <c r="K145" s="9" t="n">
        <f aca="false">(parametros_manuales!$D$27*('Plan mensual'!M57+'Plan mensual'!M168+IF(parametros_manuales!$H$27="Todos",'Plan mensual'!M61+'Plan mensual'!M172,0))+parametros_manuales!$E$27*('Plan mensual'!M58+'Plan mensual'!M169+IF(parametros_manuales!$H$27="Todos",'Plan mensual'!M62+'Plan mensual'!M173,0))+parametros_manuales!$F$27*('Plan mensual'!M59+'Plan mensual'!M170+IF(parametros_manuales!$H$27="Todos",'Plan mensual'!M63+'Plan mensual'!M174,0))+parametros_manuales!$G$27*('Plan mensual'!M60+'Plan mensual'!M171+IF(parametros_manuales!$H$27="Todos",'Plan mensual'!M64+'Plan mensual'!M175,0)))*parametros_manuales!$I$27*parametros_manuales!$J$27</f>
        <v>2736.608927175</v>
      </c>
      <c r="L145" s="9" t="n">
        <f aca="false">(parametros_manuales!$D$27*('Plan mensual'!N57+'Plan mensual'!N168+IF(parametros_manuales!$H$27="Todos",'Plan mensual'!N61+'Plan mensual'!N172,0))+parametros_manuales!$E$27*('Plan mensual'!N58+'Plan mensual'!N169+IF(parametros_manuales!$H$27="Todos",'Plan mensual'!N62+'Plan mensual'!N173,0))+parametros_manuales!$F$27*('Plan mensual'!N59+'Plan mensual'!N170+IF(parametros_manuales!$H$27="Todos",'Plan mensual'!N63+'Plan mensual'!N174,0))+parametros_manuales!$G$27*('Plan mensual'!N60+'Plan mensual'!N171+IF(parametros_manuales!$H$27="Todos",'Plan mensual'!N64+'Plan mensual'!N175,0)))*parametros_manuales!$I$27*parametros_manuales!$J$27</f>
        <v>2554.16833203</v>
      </c>
      <c r="M145" s="9" t="n">
        <f aca="false">(parametros_manuales!$D$27*('Plan mensual'!O57+'Plan mensual'!O168+IF(parametros_manuales!$H$27="Todos",'Plan mensual'!O61+'Plan mensual'!O172,0))+parametros_manuales!$E$27*('Plan mensual'!O58+'Plan mensual'!O169+IF(parametros_manuales!$H$27="Todos",'Plan mensual'!O62+'Plan mensual'!O173,0))+parametros_manuales!$F$27*('Plan mensual'!O59+'Plan mensual'!O170+IF(parametros_manuales!$H$27="Todos",'Plan mensual'!O63+'Plan mensual'!O174,0))+parametros_manuales!$G$27*('Plan mensual'!O60+'Plan mensual'!O171+IF(parametros_manuales!$H$27="Todos",'Plan mensual'!O64+'Plan mensual'!O175,0)))*parametros_manuales!$I$27*parametros_manuales!$J$27</f>
        <v>4013.69309319</v>
      </c>
      <c r="N145" s="9" t="n">
        <f aca="false">SUM(B145:M145)</f>
        <v>36488.119029</v>
      </c>
      <c r="O145" s="9" t="n">
        <f aca="false">MAX(B145:M145)</f>
        <v>4013.69309319</v>
      </c>
      <c r="P145" s="44" t="n">
        <f aca="false">O145/(parametros_manuales!$B$7)</f>
        <v>26.7579539546</v>
      </c>
      <c r="Q145" s="8" t="str">
        <f aca="false">IF(O145=0,"-",INDEX($B$136:$M$136,MATCH(O145,B145:M145,0)))</f>
        <v>Dic</v>
      </c>
    </row>
    <row r="146" customFormat="false" ht="14.25" hidden="false" customHeight="true" outlineLevel="0" collapsed="false">
      <c r="A146" s="8" t="str">
        <f aca="false">parametros_manuales!$B$28</f>
        <v>Encastre de fondo</v>
      </c>
      <c r="B146" s="9" t="n">
        <f aca="false">(parametros_manuales!$D$28*('Plan mensual'!D57+'Plan mensual'!D168+IF(parametros_manuales!$H$28="Todos",'Plan mensual'!D61+'Plan mensual'!D172,0))+parametros_manuales!$E$28*('Plan mensual'!D58+'Plan mensual'!D169+IF(parametros_manuales!$H$28="Todos",'Plan mensual'!D62+'Plan mensual'!D173,0))+parametros_manuales!$F$28*('Plan mensual'!D59+'Plan mensual'!D170+IF(parametros_manuales!$H$28="Todos",'Plan mensual'!D63+'Plan mensual'!D174,0))+parametros_manuales!$G$28*('Plan mensual'!D60+'Plan mensual'!D171+IF(parametros_manuales!$H$28="Todos",'Plan mensual'!D64+'Plan mensual'!D175,0)))*parametros_manuales!$I$28*parametros_manuales!$J$28</f>
        <v>14124.8662713</v>
      </c>
      <c r="C146" s="9" t="n">
        <f aca="false">(parametros_manuales!$D$28*('Plan mensual'!E57+'Plan mensual'!E168+IF(parametros_manuales!$H$28="Todos",'Plan mensual'!E61+'Plan mensual'!E172,0))+parametros_manuales!$E$28*('Plan mensual'!E58+'Plan mensual'!E169+IF(parametros_manuales!$H$28="Todos",'Plan mensual'!E62+'Plan mensual'!E173,0))+parametros_manuales!$F$28*('Plan mensual'!E59+'Plan mensual'!E170+IF(parametros_manuales!$H$28="Todos",'Plan mensual'!E63+'Plan mensual'!E174,0))+parametros_manuales!$G$28*('Plan mensual'!E60+'Plan mensual'!E171+IF(parametros_manuales!$H$28="Todos",'Plan mensual'!E64+'Plan mensual'!E175,0)))*parametros_manuales!$I$28*parametros_manuales!$J$28</f>
        <v>10776.09029862</v>
      </c>
      <c r="D146" s="9" t="n">
        <f aca="false">(parametros_manuales!$D$28*('Plan mensual'!F57+'Plan mensual'!F168+IF(parametros_manuales!$H$28="Todos",'Plan mensual'!F61+'Plan mensual'!F172,0))+parametros_manuales!$E$28*('Plan mensual'!F58+'Plan mensual'!F169+IF(parametros_manuales!$H$28="Todos",'Plan mensual'!F62+'Plan mensual'!F173,0))+parametros_manuales!$F$28*('Plan mensual'!F59+'Plan mensual'!F170+IF(parametros_manuales!$H$28="Todos",'Plan mensual'!F63+'Plan mensual'!F174,0))+parametros_manuales!$G$28*('Plan mensual'!F60+'Plan mensual'!F171+IF(parametros_manuales!$H$28="Todos",'Plan mensual'!F64+'Plan mensual'!F175,0)))*parametros_manuales!$I$28*parametros_manuales!$J$28</f>
        <v>10085.526363065</v>
      </c>
      <c r="E146" s="9" t="n">
        <f aca="false">(parametros_manuales!$D$28*('Plan mensual'!G57+'Plan mensual'!G168+IF(parametros_manuales!$H$28="Todos",'Plan mensual'!G61+'Plan mensual'!G172,0))+parametros_manuales!$E$28*('Plan mensual'!G58+'Plan mensual'!G169+IF(parametros_manuales!$H$28="Todos",'Plan mensual'!G62+'Plan mensual'!G173,0))+parametros_manuales!$F$28*('Plan mensual'!G59+'Plan mensual'!G170+IF(parametros_manuales!$H$28="Todos",'Plan mensual'!G63+'Plan mensual'!G174,0))+parametros_manuales!$G$28*('Plan mensual'!G60+'Plan mensual'!G171+IF(parametros_manuales!$H$28="Todos",'Plan mensual'!G64+'Plan mensual'!G175,0)))*parametros_manuales!$I$28*parametros_manuales!$J$28</f>
        <v>9649.024097715</v>
      </c>
      <c r="F146" s="9" t="n">
        <f aca="false">(parametros_manuales!$D$28*('Plan mensual'!H57+'Plan mensual'!H168+IF(parametros_manuales!$H$28="Todos",'Plan mensual'!H61+'Plan mensual'!H172,0))+parametros_manuales!$E$28*('Plan mensual'!H58+'Plan mensual'!H169+IF(parametros_manuales!$H$28="Todos",'Plan mensual'!H62+'Plan mensual'!H173,0))+parametros_manuales!$F$28*('Plan mensual'!H59+'Plan mensual'!H170+IF(parametros_manuales!$H$28="Todos",'Plan mensual'!H63+'Plan mensual'!H174,0))+parametros_manuales!$G$28*('Plan mensual'!H60+'Plan mensual'!H171+IF(parametros_manuales!$H$28="Todos",'Plan mensual'!H64+'Plan mensual'!H175,0)))*parametros_manuales!$I$28*parametros_manuales!$J$28</f>
        <v>9030.08123722</v>
      </c>
      <c r="G146" s="9" t="n">
        <f aca="false">(parametros_manuales!$D$28*('Plan mensual'!I57+'Plan mensual'!I168+IF(parametros_manuales!$H$28="Todos",'Plan mensual'!I61+'Plan mensual'!I172,0))+parametros_manuales!$E$28*('Plan mensual'!I58+'Plan mensual'!I169+IF(parametros_manuales!$H$28="Todos",'Plan mensual'!I62+'Plan mensual'!I173,0))+parametros_manuales!$F$28*('Plan mensual'!I59+'Plan mensual'!I170+IF(parametros_manuales!$H$28="Todos",'Plan mensual'!I63+'Plan mensual'!I174,0))+parametros_manuales!$G$28*('Plan mensual'!I60+'Plan mensual'!I171+IF(parametros_manuales!$H$28="Todos",'Plan mensual'!I64+'Plan mensual'!I175,0)))*parametros_manuales!$I$28*parametros_manuales!$J$28</f>
        <v>8847.640642075</v>
      </c>
      <c r="H146" s="9" t="n">
        <f aca="false">(parametros_manuales!$D$28*('Plan mensual'!J57+'Plan mensual'!J168+IF(parametros_manuales!$H$28="Todos",'Plan mensual'!J61+'Plan mensual'!J172,0))+parametros_manuales!$E$28*('Plan mensual'!J58+'Plan mensual'!J169+IF(parametros_manuales!$H$28="Todos",'Plan mensual'!J62+'Plan mensual'!J173,0))+parametros_manuales!$F$28*('Plan mensual'!J59+'Plan mensual'!J170+IF(parametros_manuales!$H$28="Todos",'Plan mensual'!J63+'Plan mensual'!J174,0))+parametros_manuales!$G$28*('Plan mensual'!J60+'Plan mensual'!J171+IF(parametros_manuales!$H$28="Todos",'Plan mensual'!J64+'Plan mensual'!J175,0)))*parametros_manuales!$I$28*parametros_manuales!$J$28</f>
        <v>9466.58350257</v>
      </c>
      <c r="I146" s="9" t="n">
        <f aca="false">(parametros_manuales!$D$28*('Plan mensual'!K57+'Plan mensual'!K168+IF(parametros_manuales!$H$28="Todos",'Plan mensual'!K61+'Plan mensual'!K172,0))+parametros_manuales!$E$28*('Plan mensual'!K58+'Plan mensual'!K169+IF(parametros_manuales!$H$28="Todos",'Plan mensual'!K62+'Plan mensual'!K173,0))+parametros_manuales!$F$28*('Plan mensual'!K59+'Plan mensual'!K170+IF(parametros_manuales!$H$28="Todos",'Plan mensual'!K63+'Plan mensual'!K174,0))+parametros_manuales!$G$28*('Plan mensual'!K60+'Plan mensual'!K171+IF(parametros_manuales!$H$28="Todos",'Plan mensual'!K64+'Plan mensual'!K175,0)))*parametros_manuales!$I$28*parametros_manuales!$J$28</f>
        <v>9466.58350257</v>
      </c>
      <c r="J146" s="9" t="n">
        <f aca="false">(parametros_manuales!$D$28*('Plan mensual'!L57+'Plan mensual'!L168+IF(parametros_manuales!$H$28="Todos",'Plan mensual'!L61+'Plan mensual'!L172,0))+parametros_manuales!$E$28*('Plan mensual'!L58+'Plan mensual'!L169+IF(parametros_manuales!$H$28="Todos",'Plan mensual'!L62+'Plan mensual'!L173,0))+parametros_manuales!$F$28*('Plan mensual'!L59+'Plan mensual'!L170+IF(parametros_manuales!$H$28="Todos",'Plan mensual'!L63+'Plan mensual'!L174,0))+parametros_manuales!$G$28*('Plan mensual'!L60+'Plan mensual'!L171+IF(parametros_manuales!$H$28="Todos",'Plan mensual'!L64+'Plan mensual'!L175,0)))*parametros_manuales!$I$28*parametros_manuales!$J$28</f>
        <v>9466.58350257</v>
      </c>
      <c r="K146" s="9" t="n">
        <f aca="false">(parametros_manuales!$D$28*('Plan mensual'!M57+'Plan mensual'!M168+IF(parametros_manuales!$H$28="Todos",'Plan mensual'!M61+'Plan mensual'!M172,0))+parametros_manuales!$E$28*('Plan mensual'!M58+'Plan mensual'!M169+IF(parametros_manuales!$H$28="Todos",'Plan mensual'!M62+'Plan mensual'!M173,0))+parametros_manuales!$F$28*('Plan mensual'!M59+'Plan mensual'!M170+IF(parametros_manuales!$H$28="Todos",'Plan mensual'!M63+'Plan mensual'!M174,0))+parametros_manuales!$G$28*('Plan mensual'!M60+'Plan mensual'!M171+IF(parametros_manuales!$H$28="Todos",'Plan mensual'!M64+'Plan mensual'!M175,0)))*parametros_manuales!$I$28*parametros_manuales!$J$28</f>
        <v>9284.142907425</v>
      </c>
      <c r="L146" s="9" t="n">
        <f aca="false">(parametros_manuales!$D$28*('Plan mensual'!N57+'Plan mensual'!N168+IF(parametros_manuales!$H$28="Todos",'Plan mensual'!N61+'Plan mensual'!N172,0))+parametros_manuales!$E$28*('Plan mensual'!N58+'Plan mensual'!N169+IF(parametros_manuales!$H$28="Todos",'Plan mensual'!N62+'Plan mensual'!N173,0))+parametros_manuales!$F$28*('Plan mensual'!N59+'Plan mensual'!N170+IF(parametros_manuales!$H$28="Todos",'Plan mensual'!N63+'Plan mensual'!N174,0))+parametros_manuales!$G$28*('Plan mensual'!N60+'Plan mensual'!N171+IF(parametros_manuales!$H$28="Todos",'Plan mensual'!N64+'Plan mensual'!N175,0)))*parametros_manuales!$I$28*parametros_manuales!$J$28</f>
        <v>9101.70231228</v>
      </c>
      <c r="M146" s="9" t="n">
        <f aca="false">(parametros_manuales!$D$28*('Plan mensual'!O57+'Plan mensual'!O168+IF(parametros_manuales!$H$28="Todos",'Plan mensual'!O61+'Plan mensual'!O172,0))+parametros_manuales!$E$28*('Plan mensual'!O58+'Plan mensual'!O169+IF(parametros_manuales!$H$28="Todos",'Plan mensual'!O62+'Plan mensual'!O173,0))+parametros_manuales!$F$28*('Plan mensual'!O59+'Plan mensual'!O170+IF(parametros_manuales!$H$28="Todos",'Plan mensual'!O63+'Plan mensual'!O174,0))+parametros_manuales!$G$28*('Plan mensual'!O60+'Plan mensual'!O171+IF(parametros_manuales!$H$28="Todos",'Plan mensual'!O64+'Plan mensual'!O175,0)))*parametros_manuales!$I$28*parametros_manuales!$J$28</f>
        <v>14489.74746159</v>
      </c>
      <c r="N146" s="9" t="n">
        <f aca="false">SUM(B146:M146)</f>
        <v>123788.572099</v>
      </c>
      <c r="O146" s="9" t="n">
        <f aca="false">MAX(B146:M146)</f>
        <v>14489.74746159</v>
      </c>
      <c r="P146" s="44" t="n">
        <f aca="false">O146/(parametros_manuales!$B$7)</f>
        <v>96.5983164106</v>
      </c>
      <c r="Q146" s="8" t="str">
        <f aca="false">IF(O146=0,"-",INDEX($B$136:$M$136,MATCH(O146,B146:M146,0)))</f>
        <v>Dic</v>
      </c>
    </row>
    <row r="147" customFormat="false" ht="14.25" hidden="false" customHeight="true" outlineLevel="0" collapsed="false">
      <c r="A147" s="8" t="str">
        <f aca="false">parametros_manuales!$B$29</f>
        <v>Bordoneado</v>
      </c>
      <c r="B147" s="9" t="n">
        <f aca="false">(parametros_manuales!$D$29*('Plan mensual'!D57+'Plan mensual'!D168+IF(parametros_manuales!$H$29="Todos",'Plan mensual'!D61+'Plan mensual'!D172,0))+parametros_manuales!$E$29*('Plan mensual'!D58+'Plan mensual'!D169+IF(parametros_manuales!$H$29="Todos",'Plan mensual'!D62+'Plan mensual'!D173,0))+parametros_manuales!$F$29*('Plan mensual'!D59+'Plan mensual'!D170+IF(parametros_manuales!$H$29="Todos",'Plan mensual'!D63+'Plan mensual'!D174,0))+parametros_manuales!$G$29*('Plan mensual'!D60+'Plan mensual'!D171+IF(parametros_manuales!$H$29="Todos",'Plan mensual'!D64+'Plan mensual'!D175,0)))*parametros_manuales!$I$29*parametros_manuales!$J$29</f>
        <v>14124.8662713</v>
      </c>
      <c r="C147" s="9" t="n">
        <f aca="false">(parametros_manuales!$D$29*('Plan mensual'!E57+'Plan mensual'!E168+IF(parametros_manuales!$H$29="Todos",'Plan mensual'!E61+'Plan mensual'!E172,0))+parametros_manuales!$E$29*('Plan mensual'!E58+'Plan mensual'!E169+IF(parametros_manuales!$H$29="Todos",'Plan mensual'!E62+'Plan mensual'!E173,0))+parametros_manuales!$F$29*('Plan mensual'!E59+'Plan mensual'!E170+IF(parametros_manuales!$H$29="Todos",'Plan mensual'!E63+'Plan mensual'!E174,0))+parametros_manuales!$G$29*('Plan mensual'!E60+'Plan mensual'!E171+IF(parametros_manuales!$H$29="Todos",'Plan mensual'!E64+'Plan mensual'!E175,0)))*parametros_manuales!$I$29*parametros_manuales!$J$29</f>
        <v>10776.09029862</v>
      </c>
      <c r="D147" s="9" t="n">
        <f aca="false">(parametros_manuales!$D$29*('Plan mensual'!F57+'Plan mensual'!F168+IF(parametros_manuales!$H$29="Todos",'Plan mensual'!F61+'Plan mensual'!F172,0))+parametros_manuales!$E$29*('Plan mensual'!F58+'Plan mensual'!F169+IF(parametros_manuales!$H$29="Todos",'Plan mensual'!F62+'Plan mensual'!F173,0))+parametros_manuales!$F$29*('Plan mensual'!F59+'Plan mensual'!F170+IF(parametros_manuales!$H$29="Todos",'Plan mensual'!F63+'Plan mensual'!F174,0))+parametros_manuales!$G$29*('Plan mensual'!F60+'Plan mensual'!F171+IF(parametros_manuales!$H$29="Todos",'Plan mensual'!F64+'Plan mensual'!F175,0)))*parametros_manuales!$I$29*parametros_manuales!$J$29</f>
        <v>10085.526363065</v>
      </c>
      <c r="E147" s="9" t="n">
        <f aca="false">(parametros_manuales!$D$29*('Plan mensual'!G57+'Plan mensual'!G168+IF(parametros_manuales!$H$29="Todos",'Plan mensual'!G61+'Plan mensual'!G172,0))+parametros_manuales!$E$29*('Plan mensual'!G58+'Plan mensual'!G169+IF(parametros_manuales!$H$29="Todos",'Plan mensual'!G62+'Plan mensual'!G173,0))+parametros_manuales!$F$29*('Plan mensual'!G59+'Plan mensual'!G170+IF(parametros_manuales!$H$29="Todos",'Plan mensual'!G63+'Plan mensual'!G174,0))+parametros_manuales!$G$29*('Plan mensual'!G60+'Plan mensual'!G171+IF(parametros_manuales!$H$29="Todos",'Plan mensual'!G64+'Plan mensual'!G175,0)))*parametros_manuales!$I$29*parametros_manuales!$J$29</f>
        <v>9649.024097715</v>
      </c>
      <c r="F147" s="9" t="n">
        <f aca="false">(parametros_manuales!$D$29*('Plan mensual'!H57+'Plan mensual'!H168+IF(parametros_manuales!$H$29="Todos",'Plan mensual'!H61+'Plan mensual'!H172,0))+parametros_manuales!$E$29*('Plan mensual'!H58+'Plan mensual'!H169+IF(parametros_manuales!$H$29="Todos",'Plan mensual'!H62+'Plan mensual'!H173,0))+parametros_manuales!$F$29*('Plan mensual'!H59+'Plan mensual'!H170+IF(parametros_manuales!$H$29="Todos",'Plan mensual'!H63+'Plan mensual'!H174,0))+parametros_manuales!$G$29*('Plan mensual'!H60+'Plan mensual'!H171+IF(parametros_manuales!$H$29="Todos",'Plan mensual'!H64+'Plan mensual'!H175,0)))*parametros_manuales!$I$29*parametros_manuales!$J$29</f>
        <v>9030.08123722</v>
      </c>
      <c r="G147" s="9" t="n">
        <f aca="false">(parametros_manuales!$D$29*('Plan mensual'!I57+'Plan mensual'!I168+IF(parametros_manuales!$H$29="Todos",'Plan mensual'!I61+'Plan mensual'!I172,0))+parametros_manuales!$E$29*('Plan mensual'!I58+'Plan mensual'!I169+IF(parametros_manuales!$H$29="Todos",'Plan mensual'!I62+'Plan mensual'!I173,0))+parametros_manuales!$F$29*('Plan mensual'!I59+'Plan mensual'!I170+IF(parametros_manuales!$H$29="Todos",'Plan mensual'!I63+'Plan mensual'!I174,0))+parametros_manuales!$G$29*('Plan mensual'!I60+'Plan mensual'!I171+IF(parametros_manuales!$H$29="Todos",'Plan mensual'!I64+'Plan mensual'!I175,0)))*parametros_manuales!$I$29*parametros_manuales!$J$29</f>
        <v>8847.640642075</v>
      </c>
      <c r="H147" s="9" t="n">
        <f aca="false">(parametros_manuales!$D$29*('Plan mensual'!J57+'Plan mensual'!J168+IF(parametros_manuales!$H$29="Todos",'Plan mensual'!J61+'Plan mensual'!J172,0))+parametros_manuales!$E$29*('Plan mensual'!J58+'Plan mensual'!J169+IF(parametros_manuales!$H$29="Todos",'Plan mensual'!J62+'Plan mensual'!J173,0))+parametros_manuales!$F$29*('Plan mensual'!J59+'Plan mensual'!J170+IF(parametros_manuales!$H$29="Todos",'Plan mensual'!J63+'Plan mensual'!J174,0))+parametros_manuales!$G$29*('Plan mensual'!J60+'Plan mensual'!J171+IF(parametros_manuales!$H$29="Todos",'Plan mensual'!J64+'Plan mensual'!J175,0)))*parametros_manuales!$I$29*parametros_manuales!$J$29</f>
        <v>9466.58350257</v>
      </c>
      <c r="I147" s="9" t="n">
        <f aca="false">(parametros_manuales!$D$29*('Plan mensual'!K57+'Plan mensual'!K168+IF(parametros_manuales!$H$29="Todos",'Plan mensual'!K61+'Plan mensual'!K172,0))+parametros_manuales!$E$29*('Plan mensual'!K58+'Plan mensual'!K169+IF(parametros_manuales!$H$29="Todos",'Plan mensual'!K62+'Plan mensual'!K173,0))+parametros_manuales!$F$29*('Plan mensual'!K59+'Plan mensual'!K170+IF(parametros_manuales!$H$29="Todos",'Plan mensual'!K63+'Plan mensual'!K174,0))+parametros_manuales!$G$29*('Plan mensual'!K60+'Plan mensual'!K171+IF(parametros_manuales!$H$29="Todos",'Plan mensual'!K64+'Plan mensual'!K175,0)))*parametros_manuales!$I$29*parametros_manuales!$J$29</f>
        <v>9466.58350257</v>
      </c>
      <c r="J147" s="9" t="n">
        <f aca="false">(parametros_manuales!$D$29*('Plan mensual'!L57+'Plan mensual'!L168+IF(parametros_manuales!$H$29="Todos",'Plan mensual'!L61+'Plan mensual'!L172,0))+parametros_manuales!$E$29*('Plan mensual'!L58+'Plan mensual'!L169+IF(parametros_manuales!$H$29="Todos",'Plan mensual'!L62+'Plan mensual'!L173,0))+parametros_manuales!$F$29*('Plan mensual'!L59+'Plan mensual'!L170+IF(parametros_manuales!$H$29="Todos",'Plan mensual'!L63+'Plan mensual'!L174,0))+parametros_manuales!$G$29*('Plan mensual'!L60+'Plan mensual'!L171+IF(parametros_manuales!$H$29="Todos",'Plan mensual'!L64+'Plan mensual'!L175,0)))*parametros_manuales!$I$29*parametros_manuales!$J$29</f>
        <v>9466.58350257</v>
      </c>
      <c r="K147" s="9" t="n">
        <f aca="false">(parametros_manuales!$D$29*('Plan mensual'!M57+'Plan mensual'!M168+IF(parametros_manuales!$H$29="Todos",'Plan mensual'!M61+'Plan mensual'!M172,0))+parametros_manuales!$E$29*('Plan mensual'!M58+'Plan mensual'!M169+IF(parametros_manuales!$H$29="Todos",'Plan mensual'!M62+'Plan mensual'!M173,0))+parametros_manuales!$F$29*('Plan mensual'!M59+'Plan mensual'!M170+IF(parametros_manuales!$H$29="Todos",'Plan mensual'!M63+'Plan mensual'!M174,0))+parametros_manuales!$G$29*('Plan mensual'!M60+'Plan mensual'!M171+IF(parametros_manuales!$H$29="Todos",'Plan mensual'!M64+'Plan mensual'!M175,0)))*parametros_manuales!$I$29*parametros_manuales!$J$29</f>
        <v>9284.142907425</v>
      </c>
      <c r="L147" s="9" t="n">
        <f aca="false">(parametros_manuales!$D$29*('Plan mensual'!N57+'Plan mensual'!N168+IF(parametros_manuales!$H$29="Todos",'Plan mensual'!N61+'Plan mensual'!N172,0))+parametros_manuales!$E$29*('Plan mensual'!N58+'Plan mensual'!N169+IF(parametros_manuales!$H$29="Todos",'Plan mensual'!N62+'Plan mensual'!N173,0))+parametros_manuales!$F$29*('Plan mensual'!N59+'Plan mensual'!N170+IF(parametros_manuales!$H$29="Todos",'Plan mensual'!N63+'Plan mensual'!N174,0))+parametros_manuales!$G$29*('Plan mensual'!N60+'Plan mensual'!N171+IF(parametros_manuales!$H$29="Todos",'Plan mensual'!N64+'Plan mensual'!N175,0)))*parametros_manuales!$I$29*parametros_manuales!$J$29</f>
        <v>9101.70231228</v>
      </c>
      <c r="M147" s="9" t="n">
        <f aca="false">(parametros_manuales!$D$29*('Plan mensual'!O57+'Plan mensual'!O168+IF(parametros_manuales!$H$29="Todos",'Plan mensual'!O61+'Plan mensual'!O172,0))+parametros_manuales!$E$29*('Plan mensual'!O58+'Plan mensual'!O169+IF(parametros_manuales!$H$29="Todos",'Plan mensual'!O62+'Plan mensual'!O173,0))+parametros_manuales!$F$29*('Plan mensual'!O59+'Plan mensual'!O170+IF(parametros_manuales!$H$29="Todos",'Plan mensual'!O63+'Plan mensual'!O174,0))+parametros_manuales!$G$29*('Plan mensual'!O60+'Plan mensual'!O171+IF(parametros_manuales!$H$29="Todos",'Plan mensual'!O64+'Plan mensual'!O175,0)))*parametros_manuales!$I$29*parametros_manuales!$J$29</f>
        <v>14489.74746159</v>
      </c>
      <c r="N147" s="9" t="n">
        <f aca="false">SUM(B147:M147)</f>
        <v>123788.572099</v>
      </c>
      <c r="O147" s="9" t="n">
        <f aca="false">MAX(B147:M147)</f>
        <v>14489.74746159</v>
      </c>
      <c r="P147" s="44" t="n">
        <f aca="false">O147/(parametros_manuales!$B$7)</f>
        <v>96.5983164106</v>
      </c>
      <c r="Q147" s="8" t="str">
        <f aca="false">IF(O147=0,"-",INDEX($B$136:$M$136,MATCH(O147,B147:M147,0)))</f>
        <v>Dic</v>
      </c>
    </row>
    <row r="148" customFormat="false" ht="14.25" hidden="false" customHeight="true" outlineLevel="0" collapsed="false">
      <c r="A148" s="8" t="str">
        <f aca="false">parametros_manuales!$B$30</f>
        <v>Soldadura circunferencial de cúpula y fondo</v>
      </c>
      <c r="B148" s="9" t="n">
        <f aca="false">(parametros_manuales!$D$30*('Plan mensual'!D57+'Plan mensual'!D168+IF(parametros_manuales!$H$30="Todos",'Plan mensual'!D61+'Plan mensual'!D172,0))+parametros_manuales!$E$30*('Plan mensual'!D58+'Plan mensual'!D169+IF(parametros_manuales!$H$30="Todos",'Plan mensual'!D62+'Plan mensual'!D173,0))+parametros_manuales!$F$30*('Plan mensual'!D59+'Plan mensual'!D170+IF(parametros_manuales!$H$30="Todos",'Plan mensual'!D63+'Plan mensual'!D174,0))+parametros_manuales!$G$30*('Plan mensual'!D60+'Plan mensual'!D171+IF(parametros_manuales!$H$30="Todos",'Plan mensual'!D64+'Plan mensual'!D175,0)))*parametros_manuales!$I$30*parametros_manuales!$J$30</f>
        <v>14124.8662713</v>
      </c>
      <c r="C148" s="9" t="n">
        <f aca="false">(parametros_manuales!$D$30*('Plan mensual'!E57+'Plan mensual'!E168+IF(parametros_manuales!$H$30="Todos",'Plan mensual'!E61+'Plan mensual'!E172,0))+parametros_manuales!$E$30*('Plan mensual'!E58+'Plan mensual'!E169+IF(parametros_manuales!$H$30="Todos",'Plan mensual'!E62+'Plan mensual'!E173,0))+parametros_manuales!$F$30*('Plan mensual'!E59+'Plan mensual'!E170+IF(parametros_manuales!$H$30="Todos",'Plan mensual'!E63+'Plan mensual'!E174,0))+parametros_manuales!$G$30*('Plan mensual'!E60+'Plan mensual'!E171+IF(parametros_manuales!$H$30="Todos",'Plan mensual'!E64+'Plan mensual'!E175,0)))*parametros_manuales!$I$30*parametros_manuales!$J$30</f>
        <v>10776.09029862</v>
      </c>
      <c r="D148" s="9" t="n">
        <f aca="false">(parametros_manuales!$D$30*('Plan mensual'!F57+'Plan mensual'!F168+IF(parametros_manuales!$H$30="Todos",'Plan mensual'!F61+'Plan mensual'!F172,0))+parametros_manuales!$E$30*('Plan mensual'!F58+'Plan mensual'!F169+IF(parametros_manuales!$H$30="Todos",'Plan mensual'!F62+'Plan mensual'!F173,0))+parametros_manuales!$F$30*('Plan mensual'!F59+'Plan mensual'!F170+IF(parametros_manuales!$H$30="Todos",'Plan mensual'!F63+'Plan mensual'!F174,0))+parametros_manuales!$G$30*('Plan mensual'!F60+'Plan mensual'!F171+IF(parametros_manuales!$H$30="Todos",'Plan mensual'!F64+'Plan mensual'!F175,0)))*parametros_manuales!$I$30*parametros_manuales!$J$30</f>
        <v>10085.526363065</v>
      </c>
      <c r="E148" s="9" t="n">
        <f aca="false">(parametros_manuales!$D$30*('Plan mensual'!G57+'Plan mensual'!G168+IF(parametros_manuales!$H$30="Todos",'Plan mensual'!G61+'Plan mensual'!G172,0))+parametros_manuales!$E$30*('Plan mensual'!G58+'Plan mensual'!G169+IF(parametros_manuales!$H$30="Todos",'Plan mensual'!G62+'Plan mensual'!G173,0))+parametros_manuales!$F$30*('Plan mensual'!G59+'Plan mensual'!G170+IF(parametros_manuales!$H$30="Todos",'Plan mensual'!G63+'Plan mensual'!G174,0))+parametros_manuales!$G$30*('Plan mensual'!G60+'Plan mensual'!G171+IF(parametros_manuales!$H$30="Todos",'Plan mensual'!G64+'Plan mensual'!G175,0)))*parametros_manuales!$I$30*parametros_manuales!$J$30</f>
        <v>9649.024097715</v>
      </c>
      <c r="F148" s="9" t="n">
        <f aca="false">(parametros_manuales!$D$30*('Plan mensual'!H57+'Plan mensual'!H168+IF(parametros_manuales!$H$30="Todos",'Plan mensual'!H61+'Plan mensual'!H172,0))+parametros_manuales!$E$30*('Plan mensual'!H58+'Plan mensual'!H169+IF(parametros_manuales!$H$30="Todos",'Plan mensual'!H62+'Plan mensual'!H173,0))+parametros_manuales!$F$30*('Plan mensual'!H59+'Plan mensual'!H170+IF(parametros_manuales!$H$30="Todos",'Plan mensual'!H63+'Plan mensual'!H174,0))+parametros_manuales!$G$30*('Plan mensual'!H60+'Plan mensual'!H171+IF(parametros_manuales!$H$30="Todos",'Plan mensual'!H64+'Plan mensual'!H175,0)))*parametros_manuales!$I$30*parametros_manuales!$J$30</f>
        <v>9030.08123722</v>
      </c>
      <c r="G148" s="9" t="n">
        <f aca="false">(parametros_manuales!$D$30*('Plan mensual'!I57+'Plan mensual'!I168+IF(parametros_manuales!$H$30="Todos",'Plan mensual'!I61+'Plan mensual'!I172,0))+parametros_manuales!$E$30*('Plan mensual'!I58+'Plan mensual'!I169+IF(parametros_manuales!$H$30="Todos",'Plan mensual'!I62+'Plan mensual'!I173,0))+parametros_manuales!$F$30*('Plan mensual'!I59+'Plan mensual'!I170+IF(parametros_manuales!$H$30="Todos",'Plan mensual'!I63+'Plan mensual'!I174,0))+parametros_manuales!$G$30*('Plan mensual'!I60+'Plan mensual'!I171+IF(parametros_manuales!$H$30="Todos",'Plan mensual'!I64+'Plan mensual'!I175,0)))*parametros_manuales!$I$30*parametros_manuales!$J$30</f>
        <v>8847.640642075</v>
      </c>
      <c r="H148" s="9" t="n">
        <f aca="false">(parametros_manuales!$D$30*('Plan mensual'!J57+'Plan mensual'!J168+IF(parametros_manuales!$H$30="Todos",'Plan mensual'!J61+'Plan mensual'!J172,0))+parametros_manuales!$E$30*('Plan mensual'!J58+'Plan mensual'!J169+IF(parametros_manuales!$H$30="Todos",'Plan mensual'!J62+'Plan mensual'!J173,0))+parametros_manuales!$F$30*('Plan mensual'!J59+'Plan mensual'!J170+IF(parametros_manuales!$H$30="Todos",'Plan mensual'!J63+'Plan mensual'!J174,0))+parametros_manuales!$G$30*('Plan mensual'!J60+'Plan mensual'!J171+IF(parametros_manuales!$H$30="Todos",'Plan mensual'!J64+'Plan mensual'!J175,0)))*parametros_manuales!$I$30*parametros_manuales!$J$30</f>
        <v>9466.58350257</v>
      </c>
      <c r="I148" s="9" t="n">
        <f aca="false">(parametros_manuales!$D$30*('Plan mensual'!K57+'Plan mensual'!K168+IF(parametros_manuales!$H$30="Todos",'Plan mensual'!K61+'Plan mensual'!K172,0))+parametros_manuales!$E$30*('Plan mensual'!K58+'Plan mensual'!K169+IF(parametros_manuales!$H$30="Todos",'Plan mensual'!K62+'Plan mensual'!K173,0))+parametros_manuales!$F$30*('Plan mensual'!K59+'Plan mensual'!K170+IF(parametros_manuales!$H$30="Todos",'Plan mensual'!K63+'Plan mensual'!K174,0))+parametros_manuales!$G$30*('Plan mensual'!K60+'Plan mensual'!K171+IF(parametros_manuales!$H$30="Todos",'Plan mensual'!K64+'Plan mensual'!K175,0)))*parametros_manuales!$I$30*parametros_manuales!$J$30</f>
        <v>9466.58350257</v>
      </c>
      <c r="J148" s="9" t="n">
        <f aca="false">(parametros_manuales!$D$30*('Plan mensual'!L57+'Plan mensual'!L168+IF(parametros_manuales!$H$30="Todos",'Plan mensual'!L61+'Plan mensual'!L172,0))+parametros_manuales!$E$30*('Plan mensual'!L58+'Plan mensual'!L169+IF(parametros_manuales!$H$30="Todos",'Plan mensual'!L62+'Plan mensual'!L173,0))+parametros_manuales!$F$30*('Plan mensual'!L59+'Plan mensual'!L170+IF(parametros_manuales!$H$30="Todos",'Plan mensual'!L63+'Plan mensual'!L174,0))+parametros_manuales!$G$30*('Plan mensual'!L60+'Plan mensual'!L171+IF(parametros_manuales!$H$30="Todos",'Plan mensual'!L64+'Plan mensual'!L175,0)))*parametros_manuales!$I$30*parametros_manuales!$J$30</f>
        <v>9466.58350257</v>
      </c>
      <c r="K148" s="9" t="n">
        <f aca="false">(parametros_manuales!$D$30*('Plan mensual'!M57+'Plan mensual'!M168+IF(parametros_manuales!$H$30="Todos",'Plan mensual'!M61+'Plan mensual'!M172,0))+parametros_manuales!$E$30*('Plan mensual'!M58+'Plan mensual'!M169+IF(parametros_manuales!$H$30="Todos",'Plan mensual'!M62+'Plan mensual'!M173,0))+parametros_manuales!$F$30*('Plan mensual'!M59+'Plan mensual'!M170+IF(parametros_manuales!$H$30="Todos",'Plan mensual'!M63+'Plan mensual'!M174,0))+parametros_manuales!$G$30*('Plan mensual'!M60+'Plan mensual'!M171+IF(parametros_manuales!$H$30="Todos",'Plan mensual'!M64+'Plan mensual'!M175,0)))*parametros_manuales!$I$30*parametros_manuales!$J$30</f>
        <v>9284.142907425</v>
      </c>
      <c r="L148" s="9" t="n">
        <f aca="false">(parametros_manuales!$D$30*('Plan mensual'!N57+'Plan mensual'!N168+IF(parametros_manuales!$H$30="Todos",'Plan mensual'!N61+'Plan mensual'!N172,0))+parametros_manuales!$E$30*('Plan mensual'!N58+'Plan mensual'!N169+IF(parametros_manuales!$H$30="Todos",'Plan mensual'!N62+'Plan mensual'!N173,0))+parametros_manuales!$F$30*('Plan mensual'!N59+'Plan mensual'!N170+IF(parametros_manuales!$H$30="Todos",'Plan mensual'!N63+'Plan mensual'!N174,0))+parametros_manuales!$G$30*('Plan mensual'!N60+'Plan mensual'!N171+IF(parametros_manuales!$H$30="Todos",'Plan mensual'!N64+'Plan mensual'!N175,0)))*parametros_manuales!$I$30*parametros_manuales!$J$30</f>
        <v>9101.70231228</v>
      </c>
      <c r="M148" s="9" t="n">
        <f aca="false">(parametros_manuales!$D$30*('Plan mensual'!O57+'Plan mensual'!O168+IF(parametros_manuales!$H$30="Todos",'Plan mensual'!O61+'Plan mensual'!O172,0))+parametros_manuales!$E$30*('Plan mensual'!O58+'Plan mensual'!O169+IF(parametros_manuales!$H$30="Todos",'Plan mensual'!O62+'Plan mensual'!O173,0))+parametros_manuales!$F$30*('Plan mensual'!O59+'Plan mensual'!O170+IF(parametros_manuales!$H$30="Todos",'Plan mensual'!O63+'Plan mensual'!O174,0))+parametros_manuales!$G$30*('Plan mensual'!O60+'Plan mensual'!O171+IF(parametros_manuales!$H$30="Todos",'Plan mensual'!O64+'Plan mensual'!O175,0)))*parametros_manuales!$I$30*parametros_manuales!$J$30</f>
        <v>14489.74746159</v>
      </c>
      <c r="N148" s="9" t="n">
        <f aca="false">SUM(B148:M148)</f>
        <v>123788.572099</v>
      </c>
      <c r="O148" s="9" t="n">
        <f aca="false">MAX(B148:M148)</f>
        <v>14489.74746159</v>
      </c>
      <c r="P148" s="44" t="n">
        <f aca="false">O148/(parametros_manuales!$B$7)</f>
        <v>96.5983164106</v>
      </c>
      <c r="Q148" s="8" t="str">
        <f aca="false">IF(O148=0,"-",INDEX($B$136:$M$136,MATCH(O148,B148:M148,0)))</f>
        <v>Dic</v>
      </c>
    </row>
    <row r="149" customFormat="false" ht="14.25" hidden="false" customHeight="true" outlineLevel="0" collapsed="false">
      <c r="A149" s="8" t="str">
        <f aca="false">parametros_manuales!$B$31</f>
        <v>Control de calidad — Espesor</v>
      </c>
      <c r="B149" s="9" t="n">
        <f aca="false">(parametros_manuales!$D$31*('Plan mensual'!D57+'Plan mensual'!D168+IF(parametros_manuales!$H$31="Todos",'Plan mensual'!D61+'Plan mensual'!D172,0))+parametros_manuales!$E$31*('Plan mensual'!D58+'Plan mensual'!D169+IF(parametros_manuales!$H$31="Todos",'Plan mensual'!D62+'Plan mensual'!D173,0))+parametros_manuales!$F$31*('Plan mensual'!D59+'Plan mensual'!D170+IF(parametros_manuales!$H$31="Todos",'Plan mensual'!D63+'Plan mensual'!D174,0))+parametros_manuales!$G$31*('Plan mensual'!D60+'Plan mensual'!D171+IF(parametros_manuales!$H$31="Todos",'Plan mensual'!D64+'Plan mensual'!D175,0)))*parametros_manuales!$I$31*parametros_manuales!$J$31</f>
        <v>282.497325426</v>
      </c>
      <c r="C149" s="9" t="n">
        <f aca="false">(parametros_manuales!$D$31*('Plan mensual'!E57+'Plan mensual'!E168+IF(parametros_manuales!$H$31="Todos",'Plan mensual'!E61+'Plan mensual'!E172,0))+parametros_manuales!$E$31*('Plan mensual'!E58+'Plan mensual'!E169+IF(parametros_manuales!$H$31="Todos",'Plan mensual'!E62+'Plan mensual'!E173,0))+parametros_manuales!$F$31*('Plan mensual'!E59+'Plan mensual'!E170+IF(parametros_manuales!$H$31="Todos",'Plan mensual'!E63+'Plan mensual'!E174,0))+parametros_manuales!$G$31*('Plan mensual'!E60+'Plan mensual'!E171+IF(parametros_manuales!$H$31="Todos",'Plan mensual'!E64+'Plan mensual'!E175,0)))*parametros_manuales!$I$31*parametros_manuales!$J$31</f>
        <v>215.5218059724</v>
      </c>
      <c r="D149" s="9" t="n">
        <f aca="false">(parametros_manuales!$D$31*('Plan mensual'!F57+'Plan mensual'!F168+IF(parametros_manuales!$H$31="Todos",'Plan mensual'!F61+'Plan mensual'!F172,0))+parametros_manuales!$E$31*('Plan mensual'!F58+'Plan mensual'!F169+IF(parametros_manuales!$H$31="Todos",'Plan mensual'!F62+'Plan mensual'!F173,0))+parametros_manuales!$F$31*('Plan mensual'!F59+'Plan mensual'!F170+IF(parametros_manuales!$H$31="Todos",'Plan mensual'!F63+'Plan mensual'!F174,0))+parametros_manuales!$G$31*('Plan mensual'!F60+'Plan mensual'!F171+IF(parametros_manuales!$H$31="Todos",'Plan mensual'!F64+'Plan mensual'!F175,0)))*parametros_manuales!$I$31*parametros_manuales!$J$31</f>
        <v>201.7105272613</v>
      </c>
      <c r="E149" s="9" t="n">
        <f aca="false">(parametros_manuales!$D$31*('Plan mensual'!G57+'Plan mensual'!G168+IF(parametros_manuales!$H$31="Todos",'Plan mensual'!G61+'Plan mensual'!G172,0))+parametros_manuales!$E$31*('Plan mensual'!G58+'Plan mensual'!G169+IF(parametros_manuales!$H$31="Todos",'Plan mensual'!G62+'Plan mensual'!G173,0))+parametros_manuales!$F$31*('Plan mensual'!G59+'Plan mensual'!G170+IF(parametros_manuales!$H$31="Todos",'Plan mensual'!G63+'Plan mensual'!G174,0))+parametros_manuales!$G$31*('Plan mensual'!G60+'Plan mensual'!G171+IF(parametros_manuales!$H$31="Todos",'Plan mensual'!G64+'Plan mensual'!G175,0)))*parametros_manuales!$I$31*parametros_manuales!$J$31</f>
        <v>192.9804819543</v>
      </c>
      <c r="F149" s="9" t="n">
        <f aca="false">(parametros_manuales!$D$31*('Plan mensual'!H57+'Plan mensual'!H168+IF(parametros_manuales!$H$31="Todos",'Plan mensual'!H61+'Plan mensual'!H172,0))+parametros_manuales!$E$31*('Plan mensual'!H58+'Plan mensual'!H169+IF(parametros_manuales!$H$31="Todos",'Plan mensual'!H62+'Plan mensual'!H173,0))+parametros_manuales!$F$31*('Plan mensual'!H59+'Plan mensual'!H170+IF(parametros_manuales!$H$31="Todos",'Plan mensual'!H63+'Plan mensual'!H174,0))+parametros_manuales!$G$31*('Plan mensual'!H60+'Plan mensual'!H171+IF(parametros_manuales!$H$31="Todos",'Plan mensual'!H64+'Plan mensual'!H175,0)))*parametros_manuales!$I$31*parametros_manuales!$J$31</f>
        <v>180.6016247444</v>
      </c>
      <c r="G149" s="9" t="n">
        <f aca="false">(parametros_manuales!$D$31*('Plan mensual'!I57+'Plan mensual'!I168+IF(parametros_manuales!$H$31="Todos",'Plan mensual'!I61+'Plan mensual'!I172,0))+parametros_manuales!$E$31*('Plan mensual'!I58+'Plan mensual'!I169+IF(parametros_manuales!$H$31="Todos",'Plan mensual'!I62+'Plan mensual'!I173,0))+parametros_manuales!$F$31*('Plan mensual'!I59+'Plan mensual'!I170+IF(parametros_manuales!$H$31="Todos",'Plan mensual'!I63+'Plan mensual'!I174,0))+parametros_manuales!$G$31*('Plan mensual'!I60+'Plan mensual'!I171+IF(parametros_manuales!$H$31="Todos",'Plan mensual'!I64+'Plan mensual'!I175,0)))*parametros_manuales!$I$31*parametros_manuales!$J$31</f>
        <v>176.9528128415</v>
      </c>
      <c r="H149" s="9" t="n">
        <f aca="false">(parametros_manuales!$D$31*('Plan mensual'!J57+'Plan mensual'!J168+IF(parametros_manuales!$H$31="Todos",'Plan mensual'!J61+'Plan mensual'!J172,0))+parametros_manuales!$E$31*('Plan mensual'!J58+'Plan mensual'!J169+IF(parametros_manuales!$H$31="Todos",'Plan mensual'!J62+'Plan mensual'!J173,0))+parametros_manuales!$F$31*('Plan mensual'!J59+'Plan mensual'!J170+IF(parametros_manuales!$H$31="Todos",'Plan mensual'!J63+'Plan mensual'!J174,0))+parametros_manuales!$G$31*('Plan mensual'!J60+'Plan mensual'!J171+IF(parametros_manuales!$H$31="Todos",'Plan mensual'!J64+'Plan mensual'!J175,0)))*parametros_manuales!$I$31*parametros_manuales!$J$31</f>
        <v>189.3316700514</v>
      </c>
      <c r="I149" s="9" t="n">
        <f aca="false">(parametros_manuales!$D$31*('Plan mensual'!K57+'Plan mensual'!K168+IF(parametros_manuales!$H$31="Todos",'Plan mensual'!K61+'Plan mensual'!K172,0))+parametros_manuales!$E$31*('Plan mensual'!K58+'Plan mensual'!K169+IF(parametros_manuales!$H$31="Todos",'Plan mensual'!K62+'Plan mensual'!K173,0))+parametros_manuales!$F$31*('Plan mensual'!K59+'Plan mensual'!K170+IF(parametros_manuales!$H$31="Todos",'Plan mensual'!K63+'Plan mensual'!K174,0))+parametros_manuales!$G$31*('Plan mensual'!K60+'Plan mensual'!K171+IF(parametros_manuales!$H$31="Todos",'Plan mensual'!K64+'Plan mensual'!K175,0)))*parametros_manuales!$I$31*parametros_manuales!$J$31</f>
        <v>189.3316700514</v>
      </c>
      <c r="J149" s="9" t="n">
        <f aca="false">(parametros_manuales!$D$31*('Plan mensual'!L57+'Plan mensual'!L168+IF(parametros_manuales!$H$31="Todos",'Plan mensual'!L61+'Plan mensual'!L172,0))+parametros_manuales!$E$31*('Plan mensual'!L58+'Plan mensual'!L169+IF(parametros_manuales!$H$31="Todos",'Plan mensual'!L62+'Plan mensual'!L173,0))+parametros_manuales!$F$31*('Plan mensual'!L59+'Plan mensual'!L170+IF(parametros_manuales!$H$31="Todos",'Plan mensual'!L63+'Plan mensual'!L174,0))+parametros_manuales!$G$31*('Plan mensual'!L60+'Plan mensual'!L171+IF(parametros_manuales!$H$31="Todos",'Plan mensual'!L64+'Plan mensual'!L175,0)))*parametros_manuales!$I$31*parametros_manuales!$J$31</f>
        <v>189.3316700514</v>
      </c>
      <c r="K149" s="9" t="n">
        <f aca="false">(parametros_manuales!$D$31*('Plan mensual'!M57+'Plan mensual'!M168+IF(parametros_manuales!$H$31="Todos",'Plan mensual'!M61+'Plan mensual'!M172,0))+parametros_manuales!$E$31*('Plan mensual'!M58+'Plan mensual'!M169+IF(parametros_manuales!$H$31="Todos",'Plan mensual'!M62+'Plan mensual'!M173,0))+parametros_manuales!$F$31*('Plan mensual'!M59+'Plan mensual'!M170+IF(parametros_manuales!$H$31="Todos",'Plan mensual'!M63+'Plan mensual'!M174,0))+parametros_manuales!$G$31*('Plan mensual'!M60+'Plan mensual'!M171+IF(parametros_manuales!$H$31="Todos",'Plan mensual'!M64+'Plan mensual'!M175,0)))*parametros_manuales!$I$31*parametros_manuales!$J$31</f>
        <v>185.6828581485</v>
      </c>
      <c r="L149" s="9" t="n">
        <f aca="false">(parametros_manuales!$D$31*('Plan mensual'!N57+'Plan mensual'!N168+IF(parametros_manuales!$H$31="Todos",'Plan mensual'!N61+'Plan mensual'!N172,0))+parametros_manuales!$E$31*('Plan mensual'!N58+'Plan mensual'!N169+IF(parametros_manuales!$H$31="Todos",'Plan mensual'!N62+'Plan mensual'!N173,0))+parametros_manuales!$F$31*('Plan mensual'!N59+'Plan mensual'!N170+IF(parametros_manuales!$H$31="Todos",'Plan mensual'!N63+'Plan mensual'!N174,0))+parametros_manuales!$G$31*('Plan mensual'!N60+'Plan mensual'!N171+IF(parametros_manuales!$H$31="Todos",'Plan mensual'!N64+'Plan mensual'!N175,0)))*parametros_manuales!$I$31*parametros_manuales!$J$31</f>
        <v>182.0340462456</v>
      </c>
      <c r="M149" s="9" t="n">
        <f aca="false">(parametros_manuales!$D$31*('Plan mensual'!O57+'Plan mensual'!O168+IF(parametros_manuales!$H$31="Todos",'Plan mensual'!O61+'Plan mensual'!O172,0))+parametros_manuales!$E$31*('Plan mensual'!O58+'Plan mensual'!O169+IF(parametros_manuales!$H$31="Todos",'Plan mensual'!O62+'Plan mensual'!O173,0))+parametros_manuales!$F$31*('Plan mensual'!O59+'Plan mensual'!O170+IF(parametros_manuales!$H$31="Todos",'Plan mensual'!O63+'Plan mensual'!O174,0))+parametros_manuales!$G$31*('Plan mensual'!O60+'Plan mensual'!O171+IF(parametros_manuales!$H$31="Todos",'Plan mensual'!O64+'Plan mensual'!O175,0)))*parametros_manuales!$I$31*parametros_manuales!$J$31</f>
        <v>289.7949492318</v>
      </c>
      <c r="N149" s="9" t="n">
        <f aca="false">SUM(B149:M149)</f>
        <v>2475.77144198</v>
      </c>
      <c r="O149" s="9" t="n">
        <f aca="false">MAX(B149:M149)</f>
        <v>289.7949492318</v>
      </c>
      <c r="P149" s="44" t="n">
        <f aca="false">O149/(parametros_manuales!$B$7)</f>
        <v>1.931966328212</v>
      </c>
      <c r="Q149" s="8" t="str">
        <f aca="false">IF(O149=0,"-",INDEX($B$136:$M$136,MATCH(O149,B149:M149,0)))</f>
        <v>Dic</v>
      </c>
    </row>
    <row r="150" customFormat="false" ht="14.25" hidden="false" customHeight="true" outlineLevel="0" collapsed="false">
      <c r="A150" s="8" t="str">
        <f aca="false">parametros_manuales!$B$32</f>
        <v>Prueba hidráulica</v>
      </c>
      <c r="B150" s="9" t="n">
        <f aca="false">(parametros_manuales!$D$32*('Plan mensual'!D57+'Plan mensual'!D168+IF(parametros_manuales!$H$32="Todos",'Plan mensual'!D61+'Plan mensual'!D172,0))+parametros_manuales!$E$32*('Plan mensual'!D58+'Plan mensual'!D169+IF(parametros_manuales!$H$32="Todos",'Plan mensual'!D62+'Plan mensual'!D173,0))+parametros_manuales!$F$32*('Plan mensual'!D59+'Plan mensual'!D170+IF(parametros_manuales!$H$32="Todos",'Plan mensual'!D63+'Plan mensual'!D174,0))+parametros_manuales!$G$32*('Plan mensual'!D60+'Plan mensual'!D171+IF(parametros_manuales!$H$32="Todos",'Plan mensual'!D64+'Plan mensual'!D175,0)))*parametros_manuales!$I$32*parametros_manuales!$J$32</f>
        <v>14124.8662713</v>
      </c>
      <c r="C150" s="9" t="n">
        <f aca="false">(parametros_manuales!$D$32*('Plan mensual'!E57+'Plan mensual'!E168+IF(parametros_manuales!$H$32="Todos",'Plan mensual'!E61+'Plan mensual'!E172,0))+parametros_manuales!$E$32*('Plan mensual'!E58+'Plan mensual'!E169+IF(parametros_manuales!$H$32="Todos",'Plan mensual'!E62+'Plan mensual'!E173,0))+parametros_manuales!$F$32*('Plan mensual'!E59+'Plan mensual'!E170+IF(parametros_manuales!$H$32="Todos",'Plan mensual'!E63+'Plan mensual'!E174,0))+parametros_manuales!$G$32*('Plan mensual'!E60+'Plan mensual'!E171+IF(parametros_manuales!$H$32="Todos",'Plan mensual'!E64+'Plan mensual'!E175,0)))*parametros_manuales!$I$32*parametros_manuales!$J$32</f>
        <v>10776.09029862</v>
      </c>
      <c r="D150" s="9" t="n">
        <f aca="false">(parametros_manuales!$D$32*('Plan mensual'!F57+'Plan mensual'!F168+IF(parametros_manuales!$H$32="Todos",'Plan mensual'!F61+'Plan mensual'!F172,0))+parametros_manuales!$E$32*('Plan mensual'!F58+'Plan mensual'!F169+IF(parametros_manuales!$H$32="Todos",'Plan mensual'!F62+'Plan mensual'!F173,0))+parametros_manuales!$F$32*('Plan mensual'!F59+'Plan mensual'!F170+IF(parametros_manuales!$H$32="Todos",'Plan mensual'!F63+'Plan mensual'!F174,0))+parametros_manuales!$G$32*('Plan mensual'!F60+'Plan mensual'!F171+IF(parametros_manuales!$H$32="Todos",'Plan mensual'!F64+'Plan mensual'!F175,0)))*parametros_manuales!$I$32*parametros_manuales!$J$32</f>
        <v>10085.526363065</v>
      </c>
      <c r="E150" s="9" t="n">
        <f aca="false">(parametros_manuales!$D$32*('Plan mensual'!G57+'Plan mensual'!G168+IF(parametros_manuales!$H$32="Todos",'Plan mensual'!G61+'Plan mensual'!G172,0))+parametros_manuales!$E$32*('Plan mensual'!G58+'Plan mensual'!G169+IF(parametros_manuales!$H$32="Todos",'Plan mensual'!G62+'Plan mensual'!G173,0))+parametros_manuales!$F$32*('Plan mensual'!G59+'Plan mensual'!G170+IF(parametros_manuales!$H$32="Todos",'Plan mensual'!G63+'Plan mensual'!G174,0))+parametros_manuales!$G$32*('Plan mensual'!G60+'Plan mensual'!G171+IF(parametros_manuales!$H$32="Todos",'Plan mensual'!G64+'Plan mensual'!G175,0)))*parametros_manuales!$I$32*parametros_manuales!$J$32</f>
        <v>9649.024097715</v>
      </c>
      <c r="F150" s="9" t="n">
        <f aca="false">(parametros_manuales!$D$32*('Plan mensual'!H57+'Plan mensual'!H168+IF(parametros_manuales!$H$32="Todos",'Plan mensual'!H61+'Plan mensual'!H172,0))+parametros_manuales!$E$32*('Plan mensual'!H58+'Plan mensual'!H169+IF(parametros_manuales!$H$32="Todos",'Plan mensual'!H62+'Plan mensual'!H173,0))+parametros_manuales!$F$32*('Plan mensual'!H59+'Plan mensual'!H170+IF(parametros_manuales!$H$32="Todos",'Plan mensual'!H63+'Plan mensual'!H174,0))+parametros_manuales!$G$32*('Plan mensual'!H60+'Plan mensual'!H171+IF(parametros_manuales!$H$32="Todos",'Plan mensual'!H64+'Plan mensual'!H175,0)))*parametros_manuales!$I$32*parametros_manuales!$J$32</f>
        <v>9030.08123722</v>
      </c>
      <c r="G150" s="9" t="n">
        <f aca="false">(parametros_manuales!$D$32*('Plan mensual'!I57+'Plan mensual'!I168+IF(parametros_manuales!$H$32="Todos",'Plan mensual'!I61+'Plan mensual'!I172,0))+parametros_manuales!$E$32*('Plan mensual'!I58+'Plan mensual'!I169+IF(parametros_manuales!$H$32="Todos",'Plan mensual'!I62+'Plan mensual'!I173,0))+parametros_manuales!$F$32*('Plan mensual'!I59+'Plan mensual'!I170+IF(parametros_manuales!$H$32="Todos",'Plan mensual'!I63+'Plan mensual'!I174,0))+parametros_manuales!$G$32*('Plan mensual'!I60+'Plan mensual'!I171+IF(parametros_manuales!$H$32="Todos",'Plan mensual'!I64+'Plan mensual'!I175,0)))*parametros_manuales!$I$32*parametros_manuales!$J$32</f>
        <v>8847.640642075</v>
      </c>
      <c r="H150" s="9" t="n">
        <f aca="false">(parametros_manuales!$D$32*('Plan mensual'!J57+'Plan mensual'!J168+IF(parametros_manuales!$H$32="Todos",'Plan mensual'!J61+'Plan mensual'!J172,0))+parametros_manuales!$E$32*('Plan mensual'!J58+'Plan mensual'!J169+IF(parametros_manuales!$H$32="Todos",'Plan mensual'!J62+'Plan mensual'!J173,0))+parametros_manuales!$F$32*('Plan mensual'!J59+'Plan mensual'!J170+IF(parametros_manuales!$H$32="Todos",'Plan mensual'!J63+'Plan mensual'!J174,0))+parametros_manuales!$G$32*('Plan mensual'!J60+'Plan mensual'!J171+IF(parametros_manuales!$H$32="Todos",'Plan mensual'!J64+'Plan mensual'!J175,0)))*parametros_manuales!$I$32*parametros_manuales!$J$32</f>
        <v>9466.58350257</v>
      </c>
      <c r="I150" s="9" t="n">
        <f aca="false">(parametros_manuales!$D$32*('Plan mensual'!K57+'Plan mensual'!K168+IF(parametros_manuales!$H$32="Todos",'Plan mensual'!K61+'Plan mensual'!K172,0))+parametros_manuales!$E$32*('Plan mensual'!K58+'Plan mensual'!K169+IF(parametros_manuales!$H$32="Todos",'Plan mensual'!K62+'Plan mensual'!K173,0))+parametros_manuales!$F$32*('Plan mensual'!K59+'Plan mensual'!K170+IF(parametros_manuales!$H$32="Todos",'Plan mensual'!K63+'Plan mensual'!K174,0))+parametros_manuales!$G$32*('Plan mensual'!K60+'Plan mensual'!K171+IF(parametros_manuales!$H$32="Todos",'Plan mensual'!K64+'Plan mensual'!K175,0)))*parametros_manuales!$I$32*parametros_manuales!$J$32</f>
        <v>9466.58350257</v>
      </c>
      <c r="J150" s="9" t="n">
        <f aca="false">(parametros_manuales!$D$32*('Plan mensual'!L57+'Plan mensual'!L168+IF(parametros_manuales!$H$32="Todos",'Plan mensual'!L61+'Plan mensual'!L172,0))+parametros_manuales!$E$32*('Plan mensual'!L58+'Plan mensual'!L169+IF(parametros_manuales!$H$32="Todos",'Plan mensual'!L62+'Plan mensual'!L173,0))+parametros_manuales!$F$32*('Plan mensual'!L59+'Plan mensual'!L170+IF(parametros_manuales!$H$32="Todos",'Plan mensual'!L63+'Plan mensual'!L174,0))+parametros_manuales!$G$32*('Plan mensual'!L60+'Plan mensual'!L171+IF(parametros_manuales!$H$32="Todos",'Plan mensual'!L64+'Plan mensual'!L175,0)))*parametros_manuales!$I$32*parametros_manuales!$J$32</f>
        <v>9466.58350257</v>
      </c>
      <c r="K150" s="9" t="n">
        <f aca="false">(parametros_manuales!$D$32*('Plan mensual'!M57+'Plan mensual'!M168+IF(parametros_manuales!$H$32="Todos",'Plan mensual'!M61+'Plan mensual'!M172,0))+parametros_manuales!$E$32*('Plan mensual'!M58+'Plan mensual'!M169+IF(parametros_manuales!$H$32="Todos",'Plan mensual'!M62+'Plan mensual'!M173,0))+parametros_manuales!$F$32*('Plan mensual'!M59+'Plan mensual'!M170+IF(parametros_manuales!$H$32="Todos",'Plan mensual'!M63+'Plan mensual'!M174,0))+parametros_manuales!$G$32*('Plan mensual'!M60+'Plan mensual'!M171+IF(parametros_manuales!$H$32="Todos",'Plan mensual'!M64+'Plan mensual'!M175,0)))*parametros_manuales!$I$32*parametros_manuales!$J$32</f>
        <v>9284.142907425</v>
      </c>
      <c r="L150" s="9" t="n">
        <f aca="false">(parametros_manuales!$D$32*('Plan mensual'!N57+'Plan mensual'!N168+IF(parametros_manuales!$H$32="Todos",'Plan mensual'!N61+'Plan mensual'!N172,0))+parametros_manuales!$E$32*('Plan mensual'!N58+'Plan mensual'!N169+IF(parametros_manuales!$H$32="Todos",'Plan mensual'!N62+'Plan mensual'!N173,0))+parametros_manuales!$F$32*('Plan mensual'!N59+'Plan mensual'!N170+IF(parametros_manuales!$H$32="Todos",'Plan mensual'!N63+'Plan mensual'!N174,0))+parametros_manuales!$G$32*('Plan mensual'!N60+'Plan mensual'!N171+IF(parametros_manuales!$H$32="Todos",'Plan mensual'!N64+'Plan mensual'!N175,0)))*parametros_manuales!$I$32*parametros_manuales!$J$32</f>
        <v>9101.70231228</v>
      </c>
      <c r="M150" s="9" t="n">
        <f aca="false">(parametros_manuales!$D$32*('Plan mensual'!O57+'Plan mensual'!O168+IF(parametros_manuales!$H$32="Todos",'Plan mensual'!O61+'Plan mensual'!O172,0))+parametros_manuales!$E$32*('Plan mensual'!O58+'Plan mensual'!O169+IF(parametros_manuales!$H$32="Todos",'Plan mensual'!O62+'Plan mensual'!O173,0))+parametros_manuales!$F$32*('Plan mensual'!O59+'Plan mensual'!O170+IF(parametros_manuales!$H$32="Todos",'Plan mensual'!O63+'Plan mensual'!O174,0))+parametros_manuales!$G$32*('Plan mensual'!O60+'Plan mensual'!O171+IF(parametros_manuales!$H$32="Todos",'Plan mensual'!O64+'Plan mensual'!O175,0)))*parametros_manuales!$I$32*parametros_manuales!$J$32</f>
        <v>14489.74746159</v>
      </c>
      <c r="N150" s="9" t="n">
        <f aca="false">SUM(B150:M150)</f>
        <v>123788.572099</v>
      </c>
      <c r="O150" s="9" t="n">
        <f aca="false">MAX(B150:M150)</f>
        <v>14489.74746159</v>
      </c>
      <c r="P150" s="44" t="n">
        <f aca="false">O150/(parametros_manuales!$B$7)</f>
        <v>96.5983164106</v>
      </c>
      <c r="Q150" s="8" t="str">
        <f aca="false">IF(O150=0,"-",INDEX($B$136:$M$136,MATCH(O150,B150:M150,0)))</f>
        <v>Dic</v>
      </c>
    </row>
    <row r="151" customFormat="false" ht="14.25" hidden="false" customHeight="true" outlineLevel="0" collapsed="false">
      <c r="A151" s="8" t="str">
        <f aca="false">parametros_manuales!$B$33</f>
        <v>Secado</v>
      </c>
      <c r="B151" s="9" t="n">
        <f aca="false">(parametros_manuales!$D$33*('Plan mensual'!D57+'Plan mensual'!D168+IF(parametros_manuales!$H$33="Todos",'Plan mensual'!D61+'Plan mensual'!D172,0))+parametros_manuales!$E$33*('Plan mensual'!D58+'Plan mensual'!D169+IF(parametros_manuales!$H$33="Todos",'Plan mensual'!D62+'Plan mensual'!D173,0))+parametros_manuales!$F$33*('Plan mensual'!D59+'Plan mensual'!D170+IF(parametros_manuales!$H$33="Todos",'Plan mensual'!D63+'Plan mensual'!D174,0))+parametros_manuales!$G$33*('Plan mensual'!D60+'Plan mensual'!D171+IF(parametros_manuales!$H$33="Todos",'Plan mensual'!D64+'Plan mensual'!D175,0)))*parametros_manuales!$I$33*parametros_manuales!$J$33</f>
        <v>14124.8662713</v>
      </c>
      <c r="C151" s="9" t="n">
        <f aca="false">(parametros_manuales!$D$33*('Plan mensual'!E57+'Plan mensual'!E168+IF(parametros_manuales!$H$33="Todos",'Plan mensual'!E61+'Plan mensual'!E172,0))+parametros_manuales!$E$33*('Plan mensual'!E58+'Plan mensual'!E169+IF(parametros_manuales!$H$33="Todos",'Plan mensual'!E62+'Plan mensual'!E173,0))+parametros_manuales!$F$33*('Plan mensual'!E59+'Plan mensual'!E170+IF(parametros_manuales!$H$33="Todos",'Plan mensual'!E63+'Plan mensual'!E174,0))+parametros_manuales!$G$33*('Plan mensual'!E60+'Plan mensual'!E171+IF(parametros_manuales!$H$33="Todos",'Plan mensual'!E64+'Plan mensual'!E175,0)))*parametros_manuales!$I$33*parametros_manuales!$J$33</f>
        <v>10776.09029862</v>
      </c>
      <c r="D151" s="9" t="n">
        <f aca="false">(parametros_manuales!$D$33*('Plan mensual'!F57+'Plan mensual'!F168+IF(parametros_manuales!$H$33="Todos",'Plan mensual'!F61+'Plan mensual'!F172,0))+parametros_manuales!$E$33*('Plan mensual'!F58+'Plan mensual'!F169+IF(parametros_manuales!$H$33="Todos",'Plan mensual'!F62+'Plan mensual'!F173,0))+parametros_manuales!$F$33*('Plan mensual'!F59+'Plan mensual'!F170+IF(parametros_manuales!$H$33="Todos",'Plan mensual'!F63+'Plan mensual'!F174,0))+parametros_manuales!$G$33*('Plan mensual'!F60+'Plan mensual'!F171+IF(parametros_manuales!$H$33="Todos",'Plan mensual'!F64+'Plan mensual'!F175,0)))*parametros_manuales!$I$33*parametros_manuales!$J$33</f>
        <v>10085.526363065</v>
      </c>
      <c r="E151" s="9" t="n">
        <f aca="false">(parametros_manuales!$D$33*('Plan mensual'!G57+'Plan mensual'!G168+IF(parametros_manuales!$H$33="Todos",'Plan mensual'!G61+'Plan mensual'!G172,0))+parametros_manuales!$E$33*('Plan mensual'!G58+'Plan mensual'!G169+IF(parametros_manuales!$H$33="Todos",'Plan mensual'!G62+'Plan mensual'!G173,0))+parametros_manuales!$F$33*('Plan mensual'!G59+'Plan mensual'!G170+IF(parametros_manuales!$H$33="Todos",'Plan mensual'!G63+'Plan mensual'!G174,0))+parametros_manuales!$G$33*('Plan mensual'!G60+'Plan mensual'!G171+IF(parametros_manuales!$H$33="Todos",'Plan mensual'!G64+'Plan mensual'!G175,0)))*parametros_manuales!$I$33*parametros_manuales!$J$33</f>
        <v>9649.024097715</v>
      </c>
      <c r="F151" s="9" t="n">
        <f aca="false">(parametros_manuales!$D$33*('Plan mensual'!H57+'Plan mensual'!H168+IF(parametros_manuales!$H$33="Todos",'Plan mensual'!H61+'Plan mensual'!H172,0))+parametros_manuales!$E$33*('Plan mensual'!H58+'Plan mensual'!H169+IF(parametros_manuales!$H$33="Todos",'Plan mensual'!H62+'Plan mensual'!H173,0))+parametros_manuales!$F$33*('Plan mensual'!H59+'Plan mensual'!H170+IF(parametros_manuales!$H$33="Todos",'Plan mensual'!H63+'Plan mensual'!H174,0))+parametros_manuales!$G$33*('Plan mensual'!H60+'Plan mensual'!H171+IF(parametros_manuales!$H$33="Todos",'Plan mensual'!H64+'Plan mensual'!H175,0)))*parametros_manuales!$I$33*parametros_manuales!$J$33</f>
        <v>9030.08123722</v>
      </c>
      <c r="G151" s="9" t="n">
        <f aca="false">(parametros_manuales!$D$33*('Plan mensual'!I57+'Plan mensual'!I168+IF(parametros_manuales!$H$33="Todos",'Plan mensual'!I61+'Plan mensual'!I172,0))+parametros_manuales!$E$33*('Plan mensual'!I58+'Plan mensual'!I169+IF(parametros_manuales!$H$33="Todos",'Plan mensual'!I62+'Plan mensual'!I173,0))+parametros_manuales!$F$33*('Plan mensual'!I59+'Plan mensual'!I170+IF(parametros_manuales!$H$33="Todos",'Plan mensual'!I63+'Plan mensual'!I174,0))+parametros_manuales!$G$33*('Plan mensual'!I60+'Plan mensual'!I171+IF(parametros_manuales!$H$33="Todos",'Plan mensual'!I64+'Plan mensual'!I175,0)))*parametros_manuales!$I$33*parametros_manuales!$J$33</f>
        <v>8847.640642075</v>
      </c>
      <c r="H151" s="9" t="n">
        <f aca="false">(parametros_manuales!$D$33*('Plan mensual'!J57+'Plan mensual'!J168+IF(parametros_manuales!$H$33="Todos",'Plan mensual'!J61+'Plan mensual'!J172,0))+parametros_manuales!$E$33*('Plan mensual'!J58+'Plan mensual'!J169+IF(parametros_manuales!$H$33="Todos",'Plan mensual'!J62+'Plan mensual'!J173,0))+parametros_manuales!$F$33*('Plan mensual'!J59+'Plan mensual'!J170+IF(parametros_manuales!$H$33="Todos",'Plan mensual'!J63+'Plan mensual'!J174,0))+parametros_manuales!$G$33*('Plan mensual'!J60+'Plan mensual'!J171+IF(parametros_manuales!$H$33="Todos",'Plan mensual'!J64+'Plan mensual'!J175,0)))*parametros_manuales!$I$33*parametros_manuales!$J$33</f>
        <v>9466.58350257</v>
      </c>
      <c r="I151" s="9" t="n">
        <f aca="false">(parametros_manuales!$D$33*('Plan mensual'!K57+'Plan mensual'!K168+IF(parametros_manuales!$H$33="Todos",'Plan mensual'!K61+'Plan mensual'!K172,0))+parametros_manuales!$E$33*('Plan mensual'!K58+'Plan mensual'!K169+IF(parametros_manuales!$H$33="Todos",'Plan mensual'!K62+'Plan mensual'!K173,0))+parametros_manuales!$F$33*('Plan mensual'!K59+'Plan mensual'!K170+IF(parametros_manuales!$H$33="Todos",'Plan mensual'!K63+'Plan mensual'!K174,0))+parametros_manuales!$G$33*('Plan mensual'!K60+'Plan mensual'!K171+IF(parametros_manuales!$H$33="Todos",'Plan mensual'!K64+'Plan mensual'!K175,0)))*parametros_manuales!$I$33*parametros_manuales!$J$33</f>
        <v>9466.58350257</v>
      </c>
      <c r="J151" s="9" t="n">
        <f aca="false">(parametros_manuales!$D$33*('Plan mensual'!L57+'Plan mensual'!L168+IF(parametros_manuales!$H$33="Todos",'Plan mensual'!L61+'Plan mensual'!L172,0))+parametros_manuales!$E$33*('Plan mensual'!L58+'Plan mensual'!L169+IF(parametros_manuales!$H$33="Todos",'Plan mensual'!L62+'Plan mensual'!L173,0))+parametros_manuales!$F$33*('Plan mensual'!L59+'Plan mensual'!L170+IF(parametros_manuales!$H$33="Todos",'Plan mensual'!L63+'Plan mensual'!L174,0))+parametros_manuales!$G$33*('Plan mensual'!L60+'Plan mensual'!L171+IF(parametros_manuales!$H$33="Todos",'Plan mensual'!L64+'Plan mensual'!L175,0)))*parametros_manuales!$I$33*parametros_manuales!$J$33</f>
        <v>9466.58350257</v>
      </c>
      <c r="K151" s="9" t="n">
        <f aca="false">(parametros_manuales!$D$33*('Plan mensual'!M57+'Plan mensual'!M168+IF(parametros_manuales!$H$33="Todos",'Plan mensual'!M61+'Plan mensual'!M172,0))+parametros_manuales!$E$33*('Plan mensual'!M58+'Plan mensual'!M169+IF(parametros_manuales!$H$33="Todos",'Plan mensual'!M62+'Plan mensual'!M173,0))+parametros_manuales!$F$33*('Plan mensual'!M59+'Plan mensual'!M170+IF(parametros_manuales!$H$33="Todos",'Plan mensual'!M63+'Plan mensual'!M174,0))+parametros_manuales!$G$33*('Plan mensual'!M60+'Plan mensual'!M171+IF(parametros_manuales!$H$33="Todos",'Plan mensual'!M64+'Plan mensual'!M175,0)))*parametros_manuales!$I$33*parametros_manuales!$J$33</f>
        <v>9284.142907425</v>
      </c>
      <c r="L151" s="9" t="n">
        <f aca="false">(parametros_manuales!$D$33*('Plan mensual'!N57+'Plan mensual'!N168+IF(parametros_manuales!$H$33="Todos",'Plan mensual'!N61+'Plan mensual'!N172,0))+parametros_manuales!$E$33*('Plan mensual'!N58+'Plan mensual'!N169+IF(parametros_manuales!$H$33="Todos",'Plan mensual'!N62+'Plan mensual'!N173,0))+parametros_manuales!$F$33*('Plan mensual'!N59+'Plan mensual'!N170+IF(parametros_manuales!$H$33="Todos",'Plan mensual'!N63+'Plan mensual'!N174,0))+parametros_manuales!$G$33*('Plan mensual'!N60+'Plan mensual'!N171+IF(parametros_manuales!$H$33="Todos",'Plan mensual'!N64+'Plan mensual'!N175,0)))*parametros_manuales!$I$33*parametros_manuales!$J$33</f>
        <v>9101.70231228</v>
      </c>
      <c r="M151" s="9" t="n">
        <f aca="false">(parametros_manuales!$D$33*('Plan mensual'!O57+'Plan mensual'!O168+IF(parametros_manuales!$H$33="Todos",'Plan mensual'!O61+'Plan mensual'!O172,0))+parametros_manuales!$E$33*('Plan mensual'!O58+'Plan mensual'!O169+IF(parametros_manuales!$H$33="Todos",'Plan mensual'!O62+'Plan mensual'!O173,0))+parametros_manuales!$F$33*('Plan mensual'!O59+'Plan mensual'!O170+IF(parametros_manuales!$H$33="Todos",'Plan mensual'!O63+'Plan mensual'!O174,0))+parametros_manuales!$G$33*('Plan mensual'!O60+'Plan mensual'!O171+IF(parametros_manuales!$H$33="Todos",'Plan mensual'!O64+'Plan mensual'!O175,0)))*parametros_manuales!$I$33*parametros_manuales!$J$33</f>
        <v>14489.74746159</v>
      </c>
      <c r="N151" s="9" t="n">
        <f aca="false">SUM(B151:M151)</f>
        <v>123788.572099</v>
      </c>
      <c r="O151" s="9" t="n">
        <f aca="false">MAX(B151:M151)</f>
        <v>14489.74746159</v>
      </c>
      <c r="P151" s="44" t="n">
        <f aca="false">O151/(parametros_manuales!$B$7)</f>
        <v>96.5983164106</v>
      </c>
      <c r="Q151" s="8" t="str">
        <f aca="false">IF(O151=0,"-",INDEX($B$136:$M$136,MATCH(O151,B151:M151,0)))</f>
        <v>Dic</v>
      </c>
    </row>
    <row r="152" customFormat="false" ht="14.25" hidden="false" customHeight="true" outlineLevel="0" collapsed="false">
      <c r="A152" s="8" t="str">
        <f aca="false">parametros_manuales!$B$34</f>
        <v>Granallado</v>
      </c>
      <c r="B152" s="9" t="n">
        <f aca="false">(parametros_manuales!$D$34*('Plan mensual'!D57+'Plan mensual'!D168+IF(parametros_manuales!$H$34="Todos",'Plan mensual'!D61+'Plan mensual'!D172,0))+parametros_manuales!$E$34*('Plan mensual'!D58+'Plan mensual'!D169+IF(parametros_manuales!$H$34="Todos",'Plan mensual'!D62+'Plan mensual'!D173,0))+parametros_manuales!$F$34*('Plan mensual'!D59+'Plan mensual'!D170+IF(parametros_manuales!$H$34="Todos",'Plan mensual'!D63+'Plan mensual'!D174,0))+parametros_manuales!$G$34*('Plan mensual'!D60+'Plan mensual'!D171+IF(parametros_manuales!$H$34="Todos",'Plan mensual'!D64+'Plan mensual'!D175,0)))*parametros_manuales!$I$34*parametros_manuales!$J$34</f>
        <v>14124.8662713</v>
      </c>
      <c r="C152" s="9" t="n">
        <f aca="false">(parametros_manuales!$D$34*('Plan mensual'!E57+'Plan mensual'!E168+IF(parametros_manuales!$H$34="Todos",'Plan mensual'!E61+'Plan mensual'!E172,0))+parametros_manuales!$E$34*('Plan mensual'!E58+'Plan mensual'!E169+IF(parametros_manuales!$H$34="Todos",'Plan mensual'!E62+'Plan mensual'!E173,0))+parametros_manuales!$F$34*('Plan mensual'!E59+'Plan mensual'!E170+IF(parametros_manuales!$H$34="Todos",'Plan mensual'!E63+'Plan mensual'!E174,0))+parametros_manuales!$G$34*('Plan mensual'!E60+'Plan mensual'!E171+IF(parametros_manuales!$H$34="Todos",'Plan mensual'!E64+'Plan mensual'!E175,0)))*parametros_manuales!$I$34*parametros_manuales!$J$34</f>
        <v>10776.09029862</v>
      </c>
      <c r="D152" s="9" t="n">
        <f aca="false">(parametros_manuales!$D$34*('Plan mensual'!F57+'Plan mensual'!F168+IF(parametros_manuales!$H$34="Todos",'Plan mensual'!F61+'Plan mensual'!F172,0))+parametros_manuales!$E$34*('Plan mensual'!F58+'Plan mensual'!F169+IF(parametros_manuales!$H$34="Todos",'Plan mensual'!F62+'Plan mensual'!F173,0))+parametros_manuales!$F$34*('Plan mensual'!F59+'Plan mensual'!F170+IF(parametros_manuales!$H$34="Todos",'Plan mensual'!F63+'Plan mensual'!F174,0))+parametros_manuales!$G$34*('Plan mensual'!F60+'Plan mensual'!F171+IF(parametros_manuales!$H$34="Todos",'Plan mensual'!F64+'Plan mensual'!F175,0)))*parametros_manuales!$I$34*parametros_manuales!$J$34</f>
        <v>10085.526363065</v>
      </c>
      <c r="E152" s="9" t="n">
        <f aca="false">(parametros_manuales!$D$34*('Plan mensual'!G57+'Plan mensual'!G168+IF(parametros_manuales!$H$34="Todos",'Plan mensual'!G61+'Plan mensual'!G172,0))+parametros_manuales!$E$34*('Plan mensual'!G58+'Plan mensual'!G169+IF(parametros_manuales!$H$34="Todos",'Plan mensual'!G62+'Plan mensual'!G173,0))+parametros_manuales!$F$34*('Plan mensual'!G59+'Plan mensual'!G170+IF(parametros_manuales!$H$34="Todos",'Plan mensual'!G63+'Plan mensual'!G174,0))+parametros_manuales!$G$34*('Plan mensual'!G60+'Plan mensual'!G171+IF(parametros_manuales!$H$34="Todos",'Plan mensual'!G64+'Plan mensual'!G175,0)))*parametros_manuales!$I$34*parametros_manuales!$J$34</f>
        <v>9649.024097715</v>
      </c>
      <c r="F152" s="9" t="n">
        <f aca="false">(parametros_manuales!$D$34*('Plan mensual'!H57+'Plan mensual'!H168+IF(parametros_manuales!$H$34="Todos",'Plan mensual'!H61+'Plan mensual'!H172,0))+parametros_manuales!$E$34*('Plan mensual'!H58+'Plan mensual'!H169+IF(parametros_manuales!$H$34="Todos",'Plan mensual'!H62+'Plan mensual'!H173,0))+parametros_manuales!$F$34*('Plan mensual'!H59+'Plan mensual'!H170+IF(parametros_manuales!$H$34="Todos",'Plan mensual'!H63+'Plan mensual'!H174,0))+parametros_manuales!$G$34*('Plan mensual'!H60+'Plan mensual'!H171+IF(parametros_manuales!$H$34="Todos",'Plan mensual'!H64+'Plan mensual'!H175,0)))*parametros_manuales!$I$34*parametros_manuales!$J$34</f>
        <v>9030.08123722</v>
      </c>
      <c r="G152" s="9" t="n">
        <f aca="false">(parametros_manuales!$D$34*('Plan mensual'!I57+'Plan mensual'!I168+IF(parametros_manuales!$H$34="Todos",'Plan mensual'!I61+'Plan mensual'!I172,0))+parametros_manuales!$E$34*('Plan mensual'!I58+'Plan mensual'!I169+IF(parametros_manuales!$H$34="Todos",'Plan mensual'!I62+'Plan mensual'!I173,0))+parametros_manuales!$F$34*('Plan mensual'!I59+'Plan mensual'!I170+IF(parametros_manuales!$H$34="Todos",'Plan mensual'!I63+'Plan mensual'!I174,0))+parametros_manuales!$G$34*('Plan mensual'!I60+'Plan mensual'!I171+IF(parametros_manuales!$H$34="Todos",'Plan mensual'!I64+'Plan mensual'!I175,0)))*parametros_manuales!$I$34*parametros_manuales!$J$34</f>
        <v>8847.640642075</v>
      </c>
      <c r="H152" s="9" t="n">
        <f aca="false">(parametros_manuales!$D$34*('Plan mensual'!J57+'Plan mensual'!J168+IF(parametros_manuales!$H$34="Todos",'Plan mensual'!J61+'Plan mensual'!J172,0))+parametros_manuales!$E$34*('Plan mensual'!J58+'Plan mensual'!J169+IF(parametros_manuales!$H$34="Todos",'Plan mensual'!J62+'Plan mensual'!J173,0))+parametros_manuales!$F$34*('Plan mensual'!J59+'Plan mensual'!J170+IF(parametros_manuales!$H$34="Todos",'Plan mensual'!J63+'Plan mensual'!J174,0))+parametros_manuales!$G$34*('Plan mensual'!J60+'Plan mensual'!J171+IF(parametros_manuales!$H$34="Todos",'Plan mensual'!J64+'Plan mensual'!J175,0)))*parametros_manuales!$I$34*parametros_manuales!$J$34</f>
        <v>9466.58350257</v>
      </c>
      <c r="I152" s="9" t="n">
        <f aca="false">(parametros_manuales!$D$34*('Plan mensual'!K57+'Plan mensual'!K168+IF(parametros_manuales!$H$34="Todos",'Plan mensual'!K61+'Plan mensual'!K172,0))+parametros_manuales!$E$34*('Plan mensual'!K58+'Plan mensual'!K169+IF(parametros_manuales!$H$34="Todos",'Plan mensual'!K62+'Plan mensual'!K173,0))+parametros_manuales!$F$34*('Plan mensual'!K59+'Plan mensual'!K170+IF(parametros_manuales!$H$34="Todos",'Plan mensual'!K63+'Plan mensual'!K174,0))+parametros_manuales!$G$34*('Plan mensual'!K60+'Plan mensual'!K171+IF(parametros_manuales!$H$34="Todos",'Plan mensual'!K64+'Plan mensual'!K175,0)))*parametros_manuales!$I$34*parametros_manuales!$J$34</f>
        <v>9466.58350257</v>
      </c>
      <c r="J152" s="9" t="n">
        <f aca="false">(parametros_manuales!$D$34*('Plan mensual'!L57+'Plan mensual'!L168+IF(parametros_manuales!$H$34="Todos",'Plan mensual'!L61+'Plan mensual'!L172,0))+parametros_manuales!$E$34*('Plan mensual'!L58+'Plan mensual'!L169+IF(parametros_manuales!$H$34="Todos",'Plan mensual'!L62+'Plan mensual'!L173,0))+parametros_manuales!$F$34*('Plan mensual'!L59+'Plan mensual'!L170+IF(parametros_manuales!$H$34="Todos",'Plan mensual'!L63+'Plan mensual'!L174,0))+parametros_manuales!$G$34*('Plan mensual'!L60+'Plan mensual'!L171+IF(parametros_manuales!$H$34="Todos",'Plan mensual'!L64+'Plan mensual'!L175,0)))*parametros_manuales!$I$34*parametros_manuales!$J$34</f>
        <v>9466.58350257</v>
      </c>
      <c r="K152" s="9" t="n">
        <f aca="false">(parametros_manuales!$D$34*('Plan mensual'!M57+'Plan mensual'!M168+IF(parametros_manuales!$H$34="Todos",'Plan mensual'!M61+'Plan mensual'!M172,0))+parametros_manuales!$E$34*('Plan mensual'!M58+'Plan mensual'!M169+IF(parametros_manuales!$H$34="Todos",'Plan mensual'!M62+'Plan mensual'!M173,0))+parametros_manuales!$F$34*('Plan mensual'!M59+'Plan mensual'!M170+IF(parametros_manuales!$H$34="Todos",'Plan mensual'!M63+'Plan mensual'!M174,0))+parametros_manuales!$G$34*('Plan mensual'!M60+'Plan mensual'!M171+IF(parametros_manuales!$H$34="Todos",'Plan mensual'!M64+'Plan mensual'!M175,0)))*parametros_manuales!$I$34*parametros_manuales!$J$34</f>
        <v>9284.142907425</v>
      </c>
      <c r="L152" s="9" t="n">
        <f aca="false">(parametros_manuales!$D$34*('Plan mensual'!N57+'Plan mensual'!N168+IF(parametros_manuales!$H$34="Todos",'Plan mensual'!N61+'Plan mensual'!N172,0))+parametros_manuales!$E$34*('Plan mensual'!N58+'Plan mensual'!N169+IF(parametros_manuales!$H$34="Todos",'Plan mensual'!N62+'Plan mensual'!N173,0))+parametros_manuales!$F$34*('Plan mensual'!N59+'Plan mensual'!N170+IF(parametros_manuales!$H$34="Todos",'Plan mensual'!N63+'Plan mensual'!N174,0))+parametros_manuales!$G$34*('Plan mensual'!N60+'Plan mensual'!N171+IF(parametros_manuales!$H$34="Todos",'Plan mensual'!N64+'Plan mensual'!N175,0)))*parametros_manuales!$I$34*parametros_manuales!$J$34</f>
        <v>9101.70231228</v>
      </c>
      <c r="M152" s="9" t="n">
        <f aca="false">(parametros_manuales!$D$34*('Plan mensual'!O57+'Plan mensual'!O168+IF(parametros_manuales!$H$34="Todos",'Plan mensual'!O61+'Plan mensual'!O172,0))+parametros_manuales!$E$34*('Plan mensual'!O58+'Plan mensual'!O169+IF(parametros_manuales!$H$34="Todos",'Plan mensual'!O62+'Plan mensual'!O173,0))+parametros_manuales!$F$34*('Plan mensual'!O59+'Plan mensual'!O170+IF(parametros_manuales!$H$34="Todos",'Plan mensual'!O63+'Plan mensual'!O174,0))+parametros_manuales!$G$34*('Plan mensual'!O60+'Plan mensual'!O171+IF(parametros_manuales!$H$34="Todos",'Plan mensual'!O64+'Plan mensual'!O175,0)))*parametros_manuales!$I$34*parametros_manuales!$J$34</f>
        <v>14489.74746159</v>
      </c>
      <c r="N152" s="9" t="n">
        <f aca="false">SUM(B152:M152)</f>
        <v>123788.572099</v>
      </c>
      <c r="O152" s="9" t="n">
        <f aca="false">MAX(B152:M152)</f>
        <v>14489.74746159</v>
      </c>
      <c r="P152" s="44" t="n">
        <f aca="false">O152/(parametros_manuales!$B$7)</f>
        <v>96.5983164106</v>
      </c>
      <c r="Q152" s="8" t="str">
        <f aca="false">IF(O152=0,"-",INDEX($B$136:$M$136,MATCH(O152,B152:M152,0)))</f>
        <v>Dic</v>
      </c>
    </row>
    <row r="153" customFormat="false" ht="14.25" hidden="false" customHeight="true" outlineLevel="0" collapsed="false">
      <c r="A153" s="8" t="str">
        <f aca="false">parametros_manuales!$B$35</f>
        <v>Detección de defectos</v>
      </c>
      <c r="B153" s="9" t="n">
        <f aca="false">(parametros_manuales!$D$35*('Plan mensual'!D57+'Plan mensual'!D168+IF(parametros_manuales!$H$35="Todos",'Plan mensual'!D61+'Plan mensual'!D172,0))+parametros_manuales!$E$35*('Plan mensual'!D58+'Plan mensual'!D169+IF(parametros_manuales!$H$35="Todos",'Plan mensual'!D62+'Plan mensual'!D173,0))+parametros_manuales!$F$35*('Plan mensual'!D59+'Plan mensual'!D170+IF(parametros_manuales!$H$35="Todos",'Plan mensual'!D63+'Plan mensual'!D174,0))+parametros_manuales!$G$35*('Plan mensual'!D60+'Plan mensual'!D171+IF(parametros_manuales!$H$35="Todos",'Plan mensual'!D64+'Plan mensual'!D175,0)))*parametros_manuales!$I$35*parametros_manuales!$J$35</f>
        <v>14124.8662713</v>
      </c>
      <c r="C153" s="9" t="n">
        <f aca="false">(parametros_manuales!$D$35*('Plan mensual'!E57+'Plan mensual'!E168+IF(parametros_manuales!$H$35="Todos",'Plan mensual'!E61+'Plan mensual'!E172,0))+parametros_manuales!$E$35*('Plan mensual'!E58+'Plan mensual'!E169+IF(parametros_manuales!$H$35="Todos",'Plan mensual'!E62+'Plan mensual'!E173,0))+parametros_manuales!$F$35*('Plan mensual'!E59+'Plan mensual'!E170+IF(parametros_manuales!$H$35="Todos",'Plan mensual'!E63+'Plan mensual'!E174,0))+parametros_manuales!$G$35*('Plan mensual'!E60+'Plan mensual'!E171+IF(parametros_manuales!$H$35="Todos",'Plan mensual'!E64+'Plan mensual'!E175,0)))*parametros_manuales!$I$35*parametros_manuales!$J$35</f>
        <v>10776.09029862</v>
      </c>
      <c r="D153" s="9" t="n">
        <f aca="false">(parametros_manuales!$D$35*('Plan mensual'!F57+'Plan mensual'!F168+IF(parametros_manuales!$H$35="Todos",'Plan mensual'!F61+'Plan mensual'!F172,0))+parametros_manuales!$E$35*('Plan mensual'!F58+'Plan mensual'!F169+IF(parametros_manuales!$H$35="Todos",'Plan mensual'!F62+'Plan mensual'!F173,0))+parametros_manuales!$F$35*('Plan mensual'!F59+'Plan mensual'!F170+IF(parametros_manuales!$H$35="Todos",'Plan mensual'!F63+'Plan mensual'!F174,0))+parametros_manuales!$G$35*('Plan mensual'!F60+'Plan mensual'!F171+IF(parametros_manuales!$H$35="Todos",'Plan mensual'!F64+'Plan mensual'!F175,0)))*parametros_manuales!$I$35*parametros_manuales!$J$35</f>
        <v>10085.526363065</v>
      </c>
      <c r="E153" s="9" t="n">
        <f aca="false">(parametros_manuales!$D$35*('Plan mensual'!G57+'Plan mensual'!G168+IF(parametros_manuales!$H$35="Todos",'Plan mensual'!G61+'Plan mensual'!G172,0))+parametros_manuales!$E$35*('Plan mensual'!G58+'Plan mensual'!G169+IF(parametros_manuales!$H$35="Todos",'Plan mensual'!G62+'Plan mensual'!G173,0))+parametros_manuales!$F$35*('Plan mensual'!G59+'Plan mensual'!G170+IF(parametros_manuales!$H$35="Todos",'Plan mensual'!G63+'Plan mensual'!G174,0))+parametros_manuales!$G$35*('Plan mensual'!G60+'Plan mensual'!G171+IF(parametros_manuales!$H$35="Todos",'Plan mensual'!G64+'Plan mensual'!G175,0)))*parametros_manuales!$I$35*parametros_manuales!$J$35</f>
        <v>9649.024097715</v>
      </c>
      <c r="F153" s="9" t="n">
        <f aca="false">(parametros_manuales!$D$35*('Plan mensual'!H57+'Plan mensual'!H168+IF(parametros_manuales!$H$35="Todos",'Plan mensual'!H61+'Plan mensual'!H172,0))+parametros_manuales!$E$35*('Plan mensual'!H58+'Plan mensual'!H169+IF(parametros_manuales!$H$35="Todos",'Plan mensual'!H62+'Plan mensual'!H173,0))+parametros_manuales!$F$35*('Plan mensual'!H59+'Plan mensual'!H170+IF(parametros_manuales!$H$35="Todos",'Plan mensual'!H63+'Plan mensual'!H174,0))+parametros_manuales!$G$35*('Plan mensual'!H60+'Plan mensual'!H171+IF(parametros_manuales!$H$35="Todos",'Plan mensual'!H64+'Plan mensual'!H175,0)))*parametros_manuales!$I$35*parametros_manuales!$J$35</f>
        <v>9030.08123722</v>
      </c>
      <c r="G153" s="9" t="n">
        <f aca="false">(parametros_manuales!$D$35*('Plan mensual'!I57+'Plan mensual'!I168+IF(parametros_manuales!$H$35="Todos",'Plan mensual'!I61+'Plan mensual'!I172,0))+parametros_manuales!$E$35*('Plan mensual'!I58+'Plan mensual'!I169+IF(parametros_manuales!$H$35="Todos",'Plan mensual'!I62+'Plan mensual'!I173,0))+parametros_manuales!$F$35*('Plan mensual'!I59+'Plan mensual'!I170+IF(parametros_manuales!$H$35="Todos",'Plan mensual'!I63+'Plan mensual'!I174,0))+parametros_manuales!$G$35*('Plan mensual'!I60+'Plan mensual'!I171+IF(parametros_manuales!$H$35="Todos",'Plan mensual'!I64+'Plan mensual'!I175,0)))*parametros_manuales!$I$35*parametros_manuales!$J$35</f>
        <v>8847.640642075</v>
      </c>
      <c r="H153" s="9" t="n">
        <f aca="false">(parametros_manuales!$D$35*('Plan mensual'!J57+'Plan mensual'!J168+IF(parametros_manuales!$H$35="Todos",'Plan mensual'!J61+'Plan mensual'!J172,0))+parametros_manuales!$E$35*('Plan mensual'!J58+'Plan mensual'!J169+IF(parametros_manuales!$H$35="Todos",'Plan mensual'!J62+'Plan mensual'!J173,0))+parametros_manuales!$F$35*('Plan mensual'!J59+'Plan mensual'!J170+IF(parametros_manuales!$H$35="Todos",'Plan mensual'!J63+'Plan mensual'!J174,0))+parametros_manuales!$G$35*('Plan mensual'!J60+'Plan mensual'!J171+IF(parametros_manuales!$H$35="Todos",'Plan mensual'!J64+'Plan mensual'!J175,0)))*parametros_manuales!$I$35*parametros_manuales!$J$35</f>
        <v>9466.58350257</v>
      </c>
      <c r="I153" s="9" t="n">
        <f aca="false">(parametros_manuales!$D$35*('Plan mensual'!K57+'Plan mensual'!K168+IF(parametros_manuales!$H$35="Todos",'Plan mensual'!K61+'Plan mensual'!K172,0))+parametros_manuales!$E$35*('Plan mensual'!K58+'Plan mensual'!K169+IF(parametros_manuales!$H$35="Todos",'Plan mensual'!K62+'Plan mensual'!K173,0))+parametros_manuales!$F$35*('Plan mensual'!K59+'Plan mensual'!K170+IF(parametros_manuales!$H$35="Todos",'Plan mensual'!K63+'Plan mensual'!K174,0))+parametros_manuales!$G$35*('Plan mensual'!K60+'Plan mensual'!K171+IF(parametros_manuales!$H$35="Todos",'Plan mensual'!K64+'Plan mensual'!K175,0)))*parametros_manuales!$I$35*parametros_manuales!$J$35</f>
        <v>9466.58350257</v>
      </c>
      <c r="J153" s="9" t="n">
        <f aca="false">(parametros_manuales!$D$35*('Plan mensual'!L57+'Plan mensual'!L168+IF(parametros_manuales!$H$35="Todos",'Plan mensual'!L61+'Plan mensual'!L172,0))+parametros_manuales!$E$35*('Plan mensual'!L58+'Plan mensual'!L169+IF(parametros_manuales!$H$35="Todos",'Plan mensual'!L62+'Plan mensual'!L173,0))+parametros_manuales!$F$35*('Plan mensual'!L59+'Plan mensual'!L170+IF(parametros_manuales!$H$35="Todos",'Plan mensual'!L63+'Plan mensual'!L174,0))+parametros_manuales!$G$35*('Plan mensual'!L60+'Plan mensual'!L171+IF(parametros_manuales!$H$35="Todos",'Plan mensual'!L64+'Plan mensual'!L175,0)))*parametros_manuales!$I$35*parametros_manuales!$J$35</f>
        <v>9466.58350257</v>
      </c>
      <c r="K153" s="9" t="n">
        <f aca="false">(parametros_manuales!$D$35*('Plan mensual'!M57+'Plan mensual'!M168+IF(parametros_manuales!$H$35="Todos",'Plan mensual'!M61+'Plan mensual'!M172,0))+parametros_manuales!$E$35*('Plan mensual'!M58+'Plan mensual'!M169+IF(parametros_manuales!$H$35="Todos",'Plan mensual'!M62+'Plan mensual'!M173,0))+parametros_manuales!$F$35*('Plan mensual'!M59+'Plan mensual'!M170+IF(parametros_manuales!$H$35="Todos",'Plan mensual'!M63+'Plan mensual'!M174,0))+parametros_manuales!$G$35*('Plan mensual'!M60+'Plan mensual'!M171+IF(parametros_manuales!$H$35="Todos",'Plan mensual'!M64+'Plan mensual'!M175,0)))*parametros_manuales!$I$35*parametros_manuales!$J$35</f>
        <v>9284.142907425</v>
      </c>
      <c r="L153" s="9" t="n">
        <f aca="false">(parametros_manuales!$D$35*('Plan mensual'!N57+'Plan mensual'!N168+IF(parametros_manuales!$H$35="Todos",'Plan mensual'!N61+'Plan mensual'!N172,0))+parametros_manuales!$E$35*('Plan mensual'!N58+'Plan mensual'!N169+IF(parametros_manuales!$H$35="Todos",'Plan mensual'!N62+'Plan mensual'!N173,0))+parametros_manuales!$F$35*('Plan mensual'!N59+'Plan mensual'!N170+IF(parametros_manuales!$H$35="Todos",'Plan mensual'!N63+'Plan mensual'!N174,0))+parametros_manuales!$G$35*('Plan mensual'!N60+'Plan mensual'!N171+IF(parametros_manuales!$H$35="Todos",'Plan mensual'!N64+'Plan mensual'!N175,0)))*parametros_manuales!$I$35*parametros_manuales!$J$35</f>
        <v>9101.70231228</v>
      </c>
      <c r="M153" s="9" t="n">
        <f aca="false">(parametros_manuales!$D$35*('Plan mensual'!O57+'Plan mensual'!O168+IF(parametros_manuales!$H$35="Todos",'Plan mensual'!O61+'Plan mensual'!O172,0))+parametros_manuales!$E$35*('Plan mensual'!O58+'Plan mensual'!O169+IF(parametros_manuales!$H$35="Todos",'Plan mensual'!O62+'Plan mensual'!O173,0))+parametros_manuales!$F$35*('Plan mensual'!O59+'Plan mensual'!O170+IF(parametros_manuales!$H$35="Todos",'Plan mensual'!O63+'Plan mensual'!O174,0))+parametros_manuales!$G$35*('Plan mensual'!O60+'Plan mensual'!O171+IF(parametros_manuales!$H$35="Todos",'Plan mensual'!O64+'Plan mensual'!O175,0)))*parametros_manuales!$I$35*parametros_manuales!$J$35</f>
        <v>14489.74746159</v>
      </c>
      <c r="N153" s="9" t="n">
        <f aca="false">SUM(B153:M153)</f>
        <v>123788.572099</v>
      </c>
      <c r="O153" s="9" t="n">
        <f aca="false">MAX(B153:M153)</f>
        <v>14489.74746159</v>
      </c>
      <c r="P153" s="44" t="n">
        <f aca="false">O153/(parametros_manuales!$B$7)</f>
        <v>96.5983164106</v>
      </c>
      <c r="Q153" s="8" t="str">
        <f aca="false">IF(O153=0,"-",INDEX($B$136:$M$136,MATCH(O153,B153:M153,0)))</f>
        <v>Dic</v>
      </c>
    </row>
    <row r="154" customFormat="false" ht="14.25" hidden="false" customHeight="true" outlineLevel="0" collapsed="false">
      <c r="A154" s="8" t="str">
        <f aca="false">parametros_manuales!$B$36</f>
        <v>Corrección de defectos</v>
      </c>
      <c r="B154" s="9" t="n">
        <f aca="false">(parametros_manuales!$D$36*('Plan mensual'!D57+'Plan mensual'!D168+IF(parametros_manuales!$H$36="Todos",'Plan mensual'!D61+'Plan mensual'!D172,0))+parametros_manuales!$E$36*('Plan mensual'!D58+'Plan mensual'!D169+IF(parametros_manuales!$H$36="Todos",'Plan mensual'!D62+'Plan mensual'!D173,0))+parametros_manuales!$F$36*('Plan mensual'!D59+'Plan mensual'!D170+IF(parametros_manuales!$H$36="Todos",'Plan mensual'!D63+'Plan mensual'!D174,0))+parametros_manuales!$G$36*('Plan mensual'!D60+'Plan mensual'!D171+IF(parametros_manuales!$H$36="Todos",'Plan mensual'!D64+'Plan mensual'!D175,0)))*parametros_manuales!$I$36*parametros_manuales!$J$36</f>
        <v>706.243313565</v>
      </c>
      <c r="C154" s="9" t="n">
        <f aca="false">(parametros_manuales!$D$36*('Plan mensual'!E57+'Plan mensual'!E168+IF(parametros_manuales!$H$36="Todos",'Plan mensual'!E61+'Plan mensual'!E172,0))+parametros_manuales!$E$36*('Plan mensual'!E58+'Plan mensual'!E169+IF(parametros_manuales!$H$36="Todos",'Plan mensual'!E62+'Plan mensual'!E173,0))+parametros_manuales!$F$36*('Plan mensual'!E59+'Plan mensual'!E170+IF(parametros_manuales!$H$36="Todos",'Plan mensual'!E63+'Plan mensual'!E174,0))+parametros_manuales!$G$36*('Plan mensual'!E60+'Plan mensual'!E171+IF(parametros_manuales!$H$36="Todos",'Plan mensual'!E64+'Plan mensual'!E175,0)))*parametros_manuales!$I$36*parametros_manuales!$J$36</f>
        <v>538.804514931</v>
      </c>
      <c r="D154" s="9" t="n">
        <f aca="false">(parametros_manuales!$D$36*('Plan mensual'!F57+'Plan mensual'!F168+IF(parametros_manuales!$H$36="Todos",'Plan mensual'!F61+'Plan mensual'!F172,0))+parametros_manuales!$E$36*('Plan mensual'!F58+'Plan mensual'!F169+IF(parametros_manuales!$H$36="Todos",'Plan mensual'!F62+'Plan mensual'!F173,0))+parametros_manuales!$F$36*('Plan mensual'!F59+'Plan mensual'!F170+IF(parametros_manuales!$H$36="Todos",'Plan mensual'!F63+'Plan mensual'!F174,0))+parametros_manuales!$G$36*('Plan mensual'!F60+'Plan mensual'!F171+IF(parametros_manuales!$H$36="Todos",'Plan mensual'!F64+'Plan mensual'!F175,0)))*parametros_manuales!$I$36*parametros_manuales!$J$36</f>
        <v>504.27631815325</v>
      </c>
      <c r="E154" s="9" t="n">
        <f aca="false">(parametros_manuales!$D$36*('Plan mensual'!G57+'Plan mensual'!G168+IF(parametros_manuales!$H$36="Todos",'Plan mensual'!G61+'Plan mensual'!G172,0))+parametros_manuales!$E$36*('Plan mensual'!G58+'Plan mensual'!G169+IF(parametros_manuales!$H$36="Todos",'Plan mensual'!G62+'Plan mensual'!G173,0))+parametros_manuales!$F$36*('Plan mensual'!G59+'Plan mensual'!G170+IF(parametros_manuales!$H$36="Todos",'Plan mensual'!G63+'Plan mensual'!G174,0))+parametros_manuales!$G$36*('Plan mensual'!G60+'Plan mensual'!G171+IF(parametros_manuales!$H$36="Todos",'Plan mensual'!G64+'Plan mensual'!G175,0)))*parametros_manuales!$I$36*parametros_manuales!$J$36</f>
        <v>482.45120488575</v>
      </c>
      <c r="F154" s="9" t="n">
        <f aca="false">(parametros_manuales!$D$36*('Plan mensual'!H57+'Plan mensual'!H168+IF(parametros_manuales!$H$36="Todos",'Plan mensual'!H61+'Plan mensual'!H172,0))+parametros_manuales!$E$36*('Plan mensual'!H58+'Plan mensual'!H169+IF(parametros_manuales!$H$36="Todos",'Plan mensual'!H62+'Plan mensual'!H173,0))+parametros_manuales!$F$36*('Plan mensual'!H59+'Plan mensual'!H170+IF(parametros_manuales!$H$36="Todos",'Plan mensual'!H63+'Plan mensual'!H174,0))+parametros_manuales!$G$36*('Plan mensual'!H60+'Plan mensual'!H171+IF(parametros_manuales!$H$36="Todos",'Plan mensual'!H64+'Plan mensual'!H175,0)))*parametros_manuales!$I$36*parametros_manuales!$J$36</f>
        <v>451.504061861</v>
      </c>
      <c r="G154" s="9" t="n">
        <f aca="false">(parametros_manuales!$D$36*('Plan mensual'!I57+'Plan mensual'!I168+IF(parametros_manuales!$H$36="Todos",'Plan mensual'!I61+'Plan mensual'!I172,0))+parametros_manuales!$E$36*('Plan mensual'!I58+'Plan mensual'!I169+IF(parametros_manuales!$H$36="Todos",'Plan mensual'!I62+'Plan mensual'!I173,0))+parametros_manuales!$F$36*('Plan mensual'!I59+'Plan mensual'!I170+IF(parametros_manuales!$H$36="Todos",'Plan mensual'!I63+'Plan mensual'!I174,0))+parametros_manuales!$G$36*('Plan mensual'!I60+'Plan mensual'!I171+IF(parametros_manuales!$H$36="Todos",'Plan mensual'!I64+'Plan mensual'!I175,0)))*parametros_manuales!$I$36*parametros_manuales!$J$36</f>
        <v>442.38203210375</v>
      </c>
      <c r="H154" s="9" t="n">
        <f aca="false">(parametros_manuales!$D$36*('Plan mensual'!J57+'Plan mensual'!J168+IF(parametros_manuales!$H$36="Todos",'Plan mensual'!J61+'Plan mensual'!J172,0))+parametros_manuales!$E$36*('Plan mensual'!J58+'Plan mensual'!J169+IF(parametros_manuales!$H$36="Todos",'Plan mensual'!J62+'Plan mensual'!J173,0))+parametros_manuales!$F$36*('Plan mensual'!J59+'Plan mensual'!J170+IF(parametros_manuales!$H$36="Todos",'Plan mensual'!J63+'Plan mensual'!J174,0))+parametros_manuales!$G$36*('Plan mensual'!J60+'Plan mensual'!J171+IF(parametros_manuales!$H$36="Todos",'Plan mensual'!J64+'Plan mensual'!J175,0)))*parametros_manuales!$I$36*parametros_manuales!$J$36</f>
        <v>473.3291751285</v>
      </c>
      <c r="I154" s="9" t="n">
        <f aca="false">(parametros_manuales!$D$36*('Plan mensual'!K57+'Plan mensual'!K168+IF(parametros_manuales!$H$36="Todos",'Plan mensual'!K61+'Plan mensual'!K172,0))+parametros_manuales!$E$36*('Plan mensual'!K58+'Plan mensual'!K169+IF(parametros_manuales!$H$36="Todos",'Plan mensual'!K62+'Plan mensual'!K173,0))+parametros_manuales!$F$36*('Plan mensual'!K59+'Plan mensual'!K170+IF(parametros_manuales!$H$36="Todos",'Plan mensual'!K63+'Plan mensual'!K174,0))+parametros_manuales!$G$36*('Plan mensual'!K60+'Plan mensual'!K171+IF(parametros_manuales!$H$36="Todos",'Plan mensual'!K64+'Plan mensual'!K175,0)))*parametros_manuales!$I$36*parametros_manuales!$J$36</f>
        <v>473.3291751285</v>
      </c>
      <c r="J154" s="9" t="n">
        <f aca="false">(parametros_manuales!$D$36*('Plan mensual'!L57+'Plan mensual'!L168+IF(parametros_manuales!$H$36="Todos",'Plan mensual'!L61+'Plan mensual'!L172,0))+parametros_manuales!$E$36*('Plan mensual'!L58+'Plan mensual'!L169+IF(parametros_manuales!$H$36="Todos",'Plan mensual'!L62+'Plan mensual'!L173,0))+parametros_manuales!$F$36*('Plan mensual'!L59+'Plan mensual'!L170+IF(parametros_manuales!$H$36="Todos",'Plan mensual'!L63+'Plan mensual'!L174,0))+parametros_manuales!$G$36*('Plan mensual'!L60+'Plan mensual'!L171+IF(parametros_manuales!$H$36="Todos",'Plan mensual'!L64+'Plan mensual'!L175,0)))*parametros_manuales!$I$36*parametros_manuales!$J$36</f>
        <v>473.3291751285</v>
      </c>
      <c r="K154" s="9" t="n">
        <f aca="false">(parametros_manuales!$D$36*('Plan mensual'!M57+'Plan mensual'!M168+IF(parametros_manuales!$H$36="Todos",'Plan mensual'!M61+'Plan mensual'!M172,0))+parametros_manuales!$E$36*('Plan mensual'!M58+'Plan mensual'!M169+IF(parametros_manuales!$H$36="Todos",'Plan mensual'!M62+'Plan mensual'!M173,0))+parametros_manuales!$F$36*('Plan mensual'!M59+'Plan mensual'!M170+IF(parametros_manuales!$H$36="Todos",'Plan mensual'!M63+'Plan mensual'!M174,0))+parametros_manuales!$G$36*('Plan mensual'!M60+'Plan mensual'!M171+IF(parametros_manuales!$H$36="Todos",'Plan mensual'!M64+'Plan mensual'!M175,0)))*parametros_manuales!$I$36*parametros_manuales!$J$36</f>
        <v>464.20714537125</v>
      </c>
      <c r="L154" s="9" t="n">
        <f aca="false">(parametros_manuales!$D$36*('Plan mensual'!N57+'Plan mensual'!N168+IF(parametros_manuales!$H$36="Todos",'Plan mensual'!N61+'Plan mensual'!N172,0))+parametros_manuales!$E$36*('Plan mensual'!N58+'Plan mensual'!N169+IF(parametros_manuales!$H$36="Todos",'Plan mensual'!N62+'Plan mensual'!N173,0))+parametros_manuales!$F$36*('Plan mensual'!N59+'Plan mensual'!N170+IF(parametros_manuales!$H$36="Todos",'Plan mensual'!N63+'Plan mensual'!N174,0))+parametros_manuales!$G$36*('Plan mensual'!N60+'Plan mensual'!N171+IF(parametros_manuales!$H$36="Todos",'Plan mensual'!N64+'Plan mensual'!N175,0)))*parametros_manuales!$I$36*parametros_manuales!$J$36</f>
        <v>455.085115614</v>
      </c>
      <c r="M154" s="9" t="n">
        <f aca="false">(parametros_manuales!$D$36*('Plan mensual'!O57+'Plan mensual'!O168+IF(parametros_manuales!$H$36="Todos",'Plan mensual'!O61+'Plan mensual'!O172,0))+parametros_manuales!$E$36*('Plan mensual'!O58+'Plan mensual'!O169+IF(parametros_manuales!$H$36="Todos",'Plan mensual'!O62+'Plan mensual'!O173,0))+parametros_manuales!$F$36*('Plan mensual'!O59+'Plan mensual'!O170+IF(parametros_manuales!$H$36="Todos",'Plan mensual'!O63+'Plan mensual'!O174,0))+parametros_manuales!$G$36*('Plan mensual'!O60+'Plan mensual'!O171+IF(parametros_manuales!$H$36="Todos",'Plan mensual'!O64+'Plan mensual'!O175,0)))*parametros_manuales!$I$36*parametros_manuales!$J$36</f>
        <v>724.4873730795</v>
      </c>
      <c r="N154" s="9" t="n">
        <f aca="false">SUM(B154:M154)</f>
        <v>6189.42860495</v>
      </c>
      <c r="O154" s="9" t="n">
        <f aca="false">MAX(B154:M154)</f>
        <v>724.4873730795</v>
      </c>
      <c r="P154" s="44" t="n">
        <f aca="false">O154/(parametros_manuales!$B$7)</f>
        <v>4.82991582053</v>
      </c>
      <c r="Q154" s="8" t="str">
        <f aca="false">IF(O154=0,"-",INDEX($B$136:$M$136,MATCH(O154,B154:M154,0)))</f>
        <v>Dic</v>
      </c>
    </row>
    <row r="155" customFormat="false" ht="14.25" hidden="false" customHeight="true" outlineLevel="0" collapsed="false">
      <c r="A155" s="8" t="str">
        <f aca="false">parametros_manuales!$B$37</f>
        <v>Pintura en polvo + horno</v>
      </c>
      <c r="B155" s="9" t="n">
        <f aca="false">(parametros_manuales!$D$37*('Plan mensual'!D57+'Plan mensual'!D168+IF(parametros_manuales!$H$37="Todos",'Plan mensual'!D61+'Plan mensual'!D172,0))+parametros_manuales!$E$37*('Plan mensual'!D58+'Plan mensual'!D169+IF(parametros_manuales!$H$37="Todos",'Plan mensual'!D62+'Plan mensual'!D173,0))+parametros_manuales!$F$37*('Plan mensual'!D59+'Plan mensual'!D170+IF(parametros_manuales!$H$37="Todos",'Plan mensual'!D63+'Plan mensual'!D174,0))+parametros_manuales!$G$37*('Plan mensual'!D60+'Plan mensual'!D171+IF(parametros_manuales!$H$37="Todos",'Plan mensual'!D64+'Plan mensual'!D175,0)))*parametros_manuales!$I$37*parametros_manuales!$J$37</f>
        <v>14124.8662713</v>
      </c>
      <c r="C155" s="9" t="n">
        <f aca="false">(parametros_manuales!$D$37*('Plan mensual'!E57+'Plan mensual'!E168+IF(parametros_manuales!$H$37="Todos",'Plan mensual'!E61+'Plan mensual'!E172,0))+parametros_manuales!$E$37*('Plan mensual'!E58+'Plan mensual'!E169+IF(parametros_manuales!$H$37="Todos",'Plan mensual'!E62+'Plan mensual'!E173,0))+parametros_manuales!$F$37*('Plan mensual'!E59+'Plan mensual'!E170+IF(parametros_manuales!$H$37="Todos",'Plan mensual'!E63+'Plan mensual'!E174,0))+parametros_manuales!$G$37*('Plan mensual'!E60+'Plan mensual'!E171+IF(parametros_manuales!$H$37="Todos",'Plan mensual'!E64+'Plan mensual'!E175,0)))*parametros_manuales!$I$37*parametros_manuales!$J$37</f>
        <v>10776.09029862</v>
      </c>
      <c r="D155" s="9" t="n">
        <f aca="false">(parametros_manuales!$D$37*('Plan mensual'!F57+'Plan mensual'!F168+IF(parametros_manuales!$H$37="Todos",'Plan mensual'!F61+'Plan mensual'!F172,0))+parametros_manuales!$E$37*('Plan mensual'!F58+'Plan mensual'!F169+IF(parametros_manuales!$H$37="Todos",'Plan mensual'!F62+'Plan mensual'!F173,0))+parametros_manuales!$F$37*('Plan mensual'!F59+'Plan mensual'!F170+IF(parametros_manuales!$H$37="Todos",'Plan mensual'!F63+'Plan mensual'!F174,0))+parametros_manuales!$G$37*('Plan mensual'!F60+'Plan mensual'!F171+IF(parametros_manuales!$H$37="Todos",'Plan mensual'!F64+'Plan mensual'!F175,0)))*parametros_manuales!$I$37*parametros_manuales!$J$37</f>
        <v>10085.526363065</v>
      </c>
      <c r="E155" s="9" t="n">
        <f aca="false">(parametros_manuales!$D$37*('Plan mensual'!G57+'Plan mensual'!G168+IF(parametros_manuales!$H$37="Todos",'Plan mensual'!G61+'Plan mensual'!G172,0))+parametros_manuales!$E$37*('Plan mensual'!G58+'Plan mensual'!G169+IF(parametros_manuales!$H$37="Todos",'Plan mensual'!G62+'Plan mensual'!G173,0))+parametros_manuales!$F$37*('Plan mensual'!G59+'Plan mensual'!G170+IF(parametros_manuales!$H$37="Todos",'Plan mensual'!G63+'Plan mensual'!G174,0))+parametros_manuales!$G$37*('Plan mensual'!G60+'Plan mensual'!G171+IF(parametros_manuales!$H$37="Todos",'Plan mensual'!G64+'Plan mensual'!G175,0)))*parametros_manuales!$I$37*parametros_manuales!$J$37</f>
        <v>9649.024097715</v>
      </c>
      <c r="F155" s="9" t="n">
        <f aca="false">(parametros_manuales!$D$37*('Plan mensual'!H57+'Plan mensual'!H168+IF(parametros_manuales!$H$37="Todos",'Plan mensual'!H61+'Plan mensual'!H172,0))+parametros_manuales!$E$37*('Plan mensual'!H58+'Plan mensual'!H169+IF(parametros_manuales!$H$37="Todos",'Plan mensual'!H62+'Plan mensual'!H173,0))+parametros_manuales!$F$37*('Plan mensual'!H59+'Plan mensual'!H170+IF(parametros_manuales!$H$37="Todos",'Plan mensual'!H63+'Plan mensual'!H174,0))+parametros_manuales!$G$37*('Plan mensual'!H60+'Plan mensual'!H171+IF(parametros_manuales!$H$37="Todos",'Plan mensual'!H64+'Plan mensual'!H175,0)))*parametros_manuales!$I$37*parametros_manuales!$J$37</f>
        <v>9030.08123722</v>
      </c>
      <c r="G155" s="9" t="n">
        <f aca="false">(parametros_manuales!$D$37*('Plan mensual'!I57+'Plan mensual'!I168+IF(parametros_manuales!$H$37="Todos",'Plan mensual'!I61+'Plan mensual'!I172,0))+parametros_manuales!$E$37*('Plan mensual'!I58+'Plan mensual'!I169+IF(parametros_manuales!$H$37="Todos",'Plan mensual'!I62+'Plan mensual'!I173,0))+parametros_manuales!$F$37*('Plan mensual'!I59+'Plan mensual'!I170+IF(parametros_manuales!$H$37="Todos",'Plan mensual'!I63+'Plan mensual'!I174,0))+parametros_manuales!$G$37*('Plan mensual'!I60+'Plan mensual'!I171+IF(parametros_manuales!$H$37="Todos",'Plan mensual'!I64+'Plan mensual'!I175,0)))*parametros_manuales!$I$37*parametros_manuales!$J$37</f>
        <v>8847.640642075</v>
      </c>
      <c r="H155" s="9" t="n">
        <f aca="false">(parametros_manuales!$D$37*('Plan mensual'!J57+'Plan mensual'!J168+IF(parametros_manuales!$H$37="Todos",'Plan mensual'!J61+'Plan mensual'!J172,0))+parametros_manuales!$E$37*('Plan mensual'!J58+'Plan mensual'!J169+IF(parametros_manuales!$H$37="Todos",'Plan mensual'!J62+'Plan mensual'!J173,0))+parametros_manuales!$F$37*('Plan mensual'!J59+'Plan mensual'!J170+IF(parametros_manuales!$H$37="Todos",'Plan mensual'!J63+'Plan mensual'!J174,0))+parametros_manuales!$G$37*('Plan mensual'!J60+'Plan mensual'!J171+IF(parametros_manuales!$H$37="Todos",'Plan mensual'!J64+'Plan mensual'!J175,0)))*parametros_manuales!$I$37*parametros_manuales!$J$37</f>
        <v>9466.58350257</v>
      </c>
      <c r="I155" s="9" t="n">
        <f aca="false">(parametros_manuales!$D$37*('Plan mensual'!K57+'Plan mensual'!K168+IF(parametros_manuales!$H$37="Todos",'Plan mensual'!K61+'Plan mensual'!K172,0))+parametros_manuales!$E$37*('Plan mensual'!K58+'Plan mensual'!K169+IF(parametros_manuales!$H$37="Todos",'Plan mensual'!K62+'Plan mensual'!K173,0))+parametros_manuales!$F$37*('Plan mensual'!K59+'Plan mensual'!K170+IF(parametros_manuales!$H$37="Todos",'Plan mensual'!K63+'Plan mensual'!K174,0))+parametros_manuales!$G$37*('Plan mensual'!K60+'Plan mensual'!K171+IF(parametros_manuales!$H$37="Todos",'Plan mensual'!K64+'Plan mensual'!K175,0)))*parametros_manuales!$I$37*parametros_manuales!$J$37</f>
        <v>9466.58350257</v>
      </c>
      <c r="J155" s="9" t="n">
        <f aca="false">(parametros_manuales!$D$37*('Plan mensual'!L57+'Plan mensual'!L168+IF(parametros_manuales!$H$37="Todos",'Plan mensual'!L61+'Plan mensual'!L172,0))+parametros_manuales!$E$37*('Plan mensual'!L58+'Plan mensual'!L169+IF(parametros_manuales!$H$37="Todos",'Plan mensual'!L62+'Plan mensual'!L173,0))+parametros_manuales!$F$37*('Plan mensual'!L59+'Plan mensual'!L170+IF(parametros_manuales!$H$37="Todos",'Plan mensual'!L63+'Plan mensual'!L174,0))+parametros_manuales!$G$37*('Plan mensual'!L60+'Plan mensual'!L171+IF(parametros_manuales!$H$37="Todos",'Plan mensual'!L64+'Plan mensual'!L175,0)))*parametros_manuales!$I$37*parametros_manuales!$J$37</f>
        <v>9466.58350257</v>
      </c>
      <c r="K155" s="9" t="n">
        <f aca="false">(parametros_manuales!$D$37*('Plan mensual'!M57+'Plan mensual'!M168+IF(parametros_manuales!$H$37="Todos",'Plan mensual'!M61+'Plan mensual'!M172,0))+parametros_manuales!$E$37*('Plan mensual'!M58+'Plan mensual'!M169+IF(parametros_manuales!$H$37="Todos",'Plan mensual'!M62+'Plan mensual'!M173,0))+parametros_manuales!$F$37*('Plan mensual'!M59+'Plan mensual'!M170+IF(parametros_manuales!$H$37="Todos",'Plan mensual'!M63+'Plan mensual'!M174,0))+parametros_manuales!$G$37*('Plan mensual'!M60+'Plan mensual'!M171+IF(parametros_manuales!$H$37="Todos",'Plan mensual'!M64+'Plan mensual'!M175,0)))*parametros_manuales!$I$37*parametros_manuales!$J$37</f>
        <v>9284.142907425</v>
      </c>
      <c r="L155" s="9" t="n">
        <f aca="false">(parametros_manuales!$D$37*('Plan mensual'!N57+'Plan mensual'!N168+IF(parametros_manuales!$H$37="Todos",'Plan mensual'!N61+'Plan mensual'!N172,0))+parametros_manuales!$E$37*('Plan mensual'!N58+'Plan mensual'!N169+IF(parametros_manuales!$H$37="Todos",'Plan mensual'!N62+'Plan mensual'!N173,0))+parametros_manuales!$F$37*('Plan mensual'!N59+'Plan mensual'!N170+IF(parametros_manuales!$H$37="Todos",'Plan mensual'!N63+'Plan mensual'!N174,0))+parametros_manuales!$G$37*('Plan mensual'!N60+'Plan mensual'!N171+IF(parametros_manuales!$H$37="Todos",'Plan mensual'!N64+'Plan mensual'!N175,0)))*parametros_manuales!$I$37*parametros_manuales!$J$37</f>
        <v>9101.70231228</v>
      </c>
      <c r="M155" s="9" t="n">
        <f aca="false">(parametros_manuales!$D$37*('Plan mensual'!O57+'Plan mensual'!O168+IF(parametros_manuales!$H$37="Todos",'Plan mensual'!O61+'Plan mensual'!O172,0))+parametros_manuales!$E$37*('Plan mensual'!O58+'Plan mensual'!O169+IF(parametros_manuales!$H$37="Todos",'Plan mensual'!O62+'Plan mensual'!O173,0))+parametros_manuales!$F$37*('Plan mensual'!O59+'Plan mensual'!O170+IF(parametros_manuales!$H$37="Todos",'Plan mensual'!O63+'Plan mensual'!O174,0))+parametros_manuales!$G$37*('Plan mensual'!O60+'Plan mensual'!O171+IF(parametros_manuales!$H$37="Todos",'Plan mensual'!O64+'Plan mensual'!O175,0)))*parametros_manuales!$I$37*parametros_manuales!$J$37</f>
        <v>14489.74746159</v>
      </c>
      <c r="N155" s="9" t="n">
        <f aca="false">SUM(B155:M155)</f>
        <v>123788.572099</v>
      </c>
      <c r="O155" s="9" t="n">
        <f aca="false">MAX(B155:M155)</f>
        <v>14489.74746159</v>
      </c>
      <c r="P155" s="44" t="n">
        <f aca="false">O155/(parametros_manuales!$B$7)</f>
        <v>96.5983164106</v>
      </c>
      <c r="Q155" s="8" t="str">
        <f aca="false">IF(O155=0,"-",INDEX($B$136:$M$136,MATCH(O155,B155:M155,0)))</f>
        <v>Dic</v>
      </c>
    </row>
    <row r="156" customFormat="false" ht="14.25" hidden="false" customHeight="true" outlineLevel="0" collapsed="false">
      <c r="A156" s="8" t="str">
        <f aca="false">parametros_manuales!$B$38</f>
        <v>Carga de polvo</v>
      </c>
      <c r="B156" s="9" t="n">
        <f aca="false">(parametros_manuales!$D$38*('Plan mensual'!D57+'Plan mensual'!D168+IF(parametros_manuales!$H$38="Todos",'Plan mensual'!D61+'Plan mensual'!D172,0))+parametros_manuales!$E$38*('Plan mensual'!D58+'Plan mensual'!D169+IF(parametros_manuales!$H$38="Todos",'Plan mensual'!D62+'Plan mensual'!D173,0))+parametros_manuales!$F$38*('Plan mensual'!D59+'Plan mensual'!D170+IF(parametros_manuales!$H$38="Todos",'Plan mensual'!D63+'Plan mensual'!D174,0))+parametros_manuales!$G$38*('Plan mensual'!D60+'Plan mensual'!D171+IF(parametros_manuales!$H$38="Todos",'Plan mensual'!D64+'Plan mensual'!D175,0)))*parametros_manuales!$I$38*parametros_manuales!$J$38</f>
        <v>3756.8982713</v>
      </c>
      <c r="C156" s="9" t="n">
        <f aca="false">(parametros_manuales!$D$38*('Plan mensual'!E57+'Plan mensual'!E168+IF(parametros_manuales!$H$38="Todos",'Plan mensual'!E61+'Plan mensual'!E172,0))+parametros_manuales!$E$38*('Plan mensual'!E58+'Plan mensual'!E169+IF(parametros_manuales!$H$38="Todos",'Plan mensual'!E62+'Plan mensual'!E173,0))+parametros_manuales!$F$38*('Plan mensual'!E59+'Plan mensual'!E170+IF(parametros_manuales!$H$38="Todos",'Plan mensual'!E63+'Plan mensual'!E174,0))+parametros_manuales!$G$38*('Plan mensual'!E60+'Plan mensual'!E171+IF(parametros_manuales!$H$38="Todos",'Plan mensual'!E64+'Plan mensual'!E175,0)))*parametros_manuales!$I$38*parametros_manuales!$J$38</f>
        <v>2911.79709862</v>
      </c>
      <c r="D156" s="9" t="n">
        <f aca="false">(parametros_manuales!$D$38*('Plan mensual'!F57+'Plan mensual'!F168+IF(parametros_manuales!$H$38="Todos",'Plan mensual'!F61+'Plan mensual'!F172,0))+parametros_manuales!$E$38*('Plan mensual'!F58+'Plan mensual'!F169+IF(parametros_manuales!$H$38="Todos",'Plan mensual'!F62+'Plan mensual'!F173,0))+parametros_manuales!$F$38*('Plan mensual'!F59+'Plan mensual'!F170+IF(parametros_manuales!$H$38="Todos",'Plan mensual'!F63+'Plan mensual'!F174,0))+parametros_manuales!$G$38*('Plan mensual'!F60+'Plan mensual'!F171+IF(parametros_manuales!$H$38="Todos",'Plan mensual'!F64+'Plan mensual'!F175,0)))*parametros_manuales!$I$38*parametros_manuales!$J$38</f>
        <v>2849.717963065</v>
      </c>
      <c r="E156" s="9" t="n">
        <f aca="false">(parametros_manuales!$D$38*('Plan mensual'!G57+'Plan mensual'!G168+IF(parametros_manuales!$H$38="Todos",'Plan mensual'!G61+'Plan mensual'!G172,0))+parametros_manuales!$E$38*('Plan mensual'!G58+'Plan mensual'!G169+IF(parametros_manuales!$H$38="Todos",'Plan mensual'!G62+'Plan mensual'!G173,0))+parametros_manuales!$F$38*('Plan mensual'!G59+'Plan mensual'!G170+IF(parametros_manuales!$H$38="Todos",'Plan mensual'!G63+'Plan mensual'!G174,0))+parametros_manuales!$G$38*('Plan mensual'!G60+'Plan mensual'!G171+IF(parametros_manuales!$H$38="Todos",'Plan mensual'!G64+'Plan mensual'!G175,0)))*parametros_manuales!$I$38*parametros_manuales!$J$38</f>
        <v>2771.616697715</v>
      </c>
      <c r="F156" s="9" t="n">
        <f aca="false">(parametros_manuales!$D$38*('Plan mensual'!H57+'Plan mensual'!H168+IF(parametros_manuales!$H$38="Todos",'Plan mensual'!H61+'Plan mensual'!H172,0))+parametros_manuales!$E$38*('Plan mensual'!H58+'Plan mensual'!H169+IF(parametros_manuales!$H$38="Todos",'Plan mensual'!H62+'Plan mensual'!H173,0))+parametros_manuales!$F$38*('Plan mensual'!H59+'Plan mensual'!H170+IF(parametros_manuales!$H$38="Todos",'Plan mensual'!H63+'Plan mensual'!H174,0))+parametros_manuales!$G$38*('Plan mensual'!H60+'Plan mensual'!H171+IF(parametros_manuales!$H$38="Todos",'Plan mensual'!H64+'Plan mensual'!H175,0)))*parametros_manuales!$I$38*parametros_manuales!$J$38</f>
        <v>2599.39203722</v>
      </c>
      <c r="G156" s="9" t="n">
        <f aca="false">(parametros_manuales!$D$38*('Plan mensual'!I57+'Plan mensual'!I168+IF(parametros_manuales!$H$38="Todos",'Plan mensual'!I61+'Plan mensual'!I172,0))+parametros_manuales!$E$38*('Plan mensual'!I58+'Plan mensual'!I169+IF(parametros_manuales!$H$38="Todos",'Plan mensual'!I62+'Plan mensual'!I173,0))+parametros_manuales!$F$38*('Plan mensual'!I59+'Plan mensual'!I170+IF(parametros_manuales!$H$38="Todos",'Plan mensual'!I63+'Plan mensual'!I174,0))+parametros_manuales!$G$38*('Plan mensual'!I60+'Plan mensual'!I171+IF(parametros_manuales!$H$38="Todos",'Plan mensual'!I64+'Plan mensual'!I175,0)))*parametros_manuales!$I$38*parametros_manuales!$J$38</f>
        <v>2505.268642075</v>
      </c>
      <c r="H156" s="9" t="n">
        <f aca="false">(parametros_manuales!$D$38*('Plan mensual'!J57+'Plan mensual'!J168+IF(parametros_manuales!$H$38="Todos",'Plan mensual'!J61+'Plan mensual'!J172,0))+parametros_manuales!$E$38*('Plan mensual'!J58+'Plan mensual'!J169+IF(parametros_manuales!$H$38="Todos",'Plan mensual'!J62+'Plan mensual'!J173,0))+parametros_manuales!$F$38*('Plan mensual'!J59+'Plan mensual'!J170+IF(parametros_manuales!$H$38="Todos",'Plan mensual'!J63+'Plan mensual'!J174,0))+parametros_manuales!$G$38*('Plan mensual'!J60+'Plan mensual'!J171+IF(parametros_manuales!$H$38="Todos",'Plan mensual'!J64+'Plan mensual'!J175,0)))*parametros_manuales!$I$38*parametros_manuales!$J$38</f>
        <v>2677.49330257</v>
      </c>
      <c r="I156" s="9" t="n">
        <f aca="false">(parametros_manuales!$D$38*('Plan mensual'!K57+'Plan mensual'!K168+IF(parametros_manuales!$H$38="Todos",'Plan mensual'!K61+'Plan mensual'!K172,0))+parametros_manuales!$E$38*('Plan mensual'!K58+'Plan mensual'!K169+IF(parametros_manuales!$H$38="Todos",'Plan mensual'!K62+'Plan mensual'!K173,0))+parametros_manuales!$F$38*('Plan mensual'!K59+'Plan mensual'!K170+IF(parametros_manuales!$H$38="Todos",'Plan mensual'!K63+'Plan mensual'!K174,0))+parametros_manuales!$G$38*('Plan mensual'!K60+'Plan mensual'!K171+IF(parametros_manuales!$H$38="Todos",'Plan mensual'!K64+'Plan mensual'!K175,0)))*parametros_manuales!$I$38*parametros_manuales!$J$38</f>
        <v>2677.49330257</v>
      </c>
      <c r="J156" s="9" t="n">
        <f aca="false">(parametros_manuales!$D$38*('Plan mensual'!L57+'Plan mensual'!L168+IF(parametros_manuales!$H$38="Todos",'Plan mensual'!L61+'Plan mensual'!L172,0))+parametros_manuales!$E$38*('Plan mensual'!L58+'Plan mensual'!L169+IF(parametros_manuales!$H$38="Todos",'Plan mensual'!L62+'Plan mensual'!L173,0))+parametros_manuales!$F$38*('Plan mensual'!L59+'Plan mensual'!L170+IF(parametros_manuales!$H$38="Todos",'Plan mensual'!L63+'Plan mensual'!L174,0))+parametros_manuales!$G$38*('Plan mensual'!L60+'Plan mensual'!L171+IF(parametros_manuales!$H$38="Todos",'Plan mensual'!L64+'Plan mensual'!L175,0)))*parametros_manuales!$I$38*parametros_manuales!$J$38</f>
        <v>2677.49330257</v>
      </c>
      <c r="K156" s="9" t="n">
        <f aca="false">(parametros_manuales!$D$38*('Plan mensual'!M57+'Plan mensual'!M168+IF(parametros_manuales!$H$38="Todos",'Plan mensual'!M61+'Plan mensual'!M172,0))+parametros_manuales!$E$38*('Plan mensual'!M58+'Plan mensual'!M169+IF(parametros_manuales!$H$38="Todos",'Plan mensual'!M62+'Plan mensual'!M173,0))+parametros_manuales!$F$38*('Plan mensual'!M59+'Plan mensual'!M170+IF(parametros_manuales!$H$38="Todos",'Plan mensual'!M63+'Plan mensual'!M174,0))+parametros_manuales!$G$38*('Plan mensual'!M60+'Plan mensual'!M171+IF(parametros_manuales!$H$38="Todos",'Plan mensual'!M64+'Plan mensual'!M175,0)))*parametros_manuales!$I$38*parametros_manuales!$J$38</f>
        <v>2583.369907425</v>
      </c>
      <c r="L156" s="9" t="n">
        <f aca="false">(parametros_manuales!$D$38*('Plan mensual'!N57+'Plan mensual'!N168+IF(parametros_manuales!$H$38="Todos",'Plan mensual'!N61+'Plan mensual'!N172,0))+parametros_manuales!$E$38*('Plan mensual'!N58+'Plan mensual'!N169+IF(parametros_manuales!$H$38="Todos",'Plan mensual'!N62+'Plan mensual'!N173,0))+parametros_manuales!$F$38*('Plan mensual'!N59+'Plan mensual'!N170+IF(parametros_manuales!$H$38="Todos",'Plan mensual'!N63+'Plan mensual'!N174,0))+parametros_manuales!$G$38*('Plan mensual'!N60+'Plan mensual'!N171+IF(parametros_manuales!$H$38="Todos",'Plan mensual'!N64+'Plan mensual'!N175,0)))*parametros_manuales!$I$38*parametros_manuales!$J$38</f>
        <v>2489.24651228</v>
      </c>
      <c r="M156" s="9" t="n">
        <f aca="false">(parametros_manuales!$D$38*('Plan mensual'!O57+'Plan mensual'!O168+IF(parametros_manuales!$H$38="Todos",'Plan mensual'!O61+'Plan mensual'!O172,0))+parametros_manuales!$E$38*('Plan mensual'!O58+'Plan mensual'!O169+IF(parametros_manuales!$H$38="Todos",'Plan mensual'!O62+'Plan mensual'!O173,0))+parametros_manuales!$F$38*('Plan mensual'!O59+'Plan mensual'!O170+IF(parametros_manuales!$H$38="Todos",'Plan mensual'!O63+'Plan mensual'!O174,0))+parametros_manuales!$G$38*('Plan mensual'!O60+'Plan mensual'!O171+IF(parametros_manuales!$H$38="Todos",'Plan mensual'!O64+'Plan mensual'!O175,0)))*parametros_manuales!$I$38*parametros_manuales!$J$38</f>
        <v>3945.14506159</v>
      </c>
      <c r="N156" s="9" t="n">
        <f aca="false">SUM(B156:M156)</f>
        <v>34444.932099</v>
      </c>
      <c r="O156" s="9" t="n">
        <f aca="false">MAX(B156:M156)</f>
        <v>3945.14506159</v>
      </c>
      <c r="P156" s="44" t="n">
        <f aca="false">O156/(parametros_manuales!$B$7)</f>
        <v>26.3009670772667</v>
      </c>
      <c r="Q156" s="8" t="str">
        <f aca="false">IF(O156=0,"-",INDEX($B$136:$M$136,MATCH(O156,B156:M156,0)))</f>
        <v>Dic</v>
      </c>
    </row>
    <row r="157" customFormat="false" ht="14.25" hidden="false" customHeight="true" outlineLevel="0" collapsed="false">
      <c r="A157" s="8" t="str">
        <f aca="false">parametros_manuales!$B$39</f>
        <v>Ensamblaje</v>
      </c>
      <c r="B157" s="9" t="n">
        <f aca="false">(parametros_manuales!$D$39*('Plan mensual'!D57+'Plan mensual'!D168+IF(parametros_manuales!$H$39="Todos",'Plan mensual'!D61+'Plan mensual'!D172,0))+parametros_manuales!$E$39*('Plan mensual'!D58+'Plan mensual'!D169+IF(parametros_manuales!$H$39="Todos",'Plan mensual'!D62+'Plan mensual'!D173,0))+parametros_manuales!$F$39*('Plan mensual'!D59+'Plan mensual'!D170+IF(parametros_manuales!$H$39="Todos",'Plan mensual'!D63+'Plan mensual'!D174,0))+parametros_manuales!$G$39*('Plan mensual'!D60+'Plan mensual'!D171+IF(parametros_manuales!$H$39="Todos",'Plan mensual'!D64+'Plan mensual'!D175,0)))*parametros_manuales!$I$39*parametros_manuales!$J$39</f>
        <v>3756.8982713</v>
      </c>
      <c r="C157" s="9" t="n">
        <f aca="false">(parametros_manuales!$D$39*('Plan mensual'!E57+'Plan mensual'!E168+IF(parametros_manuales!$H$39="Todos",'Plan mensual'!E61+'Plan mensual'!E172,0))+parametros_manuales!$E$39*('Plan mensual'!E58+'Plan mensual'!E169+IF(parametros_manuales!$H$39="Todos",'Plan mensual'!E62+'Plan mensual'!E173,0))+parametros_manuales!$F$39*('Plan mensual'!E59+'Plan mensual'!E170+IF(parametros_manuales!$H$39="Todos",'Plan mensual'!E63+'Plan mensual'!E174,0))+parametros_manuales!$G$39*('Plan mensual'!E60+'Plan mensual'!E171+IF(parametros_manuales!$H$39="Todos",'Plan mensual'!E64+'Plan mensual'!E175,0)))*parametros_manuales!$I$39*parametros_manuales!$J$39</f>
        <v>2911.79709862</v>
      </c>
      <c r="D157" s="9" t="n">
        <f aca="false">(parametros_manuales!$D$39*('Plan mensual'!F57+'Plan mensual'!F168+IF(parametros_manuales!$H$39="Todos",'Plan mensual'!F61+'Plan mensual'!F172,0))+parametros_manuales!$E$39*('Plan mensual'!F58+'Plan mensual'!F169+IF(parametros_manuales!$H$39="Todos",'Plan mensual'!F62+'Plan mensual'!F173,0))+parametros_manuales!$F$39*('Plan mensual'!F59+'Plan mensual'!F170+IF(parametros_manuales!$H$39="Todos",'Plan mensual'!F63+'Plan mensual'!F174,0))+parametros_manuales!$G$39*('Plan mensual'!F60+'Plan mensual'!F171+IF(parametros_manuales!$H$39="Todos",'Plan mensual'!F64+'Plan mensual'!F175,0)))*parametros_manuales!$I$39*parametros_manuales!$J$39</f>
        <v>2849.717963065</v>
      </c>
      <c r="E157" s="9" t="n">
        <f aca="false">(parametros_manuales!$D$39*('Plan mensual'!G57+'Plan mensual'!G168+IF(parametros_manuales!$H$39="Todos",'Plan mensual'!G61+'Plan mensual'!G172,0))+parametros_manuales!$E$39*('Plan mensual'!G58+'Plan mensual'!G169+IF(parametros_manuales!$H$39="Todos",'Plan mensual'!G62+'Plan mensual'!G173,0))+parametros_manuales!$F$39*('Plan mensual'!G59+'Plan mensual'!G170+IF(parametros_manuales!$H$39="Todos",'Plan mensual'!G63+'Plan mensual'!G174,0))+parametros_manuales!$G$39*('Plan mensual'!G60+'Plan mensual'!G171+IF(parametros_manuales!$H$39="Todos",'Plan mensual'!G64+'Plan mensual'!G175,0)))*parametros_manuales!$I$39*parametros_manuales!$J$39</f>
        <v>2771.616697715</v>
      </c>
      <c r="F157" s="9" t="n">
        <f aca="false">(parametros_manuales!$D$39*('Plan mensual'!H57+'Plan mensual'!H168+IF(parametros_manuales!$H$39="Todos",'Plan mensual'!H61+'Plan mensual'!H172,0))+parametros_manuales!$E$39*('Plan mensual'!H58+'Plan mensual'!H169+IF(parametros_manuales!$H$39="Todos",'Plan mensual'!H62+'Plan mensual'!H173,0))+parametros_manuales!$F$39*('Plan mensual'!H59+'Plan mensual'!H170+IF(parametros_manuales!$H$39="Todos",'Plan mensual'!H63+'Plan mensual'!H174,0))+parametros_manuales!$G$39*('Plan mensual'!H60+'Plan mensual'!H171+IF(parametros_manuales!$H$39="Todos",'Plan mensual'!H64+'Plan mensual'!H175,0)))*parametros_manuales!$I$39*parametros_manuales!$J$39</f>
        <v>2599.39203722</v>
      </c>
      <c r="G157" s="9" t="n">
        <f aca="false">(parametros_manuales!$D$39*('Plan mensual'!I57+'Plan mensual'!I168+IF(parametros_manuales!$H$39="Todos",'Plan mensual'!I61+'Plan mensual'!I172,0))+parametros_manuales!$E$39*('Plan mensual'!I58+'Plan mensual'!I169+IF(parametros_manuales!$H$39="Todos",'Plan mensual'!I62+'Plan mensual'!I173,0))+parametros_manuales!$F$39*('Plan mensual'!I59+'Plan mensual'!I170+IF(parametros_manuales!$H$39="Todos",'Plan mensual'!I63+'Plan mensual'!I174,0))+parametros_manuales!$G$39*('Plan mensual'!I60+'Plan mensual'!I171+IF(parametros_manuales!$H$39="Todos",'Plan mensual'!I64+'Plan mensual'!I175,0)))*parametros_manuales!$I$39*parametros_manuales!$J$39</f>
        <v>2505.268642075</v>
      </c>
      <c r="H157" s="9" t="n">
        <f aca="false">(parametros_manuales!$D$39*('Plan mensual'!J57+'Plan mensual'!J168+IF(parametros_manuales!$H$39="Todos",'Plan mensual'!J61+'Plan mensual'!J172,0))+parametros_manuales!$E$39*('Plan mensual'!J58+'Plan mensual'!J169+IF(parametros_manuales!$H$39="Todos",'Plan mensual'!J62+'Plan mensual'!J173,0))+parametros_manuales!$F$39*('Plan mensual'!J59+'Plan mensual'!J170+IF(parametros_manuales!$H$39="Todos",'Plan mensual'!J63+'Plan mensual'!J174,0))+parametros_manuales!$G$39*('Plan mensual'!J60+'Plan mensual'!J171+IF(parametros_manuales!$H$39="Todos",'Plan mensual'!J64+'Plan mensual'!J175,0)))*parametros_manuales!$I$39*parametros_manuales!$J$39</f>
        <v>2677.49330257</v>
      </c>
      <c r="I157" s="9" t="n">
        <f aca="false">(parametros_manuales!$D$39*('Plan mensual'!K57+'Plan mensual'!K168+IF(parametros_manuales!$H$39="Todos",'Plan mensual'!K61+'Plan mensual'!K172,0))+parametros_manuales!$E$39*('Plan mensual'!K58+'Plan mensual'!K169+IF(parametros_manuales!$H$39="Todos",'Plan mensual'!K62+'Plan mensual'!K173,0))+parametros_manuales!$F$39*('Plan mensual'!K59+'Plan mensual'!K170+IF(parametros_manuales!$H$39="Todos",'Plan mensual'!K63+'Plan mensual'!K174,0))+parametros_manuales!$G$39*('Plan mensual'!K60+'Plan mensual'!K171+IF(parametros_manuales!$H$39="Todos",'Plan mensual'!K64+'Plan mensual'!K175,0)))*parametros_manuales!$I$39*parametros_manuales!$J$39</f>
        <v>2677.49330257</v>
      </c>
      <c r="J157" s="9" t="n">
        <f aca="false">(parametros_manuales!$D$39*('Plan mensual'!L57+'Plan mensual'!L168+IF(parametros_manuales!$H$39="Todos",'Plan mensual'!L61+'Plan mensual'!L172,0))+parametros_manuales!$E$39*('Plan mensual'!L58+'Plan mensual'!L169+IF(parametros_manuales!$H$39="Todos",'Plan mensual'!L62+'Plan mensual'!L173,0))+parametros_manuales!$F$39*('Plan mensual'!L59+'Plan mensual'!L170+IF(parametros_manuales!$H$39="Todos",'Plan mensual'!L63+'Plan mensual'!L174,0))+parametros_manuales!$G$39*('Plan mensual'!L60+'Plan mensual'!L171+IF(parametros_manuales!$H$39="Todos",'Plan mensual'!L64+'Plan mensual'!L175,0)))*parametros_manuales!$I$39*parametros_manuales!$J$39</f>
        <v>2677.49330257</v>
      </c>
      <c r="K157" s="9" t="n">
        <f aca="false">(parametros_manuales!$D$39*('Plan mensual'!M57+'Plan mensual'!M168+IF(parametros_manuales!$H$39="Todos",'Plan mensual'!M61+'Plan mensual'!M172,0))+parametros_manuales!$E$39*('Plan mensual'!M58+'Plan mensual'!M169+IF(parametros_manuales!$H$39="Todos",'Plan mensual'!M62+'Plan mensual'!M173,0))+parametros_manuales!$F$39*('Plan mensual'!M59+'Plan mensual'!M170+IF(parametros_manuales!$H$39="Todos",'Plan mensual'!M63+'Plan mensual'!M174,0))+parametros_manuales!$G$39*('Plan mensual'!M60+'Plan mensual'!M171+IF(parametros_manuales!$H$39="Todos",'Plan mensual'!M64+'Plan mensual'!M175,0)))*parametros_manuales!$I$39*parametros_manuales!$J$39</f>
        <v>2583.369907425</v>
      </c>
      <c r="L157" s="9" t="n">
        <f aca="false">(parametros_manuales!$D$39*('Plan mensual'!N57+'Plan mensual'!N168+IF(parametros_manuales!$H$39="Todos",'Plan mensual'!N61+'Plan mensual'!N172,0))+parametros_manuales!$E$39*('Plan mensual'!N58+'Plan mensual'!N169+IF(parametros_manuales!$H$39="Todos",'Plan mensual'!N62+'Plan mensual'!N173,0))+parametros_manuales!$F$39*('Plan mensual'!N59+'Plan mensual'!N170+IF(parametros_manuales!$H$39="Todos",'Plan mensual'!N63+'Plan mensual'!N174,0))+parametros_manuales!$G$39*('Plan mensual'!N60+'Plan mensual'!N171+IF(parametros_manuales!$H$39="Todos",'Plan mensual'!N64+'Plan mensual'!N175,0)))*parametros_manuales!$I$39*parametros_manuales!$J$39</f>
        <v>2489.24651228</v>
      </c>
      <c r="M157" s="9" t="n">
        <f aca="false">(parametros_manuales!$D$39*('Plan mensual'!O57+'Plan mensual'!O168+IF(parametros_manuales!$H$39="Todos",'Plan mensual'!O61+'Plan mensual'!O172,0))+parametros_manuales!$E$39*('Plan mensual'!O58+'Plan mensual'!O169+IF(parametros_manuales!$H$39="Todos",'Plan mensual'!O62+'Plan mensual'!O173,0))+parametros_manuales!$F$39*('Plan mensual'!O59+'Plan mensual'!O170+IF(parametros_manuales!$H$39="Todos",'Plan mensual'!O63+'Plan mensual'!O174,0))+parametros_manuales!$G$39*('Plan mensual'!O60+'Plan mensual'!O171+IF(parametros_manuales!$H$39="Todos",'Plan mensual'!O64+'Plan mensual'!O175,0)))*parametros_manuales!$I$39*parametros_manuales!$J$39</f>
        <v>3945.14506159</v>
      </c>
      <c r="N157" s="9" t="n">
        <f aca="false">SUM(B157:M157)</f>
        <v>34444.932099</v>
      </c>
      <c r="O157" s="9" t="n">
        <f aca="false">MAX(B157:M157)</f>
        <v>3945.14506159</v>
      </c>
      <c r="P157" s="44" t="n">
        <f aca="false">O157/(parametros_manuales!$B$7)</f>
        <v>26.3009670772667</v>
      </c>
      <c r="Q157" s="8" t="str">
        <f aca="false">IF(O157=0,"-",INDEX($B$136:$M$136,MATCH(O157,B157:M157,0)))</f>
        <v>Dic</v>
      </c>
    </row>
    <row r="158" customFormat="false" ht="14.25" hidden="false" customHeight="true" outlineLevel="0" collapsed="false">
      <c r="A158" s="8" t="str">
        <f aca="false">parametros_manuales!$B$40</f>
        <v>Presurización</v>
      </c>
      <c r="B158" s="9" t="n">
        <f aca="false">(parametros_manuales!$D$40*('Plan mensual'!D57+'Plan mensual'!D168+IF(parametros_manuales!$H$40="Todos",'Plan mensual'!D61+'Plan mensual'!D172,0))+parametros_manuales!$E$40*('Plan mensual'!D58+'Plan mensual'!D169+IF(parametros_manuales!$H$40="Todos",'Plan mensual'!D62+'Plan mensual'!D173,0))+parametros_manuales!$F$40*('Plan mensual'!D59+'Plan mensual'!D170+IF(parametros_manuales!$H$40="Todos",'Plan mensual'!D63+'Plan mensual'!D174,0))+parametros_manuales!$G$40*('Plan mensual'!D60+'Plan mensual'!D171+IF(parametros_manuales!$H$40="Todos",'Plan mensual'!D64+'Plan mensual'!D175,0)))*parametros_manuales!$I$40*parametros_manuales!$J$40</f>
        <v>3756.8982713</v>
      </c>
      <c r="C158" s="9" t="n">
        <f aca="false">(parametros_manuales!$D$40*('Plan mensual'!E57+'Plan mensual'!E168+IF(parametros_manuales!$H$40="Todos",'Plan mensual'!E61+'Plan mensual'!E172,0))+parametros_manuales!$E$40*('Plan mensual'!E58+'Plan mensual'!E169+IF(parametros_manuales!$H$40="Todos",'Plan mensual'!E62+'Plan mensual'!E173,0))+parametros_manuales!$F$40*('Plan mensual'!E59+'Plan mensual'!E170+IF(parametros_manuales!$H$40="Todos",'Plan mensual'!E63+'Plan mensual'!E174,0))+parametros_manuales!$G$40*('Plan mensual'!E60+'Plan mensual'!E171+IF(parametros_manuales!$H$40="Todos",'Plan mensual'!E64+'Plan mensual'!E175,0)))*parametros_manuales!$I$40*parametros_manuales!$J$40</f>
        <v>2911.79709862</v>
      </c>
      <c r="D158" s="9" t="n">
        <f aca="false">(parametros_manuales!$D$40*('Plan mensual'!F57+'Plan mensual'!F168+IF(parametros_manuales!$H$40="Todos",'Plan mensual'!F61+'Plan mensual'!F172,0))+parametros_manuales!$E$40*('Plan mensual'!F58+'Plan mensual'!F169+IF(parametros_manuales!$H$40="Todos",'Plan mensual'!F62+'Plan mensual'!F173,0))+parametros_manuales!$F$40*('Plan mensual'!F59+'Plan mensual'!F170+IF(parametros_manuales!$H$40="Todos",'Plan mensual'!F63+'Plan mensual'!F174,0))+parametros_manuales!$G$40*('Plan mensual'!F60+'Plan mensual'!F171+IF(parametros_manuales!$H$40="Todos",'Plan mensual'!F64+'Plan mensual'!F175,0)))*parametros_manuales!$I$40*parametros_manuales!$J$40</f>
        <v>2849.717963065</v>
      </c>
      <c r="E158" s="9" t="n">
        <f aca="false">(parametros_manuales!$D$40*('Plan mensual'!G57+'Plan mensual'!G168+IF(parametros_manuales!$H$40="Todos",'Plan mensual'!G61+'Plan mensual'!G172,0))+parametros_manuales!$E$40*('Plan mensual'!G58+'Plan mensual'!G169+IF(parametros_manuales!$H$40="Todos",'Plan mensual'!G62+'Plan mensual'!G173,0))+parametros_manuales!$F$40*('Plan mensual'!G59+'Plan mensual'!G170+IF(parametros_manuales!$H$40="Todos",'Plan mensual'!G63+'Plan mensual'!G174,0))+parametros_manuales!$G$40*('Plan mensual'!G60+'Plan mensual'!G171+IF(parametros_manuales!$H$40="Todos",'Plan mensual'!G64+'Plan mensual'!G175,0)))*parametros_manuales!$I$40*parametros_manuales!$J$40</f>
        <v>2771.616697715</v>
      </c>
      <c r="F158" s="9" t="n">
        <f aca="false">(parametros_manuales!$D$40*('Plan mensual'!H57+'Plan mensual'!H168+IF(parametros_manuales!$H$40="Todos",'Plan mensual'!H61+'Plan mensual'!H172,0))+parametros_manuales!$E$40*('Plan mensual'!H58+'Plan mensual'!H169+IF(parametros_manuales!$H$40="Todos",'Plan mensual'!H62+'Plan mensual'!H173,0))+parametros_manuales!$F$40*('Plan mensual'!H59+'Plan mensual'!H170+IF(parametros_manuales!$H$40="Todos",'Plan mensual'!H63+'Plan mensual'!H174,0))+parametros_manuales!$G$40*('Plan mensual'!H60+'Plan mensual'!H171+IF(parametros_manuales!$H$40="Todos",'Plan mensual'!H64+'Plan mensual'!H175,0)))*parametros_manuales!$I$40*parametros_manuales!$J$40</f>
        <v>2599.39203722</v>
      </c>
      <c r="G158" s="9" t="n">
        <f aca="false">(parametros_manuales!$D$40*('Plan mensual'!I57+'Plan mensual'!I168+IF(parametros_manuales!$H$40="Todos",'Plan mensual'!I61+'Plan mensual'!I172,0))+parametros_manuales!$E$40*('Plan mensual'!I58+'Plan mensual'!I169+IF(parametros_manuales!$H$40="Todos",'Plan mensual'!I62+'Plan mensual'!I173,0))+parametros_manuales!$F$40*('Plan mensual'!I59+'Plan mensual'!I170+IF(parametros_manuales!$H$40="Todos",'Plan mensual'!I63+'Plan mensual'!I174,0))+parametros_manuales!$G$40*('Plan mensual'!I60+'Plan mensual'!I171+IF(parametros_manuales!$H$40="Todos",'Plan mensual'!I64+'Plan mensual'!I175,0)))*parametros_manuales!$I$40*parametros_manuales!$J$40</f>
        <v>2505.268642075</v>
      </c>
      <c r="H158" s="9" t="n">
        <f aca="false">(parametros_manuales!$D$40*('Plan mensual'!J57+'Plan mensual'!J168+IF(parametros_manuales!$H$40="Todos",'Plan mensual'!J61+'Plan mensual'!J172,0))+parametros_manuales!$E$40*('Plan mensual'!J58+'Plan mensual'!J169+IF(parametros_manuales!$H$40="Todos",'Plan mensual'!J62+'Plan mensual'!J173,0))+parametros_manuales!$F$40*('Plan mensual'!J59+'Plan mensual'!J170+IF(parametros_manuales!$H$40="Todos",'Plan mensual'!J63+'Plan mensual'!J174,0))+parametros_manuales!$G$40*('Plan mensual'!J60+'Plan mensual'!J171+IF(parametros_manuales!$H$40="Todos",'Plan mensual'!J64+'Plan mensual'!J175,0)))*parametros_manuales!$I$40*parametros_manuales!$J$40</f>
        <v>2677.49330257</v>
      </c>
      <c r="I158" s="9" t="n">
        <f aca="false">(parametros_manuales!$D$40*('Plan mensual'!K57+'Plan mensual'!K168+IF(parametros_manuales!$H$40="Todos",'Plan mensual'!K61+'Plan mensual'!K172,0))+parametros_manuales!$E$40*('Plan mensual'!K58+'Plan mensual'!K169+IF(parametros_manuales!$H$40="Todos",'Plan mensual'!K62+'Plan mensual'!K173,0))+parametros_manuales!$F$40*('Plan mensual'!K59+'Plan mensual'!K170+IF(parametros_manuales!$H$40="Todos",'Plan mensual'!K63+'Plan mensual'!K174,0))+parametros_manuales!$G$40*('Plan mensual'!K60+'Plan mensual'!K171+IF(parametros_manuales!$H$40="Todos",'Plan mensual'!K64+'Plan mensual'!K175,0)))*parametros_manuales!$I$40*parametros_manuales!$J$40</f>
        <v>2677.49330257</v>
      </c>
      <c r="J158" s="9" t="n">
        <f aca="false">(parametros_manuales!$D$40*('Plan mensual'!L57+'Plan mensual'!L168+IF(parametros_manuales!$H$40="Todos",'Plan mensual'!L61+'Plan mensual'!L172,0))+parametros_manuales!$E$40*('Plan mensual'!L58+'Plan mensual'!L169+IF(parametros_manuales!$H$40="Todos",'Plan mensual'!L62+'Plan mensual'!L173,0))+parametros_manuales!$F$40*('Plan mensual'!L59+'Plan mensual'!L170+IF(parametros_manuales!$H$40="Todos",'Plan mensual'!L63+'Plan mensual'!L174,0))+parametros_manuales!$G$40*('Plan mensual'!L60+'Plan mensual'!L171+IF(parametros_manuales!$H$40="Todos",'Plan mensual'!L64+'Plan mensual'!L175,0)))*parametros_manuales!$I$40*parametros_manuales!$J$40</f>
        <v>2677.49330257</v>
      </c>
      <c r="K158" s="9" t="n">
        <f aca="false">(parametros_manuales!$D$40*('Plan mensual'!M57+'Plan mensual'!M168+IF(parametros_manuales!$H$40="Todos",'Plan mensual'!M61+'Plan mensual'!M172,0))+parametros_manuales!$E$40*('Plan mensual'!M58+'Plan mensual'!M169+IF(parametros_manuales!$H$40="Todos",'Plan mensual'!M62+'Plan mensual'!M173,0))+parametros_manuales!$F$40*('Plan mensual'!M59+'Plan mensual'!M170+IF(parametros_manuales!$H$40="Todos",'Plan mensual'!M63+'Plan mensual'!M174,0))+parametros_manuales!$G$40*('Plan mensual'!M60+'Plan mensual'!M171+IF(parametros_manuales!$H$40="Todos",'Plan mensual'!M64+'Plan mensual'!M175,0)))*parametros_manuales!$I$40*parametros_manuales!$J$40</f>
        <v>2583.369907425</v>
      </c>
      <c r="L158" s="9" t="n">
        <f aca="false">(parametros_manuales!$D$40*('Plan mensual'!N57+'Plan mensual'!N168+IF(parametros_manuales!$H$40="Todos",'Plan mensual'!N61+'Plan mensual'!N172,0))+parametros_manuales!$E$40*('Plan mensual'!N58+'Plan mensual'!N169+IF(parametros_manuales!$H$40="Todos",'Plan mensual'!N62+'Plan mensual'!N173,0))+parametros_manuales!$F$40*('Plan mensual'!N59+'Plan mensual'!N170+IF(parametros_manuales!$H$40="Todos",'Plan mensual'!N63+'Plan mensual'!N174,0))+parametros_manuales!$G$40*('Plan mensual'!N60+'Plan mensual'!N171+IF(parametros_manuales!$H$40="Todos",'Plan mensual'!N64+'Plan mensual'!N175,0)))*parametros_manuales!$I$40*parametros_manuales!$J$40</f>
        <v>2489.24651228</v>
      </c>
      <c r="M158" s="9" t="n">
        <f aca="false">(parametros_manuales!$D$40*('Plan mensual'!O57+'Plan mensual'!O168+IF(parametros_manuales!$H$40="Todos",'Plan mensual'!O61+'Plan mensual'!O172,0))+parametros_manuales!$E$40*('Plan mensual'!O58+'Plan mensual'!O169+IF(parametros_manuales!$H$40="Todos",'Plan mensual'!O62+'Plan mensual'!O173,0))+parametros_manuales!$F$40*('Plan mensual'!O59+'Plan mensual'!O170+IF(parametros_manuales!$H$40="Todos",'Plan mensual'!O63+'Plan mensual'!O174,0))+parametros_manuales!$G$40*('Plan mensual'!O60+'Plan mensual'!O171+IF(parametros_manuales!$H$40="Todos",'Plan mensual'!O64+'Plan mensual'!O175,0)))*parametros_manuales!$I$40*parametros_manuales!$J$40</f>
        <v>3945.14506159</v>
      </c>
      <c r="N158" s="9" t="n">
        <f aca="false">SUM(B158:M158)</f>
        <v>34444.932099</v>
      </c>
      <c r="O158" s="9" t="n">
        <f aca="false">MAX(B158:M158)</f>
        <v>3945.14506159</v>
      </c>
      <c r="P158" s="44" t="n">
        <f aca="false">O158/(parametros_manuales!$B$7)</f>
        <v>26.3009670772667</v>
      </c>
      <c r="Q158" s="8" t="str">
        <f aca="false">IF(O158=0,"-",INDEX($B$136:$M$136,MATCH(O158,B158:M158,0)))</f>
        <v>Dic</v>
      </c>
    </row>
    <row r="159" customFormat="false" ht="14.25" hidden="false" customHeight="true" outlineLevel="0" collapsed="false">
      <c r="A159" s="8" t="str">
        <f aca="false">parametros_manuales!$B$41</f>
        <v>Control de calidad — Ensayo de pérdidas</v>
      </c>
      <c r="B159" s="9" t="n">
        <f aca="false">(parametros_manuales!$D$41*('Plan mensual'!D57+'Plan mensual'!D168+IF(parametros_manuales!$H$41="Todos",'Plan mensual'!D61+'Plan mensual'!D172,0))+parametros_manuales!$E$41*('Plan mensual'!D58+'Plan mensual'!D169+IF(parametros_manuales!$H$41="Todos",'Plan mensual'!D62+'Plan mensual'!D173,0))+parametros_manuales!$F$41*('Plan mensual'!D59+'Plan mensual'!D170+IF(parametros_manuales!$H$41="Todos",'Plan mensual'!D63+'Plan mensual'!D174,0))+parametros_manuales!$G$41*('Plan mensual'!D60+'Plan mensual'!D171+IF(parametros_manuales!$H$41="Todos",'Plan mensual'!D64+'Plan mensual'!D175,0)))*parametros_manuales!$I$41*parametros_manuales!$J$41</f>
        <v>3756.8982713</v>
      </c>
      <c r="C159" s="9" t="n">
        <f aca="false">(parametros_manuales!$D$41*('Plan mensual'!E57+'Plan mensual'!E168+IF(parametros_manuales!$H$41="Todos",'Plan mensual'!E61+'Plan mensual'!E172,0))+parametros_manuales!$E$41*('Plan mensual'!E58+'Plan mensual'!E169+IF(parametros_manuales!$H$41="Todos",'Plan mensual'!E62+'Plan mensual'!E173,0))+parametros_manuales!$F$41*('Plan mensual'!E59+'Plan mensual'!E170+IF(parametros_manuales!$H$41="Todos",'Plan mensual'!E63+'Plan mensual'!E174,0))+parametros_manuales!$G$41*('Plan mensual'!E60+'Plan mensual'!E171+IF(parametros_manuales!$H$41="Todos",'Plan mensual'!E64+'Plan mensual'!E175,0)))*parametros_manuales!$I$41*parametros_manuales!$J$41</f>
        <v>2911.79709862</v>
      </c>
      <c r="D159" s="9" t="n">
        <f aca="false">(parametros_manuales!$D$41*('Plan mensual'!F57+'Plan mensual'!F168+IF(parametros_manuales!$H$41="Todos",'Plan mensual'!F61+'Plan mensual'!F172,0))+parametros_manuales!$E$41*('Plan mensual'!F58+'Plan mensual'!F169+IF(parametros_manuales!$H$41="Todos",'Plan mensual'!F62+'Plan mensual'!F173,0))+parametros_manuales!$F$41*('Plan mensual'!F59+'Plan mensual'!F170+IF(parametros_manuales!$H$41="Todos",'Plan mensual'!F63+'Plan mensual'!F174,0))+parametros_manuales!$G$41*('Plan mensual'!F60+'Plan mensual'!F171+IF(parametros_manuales!$H$41="Todos",'Plan mensual'!F64+'Plan mensual'!F175,0)))*parametros_manuales!$I$41*parametros_manuales!$J$41</f>
        <v>2849.717963065</v>
      </c>
      <c r="E159" s="9" t="n">
        <f aca="false">(parametros_manuales!$D$41*('Plan mensual'!G57+'Plan mensual'!G168+IF(parametros_manuales!$H$41="Todos",'Plan mensual'!G61+'Plan mensual'!G172,0))+parametros_manuales!$E$41*('Plan mensual'!G58+'Plan mensual'!G169+IF(parametros_manuales!$H$41="Todos",'Plan mensual'!G62+'Plan mensual'!G173,0))+parametros_manuales!$F$41*('Plan mensual'!G59+'Plan mensual'!G170+IF(parametros_manuales!$H$41="Todos",'Plan mensual'!G63+'Plan mensual'!G174,0))+parametros_manuales!$G$41*('Plan mensual'!G60+'Plan mensual'!G171+IF(parametros_manuales!$H$41="Todos",'Plan mensual'!G64+'Plan mensual'!G175,0)))*parametros_manuales!$I$41*parametros_manuales!$J$41</f>
        <v>2771.616697715</v>
      </c>
      <c r="F159" s="9" t="n">
        <f aca="false">(parametros_manuales!$D$41*('Plan mensual'!H57+'Plan mensual'!H168+IF(parametros_manuales!$H$41="Todos",'Plan mensual'!H61+'Plan mensual'!H172,0))+parametros_manuales!$E$41*('Plan mensual'!H58+'Plan mensual'!H169+IF(parametros_manuales!$H$41="Todos",'Plan mensual'!H62+'Plan mensual'!H173,0))+parametros_manuales!$F$41*('Plan mensual'!H59+'Plan mensual'!H170+IF(parametros_manuales!$H$41="Todos",'Plan mensual'!H63+'Plan mensual'!H174,0))+parametros_manuales!$G$41*('Plan mensual'!H60+'Plan mensual'!H171+IF(parametros_manuales!$H$41="Todos",'Plan mensual'!H64+'Plan mensual'!H175,0)))*parametros_manuales!$I$41*parametros_manuales!$J$41</f>
        <v>2599.39203722</v>
      </c>
      <c r="G159" s="9" t="n">
        <f aca="false">(parametros_manuales!$D$41*('Plan mensual'!I57+'Plan mensual'!I168+IF(parametros_manuales!$H$41="Todos",'Plan mensual'!I61+'Plan mensual'!I172,0))+parametros_manuales!$E$41*('Plan mensual'!I58+'Plan mensual'!I169+IF(parametros_manuales!$H$41="Todos",'Plan mensual'!I62+'Plan mensual'!I173,0))+parametros_manuales!$F$41*('Plan mensual'!I59+'Plan mensual'!I170+IF(parametros_manuales!$H$41="Todos",'Plan mensual'!I63+'Plan mensual'!I174,0))+parametros_manuales!$G$41*('Plan mensual'!I60+'Plan mensual'!I171+IF(parametros_manuales!$H$41="Todos",'Plan mensual'!I64+'Plan mensual'!I175,0)))*parametros_manuales!$I$41*parametros_manuales!$J$41</f>
        <v>2505.268642075</v>
      </c>
      <c r="H159" s="9" t="n">
        <f aca="false">(parametros_manuales!$D$41*('Plan mensual'!J57+'Plan mensual'!J168+IF(parametros_manuales!$H$41="Todos",'Plan mensual'!J61+'Plan mensual'!J172,0))+parametros_manuales!$E$41*('Plan mensual'!J58+'Plan mensual'!J169+IF(parametros_manuales!$H$41="Todos",'Plan mensual'!J62+'Plan mensual'!J173,0))+parametros_manuales!$F$41*('Plan mensual'!J59+'Plan mensual'!J170+IF(parametros_manuales!$H$41="Todos",'Plan mensual'!J63+'Plan mensual'!J174,0))+parametros_manuales!$G$41*('Plan mensual'!J60+'Plan mensual'!J171+IF(parametros_manuales!$H$41="Todos",'Plan mensual'!J64+'Plan mensual'!J175,0)))*parametros_manuales!$I$41*parametros_manuales!$J$41</f>
        <v>2677.49330257</v>
      </c>
      <c r="I159" s="9" t="n">
        <f aca="false">(parametros_manuales!$D$41*('Plan mensual'!K57+'Plan mensual'!K168+IF(parametros_manuales!$H$41="Todos",'Plan mensual'!K61+'Plan mensual'!K172,0))+parametros_manuales!$E$41*('Plan mensual'!K58+'Plan mensual'!K169+IF(parametros_manuales!$H$41="Todos",'Plan mensual'!K62+'Plan mensual'!K173,0))+parametros_manuales!$F$41*('Plan mensual'!K59+'Plan mensual'!K170+IF(parametros_manuales!$H$41="Todos",'Plan mensual'!K63+'Plan mensual'!K174,0))+parametros_manuales!$G$41*('Plan mensual'!K60+'Plan mensual'!K171+IF(parametros_manuales!$H$41="Todos",'Plan mensual'!K64+'Plan mensual'!K175,0)))*parametros_manuales!$I$41*parametros_manuales!$J$41</f>
        <v>2677.49330257</v>
      </c>
      <c r="J159" s="9" t="n">
        <f aca="false">(parametros_manuales!$D$41*('Plan mensual'!L57+'Plan mensual'!L168+IF(parametros_manuales!$H$41="Todos",'Plan mensual'!L61+'Plan mensual'!L172,0))+parametros_manuales!$E$41*('Plan mensual'!L58+'Plan mensual'!L169+IF(parametros_manuales!$H$41="Todos",'Plan mensual'!L62+'Plan mensual'!L173,0))+parametros_manuales!$F$41*('Plan mensual'!L59+'Plan mensual'!L170+IF(parametros_manuales!$H$41="Todos",'Plan mensual'!L63+'Plan mensual'!L174,0))+parametros_manuales!$G$41*('Plan mensual'!L60+'Plan mensual'!L171+IF(parametros_manuales!$H$41="Todos",'Plan mensual'!L64+'Plan mensual'!L175,0)))*parametros_manuales!$I$41*parametros_manuales!$J$41</f>
        <v>2677.49330257</v>
      </c>
      <c r="K159" s="9" t="n">
        <f aca="false">(parametros_manuales!$D$41*('Plan mensual'!M57+'Plan mensual'!M168+IF(parametros_manuales!$H$41="Todos",'Plan mensual'!M61+'Plan mensual'!M172,0))+parametros_manuales!$E$41*('Plan mensual'!M58+'Plan mensual'!M169+IF(parametros_manuales!$H$41="Todos",'Plan mensual'!M62+'Plan mensual'!M173,0))+parametros_manuales!$F$41*('Plan mensual'!M59+'Plan mensual'!M170+IF(parametros_manuales!$H$41="Todos",'Plan mensual'!M63+'Plan mensual'!M174,0))+parametros_manuales!$G$41*('Plan mensual'!M60+'Plan mensual'!M171+IF(parametros_manuales!$H$41="Todos",'Plan mensual'!M64+'Plan mensual'!M175,0)))*parametros_manuales!$I$41*parametros_manuales!$J$41</f>
        <v>2583.369907425</v>
      </c>
      <c r="L159" s="9" t="n">
        <f aca="false">(parametros_manuales!$D$41*('Plan mensual'!N57+'Plan mensual'!N168+IF(parametros_manuales!$H$41="Todos",'Plan mensual'!N61+'Plan mensual'!N172,0))+parametros_manuales!$E$41*('Plan mensual'!N58+'Plan mensual'!N169+IF(parametros_manuales!$H$41="Todos",'Plan mensual'!N62+'Plan mensual'!N173,0))+parametros_manuales!$F$41*('Plan mensual'!N59+'Plan mensual'!N170+IF(parametros_manuales!$H$41="Todos",'Plan mensual'!N63+'Plan mensual'!N174,0))+parametros_manuales!$G$41*('Plan mensual'!N60+'Plan mensual'!N171+IF(parametros_manuales!$H$41="Todos",'Plan mensual'!N64+'Plan mensual'!N175,0)))*parametros_manuales!$I$41*parametros_manuales!$J$41</f>
        <v>2489.24651228</v>
      </c>
      <c r="M159" s="9" t="n">
        <f aca="false">(parametros_manuales!$D$41*('Plan mensual'!O57+'Plan mensual'!O168+IF(parametros_manuales!$H$41="Todos",'Plan mensual'!O61+'Plan mensual'!O172,0))+parametros_manuales!$E$41*('Plan mensual'!O58+'Plan mensual'!O169+IF(parametros_manuales!$H$41="Todos",'Plan mensual'!O62+'Plan mensual'!O173,0))+parametros_manuales!$F$41*('Plan mensual'!O59+'Plan mensual'!O170+IF(parametros_manuales!$H$41="Todos",'Plan mensual'!O63+'Plan mensual'!O174,0))+parametros_manuales!$G$41*('Plan mensual'!O60+'Plan mensual'!O171+IF(parametros_manuales!$H$41="Todos",'Plan mensual'!O64+'Plan mensual'!O175,0)))*parametros_manuales!$I$41*parametros_manuales!$J$41</f>
        <v>3945.14506159</v>
      </c>
      <c r="N159" s="9" t="n">
        <f aca="false">SUM(B159:M159)</f>
        <v>34444.932099</v>
      </c>
      <c r="O159" s="9" t="n">
        <f aca="false">MAX(B159:M159)</f>
        <v>3945.14506159</v>
      </c>
      <c r="P159" s="44" t="n">
        <f aca="false">O159/(parametros_manuales!$B$7)</f>
        <v>26.3009670772667</v>
      </c>
      <c r="Q159" s="8" t="str">
        <f aca="false">IF(O159=0,"-",INDEX($B$136:$M$136,MATCH(O159,B159:M159,0)))</f>
        <v>Dic</v>
      </c>
    </row>
    <row r="160" customFormat="false" ht="14.25" hidden="false" customHeight="true" outlineLevel="0" collapsed="false">
      <c r="A160" s="8" t="str">
        <f aca="false">parametros_manuales!$B$42</f>
        <v>Etiquetado</v>
      </c>
      <c r="B160" s="9" t="n">
        <f aca="false">(parametros_manuales!$D$42*('Plan mensual'!D57+'Plan mensual'!D168+IF(parametros_manuales!$H$42="Todos",'Plan mensual'!D61+'Plan mensual'!D172,0))+parametros_manuales!$E$42*('Plan mensual'!D58+'Plan mensual'!D169+IF(parametros_manuales!$H$42="Todos",'Plan mensual'!D62+'Plan mensual'!D173,0))+parametros_manuales!$F$42*('Plan mensual'!D59+'Plan mensual'!D170+IF(parametros_manuales!$H$42="Todos",'Plan mensual'!D63+'Plan mensual'!D174,0))+parametros_manuales!$G$42*('Plan mensual'!D60+'Plan mensual'!D171+IF(parametros_manuales!$H$42="Todos",'Plan mensual'!D64+'Plan mensual'!D175,0)))*parametros_manuales!$I$42*parametros_manuales!$J$42</f>
        <v>3756.8982713</v>
      </c>
      <c r="C160" s="9" t="n">
        <f aca="false">(parametros_manuales!$D$42*('Plan mensual'!E57+'Plan mensual'!E168+IF(parametros_manuales!$H$42="Todos",'Plan mensual'!E61+'Plan mensual'!E172,0))+parametros_manuales!$E$42*('Plan mensual'!E58+'Plan mensual'!E169+IF(parametros_manuales!$H$42="Todos",'Plan mensual'!E62+'Plan mensual'!E173,0))+parametros_manuales!$F$42*('Plan mensual'!E59+'Plan mensual'!E170+IF(parametros_manuales!$H$42="Todos",'Plan mensual'!E63+'Plan mensual'!E174,0))+parametros_manuales!$G$42*('Plan mensual'!E60+'Plan mensual'!E171+IF(parametros_manuales!$H$42="Todos",'Plan mensual'!E64+'Plan mensual'!E175,0)))*parametros_manuales!$I$42*parametros_manuales!$J$42</f>
        <v>2911.79709862</v>
      </c>
      <c r="D160" s="9" t="n">
        <f aca="false">(parametros_manuales!$D$42*('Plan mensual'!F57+'Plan mensual'!F168+IF(parametros_manuales!$H$42="Todos",'Plan mensual'!F61+'Plan mensual'!F172,0))+parametros_manuales!$E$42*('Plan mensual'!F58+'Plan mensual'!F169+IF(parametros_manuales!$H$42="Todos",'Plan mensual'!F62+'Plan mensual'!F173,0))+parametros_manuales!$F$42*('Plan mensual'!F59+'Plan mensual'!F170+IF(parametros_manuales!$H$42="Todos",'Plan mensual'!F63+'Plan mensual'!F174,0))+parametros_manuales!$G$42*('Plan mensual'!F60+'Plan mensual'!F171+IF(parametros_manuales!$H$42="Todos",'Plan mensual'!F64+'Plan mensual'!F175,0)))*parametros_manuales!$I$42*parametros_manuales!$J$42</f>
        <v>2849.717963065</v>
      </c>
      <c r="E160" s="9" t="n">
        <f aca="false">(parametros_manuales!$D$42*('Plan mensual'!G57+'Plan mensual'!G168+IF(parametros_manuales!$H$42="Todos",'Plan mensual'!G61+'Plan mensual'!G172,0))+parametros_manuales!$E$42*('Plan mensual'!G58+'Plan mensual'!G169+IF(parametros_manuales!$H$42="Todos",'Plan mensual'!G62+'Plan mensual'!G173,0))+parametros_manuales!$F$42*('Plan mensual'!G59+'Plan mensual'!G170+IF(parametros_manuales!$H$42="Todos",'Plan mensual'!G63+'Plan mensual'!G174,0))+parametros_manuales!$G$42*('Plan mensual'!G60+'Plan mensual'!G171+IF(parametros_manuales!$H$42="Todos",'Plan mensual'!G64+'Plan mensual'!G175,0)))*parametros_manuales!$I$42*parametros_manuales!$J$42</f>
        <v>2771.616697715</v>
      </c>
      <c r="F160" s="9" t="n">
        <f aca="false">(parametros_manuales!$D$42*('Plan mensual'!H57+'Plan mensual'!H168+IF(parametros_manuales!$H$42="Todos",'Plan mensual'!H61+'Plan mensual'!H172,0))+parametros_manuales!$E$42*('Plan mensual'!H58+'Plan mensual'!H169+IF(parametros_manuales!$H$42="Todos",'Plan mensual'!H62+'Plan mensual'!H173,0))+parametros_manuales!$F$42*('Plan mensual'!H59+'Plan mensual'!H170+IF(parametros_manuales!$H$42="Todos",'Plan mensual'!H63+'Plan mensual'!H174,0))+parametros_manuales!$G$42*('Plan mensual'!H60+'Plan mensual'!H171+IF(parametros_manuales!$H$42="Todos",'Plan mensual'!H64+'Plan mensual'!H175,0)))*parametros_manuales!$I$42*parametros_manuales!$J$42</f>
        <v>2599.39203722</v>
      </c>
      <c r="G160" s="9" t="n">
        <f aca="false">(parametros_manuales!$D$42*('Plan mensual'!I57+'Plan mensual'!I168+IF(parametros_manuales!$H$42="Todos",'Plan mensual'!I61+'Plan mensual'!I172,0))+parametros_manuales!$E$42*('Plan mensual'!I58+'Plan mensual'!I169+IF(parametros_manuales!$H$42="Todos",'Plan mensual'!I62+'Plan mensual'!I173,0))+parametros_manuales!$F$42*('Plan mensual'!I59+'Plan mensual'!I170+IF(parametros_manuales!$H$42="Todos",'Plan mensual'!I63+'Plan mensual'!I174,0))+parametros_manuales!$G$42*('Plan mensual'!I60+'Plan mensual'!I171+IF(parametros_manuales!$H$42="Todos",'Plan mensual'!I64+'Plan mensual'!I175,0)))*parametros_manuales!$I$42*parametros_manuales!$J$42</f>
        <v>2505.268642075</v>
      </c>
      <c r="H160" s="9" t="n">
        <f aca="false">(parametros_manuales!$D$42*('Plan mensual'!J57+'Plan mensual'!J168+IF(parametros_manuales!$H$42="Todos",'Plan mensual'!J61+'Plan mensual'!J172,0))+parametros_manuales!$E$42*('Plan mensual'!J58+'Plan mensual'!J169+IF(parametros_manuales!$H$42="Todos",'Plan mensual'!J62+'Plan mensual'!J173,0))+parametros_manuales!$F$42*('Plan mensual'!J59+'Plan mensual'!J170+IF(parametros_manuales!$H$42="Todos",'Plan mensual'!J63+'Plan mensual'!J174,0))+parametros_manuales!$G$42*('Plan mensual'!J60+'Plan mensual'!J171+IF(parametros_manuales!$H$42="Todos",'Plan mensual'!J64+'Plan mensual'!J175,0)))*parametros_manuales!$I$42*parametros_manuales!$J$42</f>
        <v>2677.49330257</v>
      </c>
      <c r="I160" s="9" t="n">
        <f aca="false">(parametros_manuales!$D$42*('Plan mensual'!K57+'Plan mensual'!K168+IF(parametros_manuales!$H$42="Todos",'Plan mensual'!K61+'Plan mensual'!K172,0))+parametros_manuales!$E$42*('Plan mensual'!K58+'Plan mensual'!K169+IF(parametros_manuales!$H$42="Todos",'Plan mensual'!K62+'Plan mensual'!K173,0))+parametros_manuales!$F$42*('Plan mensual'!K59+'Plan mensual'!K170+IF(parametros_manuales!$H$42="Todos",'Plan mensual'!K63+'Plan mensual'!K174,0))+parametros_manuales!$G$42*('Plan mensual'!K60+'Plan mensual'!K171+IF(parametros_manuales!$H$42="Todos",'Plan mensual'!K64+'Plan mensual'!K175,0)))*parametros_manuales!$I$42*parametros_manuales!$J$42</f>
        <v>2677.49330257</v>
      </c>
      <c r="J160" s="9" t="n">
        <f aca="false">(parametros_manuales!$D$42*('Plan mensual'!L57+'Plan mensual'!L168+IF(parametros_manuales!$H$42="Todos",'Plan mensual'!L61+'Plan mensual'!L172,0))+parametros_manuales!$E$42*('Plan mensual'!L58+'Plan mensual'!L169+IF(parametros_manuales!$H$42="Todos",'Plan mensual'!L62+'Plan mensual'!L173,0))+parametros_manuales!$F$42*('Plan mensual'!L59+'Plan mensual'!L170+IF(parametros_manuales!$H$42="Todos",'Plan mensual'!L63+'Plan mensual'!L174,0))+parametros_manuales!$G$42*('Plan mensual'!L60+'Plan mensual'!L171+IF(parametros_manuales!$H$42="Todos",'Plan mensual'!L64+'Plan mensual'!L175,0)))*parametros_manuales!$I$42*parametros_manuales!$J$42</f>
        <v>2677.49330257</v>
      </c>
      <c r="K160" s="9" t="n">
        <f aca="false">(parametros_manuales!$D$42*('Plan mensual'!M57+'Plan mensual'!M168+IF(parametros_manuales!$H$42="Todos",'Plan mensual'!M61+'Plan mensual'!M172,0))+parametros_manuales!$E$42*('Plan mensual'!M58+'Plan mensual'!M169+IF(parametros_manuales!$H$42="Todos",'Plan mensual'!M62+'Plan mensual'!M173,0))+parametros_manuales!$F$42*('Plan mensual'!M59+'Plan mensual'!M170+IF(parametros_manuales!$H$42="Todos",'Plan mensual'!M63+'Plan mensual'!M174,0))+parametros_manuales!$G$42*('Plan mensual'!M60+'Plan mensual'!M171+IF(parametros_manuales!$H$42="Todos",'Plan mensual'!M64+'Plan mensual'!M175,0)))*parametros_manuales!$I$42*parametros_manuales!$J$42</f>
        <v>2583.369907425</v>
      </c>
      <c r="L160" s="9" t="n">
        <f aca="false">(parametros_manuales!$D$42*('Plan mensual'!N57+'Plan mensual'!N168+IF(parametros_manuales!$H$42="Todos",'Plan mensual'!N61+'Plan mensual'!N172,0))+parametros_manuales!$E$42*('Plan mensual'!N58+'Plan mensual'!N169+IF(parametros_manuales!$H$42="Todos",'Plan mensual'!N62+'Plan mensual'!N173,0))+parametros_manuales!$F$42*('Plan mensual'!N59+'Plan mensual'!N170+IF(parametros_manuales!$H$42="Todos",'Plan mensual'!N63+'Plan mensual'!N174,0))+parametros_manuales!$G$42*('Plan mensual'!N60+'Plan mensual'!N171+IF(parametros_manuales!$H$42="Todos",'Plan mensual'!N64+'Plan mensual'!N175,0)))*parametros_manuales!$I$42*parametros_manuales!$J$42</f>
        <v>2489.24651228</v>
      </c>
      <c r="M160" s="9" t="n">
        <f aca="false">(parametros_manuales!$D$42*('Plan mensual'!O57+'Plan mensual'!O168+IF(parametros_manuales!$H$42="Todos",'Plan mensual'!O61+'Plan mensual'!O172,0))+parametros_manuales!$E$42*('Plan mensual'!O58+'Plan mensual'!O169+IF(parametros_manuales!$H$42="Todos",'Plan mensual'!O62+'Plan mensual'!O173,0))+parametros_manuales!$F$42*('Plan mensual'!O59+'Plan mensual'!O170+IF(parametros_manuales!$H$42="Todos",'Plan mensual'!O63+'Plan mensual'!O174,0))+parametros_manuales!$G$42*('Plan mensual'!O60+'Plan mensual'!O171+IF(parametros_manuales!$H$42="Todos",'Plan mensual'!O64+'Plan mensual'!O175,0)))*parametros_manuales!$I$42*parametros_manuales!$J$42</f>
        <v>3945.14506159</v>
      </c>
      <c r="N160" s="9" t="n">
        <f aca="false">SUM(B160:M160)</f>
        <v>34444.932099</v>
      </c>
      <c r="O160" s="9" t="n">
        <f aca="false">MAX(B160:M160)</f>
        <v>3945.14506159</v>
      </c>
      <c r="P160" s="44" t="n">
        <f aca="false">O160/(parametros_manuales!$B$7)</f>
        <v>26.3009670772667</v>
      </c>
      <c r="Q160" s="8" t="str">
        <f aca="false">IF(O160=0,"-",INDEX($B$136:$M$136,MATCH(O160,B160:M160,0)))</f>
        <v>Dic</v>
      </c>
    </row>
    <row r="161" customFormat="false" ht="14.25" hidden="false" customHeight="true" outlineLevel="0" collapsed="false">
      <c r="A161" s="8" t="str">
        <f aca="false">parametros_manuales!$B$43</f>
        <v>Embalaje y paletizado</v>
      </c>
      <c r="B161" s="9" t="n">
        <f aca="false">(parametros_manuales!$D$43*('Plan mensual'!D57+'Plan mensual'!D168+IF(parametros_manuales!$H$43="Todos",'Plan mensual'!D61+'Plan mensual'!D172,0))+parametros_manuales!$E$43*('Plan mensual'!D58+'Plan mensual'!D169+IF(parametros_manuales!$H$43="Todos",'Plan mensual'!D62+'Plan mensual'!D173,0))+parametros_manuales!$F$43*('Plan mensual'!D59+'Plan mensual'!D170+IF(parametros_manuales!$H$43="Todos",'Plan mensual'!D63+'Plan mensual'!D174,0))+parametros_manuales!$G$43*('Plan mensual'!D60+'Plan mensual'!D171+IF(parametros_manuales!$H$43="Todos",'Plan mensual'!D64+'Plan mensual'!D175,0)))*parametros_manuales!$I$43*parametros_manuales!$J$43</f>
        <v>14124.8662713</v>
      </c>
      <c r="C161" s="9" t="n">
        <f aca="false">(parametros_manuales!$D$43*('Plan mensual'!E57+'Plan mensual'!E168+IF(parametros_manuales!$H$43="Todos",'Plan mensual'!E61+'Plan mensual'!E172,0))+parametros_manuales!$E$43*('Plan mensual'!E58+'Plan mensual'!E169+IF(parametros_manuales!$H$43="Todos",'Plan mensual'!E62+'Plan mensual'!E173,0))+parametros_manuales!$F$43*('Plan mensual'!E59+'Plan mensual'!E170+IF(parametros_manuales!$H$43="Todos",'Plan mensual'!E63+'Plan mensual'!E174,0))+parametros_manuales!$G$43*('Plan mensual'!E60+'Plan mensual'!E171+IF(parametros_manuales!$H$43="Todos",'Plan mensual'!E64+'Plan mensual'!E175,0)))*parametros_manuales!$I$43*parametros_manuales!$J$43</f>
        <v>10776.09029862</v>
      </c>
      <c r="D161" s="9" t="n">
        <f aca="false">(parametros_manuales!$D$43*('Plan mensual'!F57+'Plan mensual'!F168+IF(parametros_manuales!$H$43="Todos",'Plan mensual'!F61+'Plan mensual'!F172,0))+parametros_manuales!$E$43*('Plan mensual'!F58+'Plan mensual'!F169+IF(parametros_manuales!$H$43="Todos",'Plan mensual'!F62+'Plan mensual'!F173,0))+parametros_manuales!$F$43*('Plan mensual'!F59+'Plan mensual'!F170+IF(parametros_manuales!$H$43="Todos",'Plan mensual'!F63+'Plan mensual'!F174,0))+parametros_manuales!$G$43*('Plan mensual'!F60+'Plan mensual'!F171+IF(parametros_manuales!$H$43="Todos",'Plan mensual'!F64+'Plan mensual'!F175,0)))*parametros_manuales!$I$43*parametros_manuales!$J$43</f>
        <v>10085.526363065</v>
      </c>
      <c r="E161" s="9" t="n">
        <f aca="false">(parametros_manuales!$D$43*('Plan mensual'!G57+'Plan mensual'!G168+IF(parametros_manuales!$H$43="Todos",'Plan mensual'!G61+'Plan mensual'!G172,0))+parametros_manuales!$E$43*('Plan mensual'!G58+'Plan mensual'!G169+IF(parametros_manuales!$H$43="Todos",'Plan mensual'!G62+'Plan mensual'!G173,0))+parametros_manuales!$F$43*('Plan mensual'!G59+'Plan mensual'!G170+IF(parametros_manuales!$H$43="Todos",'Plan mensual'!G63+'Plan mensual'!G174,0))+parametros_manuales!$G$43*('Plan mensual'!G60+'Plan mensual'!G171+IF(parametros_manuales!$H$43="Todos",'Plan mensual'!G64+'Plan mensual'!G175,0)))*parametros_manuales!$I$43*parametros_manuales!$J$43</f>
        <v>9649.024097715</v>
      </c>
      <c r="F161" s="9" t="n">
        <f aca="false">(parametros_manuales!$D$43*('Plan mensual'!H57+'Plan mensual'!H168+IF(parametros_manuales!$H$43="Todos",'Plan mensual'!H61+'Plan mensual'!H172,0))+parametros_manuales!$E$43*('Plan mensual'!H58+'Plan mensual'!H169+IF(parametros_manuales!$H$43="Todos",'Plan mensual'!H62+'Plan mensual'!H173,0))+parametros_manuales!$F$43*('Plan mensual'!H59+'Plan mensual'!H170+IF(parametros_manuales!$H$43="Todos",'Plan mensual'!H63+'Plan mensual'!H174,0))+parametros_manuales!$G$43*('Plan mensual'!H60+'Plan mensual'!H171+IF(parametros_manuales!$H$43="Todos",'Plan mensual'!H64+'Plan mensual'!H175,0)))*parametros_manuales!$I$43*parametros_manuales!$J$43</f>
        <v>9030.08123722</v>
      </c>
      <c r="G161" s="9" t="n">
        <f aca="false">(parametros_manuales!$D$43*('Plan mensual'!I57+'Plan mensual'!I168+IF(parametros_manuales!$H$43="Todos",'Plan mensual'!I61+'Plan mensual'!I172,0))+parametros_manuales!$E$43*('Plan mensual'!I58+'Plan mensual'!I169+IF(parametros_manuales!$H$43="Todos",'Plan mensual'!I62+'Plan mensual'!I173,0))+parametros_manuales!$F$43*('Plan mensual'!I59+'Plan mensual'!I170+IF(parametros_manuales!$H$43="Todos",'Plan mensual'!I63+'Plan mensual'!I174,0))+parametros_manuales!$G$43*('Plan mensual'!I60+'Plan mensual'!I171+IF(parametros_manuales!$H$43="Todos",'Plan mensual'!I64+'Plan mensual'!I175,0)))*parametros_manuales!$I$43*parametros_manuales!$J$43</f>
        <v>8847.640642075</v>
      </c>
      <c r="H161" s="9" t="n">
        <f aca="false">(parametros_manuales!$D$43*('Plan mensual'!J57+'Plan mensual'!J168+IF(parametros_manuales!$H$43="Todos",'Plan mensual'!J61+'Plan mensual'!J172,0))+parametros_manuales!$E$43*('Plan mensual'!J58+'Plan mensual'!J169+IF(parametros_manuales!$H$43="Todos",'Plan mensual'!J62+'Plan mensual'!J173,0))+parametros_manuales!$F$43*('Plan mensual'!J59+'Plan mensual'!J170+IF(parametros_manuales!$H$43="Todos",'Plan mensual'!J63+'Plan mensual'!J174,0))+parametros_manuales!$G$43*('Plan mensual'!J60+'Plan mensual'!J171+IF(parametros_manuales!$H$43="Todos",'Plan mensual'!J64+'Plan mensual'!J175,0)))*parametros_manuales!$I$43*parametros_manuales!$J$43</f>
        <v>9466.58350257</v>
      </c>
      <c r="I161" s="9" t="n">
        <f aca="false">(parametros_manuales!$D$43*('Plan mensual'!K57+'Plan mensual'!K168+IF(parametros_manuales!$H$43="Todos",'Plan mensual'!K61+'Plan mensual'!K172,0))+parametros_manuales!$E$43*('Plan mensual'!K58+'Plan mensual'!K169+IF(parametros_manuales!$H$43="Todos",'Plan mensual'!K62+'Plan mensual'!K173,0))+parametros_manuales!$F$43*('Plan mensual'!K59+'Plan mensual'!K170+IF(parametros_manuales!$H$43="Todos",'Plan mensual'!K63+'Plan mensual'!K174,0))+parametros_manuales!$G$43*('Plan mensual'!K60+'Plan mensual'!K171+IF(parametros_manuales!$H$43="Todos",'Plan mensual'!K64+'Plan mensual'!K175,0)))*parametros_manuales!$I$43*parametros_manuales!$J$43</f>
        <v>9466.58350257</v>
      </c>
      <c r="J161" s="9" t="n">
        <f aca="false">(parametros_manuales!$D$43*('Plan mensual'!L57+'Plan mensual'!L168+IF(parametros_manuales!$H$43="Todos",'Plan mensual'!L61+'Plan mensual'!L172,0))+parametros_manuales!$E$43*('Plan mensual'!L58+'Plan mensual'!L169+IF(parametros_manuales!$H$43="Todos",'Plan mensual'!L62+'Plan mensual'!L173,0))+parametros_manuales!$F$43*('Plan mensual'!L59+'Plan mensual'!L170+IF(parametros_manuales!$H$43="Todos",'Plan mensual'!L63+'Plan mensual'!L174,0))+parametros_manuales!$G$43*('Plan mensual'!L60+'Plan mensual'!L171+IF(parametros_manuales!$H$43="Todos",'Plan mensual'!L64+'Plan mensual'!L175,0)))*parametros_manuales!$I$43*parametros_manuales!$J$43</f>
        <v>9466.58350257</v>
      </c>
      <c r="K161" s="9" t="n">
        <f aca="false">(parametros_manuales!$D$43*('Plan mensual'!M57+'Plan mensual'!M168+IF(parametros_manuales!$H$43="Todos",'Plan mensual'!M61+'Plan mensual'!M172,0))+parametros_manuales!$E$43*('Plan mensual'!M58+'Plan mensual'!M169+IF(parametros_manuales!$H$43="Todos",'Plan mensual'!M62+'Plan mensual'!M173,0))+parametros_manuales!$F$43*('Plan mensual'!M59+'Plan mensual'!M170+IF(parametros_manuales!$H$43="Todos",'Plan mensual'!M63+'Plan mensual'!M174,0))+parametros_manuales!$G$43*('Plan mensual'!M60+'Plan mensual'!M171+IF(parametros_manuales!$H$43="Todos",'Plan mensual'!M64+'Plan mensual'!M175,0)))*parametros_manuales!$I$43*parametros_manuales!$J$43</f>
        <v>9284.142907425</v>
      </c>
      <c r="L161" s="9" t="n">
        <f aca="false">(parametros_manuales!$D$43*('Plan mensual'!N57+'Plan mensual'!N168+IF(parametros_manuales!$H$43="Todos",'Plan mensual'!N61+'Plan mensual'!N172,0))+parametros_manuales!$E$43*('Plan mensual'!N58+'Plan mensual'!N169+IF(parametros_manuales!$H$43="Todos",'Plan mensual'!N62+'Plan mensual'!N173,0))+parametros_manuales!$F$43*('Plan mensual'!N59+'Plan mensual'!N170+IF(parametros_manuales!$H$43="Todos",'Plan mensual'!N63+'Plan mensual'!N174,0))+parametros_manuales!$G$43*('Plan mensual'!N60+'Plan mensual'!N171+IF(parametros_manuales!$H$43="Todos",'Plan mensual'!N64+'Plan mensual'!N175,0)))*parametros_manuales!$I$43*parametros_manuales!$J$43</f>
        <v>9101.70231228</v>
      </c>
      <c r="M161" s="9" t="n">
        <f aca="false">(parametros_manuales!$D$43*('Plan mensual'!O57+'Plan mensual'!O168+IF(parametros_manuales!$H$43="Todos",'Plan mensual'!O61+'Plan mensual'!O172,0))+parametros_manuales!$E$43*('Plan mensual'!O58+'Plan mensual'!O169+IF(parametros_manuales!$H$43="Todos",'Plan mensual'!O62+'Plan mensual'!O173,0))+parametros_manuales!$F$43*('Plan mensual'!O59+'Plan mensual'!O170+IF(parametros_manuales!$H$43="Todos",'Plan mensual'!O63+'Plan mensual'!O174,0))+parametros_manuales!$G$43*('Plan mensual'!O60+'Plan mensual'!O171+IF(parametros_manuales!$H$43="Todos",'Plan mensual'!O64+'Plan mensual'!O175,0)))*parametros_manuales!$I$43*parametros_manuales!$J$43</f>
        <v>14489.74746159</v>
      </c>
      <c r="N161" s="9" t="n">
        <f aca="false">SUM(B161:M161)</f>
        <v>123788.572099</v>
      </c>
      <c r="O161" s="9" t="n">
        <f aca="false">MAX(B161:M161)</f>
        <v>14489.74746159</v>
      </c>
      <c r="P161" s="44" t="n">
        <f aca="false">O161/(parametros_manuales!$B$7)</f>
        <v>96.5983164106</v>
      </c>
      <c r="Q161" s="8" t="str">
        <f aca="false">IF(O161=0,"-",INDEX($B$136:$M$136,MATCH(O161,B161:M161,0)))</f>
        <v>Dic</v>
      </c>
    </row>
    <row r="162" customFormat="false" ht="14.25" hidden="false" customHeight="true" outlineLevel="0" collapsed="false"/>
    <row r="163" customFormat="false" ht="14.25" hidden="false" customHeight="true" outlineLevel="0" collapsed="false">
      <c r="A163" s="7" t="s">
        <v>206</v>
      </c>
      <c r="B163" s="7" t="s">
        <v>59</v>
      </c>
      <c r="C163" s="7" t="s">
        <v>60</v>
      </c>
      <c r="D163" s="7" t="s">
        <v>61</v>
      </c>
      <c r="E163" s="7" t="s">
        <v>62</v>
      </c>
      <c r="F163" s="7" t="s">
        <v>63</v>
      </c>
      <c r="G163" s="7" t="s">
        <v>64</v>
      </c>
      <c r="H163" s="7" t="s">
        <v>65</v>
      </c>
      <c r="I163" s="7" t="s">
        <v>66</v>
      </c>
      <c r="J163" s="7" t="s">
        <v>67</v>
      </c>
      <c r="K163" s="7" t="s">
        <v>68</v>
      </c>
      <c r="L163" s="7" t="s">
        <v>69</v>
      </c>
      <c r="M163" s="7" t="s">
        <v>70</v>
      </c>
      <c r="N163" s="7" t="s">
        <v>181</v>
      </c>
      <c r="O163" s="7" t="s">
        <v>198</v>
      </c>
      <c r="P163" s="7" t="s">
        <v>199</v>
      </c>
      <c r="Q163" s="7" t="s">
        <v>200</v>
      </c>
    </row>
    <row r="164" customFormat="false" ht="14.25" hidden="false" customHeight="true" outlineLevel="0" collapsed="false">
      <c r="A164" s="8" t="str">
        <f aca="false">parametros_manuales!$B$19</f>
        <v>Recepción de materia prima</v>
      </c>
      <c r="B164" s="9" t="n">
        <f aca="false">(parametros_manuales!$D$19*('Plan mensual'!D68+'Plan mensual'!D179+IF(parametros_manuales!$H$19="Todos",'Plan mensual'!D72+'Plan mensual'!D183,0))+parametros_manuales!$E$19*('Plan mensual'!D69+'Plan mensual'!D180+IF(parametros_manuales!$H$19="Todos",'Plan mensual'!D73+'Plan mensual'!D184,0))+parametros_manuales!$F$19*('Plan mensual'!D70+'Plan mensual'!D181+IF(parametros_manuales!$H$19="Todos",'Plan mensual'!D74+'Plan mensual'!D185,0))+parametros_manuales!$G$19*('Plan mensual'!D71+'Plan mensual'!D182+IF(parametros_manuales!$H$19="Todos",'Plan mensual'!D75+'Plan mensual'!D186,0)))*parametros_manuales!$I$19*parametros_manuales!$J$19</f>
        <v>19505.6299821</v>
      </c>
      <c r="C164" s="9" t="n">
        <f aca="false">(parametros_manuales!$D$19*('Plan mensual'!E68+'Plan mensual'!E179+IF(parametros_manuales!$H$19="Todos",'Plan mensual'!E72+'Plan mensual'!E183,0))+parametros_manuales!$E$19*('Plan mensual'!E69+'Plan mensual'!E180+IF(parametros_manuales!$H$19="Todos",'Plan mensual'!E73+'Plan mensual'!E184,0))+parametros_manuales!$F$19*('Plan mensual'!E70+'Plan mensual'!E181+IF(parametros_manuales!$H$19="Todos",'Plan mensual'!E74+'Plan mensual'!E185,0))+parametros_manuales!$G$19*('Plan mensual'!E71+'Plan mensual'!E182+IF(parametros_manuales!$H$19="Todos",'Plan mensual'!E75+'Plan mensual'!E186,0)))*parametros_manuales!$I$19*parametros_manuales!$J$19</f>
        <v>14874.46506612</v>
      </c>
      <c r="D164" s="9" t="n">
        <f aca="false">(parametros_manuales!$D$19*('Plan mensual'!F68+'Plan mensual'!F179+IF(parametros_manuales!$H$19="Todos",'Plan mensual'!F72+'Plan mensual'!F183,0))+parametros_manuales!$E$19*('Plan mensual'!F69+'Plan mensual'!F180+IF(parametros_manuales!$H$19="Todos",'Plan mensual'!F73+'Plan mensual'!F184,0))+parametros_manuales!$F$19*('Plan mensual'!F70+'Plan mensual'!F181+IF(parametros_manuales!$H$19="Todos",'Plan mensual'!F74+'Plan mensual'!F185,0))+parametros_manuales!$G$19*('Plan mensual'!F71+'Plan mensual'!F182+IF(parametros_manuales!$H$19="Todos",'Plan mensual'!F75+'Plan mensual'!F186,0)))*parametros_manuales!$I$19*parametros_manuales!$J$19</f>
        <v>13902.976113065</v>
      </c>
      <c r="E164" s="9" t="n">
        <f aca="false">(parametros_manuales!$D$19*('Plan mensual'!G68+'Plan mensual'!G179+IF(parametros_manuales!$H$19="Todos",'Plan mensual'!G72+'Plan mensual'!G183,0))+parametros_manuales!$E$19*('Plan mensual'!G69+'Plan mensual'!G180+IF(parametros_manuales!$H$19="Todos",'Plan mensual'!G73+'Plan mensual'!G184,0))+parametros_manuales!$F$19*('Plan mensual'!G70+'Plan mensual'!G181+IF(parametros_manuales!$H$19="Todos",'Plan mensual'!G74+'Plan mensual'!G185,0))+parametros_manuales!$G$19*('Plan mensual'!G71+'Plan mensual'!G182+IF(parametros_manuales!$H$19="Todos",'Plan mensual'!G75+'Plan mensual'!G186,0)))*parametros_manuales!$I$19*parametros_manuales!$J$19</f>
        <v>13294.610346765</v>
      </c>
      <c r="F164" s="9" t="n">
        <f aca="false">(parametros_manuales!$D$19*('Plan mensual'!H68+'Plan mensual'!H179+IF(parametros_manuales!$H$19="Todos",'Plan mensual'!H72+'Plan mensual'!H183,0))+parametros_manuales!$E$19*('Plan mensual'!H69+'Plan mensual'!H180+IF(parametros_manuales!$H$19="Todos",'Plan mensual'!H73+'Plan mensual'!H184,0))+parametros_manuales!$F$19*('Plan mensual'!H70+'Plan mensual'!H181+IF(parametros_manuales!$H$19="Todos",'Plan mensual'!H74+'Plan mensual'!H185,0))+parametros_manuales!$G$19*('Plan mensual'!H71+'Plan mensual'!H182+IF(parametros_manuales!$H$19="Todos",'Plan mensual'!H75+'Plan mensual'!H186,0)))*parametros_manuales!$I$19*parametros_manuales!$J$19</f>
        <v>12441.00200092</v>
      </c>
      <c r="G164" s="9" t="n">
        <f aca="false">(parametros_manuales!$D$19*('Plan mensual'!I68+'Plan mensual'!I179+IF(parametros_manuales!$H$19="Todos",'Plan mensual'!I72+'Plan mensual'!I183,0))+parametros_manuales!$E$19*('Plan mensual'!I69+'Plan mensual'!I180+IF(parametros_manuales!$H$19="Todos",'Plan mensual'!I73+'Plan mensual'!I184,0))+parametros_manuales!$F$19*('Plan mensual'!I70+'Plan mensual'!I181+IF(parametros_manuales!$H$19="Todos",'Plan mensual'!I74+'Plan mensual'!I185,0))+parametros_manuales!$G$19*('Plan mensual'!I71+'Plan mensual'!I182+IF(parametros_manuales!$H$19="Todos",'Plan mensual'!I75+'Plan mensual'!I186,0)))*parametros_manuales!$I$19*parametros_manuales!$J$19</f>
        <v>12195.759421375</v>
      </c>
      <c r="H164" s="9" t="n">
        <f aca="false">(parametros_manuales!$D$19*('Plan mensual'!J68+'Plan mensual'!J179+IF(parametros_manuales!$H$19="Todos",'Plan mensual'!J72+'Plan mensual'!J183,0))+parametros_manuales!$E$19*('Plan mensual'!J69+'Plan mensual'!J180+IF(parametros_manuales!$H$19="Todos",'Plan mensual'!J73+'Plan mensual'!J184,0))+parametros_manuales!$F$19*('Plan mensual'!J70+'Plan mensual'!J181+IF(parametros_manuales!$H$19="Todos",'Plan mensual'!J74+'Plan mensual'!J185,0))+parametros_manuales!$G$19*('Plan mensual'!J71+'Plan mensual'!J182+IF(parametros_manuales!$H$19="Todos",'Plan mensual'!J75+'Plan mensual'!J186,0)))*parametros_manuales!$I$19*parametros_manuales!$J$19</f>
        <v>13049.36776722</v>
      </c>
      <c r="I164" s="9" t="n">
        <f aca="false">(parametros_manuales!$D$19*('Plan mensual'!K68+'Plan mensual'!K179+IF(parametros_manuales!$H$19="Todos",'Plan mensual'!K72+'Plan mensual'!K183,0))+parametros_manuales!$E$19*('Plan mensual'!K69+'Plan mensual'!K180+IF(parametros_manuales!$H$19="Todos",'Plan mensual'!K73+'Plan mensual'!K184,0))+parametros_manuales!$F$19*('Plan mensual'!K70+'Plan mensual'!K181+IF(parametros_manuales!$H$19="Todos",'Plan mensual'!K74+'Plan mensual'!K185,0))+parametros_manuales!$G$19*('Plan mensual'!K71+'Plan mensual'!K182+IF(parametros_manuales!$H$19="Todos",'Plan mensual'!K75+'Plan mensual'!K186,0)))*parametros_manuales!$I$19*parametros_manuales!$J$19</f>
        <v>13049.36776722</v>
      </c>
      <c r="J164" s="9" t="n">
        <f aca="false">(parametros_manuales!$D$19*('Plan mensual'!L68+'Plan mensual'!L179+IF(parametros_manuales!$H$19="Todos",'Plan mensual'!L72+'Plan mensual'!L183,0))+parametros_manuales!$E$19*('Plan mensual'!L69+'Plan mensual'!L180+IF(parametros_manuales!$H$19="Todos",'Plan mensual'!L73+'Plan mensual'!L184,0))+parametros_manuales!$F$19*('Plan mensual'!L70+'Plan mensual'!L181+IF(parametros_manuales!$H$19="Todos",'Plan mensual'!L74+'Plan mensual'!L185,0))+parametros_manuales!$G$19*('Plan mensual'!L71+'Plan mensual'!L182+IF(parametros_manuales!$H$19="Todos",'Plan mensual'!L75+'Plan mensual'!L186,0)))*parametros_manuales!$I$19*parametros_manuales!$J$19</f>
        <v>13049.36776722</v>
      </c>
      <c r="K164" s="9" t="n">
        <f aca="false">(parametros_manuales!$D$19*('Plan mensual'!M68+'Plan mensual'!M179+IF(parametros_manuales!$H$19="Todos",'Plan mensual'!M72+'Plan mensual'!M183,0))+parametros_manuales!$E$19*('Plan mensual'!M69+'Plan mensual'!M180+IF(parametros_manuales!$H$19="Todos",'Plan mensual'!M73+'Plan mensual'!M184,0))+parametros_manuales!$F$19*('Plan mensual'!M70+'Plan mensual'!M181+IF(parametros_manuales!$H$19="Todos",'Plan mensual'!M74+'Plan mensual'!M185,0))+parametros_manuales!$G$19*('Plan mensual'!M71+'Plan mensual'!M182+IF(parametros_manuales!$H$19="Todos",'Plan mensual'!M75+'Plan mensual'!M186,0)))*parametros_manuales!$I$19*parametros_manuales!$J$19</f>
        <v>12804.125187675</v>
      </c>
      <c r="L164" s="9" t="n">
        <f aca="false">(parametros_manuales!$D$19*('Plan mensual'!N68+'Plan mensual'!N179+IF(parametros_manuales!$H$19="Todos",'Plan mensual'!N72+'Plan mensual'!N183,0))+parametros_manuales!$E$19*('Plan mensual'!N69+'Plan mensual'!N180+IF(parametros_manuales!$H$19="Todos",'Plan mensual'!N73+'Plan mensual'!N184,0))+parametros_manuales!$F$19*('Plan mensual'!N70+'Plan mensual'!N181+IF(parametros_manuales!$H$19="Todos",'Plan mensual'!N74+'Plan mensual'!N185,0))+parametros_manuales!$G$19*('Plan mensual'!N71+'Plan mensual'!N182+IF(parametros_manuales!$H$19="Todos",'Plan mensual'!N75+'Plan mensual'!N186,0)))*parametros_manuales!$I$19*parametros_manuales!$J$19</f>
        <v>12558.88260813</v>
      </c>
      <c r="M164" s="9" t="n">
        <f aca="false">(parametros_manuales!$D$19*('Plan mensual'!O68+'Plan mensual'!O179+IF(parametros_manuales!$H$19="Todos",'Plan mensual'!O72+'Plan mensual'!O183,0))+parametros_manuales!$E$19*('Plan mensual'!O69+'Plan mensual'!O180+IF(parametros_manuales!$H$19="Todos",'Plan mensual'!O73+'Plan mensual'!O184,0))+parametros_manuales!$F$19*('Plan mensual'!O70+'Plan mensual'!O181+IF(parametros_manuales!$H$19="Todos",'Plan mensual'!O74+'Plan mensual'!O185,0))+parametros_manuales!$G$19*('Plan mensual'!O71+'Plan mensual'!O182+IF(parametros_manuales!$H$19="Todos",'Plan mensual'!O75+'Plan mensual'!O186,0)))*parametros_manuales!$I$19*parametros_manuales!$J$19</f>
        <v>19996.11514119</v>
      </c>
      <c r="N164" s="9" t="n">
        <f aca="false">SUM(B164:M164)</f>
        <v>170721.669169</v>
      </c>
      <c r="O164" s="9" t="n">
        <f aca="false">MAX(B164:M164)</f>
        <v>19996.11514119</v>
      </c>
      <c r="P164" s="44" t="n">
        <f aca="false">O164/(parametros_manuales!$B$7)</f>
        <v>133.3074342746</v>
      </c>
      <c r="Q164" s="8" t="str">
        <f aca="false">IF(O164=0,"-",INDEX($B$163:$M$163,MATCH(O164,B164:M164,0)))</f>
        <v>Dic</v>
      </c>
    </row>
    <row r="165" customFormat="false" ht="14.25" hidden="false" customHeight="true" outlineLevel="0" collapsed="false">
      <c r="A165" s="8" t="str">
        <f aca="false">parametros_manuales!$B$20</f>
        <v>Corte de chapa (guillotina) — 2,5 a 10 kg</v>
      </c>
      <c r="B165" s="9" t="n">
        <f aca="false">(parametros_manuales!$D$20*('Plan mensual'!D68+'Plan mensual'!D179+IF(parametros_manuales!$H$20="Todos",'Plan mensual'!D72+'Plan mensual'!D183,0))+parametros_manuales!$E$20*('Plan mensual'!D69+'Plan mensual'!D180+IF(parametros_manuales!$H$20="Todos",'Plan mensual'!D73+'Plan mensual'!D184,0))+parametros_manuales!$F$20*('Plan mensual'!D70+'Plan mensual'!D181+IF(parametros_manuales!$H$20="Todos",'Plan mensual'!D74+'Plan mensual'!D185,0))+parametros_manuales!$G$20*('Plan mensual'!D71+'Plan mensual'!D182+IF(parametros_manuales!$H$20="Todos",'Plan mensual'!D75+'Plan mensual'!D186,0)))*parametros_manuales!$I$20*parametros_manuales!$J$20</f>
        <v>4904.8515909</v>
      </c>
      <c r="C165" s="9" t="n">
        <f aca="false">(parametros_manuales!$D$20*('Plan mensual'!E68+'Plan mensual'!E179+IF(parametros_manuales!$H$20="Todos",'Plan mensual'!E72+'Plan mensual'!E183,0))+parametros_manuales!$E$20*('Plan mensual'!E69+'Plan mensual'!E180+IF(parametros_manuales!$H$20="Todos",'Plan mensual'!E73+'Plan mensual'!E184,0))+parametros_manuales!$F$20*('Plan mensual'!E70+'Plan mensual'!E181+IF(parametros_manuales!$H$20="Todos",'Plan mensual'!E74+'Plan mensual'!E185,0))+parametros_manuales!$G$20*('Plan mensual'!E71+'Plan mensual'!E182+IF(parametros_manuales!$H$20="Todos",'Plan mensual'!E75+'Plan mensual'!E186,0)))*parametros_manuales!$I$20*parametros_manuales!$J$20</f>
        <v>3923.88127272</v>
      </c>
      <c r="D165" s="9" t="n">
        <f aca="false">(parametros_manuales!$D$20*('Plan mensual'!F68+'Plan mensual'!F179+IF(parametros_manuales!$H$20="Todos",'Plan mensual'!F72+'Plan mensual'!F183,0))+parametros_manuales!$E$20*('Plan mensual'!F69+'Plan mensual'!F180+IF(parametros_manuales!$H$20="Todos",'Plan mensual'!F73+'Plan mensual'!F184,0))+parametros_manuales!$F$20*('Plan mensual'!F70+'Plan mensual'!F181+IF(parametros_manuales!$H$20="Todos",'Plan mensual'!F74+'Plan mensual'!F185,0))+parametros_manuales!$G$20*('Plan mensual'!F71+'Plan mensual'!F182+IF(parametros_manuales!$H$20="Todos",'Plan mensual'!F75+'Plan mensual'!F186,0)))*parametros_manuales!$I$20*parametros_manuales!$J$20</f>
        <v>4169.123852265</v>
      </c>
      <c r="E165" s="9" t="n">
        <f aca="false">(parametros_manuales!$D$20*('Plan mensual'!G68+'Plan mensual'!G179+IF(parametros_manuales!$H$20="Todos",'Plan mensual'!G72+'Plan mensual'!G183,0))+parametros_manuales!$E$20*('Plan mensual'!G69+'Plan mensual'!G180+IF(parametros_manuales!$H$20="Todos",'Plan mensual'!G73+'Plan mensual'!G184,0))+parametros_manuales!$F$20*('Plan mensual'!G70+'Plan mensual'!G181+IF(parametros_manuales!$H$20="Todos",'Plan mensual'!G74+'Plan mensual'!G185,0))+parametros_manuales!$G$20*('Plan mensual'!G71+'Plan mensual'!G182+IF(parametros_manuales!$H$20="Todos",'Plan mensual'!G75+'Plan mensual'!G186,0)))*parametros_manuales!$I$20*parametros_manuales!$J$20</f>
        <v>4169.123852265</v>
      </c>
      <c r="F165" s="9" t="n">
        <f aca="false">(parametros_manuales!$D$20*('Plan mensual'!H68+'Plan mensual'!H179+IF(parametros_manuales!$H$20="Todos",'Plan mensual'!H72+'Plan mensual'!H183,0))+parametros_manuales!$E$20*('Plan mensual'!H69+'Plan mensual'!H180+IF(parametros_manuales!$H$20="Todos",'Plan mensual'!H73+'Plan mensual'!H184,0))+parametros_manuales!$F$20*('Plan mensual'!H70+'Plan mensual'!H181+IF(parametros_manuales!$H$20="Todos",'Plan mensual'!H74+'Plan mensual'!H185,0))+parametros_manuales!$G$20*('Plan mensual'!H71+'Plan mensual'!H182+IF(parametros_manuales!$H$20="Todos",'Plan mensual'!H75+'Plan mensual'!H186,0)))*parametros_manuales!$I$20*parametros_manuales!$J$20</f>
        <v>3923.88127272</v>
      </c>
      <c r="G165" s="9" t="n">
        <f aca="false">(parametros_manuales!$D$20*('Plan mensual'!I68+'Plan mensual'!I179+IF(parametros_manuales!$H$20="Todos",'Plan mensual'!I72+'Plan mensual'!I183,0))+parametros_manuales!$E$20*('Plan mensual'!I69+'Plan mensual'!I180+IF(parametros_manuales!$H$20="Todos",'Plan mensual'!I73+'Plan mensual'!I184,0))+parametros_manuales!$F$20*('Plan mensual'!I70+'Plan mensual'!I181+IF(parametros_manuales!$H$20="Todos",'Plan mensual'!I74+'Plan mensual'!I185,0))+parametros_manuales!$G$20*('Plan mensual'!I71+'Plan mensual'!I182+IF(parametros_manuales!$H$20="Todos",'Plan mensual'!I75+'Plan mensual'!I186,0)))*parametros_manuales!$I$20*parametros_manuales!$J$20</f>
        <v>3678.638693175</v>
      </c>
      <c r="H165" s="9" t="n">
        <f aca="false">(parametros_manuales!$D$20*('Plan mensual'!J68+'Plan mensual'!J179+IF(parametros_manuales!$H$20="Todos",'Plan mensual'!J72+'Plan mensual'!J183,0))+parametros_manuales!$E$20*('Plan mensual'!J69+'Plan mensual'!J180+IF(parametros_manuales!$H$20="Todos",'Plan mensual'!J73+'Plan mensual'!J184,0))+parametros_manuales!$F$20*('Plan mensual'!J70+'Plan mensual'!J181+IF(parametros_manuales!$H$20="Todos",'Plan mensual'!J74+'Plan mensual'!J185,0))+parametros_manuales!$G$20*('Plan mensual'!J71+'Plan mensual'!J182+IF(parametros_manuales!$H$20="Todos",'Plan mensual'!J75+'Plan mensual'!J186,0)))*parametros_manuales!$I$20*parametros_manuales!$J$20</f>
        <v>3923.88127272</v>
      </c>
      <c r="I165" s="9" t="n">
        <f aca="false">(parametros_manuales!$D$20*('Plan mensual'!K68+'Plan mensual'!K179+IF(parametros_manuales!$H$20="Todos",'Plan mensual'!K72+'Plan mensual'!K183,0))+parametros_manuales!$E$20*('Plan mensual'!K69+'Plan mensual'!K180+IF(parametros_manuales!$H$20="Todos",'Plan mensual'!K73+'Plan mensual'!K184,0))+parametros_manuales!$F$20*('Plan mensual'!K70+'Plan mensual'!K181+IF(parametros_manuales!$H$20="Todos",'Plan mensual'!K74+'Plan mensual'!K185,0))+parametros_manuales!$G$20*('Plan mensual'!K71+'Plan mensual'!K182+IF(parametros_manuales!$H$20="Todos",'Plan mensual'!K75+'Plan mensual'!K186,0)))*parametros_manuales!$I$20*parametros_manuales!$J$20</f>
        <v>3923.88127272</v>
      </c>
      <c r="J165" s="9" t="n">
        <f aca="false">(parametros_manuales!$D$20*('Plan mensual'!L68+'Plan mensual'!L179+IF(parametros_manuales!$H$20="Todos",'Plan mensual'!L72+'Plan mensual'!L183,0))+parametros_manuales!$E$20*('Plan mensual'!L69+'Plan mensual'!L180+IF(parametros_manuales!$H$20="Todos",'Plan mensual'!L73+'Plan mensual'!L184,0))+parametros_manuales!$F$20*('Plan mensual'!L70+'Plan mensual'!L181+IF(parametros_manuales!$H$20="Todos",'Plan mensual'!L74+'Plan mensual'!L185,0))+parametros_manuales!$G$20*('Plan mensual'!L71+'Plan mensual'!L182+IF(parametros_manuales!$H$20="Todos",'Plan mensual'!L75+'Plan mensual'!L186,0)))*parametros_manuales!$I$20*parametros_manuales!$J$20</f>
        <v>3923.88127272</v>
      </c>
      <c r="K165" s="9" t="n">
        <f aca="false">(parametros_manuales!$D$20*('Plan mensual'!M68+'Plan mensual'!M179+IF(parametros_manuales!$H$20="Todos",'Plan mensual'!M72+'Plan mensual'!M183,0))+parametros_manuales!$E$20*('Plan mensual'!M69+'Plan mensual'!M180+IF(parametros_manuales!$H$20="Todos",'Plan mensual'!M73+'Plan mensual'!M184,0))+parametros_manuales!$F$20*('Plan mensual'!M70+'Plan mensual'!M181+IF(parametros_manuales!$H$20="Todos",'Plan mensual'!M74+'Plan mensual'!M185,0))+parametros_manuales!$G$20*('Plan mensual'!M71+'Plan mensual'!M182+IF(parametros_manuales!$H$20="Todos",'Plan mensual'!M75+'Plan mensual'!M186,0)))*parametros_manuales!$I$20*parametros_manuales!$J$20</f>
        <v>3678.638693175</v>
      </c>
      <c r="L165" s="9" t="n">
        <f aca="false">(parametros_manuales!$D$20*('Plan mensual'!N68+'Plan mensual'!N179+IF(parametros_manuales!$H$20="Todos",'Plan mensual'!N72+'Plan mensual'!N183,0))+parametros_manuales!$E$20*('Plan mensual'!N69+'Plan mensual'!N180+IF(parametros_manuales!$H$20="Todos",'Plan mensual'!N73+'Plan mensual'!N184,0))+parametros_manuales!$F$20*('Plan mensual'!N70+'Plan mensual'!N181+IF(parametros_manuales!$H$20="Todos",'Plan mensual'!N74+'Plan mensual'!N185,0))+parametros_manuales!$G$20*('Plan mensual'!N71+'Plan mensual'!N182+IF(parametros_manuales!$H$20="Todos",'Plan mensual'!N75+'Plan mensual'!N186,0)))*parametros_manuales!$I$20*parametros_manuales!$J$20</f>
        <v>3433.39611363</v>
      </c>
      <c r="M165" s="9" t="n">
        <f aca="false">(parametros_manuales!$D$20*('Plan mensual'!O68+'Plan mensual'!O179+IF(parametros_manuales!$H$20="Todos",'Plan mensual'!O72+'Plan mensual'!O183,0))+parametros_manuales!$E$20*('Plan mensual'!O69+'Plan mensual'!O180+IF(parametros_manuales!$H$20="Todos",'Plan mensual'!O73+'Plan mensual'!O184,0))+parametros_manuales!$F$20*('Plan mensual'!O70+'Plan mensual'!O181+IF(parametros_manuales!$H$20="Todos",'Plan mensual'!O74+'Plan mensual'!O185,0))+parametros_manuales!$G$20*('Plan mensual'!O71+'Plan mensual'!O182+IF(parametros_manuales!$H$20="Todos",'Plan mensual'!O75+'Plan mensual'!O186,0)))*parametros_manuales!$I$20*parametros_manuales!$J$20</f>
        <v>5395.33674999</v>
      </c>
      <c r="N165" s="9" t="n">
        <f aca="false">SUM(B165:M165)</f>
        <v>49048.515909</v>
      </c>
      <c r="O165" s="9" t="n">
        <f aca="false">MAX(B165:M165)</f>
        <v>5395.33674999</v>
      </c>
      <c r="P165" s="44" t="n">
        <f aca="false">O165/(parametros_manuales!$B$7)</f>
        <v>35.9689116666</v>
      </c>
      <c r="Q165" s="8" t="str">
        <f aca="false">IF(O165=0,"-",INDEX($B$163:$M$163,MATCH(O165,B165:M165,0)))</f>
        <v>Dic</v>
      </c>
    </row>
    <row r="166" customFormat="false" ht="14.25" hidden="false" customHeight="true" outlineLevel="0" collapsed="false">
      <c r="A166" s="8" t="str">
        <f aca="false">parametros_manuales!$B$21</f>
        <v>Corte de tubo — 1 kg</v>
      </c>
      <c r="B166" s="9" t="n">
        <f aca="false">(parametros_manuales!$D$21*('Plan mensual'!D68+'Plan mensual'!D179+IF(parametros_manuales!$H$21="Todos",'Plan mensual'!D72+'Plan mensual'!D183,0))+parametros_manuales!$E$21*('Plan mensual'!D69+'Plan mensual'!D180+IF(parametros_manuales!$H$21="Todos",'Plan mensual'!D73+'Plan mensual'!D184,0))+parametros_manuales!$F$21*('Plan mensual'!D70+'Plan mensual'!D181+IF(parametros_manuales!$H$21="Todos",'Plan mensual'!D74+'Plan mensual'!D185,0))+parametros_manuales!$G$21*('Plan mensual'!D71+'Plan mensual'!D182+IF(parametros_manuales!$H$21="Todos",'Plan mensual'!D75+'Plan mensual'!D186,0)))*parametros_manuales!$I$21*parametros_manuales!$J$21</f>
        <v>14600.7783912</v>
      </c>
      <c r="C166" s="9" t="n">
        <f aca="false">(parametros_manuales!$D$21*('Plan mensual'!E68+'Plan mensual'!E179+IF(parametros_manuales!$H$21="Todos",'Plan mensual'!E72+'Plan mensual'!E183,0))+parametros_manuales!$E$21*('Plan mensual'!E69+'Plan mensual'!E180+IF(parametros_manuales!$H$21="Todos",'Plan mensual'!E73+'Plan mensual'!E184,0))+parametros_manuales!$F$21*('Plan mensual'!E70+'Plan mensual'!E181+IF(parametros_manuales!$H$21="Todos",'Plan mensual'!E74+'Plan mensual'!E185,0))+parametros_manuales!$G$21*('Plan mensual'!E71+'Plan mensual'!E182+IF(parametros_manuales!$H$21="Todos",'Plan mensual'!E75+'Plan mensual'!E186,0)))*parametros_manuales!$I$21*parametros_manuales!$J$21</f>
        <v>10950.5837934</v>
      </c>
      <c r="D166" s="9" t="n">
        <f aca="false">(parametros_manuales!$D$21*('Plan mensual'!F68+'Plan mensual'!F179+IF(parametros_manuales!$H$21="Todos",'Plan mensual'!F72+'Plan mensual'!F183,0))+parametros_manuales!$E$21*('Plan mensual'!F69+'Plan mensual'!F180+IF(parametros_manuales!$H$21="Todos",'Plan mensual'!F73+'Plan mensual'!F184,0))+parametros_manuales!$F$21*('Plan mensual'!F70+'Plan mensual'!F181+IF(parametros_manuales!$H$21="Todos",'Plan mensual'!F74+'Plan mensual'!F185,0))+parametros_manuales!$G$21*('Plan mensual'!F71+'Plan mensual'!F182+IF(parametros_manuales!$H$21="Todos",'Plan mensual'!F75+'Plan mensual'!F186,0)))*parametros_manuales!$I$21*parametros_manuales!$J$21</f>
        <v>9733.8522608</v>
      </c>
      <c r="E166" s="9" t="n">
        <f aca="false">(parametros_manuales!$D$21*('Plan mensual'!G68+'Plan mensual'!G179+IF(parametros_manuales!$H$21="Todos",'Plan mensual'!G72+'Plan mensual'!G183,0))+parametros_manuales!$E$21*('Plan mensual'!G69+'Plan mensual'!G180+IF(parametros_manuales!$H$21="Todos",'Plan mensual'!G73+'Plan mensual'!G184,0))+parametros_manuales!$F$21*('Plan mensual'!G70+'Plan mensual'!G181+IF(parametros_manuales!$H$21="Todos",'Plan mensual'!G74+'Plan mensual'!G185,0))+parametros_manuales!$G$21*('Plan mensual'!G71+'Plan mensual'!G182+IF(parametros_manuales!$H$21="Todos",'Plan mensual'!G75+'Plan mensual'!G186,0)))*parametros_manuales!$I$21*parametros_manuales!$J$21</f>
        <v>9125.4864945</v>
      </c>
      <c r="F166" s="9" t="n">
        <f aca="false">(parametros_manuales!$D$21*('Plan mensual'!H68+'Plan mensual'!H179+IF(parametros_manuales!$H$21="Todos",'Plan mensual'!H72+'Plan mensual'!H183,0))+parametros_manuales!$E$21*('Plan mensual'!H69+'Plan mensual'!H180+IF(parametros_manuales!$H$21="Todos",'Plan mensual'!H73+'Plan mensual'!H184,0))+parametros_manuales!$F$21*('Plan mensual'!H70+'Plan mensual'!H181+IF(parametros_manuales!$H$21="Todos",'Plan mensual'!H74+'Plan mensual'!H185,0))+parametros_manuales!$G$21*('Plan mensual'!H71+'Plan mensual'!H182+IF(parametros_manuales!$H$21="Todos",'Plan mensual'!H75+'Plan mensual'!H186,0)))*parametros_manuales!$I$21*parametros_manuales!$J$21</f>
        <v>8517.1207282</v>
      </c>
      <c r="G166" s="9" t="n">
        <f aca="false">(parametros_manuales!$D$21*('Plan mensual'!I68+'Plan mensual'!I179+IF(parametros_manuales!$H$21="Todos",'Plan mensual'!I72+'Plan mensual'!I183,0))+parametros_manuales!$E$21*('Plan mensual'!I69+'Plan mensual'!I180+IF(parametros_manuales!$H$21="Todos",'Plan mensual'!I73+'Plan mensual'!I184,0))+parametros_manuales!$F$21*('Plan mensual'!I70+'Plan mensual'!I181+IF(parametros_manuales!$H$21="Todos",'Plan mensual'!I74+'Plan mensual'!I185,0))+parametros_manuales!$G$21*('Plan mensual'!I71+'Plan mensual'!I182+IF(parametros_manuales!$H$21="Todos",'Plan mensual'!I75+'Plan mensual'!I186,0)))*parametros_manuales!$I$21*parametros_manuales!$J$21</f>
        <v>8517.1207282</v>
      </c>
      <c r="H166" s="9" t="n">
        <f aca="false">(parametros_manuales!$D$21*('Plan mensual'!J68+'Plan mensual'!J179+IF(parametros_manuales!$H$21="Todos",'Plan mensual'!J72+'Plan mensual'!J183,0))+parametros_manuales!$E$21*('Plan mensual'!J69+'Plan mensual'!J180+IF(parametros_manuales!$H$21="Todos",'Plan mensual'!J73+'Plan mensual'!J184,0))+parametros_manuales!$F$21*('Plan mensual'!J70+'Plan mensual'!J181+IF(parametros_manuales!$H$21="Todos",'Plan mensual'!J74+'Plan mensual'!J185,0))+parametros_manuales!$G$21*('Plan mensual'!J71+'Plan mensual'!J182+IF(parametros_manuales!$H$21="Todos",'Plan mensual'!J75+'Plan mensual'!J186,0)))*parametros_manuales!$I$21*parametros_manuales!$J$21</f>
        <v>9125.4864945</v>
      </c>
      <c r="I166" s="9" t="n">
        <f aca="false">(parametros_manuales!$D$21*('Plan mensual'!K68+'Plan mensual'!K179+IF(parametros_manuales!$H$21="Todos",'Plan mensual'!K72+'Plan mensual'!K183,0))+parametros_manuales!$E$21*('Plan mensual'!K69+'Plan mensual'!K180+IF(parametros_manuales!$H$21="Todos",'Plan mensual'!K73+'Plan mensual'!K184,0))+parametros_manuales!$F$21*('Plan mensual'!K70+'Plan mensual'!K181+IF(parametros_manuales!$H$21="Todos",'Plan mensual'!K74+'Plan mensual'!K185,0))+parametros_manuales!$G$21*('Plan mensual'!K71+'Plan mensual'!K182+IF(parametros_manuales!$H$21="Todos",'Plan mensual'!K75+'Plan mensual'!K186,0)))*parametros_manuales!$I$21*parametros_manuales!$J$21</f>
        <v>9125.4864945</v>
      </c>
      <c r="J166" s="9" t="n">
        <f aca="false">(parametros_manuales!$D$21*('Plan mensual'!L68+'Plan mensual'!L179+IF(parametros_manuales!$H$21="Todos",'Plan mensual'!L72+'Plan mensual'!L183,0))+parametros_manuales!$E$21*('Plan mensual'!L69+'Plan mensual'!L180+IF(parametros_manuales!$H$21="Todos",'Plan mensual'!L73+'Plan mensual'!L184,0))+parametros_manuales!$F$21*('Plan mensual'!L70+'Plan mensual'!L181+IF(parametros_manuales!$H$21="Todos",'Plan mensual'!L74+'Plan mensual'!L185,0))+parametros_manuales!$G$21*('Plan mensual'!L71+'Plan mensual'!L182+IF(parametros_manuales!$H$21="Todos",'Plan mensual'!L75+'Plan mensual'!L186,0)))*parametros_manuales!$I$21*parametros_manuales!$J$21</f>
        <v>9125.4864945</v>
      </c>
      <c r="K166" s="9" t="n">
        <f aca="false">(parametros_manuales!$D$21*('Plan mensual'!M68+'Plan mensual'!M179+IF(parametros_manuales!$H$21="Todos",'Plan mensual'!M72+'Plan mensual'!M183,0))+parametros_manuales!$E$21*('Plan mensual'!M69+'Plan mensual'!M180+IF(parametros_manuales!$H$21="Todos",'Plan mensual'!M73+'Plan mensual'!M184,0))+parametros_manuales!$F$21*('Plan mensual'!M70+'Plan mensual'!M181+IF(parametros_manuales!$H$21="Todos",'Plan mensual'!M74+'Plan mensual'!M185,0))+parametros_manuales!$G$21*('Plan mensual'!M71+'Plan mensual'!M182+IF(parametros_manuales!$H$21="Todos",'Plan mensual'!M75+'Plan mensual'!M186,0)))*parametros_manuales!$I$21*parametros_manuales!$J$21</f>
        <v>9125.4864945</v>
      </c>
      <c r="L166" s="9" t="n">
        <f aca="false">(parametros_manuales!$D$21*('Plan mensual'!N68+'Plan mensual'!N179+IF(parametros_manuales!$H$21="Todos",'Plan mensual'!N72+'Plan mensual'!N183,0))+parametros_manuales!$E$21*('Plan mensual'!N69+'Plan mensual'!N180+IF(parametros_manuales!$H$21="Todos",'Plan mensual'!N73+'Plan mensual'!N184,0))+parametros_manuales!$F$21*('Plan mensual'!N70+'Plan mensual'!N181+IF(parametros_manuales!$H$21="Todos",'Plan mensual'!N74+'Plan mensual'!N185,0))+parametros_manuales!$G$21*('Plan mensual'!N71+'Plan mensual'!N182+IF(parametros_manuales!$H$21="Todos",'Plan mensual'!N75+'Plan mensual'!N186,0)))*parametros_manuales!$I$21*parametros_manuales!$J$21</f>
        <v>9125.4864945</v>
      </c>
      <c r="M166" s="9" t="n">
        <f aca="false">(parametros_manuales!$D$21*('Plan mensual'!O68+'Plan mensual'!O179+IF(parametros_manuales!$H$21="Todos",'Plan mensual'!O72+'Plan mensual'!O183,0))+parametros_manuales!$E$21*('Plan mensual'!O69+'Plan mensual'!O180+IF(parametros_manuales!$H$21="Todos",'Plan mensual'!O73+'Plan mensual'!O184,0))+parametros_manuales!$F$21*('Plan mensual'!O70+'Plan mensual'!O181+IF(parametros_manuales!$H$21="Todos",'Plan mensual'!O74+'Plan mensual'!O185,0))+parametros_manuales!$G$21*('Plan mensual'!O71+'Plan mensual'!O182+IF(parametros_manuales!$H$21="Todos",'Plan mensual'!O75+'Plan mensual'!O186,0)))*parametros_manuales!$I$21*parametros_manuales!$J$21</f>
        <v>14600.7783912</v>
      </c>
      <c r="N166" s="9" t="n">
        <f aca="false">SUM(B166:M166)</f>
        <v>121673.15326</v>
      </c>
      <c r="O166" s="9" t="n">
        <f aca="false">MAX(B166:M166)</f>
        <v>14600.7783912</v>
      </c>
      <c r="P166" s="44" t="n">
        <f aca="false">O166/(parametros_manuales!$B$7)</f>
        <v>97.338522608</v>
      </c>
      <c r="Q166" s="8" t="str">
        <f aca="false">IF(O166=0,"-",INDEX($B$163:$M$163,MATCH(O166,B166:M166,0)))</f>
        <v>Ene</v>
      </c>
    </row>
    <row r="167" customFormat="false" ht="14.25" hidden="false" customHeight="true" outlineLevel="0" collapsed="false">
      <c r="A167" s="8" t="str">
        <f aca="false">parametros_manuales!$B$22</f>
        <v>Corte de disco y embutido (cúpula y fondo)</v>
      </c>
      <c r="B167" s="9" t="n">
        <f aca="false">(parametros_manuales!$D$22*('Plan mensual'!D68+'Plan mensual'!D179+IF(parametros_manuales!$H$22="Todos",'Plan mensual'!D72+'Plan mensual'!D183,0))+parametros_manuales!$E$22*('Plan mensual'!D69+'Plan mensual'!D180+IF(parametros_manuales!$H$22="Todos",'Plan mensual'!D73+'Plan mensual'!D184,0))+parametros_manuales!$F$22*('Plan mensual'!D70+'Plan mensual'!D181+IF(parametros_manuales!$H$22="Todos",'Plan mensual'!D74+'Plan mensual'!D185,0))+parametros_manuales!$G$22*('Plan mensual'!D71+'Plan mensual'!D182+IF(parametros_manuales!$H$22="Todos",'Plan mensual'!D75+'Plan mensual'!D186,0)))*parametros_manuales!$I$22*parametros_manuales!$J$22</f>
        <v>39011.2599642</v>
      </c>
      <c r="C167" s="9" t="n">
        <f aca="false">(parametros_manuales!$D$22*('Plan mensual'!E68+'Plan mensual'!E179+IF(parametros_manuales!$H$22="Todos",'Plan mensual'!E72+'Plan mensual'!E183,0))+parametros_manuales!$E$22*('Plan mensual'!E69+'Plan mensual'!E180+IF(parametros_manuales!$H$22="Todos",'Plan mensual'!E73+'Plan mensual'!E184,0))+parametros_manuales!$F$22*('Plan mensual'!E70+'Plan mensual'!E181+IF(parametros_manuales!$H$22="Todos",'Plan mensual'!E74+'Plan mensual'!E185,0))+parametros_manuales!$G$22*('Plan mensual'!E71+'Plan mensual'!E182+IF(parametros_manuales!$H$22="Todos",'Plan mensual'!E75+'Plan mensual'!E186,0)))*parametros_manuales!$I$22*parametros_manuales!$J$22</f>
        <v>29748.93013224</v>
      </c>
      <c r="D167" s="9" t="n">
        <f aca="false">(parametros_manuales!$D$22*('Plan mensual'!F68+'Plan mensual'!F179+IF(parametros_manuales!$H$22="Todos",'Plan mensual'!F72+'Plan mensual'!F183,0))+parametros_manuales!$E$22*('Plan mensual'!F69+'Plan mensual'!F180+IF(parametros_manuales!$H$22="Todos",'Plan mensual'!F73+'Plan mensual'!F184,0))+parametros_manuales!$F$22*('Plan mensual'!F70+'Plan mensual'!F181+IF(parametros_manuales!$H$22="Todos",'Plan mensual'!F74+'Plan mensual'!F185,0))+parametros_manuales!$G$22*('Plan mensual'!F71+'Plan mensual'!F182+IF(parametros_manuales!$H$22="Todos",'Plan mensual'!F75+'Plan mensual'!F186,0)))*parametros_manuales!$I$22*parametros_manuales!$J$22</f>
        <v>27805.95222613</v>
      </c>
      <c r="E167" s="9" t="n">
        <f aca="false">(parametros_manuales!$D$22*('Plan mensual'!G68+'Plan mensual'!G179+IF(parametros_manuales!$H$22="Todos",'Plan mensual'!G72+'Plan mensual'!G183,0))+parametros_manuales!$E$22*('Plan mensual'!G69+'Plan mensual'!G180+IF(parametros_manuales!$H$22="Todos",'Plan mensual'!G73+'Plan mensual'!G184,0))+parametros_manuales!$F$22*('Plan mensual'!G70+'Plan mensual'!G181+IF(parametros_manuales!$H$22="Todos",'Plan mensual'!G74+'Plan mensual'!G185,0))+parametros_manuales!$G$22*('Plan mensual'!G71+'Plan mensual'!G182+IF(parametros_manuales!$H$22="Todos",'Plan mensual'!G75+'Plan mensual'!G186,0)))*parametros_manuales!$I$22*parametros_manuales!$J$22</f>
        <v>26589.22069353</v>
      </c>
      <c r="F167" s="9" t="n">
        <f aca="false">(parametros_manuales!$D$22*('Plan mensual'!H68+'Plan mensual'!H179+IF(parametros_manuales!$H$22="Todos",'Plan mensual'!H72+'Plan mensual'!H183,0))+parametros_manuales!$E$22*('Plan mensual'!H69+'Plan mensual'!H180+IF(parametros_manuales!$H$22="Todos",'Plan mensual'!H73+'Plan mensual'!H184,0))+parametros_manuales!$F$22*('Plan mensual'!H70+'Plan mensual'!H181+IF(parametros_manuales!$H$22="Todos",'Plan mensual'!H74+'Plan mensual'!H185,0))+parametros_manuales!$G$22*('Plan mensual'!H71+'Plan mensual'!H182+IF(parametros_manuales!$H$22="Todos",'Plan mensual'!H75+'Plan mensual'!H186,0)))*parametros_manuales!$I$22*parametros_manuales!$J$22</f>
        <v>24882.00400184</v>
      </c>
      <c r="G167" s="9" t="n">
        <f aca="false">(parametros_manuales!$D$22*('Plan mensual'!I68+'Plan mensual'!I179+IF(parametros_manuales!$H$22="Todos",'Plan mensual'!I72+'Plan mensual'!I183,0))+parametros_manuales!$E$22*('Plan mensual'!I69+'Plan mensual'!I180+IF(parametros_manuales!$H$22="Todos",'Plan mensual'!I73+'Plan mensual'!I184,0))+parametros_manuales!$F$22*('Plan mensual'!I70+'Plan mensual'!I181+IF(parametros_manuales!$H$22="Todos",'Plan mensual'!I74+'Plan mensual'!I185,0))+parametros_manuales!$G$22*('Plan mensual'!I71+'Plan mensual'!I182+IF(parametros_manuales!$H$22="Todos",'Plan mensual'!I75+'Plan mensual'!I186,0)))*parametros_manuales!$I$22*parametros_manuales!$J$22</f>
        <v>24391.51884275</v>
      </c>
      <c r="H167" s="9" t="n">
        <f aca="false">(parametros_manuales!$D$22*('Plan mensual'!J68+'Plan mensual'!J179+IF(parametros_manuales!$H$22="Todos",'Plan mensual'!J72+'Plan mensual'!J183,0))+parametros_manuales!$E$22*('Plan mensual'!J69+'Plan mensual'!J180+IF(parametros_manuales!$H$22="Todos",'Plan mensual'!J73+'Plan mensual'!J184,0))+parametros_manuales!$F$22*('Plan mensual'!J70+'Plan mensual'!J181+IF(parametros_manuales!$H$22="Todos",'Plan mensual'!J74+'Plan mensual'!J185,0))+parametros_manuales!$G$22*('Plan mensual'!J71+'Plan mensual'!J182+IF(parametros_manuales!$H$22="Todos",'Plan mensual'!J75+'Plan mensual'!J186,0)))*parametros_manuales!$I$22*parametros_manuales!$J$22</f>
        <v>26098.73553444</v>
      </c>
      <c r="I167" s="9" t="n">
        <f aca="false">(parametros_manuales!$D$22*('Plan mensual'!K68+'Plan mensual'!K179+IF(parametros_manuales!$H$22="Todos",'Plan mensual'!K72+'Plan mensual'!K183,0))+parametros_manuales!$E$22*('Plan mensual'!K69+'Plan mensual'!K180+IF(parametros_manuales!$H$22="Todos",'Plan mensual'!K73+'Plan mensual'!K184,0))+parametros_manuales!$F$22*('Plan mensual'!K70+'Plan mensual'!K181+IF(parametros_manuales!$H$22="Todos",'Plan mensual'!K74+'Plan mensual'!K185,0))+parametros_manuales!$G$22*('Plan mensual'!K71+'Plan mensual'!K182+IF(parametros_manuales!$H$22="Todos",'Plan mensual'!K75+'Plan mensual'!K186,0)))*parametros_manuales!$I$22*parametros_manuales!$J$22</f>
        <v>26098.73553444</v>
      </c>
      <c r="J167" s="9" t="n">
        <f aca="false">(parametros_manuales!$D$22*('Plan mensual'!L68+'Plan mensual'!L179+IF(parametros_manuales!$H$22="Todos",'Plan mensual'!L72+'Plan mensual'!L183,0))+parametros_manuales!$E$22*('Plan mensual'!L69+'Plan mensual'!L180+IF(parametros_manuales!$H$22="Todos",'Plan mensual'!L73+'Plan mensual'!L184,0))+parametros_manuales!$F$22*('Plan mensual'!L70+'Plan mensual'!L181+IF(parametros_manuales!$H$22="Todos",'Plan mensual'!L74+'Plan mensual'!L185,0))+parametros_manuales!$G$22*('Plan mensual'!L71+'Plan mensual'!L182+IF(parametros_manuales!$H$22="Todos",'Plan mensual'!L75+'Plan mensual'!L186,0)))*parametros_manuales!$I$22*parametros_manuales!$J$22</f>
        <v>26098.73553444</v>
      </c>
      <c r="K167" s="9" t="n">
        <f aca="false">(parametros_manuales!$D$22*('Plan mensual'!M68+'Plan mensual'!M179+IF(parametros_manuales!$H$22="Todos",'Plan mensual'!M72+'Plan mensual'!M183,0))+parametros_manuales!$E$22*('Plan mensual'!M69+'Plan mensual'!M180+IF(parametros_manuales!$H$22="Todos",'Plan mensual'!M73+'Plan mensual'!M184,0))+parametros_manuales!$F$22*('Plan mensual'!M70+'Plan mensual'!M181+IF(parametros_manuales!$H$22="Todos",'Plan mensual'!M74+'Plan mensual'!M185,0))+parametros_manuales!$G$22*('Plan mensual'!M71+'Plan mensual'!M182+IF(parametros_manuales!$H$22="Todos",'Plan mensual'!M75+'Plan mensual'!M186,0)))*parametros_manuales!$I$22*parametros_manuales!$J$22</f>
        <v>25608.25037535</v>
      </c>
      <c r="L167" s="9" t="n">
        <f aca="false">(parametros_manuales!$D$22*('Plan mensual'!N68+'Plan mensual'!N179+IF(parametros_manuales!$H$22="Todos",'Plan mensual'!N72+'Plan mensual'!N183,0))+parametros_manuales!$E$22*('Plan mensual'!N69+'Plan mensual'!N180+IF(parametros_manuales!$H$22="Todos",'Plan mensual'!N73+'Plan mensual'!N184,0))+parametros_manuales!$F$22*('Plan mensual'!N70+'Plan mensual'!N181+IF(parametros_manuales!$H$22="Todos",'Plan mensual'!N74+'Plan mensual'!N185,0))+parametros_manuales!$G$22*('Plan mensual'!N71+'Plan mensual'!N182+IF(parametros_manuales!$H$22="Todos",'Plan mensual'!N75+'Plan mensual'!N186,0)))*parametros_manuales!$I$22*parametros_manuales!$J$22</f>
        <v>25117.76521626</v>
      </c>
      <c r="M167" s="9" t="n">
        <f aca="false">(parametros_manuales!$D$22*('Plan mensual'!O68+'Plan mensual'!O179+IF(parametros_manuales!$H$22="Todos",'Plan mensual'!O72+'Plan mensual'!O183,0))+parametros_manuales!$E$22*('Plan mensual'!O69+'Plan mensual'!O180+IF(parametros_manuales!$H$22="Todos",'Plan mensual'!O73+'Plan mensual'!O184,0))+parametros_manuales!$F$22*('Plan mensual'!O70+'Plan mensual'!O181+IF(parametros_manuales!$H$22="Todos",'Plan mensual'!O74+'Plan mensual'!O185,0))+parametros_manuales!$G$22*('Plan mensual'!O71+'Plan mensual'!O182+IF(parametros_manuales!$H$22="Todos",'Plan mensual'!O75+'Plan mensual'!O186,0)))*parametros_manuales!$I$22*parametros_manuales!$J$22</f>
        <v>39992.23028238</v>
      </c>
      <c r="N167" s="9" t="n">
        <f aca="false">SUM(B167:M167)</f>
        <v>341443.338338</v>
      </c>
      <c r="O167" s="9" t="n">
        <f aca="false">MAX(B167:M167)</f>
        <v>39992.23028238</v>
      </c>
      <c r="P167" s="44" t="n">
        <f aca="false">O167/(parametros_manuales!$B$7)</f>
        <v>266.6148685492</v>
      </c>
      <c r="Q167" s="8" t="str">
        <f aca="false">IF(O167=0,"-",INDEX($B$163:$M$163,MATCH(O167,B167:M167,0)))</f>
        <v>Dic</v>
      </c>
    </row>
    <row r="168" customFormat="false" ht="14.25" hidden="false" customHeight="true" outlineLevel="0" collapsed="false">
      <c r="A168" s="8" t="str">
        <f aca="false">parametros_manuales!$B$23</f>
        <v>Preparación de cuello</v>
      </c>
      <c r="B168" s="9" t="n">
        <f aca="false">(parametros_manuales!$D$23*('Plan mensual'!D68+'Plan mensual'!D179+IF(parametros_manuales!$H$23="Todos",'Plan mensual'!D72+'Plan mensual'!D183,0))+parametros_manuales!$E$23*('Plan mensual'!D69+'Plan mensual'!D180+IF(parametros_manuales!$H$23="Todos",'Plan mensual'!D73+'Plan mensual'!D184,0))+parametros_manuales!$F$23*('Plan mensual'!D70+'Plan mensual'!D181+IF(parametros_manuales!$H$23="Todos",'Plan mensual'!D74+'Plan mensual'!D185,0))+parametros_manuales!$G$23*('Plan mensual'!D71+'Plan mensual'!D182+IF(parametros_manuales!$H$23="Todos",'Plan mensual'!D75+'Plan mensual'!D186,0)))*parametros_manuales!$I$23*parametros_manuales!$J$23</f>
        <v>19505.6299821</v>
      </c>
      <c r="C168" s="9" t="n">
        <f aca="false">(parametros_manuales!$D$23*('Plan mensual'!E68+'Plan mensual'!E179+IF(parametros_manuales!$H$23="Todos",'Plan mensual'!E72+'Plan mensual'!E183,0))+parametros_manuales!$E$23*('Plan mensual'!E69+'Plan mensual'!E180+IF(parametros_manuales!$H$23="Todos",'Plan mensual'!E73+'Plan mensual'!E184,0))+parametros_manuales!$F$23*('Plan mensual'!E70+'Plan mensual'!E181+IF(parametros_manuales!$H$23="Todos",'Plan mensual'!E74+'Plan mensual'!E185,0))+parametros_manuales!$G$23*('Plan mensual'!E71+'Plan mensual'!E182+IF(parametros_manuales!$H$23="Todos",'Plan mensual'!E75+'Plan mensual'!E186,0)))*parametros_manuales!$I$23*parametros_manuales!$J$23</f>
        <v>14874.46506612</v>
      </c>
      <c r="D168" s="9" t="n">
        <f aca="false">(parametros_manuales!$D$23*('Plan mensual'!F68+'Plan mensual'!F179+IF(parametros_manuales!$H$23="Todos",'Plan mensual'!F72+'Plan mensual'!F183,0))+parametros_manuales!$E$23*('Plan mensual'!F69+'Plan mensual'!F180+IF(parametros_manuales!$H$23="Todos",'Plan mensual'!F73+'Plan mensual'!F184,0))+parametros_manuales!$F$23*('Plan mensual'!F70+'Plan mensual'!F181+IF(parametros_manuales!$H$23="Todos",'Plan mensual'!F74+'Plan mensual'!F185,0))+parametros_manuales!$G$23*('Plan mensual'!F71+'Plan mensual'!F182+IF(parametros_manuales!$H$23="Todos",'Plan mensual'!F75+'Plan mensual'!F186,0)))*parametros_manuales!$I$23*parametros_manuales!$J$23</f>
        <v>13902.976113065</v>
      </c>
      <c r="E168" s="9" t="n">
        <f aca="false">(parametros_manuales!$D$23*('Plan mensual'!G68+'Plan mensual'!G179+IF(parametros_manuales!$H$23="Todos",'Plan mensual'!G72+'Plan mensual'!G183,0))+parametros_manuales!$E$23*('Plan mensual'!G69+'Plan mensual'!G180+IF(parametros_manuales!$H$23="Todos",'Plan mensual'!G73+'Plan mensual'!G184,0))+parametros_manuales!$F$23*('Plan mensual'!G70+'Plan mensual'!G181+IF(parametros_manuales!$H$23="Todos",'Plan mensual'!G74+'Plan mensual'!G185,0))+parametros_manuales!$G$23*('Plan mensual'!G71+'Plan mensual'!G182+IF(parametros_manuales!$H$23="Todos",'Plan mensual'!G75+'Plan mensual'!G186,0)))*parametros_manuales!$I$23*parametros_manuales!$J$23</f>
        <v>13294.610346765</v>
      </c>
      <c r="F168" s="9" t="n">
        <f aca="false">(parametros_manuales!$D$23*('Plan mensual'!H68+'Plan mensual'!H179+IF(parametros_manuales!$H$23="Todos",'Plan mensual'!H72+'Plan mensual'!H183,0))+parametros_manuales!$E$23*('Plan mensual'!H69+'Plan mensual'!H180+IF(parametros_manuales!$H$23="Todos",'Plan mensual'!H73+'Plan mensual'!H184,0))+parametros_manuales!$F$23*('Plan mensual'!H70+'Plan mensual'!H181+IF(parametros_manuales!$H$23="Todos",'Plan mensual'!H74+'Plan mensual'!H185,0))+parametros_manuales!$G$23*('Plan mensual'!H71+'Plan mensual'!H182+IF(parametros_manuales!$H$23="Todos",'Plan mensual'!H75+'Plan mensual'!H186,0)))*parametros_manuales!$I$23*parametros_manuales!$J$23</f>
        <v>12441.00200092</v>
      </c>
      <c r="G168" s="9" t="n">
        <f aca="false">(parametros_manuales!$D$23*('Plan mensual'!I68+'Plan mensual'!I179+IF(parametros_manuales!$H$23="Todos",'Plan mensual'!I72+'Plan mensual'!I183,0))+parametros_manuales!$E$23*('Plan mensual'!I69+'Plan mensual'!I180+IF(parametros_manuales!$H$23="Todos",'Plan mensual'!I73+'Plan mensual'!I184,0))+parametros_manuales!$F$23*('Plan mensual'!I70+'Plan mensual'!I181+IF(parametros_manuales!$H$23="Todos",'Plan mensual'!I74+'Plan mensual'!I185,0))+parametros_manuales!$G$23*('Plan mensual'!I71+'Plan mensual'!I182+IF(parametros_manuales!$H$23="Todos",'Plan mensual'!I75+'Plan mensual'!I186,0)))*parametros_manuales!$I$23*parametros_manuales!$J$23</f>
        <v>12195.759421375</v>
      </c>
      <c r="H168" s="9" t="n">
        <f aca="false">(parametros_manuales!$D$23*('Plan mensual'!J68+'Plan mensual'!J179+IF(parametros_manuales!$H$23="Todos",'Plan mensual'!J72+'Plan mensual'!J183,0))+parametros_manuales!$E$23*('Plan mensual'!J69+'Plan mensual'!J180+IF(parametros_manuales!$H$23="Todos",'Plan mensual'!J73+'Plan mensual'!J184,0))+parametros_manuales!$F$23*('Plan mensual'!J70+'Plan mensual'!J181+IF(parametros_manuales!$H$23="Todos",'Plan mensual'!J74+'Plan mensual'!J185,0))+parametros_manuales!$G$23*('Plan mensual'!J71+'Plan mensual'!J182+IF(parametros_manuales!$H$23="Todos",'Plan mensual'!J75+'Plan mensual'!J186,0)))*parametros_manuales!$I$23*parametros_manuales!$J$23</f>
        <v>13049.36776722</v>
      </c>
      <c r="I168" s="9" t="n">
        <f aca="false">(parametros_manuales!$D$23*('Plan mensual'!K68+'Plan mensual'!K179+IF(parametros_manuales!$H$23="Todos",'Plan mensual'!K72+'Plan mensual'!K183,0))+parametros_manuales!$E$23*('Plan mensual'!K69+'Plan mensual'!K180+IF(parametros_manuales!$H$23="Todos",'Plan mensual'!K73+'Plan mensual'!K184,0))+parametros_manuales!$F$23*('Plan mensual'!K70+'Plan mensual'!K181+IF(parametros_manuales!$H$23="Todos",'Plan mensual'!K74+'Plan mensual'!K185,0))+parametros_manuales!$G$23*('Plan mensual'!K71+'Plan mensual'!K182+IF(parametros_manuales!$H$23="Todos",'Plan mensual'!K75+'Plan mensual'!K186,0)))*parametros_manuales!$I$23*parametros_manuales!$J$23</f>
        <v>13049.36776722</v>
      </c>
      <c r="J168" s="9" t="n">
        <f aca="false">(parametros_manuales!$D$23*('Plan mensual'!L68+'Plan mensual'!L179+IF(parametros_manuales!$H$23="Todos",'Plan mensual'!L72+'Plan mensual'!L183,0))+parametros_manuales!$E$23*('Plan mensual'!L69+'Plan mensual'!L180+IF(parametros_manuales!$H$23="Todos",'Plan mensual'!L73+'Plan mensual'!L184,0))+parametros_manuales!$F$23*('Plan mensual'!L70+'Plan mensual'!L181+IF(parametros_manuales!$H$23="Todos",'Plan mensual'!L74+'Plan mensual'!L185,0))+parametros_manuales!$G$23*('Plan mensual'!L71+'Plan mensual'!L182+IF(parametros_manuales!$H$23="Todos",'Plan mensual'!L75+'Plan mensual'!L186,0)))*parametros_manuales!$I$23*parametros_manuales!$J$23</f>
        <v>13049.36776722</v>
      </c>
      <c r="K168" s="9" t="n">
        <f aca="false">(parametros_manuales!$D$23*('Plan mensual'!M68+'Plan mensual'!M179+IF(parametros_manuales!$H$23="Todos",'Plan mensual'!M72+'Plan mensual'!M183,0))+parametros_manuales!$E$23*('Plan mensual'!M69+'Plan mensual'!M180+IF(parametros_manuales!$H$23="Todos",'Plan mensual'!M73+'Plan mensual'!M184,0))+parametros_manuales!$F$23*('Plan mensual'!M70+'Plan mensual'!M181+IF(parametros_manuales!$H$23="Todos",'Plan mensual'!M74+'Plan mensual'!M185,0))+parametros_manuales!$G$23*('Plan mensual'!M71+'Plan mensual'!M182+IF(parametros_manuales!$H$23="Todos",'Plan mensual'!M75+'Plan mensual'!M186,0)))*parametros_manuales!$I$23*parametros_manuales!$J$23</f>
        <v>12804.125187675</v>
      </c>
      <c r="L168" s="9" t="n">
        <f aca="false">(parametros_manuales!$D$23*('Plan mensual'!N68+'Plan mensual'!N179+IF(parametros_manuales!$H$23="Todos",'Plan mensual'!N72+'Plan mensual'!N183,0))+parametros_manuales!$E$23*('Plan mensual'!N69+'Plan mensual'!N180+IF(parametros_manuales!$H$23="Todos",'Plan mensual'!N73+'Plan mensual'!N184,0))+parametros_manuales!$F$23*('Plan mensual'!N70+'Plan mensual'!N181+IF(parametros_manuales!$H$23="Todos",'Plan mensual'!N74+'Plan mensual'!N185,0))+parametros_manuales!$G$23*('Plan mensual'!N71+'Plan mensual'!N182+IF(parametros_manuales!$H$23="Todos",'Plan mensual'!N75+'Plan mensual'!N186,0)))*parametros_manuales!$I$23*parametros_manuales!$J$23</f>
        <v>12558.88260813</v>
      </c>
      <c r="M168" s="9" t="n">
        <f aca="false">(parametros_manuales!$D$23*('Plan mensual'!O68+'Plan mensual'!O179+IF(parametros_manuales!$H$23="Todos",'Plan mensual'!O72+'Plan mensual'!O183,0))+parametros_manuales!$E$23*('Plan mensual'!O69+'Plan mensual'!O180+IF(parametros_manuales!$H$23="Todos",'Plan mensual'!O73+'Plan mensual'!O184,0))+parametros_manuales!$F$23*('Plan mensual'!O70+'Plan mensual'!O181+IF(parametros_manuales!$H$23="Todos",'Plan mensual'!O74+'Plan mensual'!O185,0))+parametros_manuales!$G$23*('Plan mensual'!O71+'Plan mensual'!O182+IF(parametros_manuales!$H$23="Todos",'Plan mensual'!O75+'Plan mensual'!O186,0)))*parametros_manuales!$I$23*parametros_manuales!$J$23</f>
        <v>19996.11514119</v>
      </c>
      <c r="N168" s="9" t="n">
        <f aca="false">SUM(B168:M168)</f>
        <v>170721.669169</v>
      </c>
      <c r="O168" s="9" t="n">
        <f aca="false">MAX(B168:M168)</f>
        <v>19996.11514119</v>
      </c>
      <c r="P168" s="44" t="n">
        <f aca="false">O168/(parametros_manuales!$B$7)</f>
        <v>133.3074342746</v>
      </c>
      <c r="Q168" s="8" t="str">
        <f aca="false">IF(O168=0,"-",INDEX($B$163:$M$163,MATCH(O168,B168:M168,0)))</f>
        <v>Dic</v>
      </c>
    </row>
    <row r="169" customFormat="false" ht="14.25" hidden="false" customHeight="true" outlineLevel="0" collapsed="false">
      <c r="A169" s="8" t="str">
        <f aca="false">parametros_manuales!$B$24</f>
        <v>Numerado de cúpula</v>
      </c>
      <c r="B169" s="9" t="n">
        <f aca="false">(parametros_manuales!$D$24*('Plan mensual'!D68+'Plan mensual'!D179+IF(parametros_manuales!$H$24="Todos",'Plan mensual'!D72+'Plan mensual'!D183,0))+parametros_manuales!$E$24*('Plan mensual'!D69+'Plan mensual'!D180+IF(parametros_manuales!$H$24="Todos",'Plan mensual'!D73+'Plan mensual'!D184,0))+parametros_manuales!$F$24*('Plan mensual'!D70+'Plan mensual'!D181+IF(parametros_manuales!$H$24="Todos",'Plan mensual'!D74+'Plan mensual'!D185,0))+parametros_manuales!$G$24*('Plan mensual'!D71+'Plan mensual'!D182+IF(parametros_manuales!$H$24="Todos",'Plan mensual'!D75+'Plan mensual'!D186,0)))*parametros_manuales!$I$24*parametros_manuales!$J$24</f>
        <v>19505.6299821</v>
      </c>
      <c r="C169" s="9" t="n">
        <f aca="false">(parametros_manuales!$D$24*('Plan mensual'!E68+'Plan mensual'!E179+IF(parametros_manuales!$H$24="Todos",'Plan mensual'!E72+'Plan mensual'!E183,0))+parametros_manuales!$E$24*('Plan mensual'!E69+'Plan mensual'!E180+IF(parametros_manuales!$H$24="Todos",'Plan mensual'!E73+'Plan mensual'!E184,0))+parametros_manuales!$F$24*('Plan mensual'!E70+'Plan mensual'!E181+IF(parametros_manuales!$H$24="Todos",'Plan mensual'!E74+'Plan mensual'!E185,0))+parametros_manuales!$G$24*('Plan mensual'!E71+'Plan mensual'!E182+IF(parametros_manuales!$H$24="Todos",'Plan mensual'!E75+'Plan mensual'!E186,0)))*parametros_manuales!$I$24*parametros_manuales!$J$24</f>
        <v>14874.46506612</v>
      </c>
      <c r="D169" s="9" t="n">
        <f aca="false">(parametros_manuales!$D$24*('Plan mensual'!F68+'Plan mensual'!F179+IF(parametros_manuales!$H$24="Todos",'Plan mensual'!F72+'Plan mensual'!F183,0))+parametros_manuales!$E$24*('Plan mensual'!F69+'Plan mensual'!F180+IF(parametros_manuales!$H$24="Todos",'Plan mensual'!F73+'Plan mensual'!F184,0))+parametros_manuales!$F$24*('Plan mensual'!F70+'Plan mensual'!F181+IF(parametros_manuales!$H$24="Todos",'Plan mensual'!F74+'Plan mensual'!F185,0))+parametros_manuales!$G$24*('Plan mensual'!F71+'Plan mensual'!F182+IF(parametros_manuales!$H$24="Todos",'Plan mensual'!F75+'Plan mensual'!F186,0)))*parametros_manuales!$I$24*parametros_manuales!$J$24</f>
        <v>13902.976113065</v>
      </c>
      <c r="E169" s="9" t="n">
        <f aca="false">(parametros_manuales!$D$24*('Plan mensual'!G68+'Plan mensual'!G179+IF(parametros_manuales!$H$24="Todos",'Plan mensual'!G72+'Plan mensual'!G183,0))+parametros_manuales!$E$24*('Plan mensual'!G69+'Plan mensual'!G180+IF(parametros_manuales!$H$24="Todos",'Plan mensual'!G73+'Plan mensual'!G184,0))+parametros_manuales!$F$24*('Plan mensual'!G70+'Plan mensual'!G181+IF(parametros_manuales!$H$24="Todos",'Plan mensual'!G74+'Plan mensual'!G185,0))+parametros_manuales!$G$24*('Plan mensual'!G71+'Plan mensual'!G182+IF(parametros_manuales!$H$24="Todos",'Plan mensual'!G75+'Plan mensual'!G186,0)))*parametros_manuales!$I$24*parametros_manuales!$J$24</f>
        <v>13294.610346765</v>
      </c>
      <c r="F169" s="9" t="n">
        <f aca="false">(parametros_manuales!$D$24*('Plan mensual'!H68+'Plan mensual'!H179+IF(parametros_manuales!$H$24="Todos",'Plan mensual'!H72+'Plan mensual'!H183,0))+parametros_manuales!$E$24*('Plan mensual'!H69+'Plan mensual'!H180+IF(parametros_manuales!$H$24="Todos",'Plan mensual'!H73+'Plan mensual'!H184,0))+parametros_manuales!$F$24*('Plan mensual'!H70+'Plan mensual'!H181+IF(parametros_manuales!$H$24="Todos",'Plan mensual'!H74+'Plan mensual'!H185,0))+parametros_manuales!$G$24*('Plan mensual'!H71+'Plan mensual'!H182+IF(parametros_manuales!$H$24="Todos",'Plan mensual'!H75+'Plan mensual'!H186,0)))*parametros_manuales!$I$24*parametros_manuales!$J$24</f>
        <v>12441.00200092</v>
      </c>
      <c r="G169" s="9" t="n">
        <f aca="false">(parametros_manuales!$D$24*('Plan mensual'!I68+'Plan mensual'!I179+IF(parametros_manuales!$H$24="Todos",'Plan mensual'!I72+'Plan mensual'!I183,0))+parametros_manuales!$E$24*('Plan mensual'!I69+'Plan mensual'!I180+IF(parametros_manuales!$H$24="Todos",'Plan mensual'!I73+'Plan mensual'!I184,0))+parametros_manuales!$F$24*('Plan mensual'!I70+'Plan mensual'!I181+IF(parametros_manuales!$H$24="Todos",'Plan mensual'!I74+'Plan mensual'!I185,0))+parametros_manuales!$G$24*('Plan mensual'!I71+'Plan mensual'!I182+IF(parametros_manuales!$H$24="Todos",'Plan mensual'!I75+'Plan mensual'!I186,0)))*parametros_manuales!$I$24*parametros_manuales!$J$24</f>
        <v>12195.759421375</v>
      </c>
      <c r="H169" s="9" t="n">
        <f aca="false">(parametros_manuales!$D$24*('Plan mensual'!J68+'Plan mensual'!J179+IF(parametros_manuales!$H$24="Todos",'Plan mensual'!J72+'Plan mensual'!J183,0))+parametros_manuales!$E$24*('Plan mensual'!J69+'Plan mensual'!J180+IF(parametros_manuales!$H$24="Todos",'Plan mensual'!J73+'Plan mensual'!J184,0))+parametros_manuales!$F$24*('Plan mensual'!J70+'Plan mensual'!J181+IF(parametros_manuales!$H$24="Todos",'Plan mensual'!J74+'Plan mensual'!J185,0))+parametros_manuales!$G$24*('Plan mensual'!J71+'Plan mensual'!J182+IF(parametros_manuales!$H$24="Todos",'Plan mensual'!J75+'Plan mensual'!J186,0)))*parametros_manuales!$I$24*parametros_manuales!$J$24</f>
        <v>13049.36776722</v>
      </c>
      <c r="I169" s="9" t="n">
        <f aca="false">(parametros_manuales!$D$24*('Plan mensual'!K68+'Plan mensual'!K179+IF(parametros_manuales!$H$24="Todos",'Plan mensual'!K72+'Plan mensual'!K183,0))+parametros_manuales!$E$24*('Plan mensual'!K69+'Plan mensual'!K180+IF(parametros_manuales!$H$24="Todos",'Plan mensual'!K73+'Plan mensual'!K184,0))+parametros_manuales!$F$24*('Plan mensual'!K70+'Plan mensual'!K181+IF(parametros_manuales!$H$24="Todos",'Plan mensual'!K74+'Plan mensual'!K185,0))+parametros_manuales!$G$24*('Plan mensual'!K71+'Plan mensual'!K182+IF(parametros_manuales!$H$24="Todos",'Plan mensual'!K75+'Plan mensual'!K186,0)))*parametros_manuales!$I$24*parametros_manuales!$J$24</f>
        <v>13049.36776722</v>
      </c>
      <c r="J169" s="9" t="n">
        <f aca="false">(parametros_manuales!$D$24*('Plan mensual'!L68+'Plan mensual'!L179+IF(parametros_manuales!$H$24="Todos",'Plan mensual'!L72+'Plan mensual'!L183,0))+parametros_manuales!$E$24*('Plan mensual'!L69+'Plan mensual'!L180+IF(parametros_manuales!$H$24="Todos",'Plan mensual'!L73+'Plan mensual'!L184,0))+parametros_manuales!$F$24*('Plan mensual'!L70+'Plan mensual'!L181+IF(parametros_manuales!$H$24="Todos",'Plan mensual'!L74+'Plan mensual'!L185,0))+parametros_manuales!$G$24*('Plan mensual'!L71+'Plan mensual'!L182+IF(parametros_manuales!$H$24="Todos",'Plan mensual'!L75+'Plan mensual'!L186,0)))*parametros_manuales!$I$24*parametros_manuales!$J$24</f>
        <v>13049.36776722</v>
      </c>
      <c r="K169" s="9" t="n">
        <f aca="false">(parametros_manuales!$D$24*('Plan mensual'!M68+'Plan mensual'!M179+IF(parametros_manuales!$H$24="Todos",'Plan mensual'!M72+'Plan mensual'!M183,0))+parametros_manuales!$E$24*('Plan mensual'!M69+'Plan mensual'!M180+IF(parametros_manuales!$H$24="Todos",'Plan mensual'!M73+'Plan mensual'!M184,0))+parametros_manuales!$F$24*('Plan mensual'!M70+'Plan mensual'!M181+IF(parametros_manuales!$H$24="Todos",'Plan mensual'!M74+'Plan mensual'!M185,0))+parametros_manuales!$G$24*('Plan mensual'!M71+'Plan mensual'!M182+IF(parametros_manuales!$H$24="Todos",'Plan mensual'!M75+'Plan mensual'!M186,0)))*parametros_manuales!$I$24*parametros_manuales!$J$24</f>
        <v>12804.125187675</v>
      </c>
      <c r="L169" s="9" t="n">
        <f aca="false">(parametros_manuales!$D$24*('Plan mensual'!N68+'Plan mensual'!N179+IF(parametros_manuales!$H$24="Todos",'Plan mensual'!N72+'Plan mensual'!N183,0))+parametros_manuales!$E$24*('Plan mensual'!N69+'Plan mensual'!N180+IF(parametros_manuales!$H$24="Todos",'Plan mensual'!N73+'Plan mensual'!N184,0))+parametros_manuales!$F$24*('Plan mensual'!N70+'Plan mensual'!N181+IF(parametros_manuales!$H$24="Todos",'Plan mensual'!N74+'Plan mensual'!N185,0))+parametros_manuales!$G$24*('Plan mensual'!N71+'Plan mensual'!N182+IF(parametros_manuales!$H$24="Todos",'Plan mensual'!N75+'Plan mensual'!N186,0)))*parametros_manuales!$I$24*parametros_manuales!$J$24</f>
        <v>12558.88260813</v>
      </c>
      <c r="M169" s="9" t="n">
        <f aca="false">(parametros_manuales!$D$24*('Plan mensual'!O68+'Plan mensual'!O179+IF(parametros_manuales!$H$24="Todos",'Plan mensual'!O72+'Plan mensual'!O183,0))+parametros_manuales!$E$24*('Plan mensual'!O69+'Plan mensual'!O180+IF(parametros_manuales!$H$24="Todos",'Plan mensual'!O73+'Plan mensual'!O184,0))+parametros_manuales!$F$24*('Plan mensual'!O70+'Plan mensual'!O181+IF(parametros_manuales!$H$24="Todos",'Plan mensual'!O74+'Plan mensual'!O185,0))+parametros_manuales!$G$24*('Plan mensual'!O71+'Plan mensual'!O182+IF(parametros_manuales!$H$24="Todos",'Plan mensual'!O75+'Plan mensual'!O186,0)))*parametros_manuales!$I$24*parametros_manuales!$J$24</f>
        <v>19996.11514119</v>
      </c>
      <c r="N169" s="9" t="n">
        <f aca="false">SUM(B169:M169)</f>
        <v>170721.669169</v>
      </c>
      <c r="O169" s="9" t="n">
        <f aca="false">MAX(B169:M169)</f>
        <v>19996.11514119</v>
      </c>
      <c r="P169" s="44" t="n">
        <f aca="false">O169/(parametros_manuales!$B$7)</f>
        <v>133.3074342746</v>
      </c>
      <c r="Q169" s="8" t="str">
        <f aca="false">IF(O169=0,"-",INDEX($B$163:$M$163,MATCH(O169,B169:M169,0)))</f>
        <v>Dic</v>
      </c>
    </row>
    <row r="170" customFormat="false" ht="14.25" hidden="false" customHeight="true" outlineLevel="0" collapsed="false">
      <c r="A170" s="8" t="str">
        <f aca="false">parametros_manuales!$B$25</f>
        <v>Soldadura del cuello a la cúpula</v>
      </c>
      <c r="B170" s="9" t="n">
        <f aca="false">(parametros_manuales!$D$25*('Plan mensual'!D68+'Plan mensual'!D179+IF(parametros_manuales!$H$25="Todos",'Plan mensual'!D72+'Plan mensual'!D183,0))+parametros_manuales!$E$25*('Plan mensual'!D69+'Plan mensual'!D180+IF(parametros_manuales!$H$25="Todos",'Plan mensual'!D73+'Plan mensual'!D184,0))+parametros_manuales!$F$25*('Plan mensual'!D70+'Plan mensual'!D181+IF(parametros_manuales!$H$25="Todos",'Plan mensual'!D74+'Plan mensual'!D185,0))+parametros_manuales!$G$25*('Plan mensual'!D71+'Plan mensual'!D182+IF(parametros_manuales!$H$25="Todos",'Plan mensual'!D75+'Plan mensual'!D186,0)))*parametros_manuales!$I$25*parametros_manuales!$J$25</f>
        <v>19505.6299821</v>
      </c>
      <c r="C170" s="9" t="n">
        <f aca="false">(parametros_manuales!$D$25*('Plan mensual'!E68+'Plan mensual'!E179+IF(parametros_manuales!$H$25="Todos",'Plan mensual'!E72+'Plan mensual'!E183,0))+parametros_manuales!$E$25*('Plan mensual'!E69+'Plan mensual'!E180+IF(parametros_manuales!$H$25="Todos",'Plan mensual'!E73+'Plan mensual'!E184,0))+parametros_manuales!$F$25*('Plan mensual'!E70+'Plan mensual'!E181+IF(parametros_manuales!$H$25="Todos",'Plan mensual'!E74+'Plan mensual'!E185,0))+parametros_manuales!$G$25*('Plan mensual'!E71+'Plan mensual'!E182+IF(parametros_manuales!$H$25="Todos",'Plan mensual'!E75+'Plan mensual'!E186,0)))*parametros_manuales!$I$25*parametros_manuales!$J$25</f>
        <v>14874.46506612</v>
      </c>
      <c r="D170" s="9" t="n">
        <f aca="false">(parametros_manuales!$D$25*('Plan mensual'!F68+'Plan mensual'!F179+IF(parametros_manuales!$H$25="Todos",'Plan mensual'!F72+'Plan mensual'!F183,0))+parametros_manuales!$E$25*('Plan mensual'!F69+'Plan mensual'!F180+IF(parametros_manuales!$H$25="Todos",'Plan mensual'!F73+'Plan mensual'!F184,0))+parametros_manuales!$F$25*('Plan mensual'!F70+'Plan mensual'!F181+IF(parametros_manuales!$H$25="Todos",'Plan mensual'!F74+'Plan mensual'!F185,0))+parametros_manuales!$G$25*('Plan mensual'!F71+'Plan mensual'!F182+IF(parametros_manuales!$H$25="Todos",'Plan mensual'!F75+'Plan mensual'!F186,0)))*parametros_manuales!$I$25*parametros_manuales!$J$25</f>
        <v>13902.976113065</v>
      </c>
      <c r="E170" s="9" t="n">
        <f aca="false">(parametros_manuales!$D$25*('Plan mensual'!G68+'Plan mensual'!G179+IF(parametros_manuales!$H$25="Todos",'Plan mensual'!G72+'Plan mensual'!G183,0))+parametros_manuales!$E$25*('Plan mensual'!G69+'Plan mensual'!G180+IF(parametros_manuales!$H$25="Todos",'Plan mensual'!G73+'Plan mensual'!G184,0))+parametros_manuales!$F$25*('Plan mensual'!G70+'Plan mensual'!G181+IF(parametros_manuales!$H$25="Todos",'Plan mensual'!G74+'Plan mensual'!G185,0))+parametros_manuales!$G$25*('Plan mensual'!G71+'Plan mensual'!G182+IF(parametros_manuales!$H$25="Todos",'Plan mensual'!G75+'Plan mensual'!G186,0)))*parametros_manuales!$I$25*parametros_manuales!$J$25</f>
        <v>13294.610346765</v>
      </c>
      <c r="F170" s="9" t="n">
        <f aca="false">(parametros_manuales!$D$25*('Plan mensual'!H68+'Plan mensual'!H179+IF(parametros_manuales!$H$25="Todos",'Plan mensual'!H72+'Plan mensual'!H183,0))+parametros_manuales!$E$25*('Plan mensual'!H69+'Plan mensual'!H180+IF(parametros_manuales!$H$25="Todos",'Plan mensual'!H73+'Plan mensual'!H184,0))+parametros_manuales!$F$25*('Plan mensual'!H70+'Plan mensual'!H181+IF(parametros_manuales!$H$25="Todos",'Plan mensual'!H74+'Plan mensual'!H185,0))+parametros_manuales!$G$25*('Plan mensual'!H71+'Plan mensual'!H182+IF(parametros_manuales!$H$25="Todos",'Plan mensual'!H75+'Plan mensual'!H186,0)))*parametros_manuales!$I$25*parametros_manuales!$J$25</f>
        <v>12441.00200092</v>
      </c>
      <c r="G170" s="9" t="n">
        <f aca="false">(parametros_manuales!$D$25*('Plan mensual'!I68+'Plan mensual'!I179+IF(parametros_manuales!$H$25="Todos",'Plan mensual'!I72+'Plan mensual'!I183,0))+parametros_manuales!$E$25*('Plan mensual'!I69+'Plan mensual'!I180+IF(parametros_manuales!$H$25="Todos",'Plan mensual'!I73+'Plan mensual'!I184,0))+parametros_manuales!$F$25*('Plan mensual'!I70+'Plan mensual'!I181+IF(parametros_manuales!$H$25="Todos",'Plan mensual'!I74+'Plan mensual'!I185,0))+parametros_manuales!$G$25*('Plan mensual'!I71+'Plan mensual'!I182+IF(parametros_manuales!$H$25="Todos",'Plan mensual'!I75+'Plan mensual'!I186,0)))*parametros_manuales!$I$25*parametros_manuales!$J$25</f>
        <v>12195.759421375</v>
      </c>
      <c r="H170" s="9" t="n">
        <f aca="false">(parametros_manuales!$D$25*('Plan mensual'!J68+'Plan mensual'!J179+IF(parametros_manuales!$H$25="Todos",'Plan mensual'!J72+'Plan mensual'!J183,0))+parametros_manuales!$E$25*('Plan mensual'!J69+'Plan mensual'!J180+IF(parametros_manuales!$H$25="Todos",'Plan mensual'!J73+'Plan mensual'!J184,0))+parametros_manuales!$F$25*('Plan mensual'!J70+'Plan mensual'!J181+IF(parametros_manuales!$H$25="Todos",'Plan mensual'!J74+'Plan mensual'!J185,0))+parametros_manuales!$G$25*('Plan mensual'!J71+'Plan mensual'!J182+IF(parametros_manuales!$H$25="Todos",'Plan mensual'!J75+'Plan mensual'!J186,0)))*parametros_manuales!$I$25*parametros_manuales!$J$25</f>
        <v>13049.36776722</v>
      </c>
      <c r="I170" s="9" t="n">
        <f aca="false">(parametros_manuales!$D$25*('Plan mensual'!K68+'Plan mensual'!K179+IF(parametros_manuales!$H$25="Todos",'Plan mensual'!K72+'Plan mensual'!K183,0))+parametros_manuales!$E$25*('Plan mensual'!K69+'Plan mensual'!K180+IF(parametros_manuales!$H$25="Todos",'Plan mensual'!K73+'Plan mensual'!K184,0))+parametros_manuales!$F$25*('Plan mensual'!K70+'Plan mensual'!K181+IF(parametros_manuales!$H$25="Todos",'Plan mensual'!K74+'Plan mensual'!K185,0))+parametros_manuales!$G$25*('Plan mensual'!K71+'Plan mensual'!K182+IF(parametros_manuales!$H$25="Todos",'Plan mensual'!K75+'Plan mensual'!K186,0)))*parametros_manuales!$I$25*parametros_manuales!$J$25</f>
        <v>13049.36776722</v>
      </c>
      <c r="J170" s="9" t="n">
        <f aca="false">(parametros_manuales!$D$25*('Plan mensual'!L68+'Plan mensual'!L179+IF(parametros_manuales!$H$25="Todos",'Plan mensual'!L72+'Plan mensual'!L183,0))+parametros_manuales!$E$25*('Plan mensual'!L69+'Plan mensual'!L180+IF(parametros_manuales!$H$25="Todos",'Plan mensual'!L73+'Plan mensual'!L184,0))+parametros_manuales!$F$25*('Plan mensual'!L70+'Plan mensual'!L181+IF(parametros_manuales!$H$25="Todos",'Plan mensual'!L74+'Plan mensual'!L185,0))+parametros_manuales!$G$25*('Plan mensual'!L71+'Plan mensual'!L182+IF(parametros_manuales!$H$25="Todos",'Plan mensual'!L75+'Plan mensual'!L186,0)))*parametros_manuales!$I$25*parametros_manuales!$J$25</f>
        <v>13049.36776722</v>
      </c>
      <c r="K170" s="9" t="n">
        <f aca="false">(parametros_manuales!$D$25*('Plan mensual'!M68+'Plan mensual'!M179+IF(parametros_manuales!$H$25="Todos",'Plan mensual'!M72+'Plan mensual'!M183,0))+parametros_manuales!$E$25*('Plan mensual'!M69+'Plan mensual'!M180+IF(parametros_manuales!$H$25="Todos",'Plan mensual'!M73+'Plan mensual'!M184,0))+parametros_manuales!$F$25*('Plan mensual'!M70+'Plan mensual'!M181+IF(parametros_manuales!$H$25="Todos",'Plan mensual'!M74+'Plan mensual'!M185,0))+parametros_manuales!$G$25*('Plan mensual'!M71+'Plan mensual'!M182+IF(parametros_manuales!$H$25="Todos",'Plan mensual'!M75+'Plan mensual'!M186,0)))*parametros_manuales!$I$25*parametros_manuales!$J$25</f>
        <v>12804.125187675</v>
      </c>
      <c r="L170" s="9" t="n">
        <f aca="false">(parametros_manuales!$D$25*('Plan mensual'!N68+'Plan mensual'!N179+IF(parametros_manuales!$H$25="Todos",'Plan mensual'!N72+'Plan mensual'!N183,0))+parametros_manuales!$E$25*('Plan mensual'!N69+'Plan mensual'!N180+IF(parametros_manuales!$H$25="Todos",'Plan mensual'!N73+'Plan mensual'!N184,0))+parametros_manuales!$F$25*('Plan mensual'!N70+'Plan mensual'!N181+IF(parametros_manuales!$H$25="Todos",'Plan mensual'!N74+'Plan mensual'!N185,0))+parametros_manuales!$G$25*('Plan mensual'!N71+'Plan mensual'!N182+IF(parametros_manuales!$H$25="Todos",'Plan mensual'!N75+'Plan mensual'!N186,0)))*parametros_manuales!$I$25*parametros_manuales!$J$25</f>
        <v>12558.88260813</v>
      </c>
      <c r="M170" s="9" t="n">
        <f aca="false">(parametros_manuales!$D$25*('Plan mensual'!O68+'Plan mensual'!O179+IF(parametros_manuales!$H$25="Todos",'Plan mensual'!O72+'Plan mensual'!O183,0))+parametros_manuales!$E$25*('Plan mensual'!O69+'Plan mensual'!O180+IF(parametros_manuales!$H$25="Todos",'Plan mensual'!O73+'Plan mensual'!O184,0))+parametros_manuales!$F$25*('Plan mensual'!O70+'Plan mensual'!O181+IF(parametros_manuales!$H$25="Todos",'Plan mensual'!O74+'Plan mensual'!O185,0))+parametros_manuales!$G$25*('Plan mensual'!O71+'Plan mensual'!O182+IF(parametros_manuales!$H$25="Todos",'Plan mensual'!O75+'Plan mensual'!O186,0)))*parametros_manuales!$I$25*parametros_manuales!$J$25</f>
        <v>19996.11514119</v>
      </c>
      <c r="N170" s="9" t="n">
        <f aca="false">SUM(B170:M170)</f>
        <v>170721.669169</v>
      </c>
      <c r="O170" s="9" t="n">
        <f aca="false">MAX(B170:M170)</f>
        <v>19996.11514119</v>
      </c>
      <c r="P170" s="44" t="n">
        <f aca="false">O170/(parametros_manuales!$B$7)</f>
        <v>133.3074342746</v>
      </c>
      <c r="Q170" s="8" t="str">
        <f aca="false">IF(O170=0,"-",INDEX($B$163:$M$163,MATCH(O170,B170:M170,0)))</f>
        <v>Dic</v>
      </c>
    </row>
    <row r="171" customFormat="false" ht="14.25" hidden="false" customHeight="true" outlineLevel="0" collapsed="false">
      <c r="A171" s="8" t="str">
        <f aca="false">parametros_manuales!$B$26</f>
        <v>Cilindrado</v>
      </c>
      <c r="B171" s="9" t="n">
        <f aca="false">(parametros_manuales!$D$26*('Plan mensual'!D68+'Plan mensual'!D179+IF(parametros_manuales!$H$26="Todos",'Plan mensual'!D72+'Plan mensual'!D183,0))+parametros_manuales!$E$26*('Plan mensual'!D69+'Plan mensual'!D180+IF(parametros_manuales!$H$26="Todos",'Plan mensual'!D73+'Plan mensual'!D184,0))+parametros_manuales!$F$26*('Plan mensual'!D70+'Plan mensual'!D181+IF(parametros_manuales!$H$26="Todos",'Plan mensual'!D74+'Plan mensual'!D185,0))+parametros_manuales!$G$26*('Plan mensual'!D71+'Plan mensual'!D182+IF(parametros_manuales!$H$26="Todos",'Plan mensual'!D75+'Plan mensual'!D186,0)))*parametros_manuales!$I$26*parametros_manuales!$J$26</f>
        <v>4904.8515909</v>
      </c>
      <c r="C171" s="9" t="n">
        <f aca="false">(parametros_manuales!$D$26*('Plan mensual'!E68+'Plan mensual'!E179+IF(parametros_manuales!$H$26="Todos",'Plan mensual'!E72+'Plan mensual'!E183,0))+parametros_manuales!$E$26*('Plan mensual'!E69+'Plan mensual'!E180+IF(parametros_manuales!$H$26="Todos",'Plan mensual'!E73+'Plan mensual'!E184,0))+parametros_manuales!$F$26*('Plan mensual'!E70+'Plan mensual'!E181+IF(parametros_manuales!$H$26="Todos",'Plan mensual'!E74+'Plan mensual'!E185,0))+parametros_manuales!$G$26*('Plan mensual'!E71+'Plan mensual'!E182+IF(parametros_manuales!$H$26="Todos",'Plan mensual'!E75+'Plan mensual'!E186,0)))*parametros_manuales!$I$26*parametros_manuales!$J$26</f>
        <v>3923.88127272</v>
      </c>
      <c r="D171" s="9" t="n">
        <f aca="false">(parametros_manuales!$D$26*('Plan mensual'!F68+'Plan mensual'!F179+IF(parametros_manuales!$H$26="Todos",'Plan mensual'!F72+'Plan mensual'!F183,0))+parametros_manuales!$E$26*('Plan mensual'!F69+'Plan mensual'!F180+IF(parametros_manuales!$H$26="Todos",'Plan mensual'!F73+'Plan mensual'!F184,0))+parametros_manuales!$F$26*('Plan mensual'!F70+'Plan mensual'!F181+IF(parametros_manuales!$H$26="Todos",'Plan mensual'!F74+'Plan mensual'!F185,0))+parametros_manuales!$G$26*('Plan mensual'!F71+'Plan mensual'!F182+IF(parametros_manuales!$H$26="Todos",'Plan mensual'!F75+'Plan mensual'!F186,0)))*parametros_manuales!$I$26*parametros_manuales!$J$26</f>
        <v>4169.123852265</v>
      </c>
      <c r="E171" s="9" t="n">
        <f aca="false">(parametros_manuales!$D$26*('Plan mensual'!G68+'Plan mensual'!G179+IF(parametros_manuales!$H$26="Todos",'Plan mensual'!G72+'Plan mensual'!G183,0))+parametros_manuales!$E$26*('Plan mensual'!G69+'Plan mensual'!G180+IF(parametros_manuales!$H$26="Todos",'Plan mensual'!G73+'Plan mensual'!G184,0))+parametros_manuales!$F$26*('Plan mensual'!G70+'Plan mensual'!G181+IF(parametros_manuales!$H$26="Todos",'Plan mensual'!G74+'Plan mensual'!G185,0))+parametros_manuales!$G$26*('Plan mensual'!G71+'Plan mensual'!G182+IF(parametros_manuales!$H$26="Todos",'Plan mensual'!G75+'Plan mensual'!G186,0)))*parametros_manuales!$I$26*parametros_manuales!$J$26</f>
        <v>4169.123852265</v>
      </c>
      <c r="F171" s="9" t="n">
        <f aca="false">(parametros_manuales!$D$26*('Plan mensual'!H68+'Plan mensual'!H179+IF(parametros_manuales!$H$26="Todos",'Plan mensual'!H72+'Plan mensual'!H183,0))+parametros_manuales!$E$26*('Plan mensual'!H69+'Plan mensual'!H180+IF(parametros_manuales!$H$26="Todos",'Plan mensual'!H73+'Plan mensual'!H184,0))+parametros_manuales!$F$26*('Plan mensual'!H70+'Plan mensual'!H181+IF(parametros_manuales!$H$26="Todos",'Plan mensual'!H74+'Plan mensual'!H185,0))+parametros_manuales!$G$26*('Plan mensual'!H71+'Plan mensual'!H182+IF(parametros_manuales!$H$26="Todos",'Plan mensual'!H75+'Plan mensual'!H186,0)))*parametros_manuales!$I$26*parametros_manuales!$J$26</f>
        <v>3923.88127272</v>
      </c>
      <c r="G171" s="9" t="n">
        <f aca="false">(parametros_manuales!$D$26*('Plan mensual'!I68+'Plan mensual'!I179+IF(parametros_manuales!$H$26="Todos",'Plan mensual'!I72+'Plan mensual'!I183,0))+parametros_manuales!$E$26*('Plan mensual'!I69+'Plan mensual'!I180+IF(parametros_manuales!$H$26="Todos",'Plan mensual'!I73+'Plan mensual'!I184,0))+parametros_manuales!$F$26*('Plan mensual'!I70+'Plan mensual'!I181+IF(parametros_manuales!$H$26="Todos",'Plan mensual'!I74+'Plan mensual'!I185,0))+parametros_manuales!$G$26*('Plan mensual'!I71+'Plan mensual'!I182+IF(parametros_manuales!$H$26="Todos",'Plan mensual'!I75+'Plan mensual'!I186,0)))*parametros_manuales!$I$26*parametros_manuales!$J$26</f>
        <v>3678.638693175</v>
      </c>
      <c r="H171" s="9" t="n">
        <f aca="false">(parametros_manuales!$D$26*('Plan mensual'!J68+'Plan mensual'!J179+IF(parametros_manuales!$H$26="Todos",'Plan mensual'!J72+'Plan mensual'!J183,0))+parametros_manuales!$E$26*('Plan mensual'!J69+'Plan mensual'!J180+IF(parametros_manuales!$H$26="Todos",'Plan mensual'!J73+'Plan mensual'!J184,0))+parametros_manuales!$F$26*('Plan mensual'!J70+'Plan mensual'!J181+IF(parametros_manuales!$H$26="Todos",'Plan mensual'!J74+'Plan mensual'!J185,0))+parametros_manuales!$G$26*('Plan mensual'!J71+'Plan mensual'!J182+IF(parametros_manuales!$H$26="Todos",'Plan mensual'!J75+'Plan mensual'!J186,0)))*parametros_manuales!$I$26*parametros_manuales!$J$26</f>
        <v>3923.88127272</v>
      </c>
      <c r="I171" s="9" t="n">
        <f aca="false">(parametros_manuales!$D$26*('Plan mensual'!K68+'Plan mensual'!K179+IF(parametros_manuales!$H$26="Todos",'Plan mensual'!K72+'Plan mensual'!K183,0))+parametros_manuales!$E$26*('Plan mensual'!K69+'Plan mensual'!K180+IF(parametros_manuales!$H$26="Todos",'Plan mensual'!K73+'Plan mensual'!K184,0))+parametros_manuales!$F$26*('Plan mensual'!K70+'Plan mensual'!K181+IF(parametros_manuales!$H$26="Todos",'Plan mensual'!K74+'Plan mensual'!K185,0))+parametros_manuales!$G$26*('Plan mensual'!K71+'Plan mensual'!K182+IF(parametros_manuales!$H$26="Todos",'Plan mensual'!K75+'Plan mensual'!K186,0)))*parametros_manuales!$I$26*parametros_manuales!$J$26</f>
        <v>3923.88127272</v>
      </c>
      <c r="J171" s="9" t="n">
        <f aca="false">(parametros_manuales!$D$26*('Plan mensual'!L68+'Plan mensual'!L179+IF(parametros_manuales!$H$26="Todos",'Plan mensual'!L72+'Plan mensual'!L183,0))+parametros_manuales!$E$26*('Plan mensual'!L69+'Plan mensual'!L180+IF(parametros_manuales!$H$26="Todos",'Plan mensual'!L73+'Plan mensual'!L184,0))+parametros_manuales!$F$26*('Plan mensual'!L70+'Plan mensual'!L181+IF(parametros_manuales!$H$26="Todos",'Plan mensual'!L74+'Plan mensual'!L185,0))+parametros_manuales!$G$26*('Plan mensual'!L71+'Plan mensual'!L182+IF(parametros_manuales!$H$26="Todos",'Plan mensual'!L75+'Plan mensual'!L186,0)))*parametros_manuales!$I$26*parametros_manuales!$J$26</f>
        <v>3923.88127272</v>
      </c>
      <c r="K171" s="9" t="n">
        <f aca="false">(parametros_manuales!$D$26*('Plan mensual'!M68+'Plan mensual'!M179+IF(parametros_manuales!$H$26="Todos",'Plan mensual'!M72+'Plan mensual'!M183,0))+parametros_manuales!$E$26*('Plan mensual'!M69+'Plan mensual'!M180+IF(parametros_manuales!$H$26="Todos",'Plan mensual'!M73+'Plan mensual'!M184,0))+parametros_manuales!$F$26*('Plan mensual'!M70+'Plan mensual'!M181+IF(parametros_manuales!$H$26="Todos",'Plan mensual'!M74+'Plan mensual'!M185,0))+parametros_manuales!$G$26*('Plan mensual'!M71+'Plan mensual'!M182+IF(parametros_manuales!$H$26="Todos",'Plan mensual'!M75+'Plan mensual'!M186,0)))*parametros_manuales!$I$26*parametros_manuales!$J$26</f>
        <v>3678.638693175</v>
      </c>
      <c r="L171" s="9" t="n">
        <f aca="false">(parametros_manuales!$D$26*('Plan mensual'!N68+'Plan mensual'!N179+IF(parametros_manuales!$H$26="Todos",'Plan mensual'!N72+'Plan mensual'!N183,0))+parametros_manuales!$E$26*('Plan mensual'!N69+'Plan mensual'!N180+IF(parametros_manuales!$H$26="Todos",'Plan mensual'!N73+'Plan mensual'!N184,0))+parametros_manuales!$F$26*('Plan mensual'!N70+'Plan mensual'!N181+IF(parametros_manuales!$H$26="Todos",'Plan mensual'!N74+'Plan mensual'!N185,0))+parametros_manuales!$G$26*('Plan mensual'!N71+'Plan mensual'!N182+IF(parametros_manuales!$H$26="Todos",'Plan mensual'!N75+'Plan mensual'!N186,0)))*parametros_manuales!$I$26*parametros_manuales!$J$26</f>
        <v>3433.39611363</v>
      </c>
      <c r="M171" s="9" t="n">
        <f aca="false">(parametros_manuales!$D$26*('Plan mensual'!O68+'Plan mensual'!O179+IF(parametros_manuales!$H$26="Todos",'Plan mensual'!O72+'Plan mensual'!O183,0))+parametros_manuales!$E$26*('Plan mensual'!O69+'Plan mensual'!O180+IF(parametros_manuales!$H$26="Todos",'Plan mensual'!O73+'Plan mensual'!O184,0))+parametros_manuales!$F$26*('Plan mensual'!O70+'Plan mensual'!O181+IF(parametros_manuales!$H$26="Todos",'Plan mensual'!O74+'Plan mensual'!O185,0))+parametros_manuales!$G$26*('Plan mensual'!O71+'Plan mensual'!O182+IF(parametros_manuales!$H$26="Todos",'Plan mensual'!O75+'Plan mensual'!O186,0)))*parametros_manuales!$I$26*parametros_manuales!$J$26</f>
        <v>5395.33674999</v>
      </c>
      <c r="N171" s="9" t="n">
        <f aca="false">SUM(B171:M171)</f>
        <v>49048.515909</v>
      </c>
      <c r="O171" s="9" t="n">
        <f aca="false">MAX(B171:M171)</f>
        <v>5395.33674999</v>
      </c>
      <c r="P171" s="44" t="n">
        <f aca="false">O171/(parametros_manuales!$B$7)</f>
        <v>35.9689116666</v>
      </c>
      <c r="Q171" s="8" t="str">
        <f aca="false">IF(O171=0,"-",INDEX($B$163:$M$163,MATCH(O171,B171:M171,0)))</f>
        <v>Dic</v>
      </c>
    </row>
    <row r="172" customFormat="false" ht="14.25" hidden="false" customHeight="true" outlineLevel="0" collapsed="false">
      <c r="A172" s="8" t="str">
        <f aca="false">parametros_manuales!$B$27</f>
        <v>Soldadura longitudinal</v>
      </c>
      <c r="B172" s="9" t="n">
        <f aca="false">(parametros_manuales!$D$27*('Plan mensual'!D68+'Plan mensual'!D179+IF(parametros_manuales!$H$27="Todos",'Plan mensual'!D72+'Plan mensual'!D183,0))+parametros_manuales!$E$27*('Plan mensual'!D69+'Plan mensual'!D180+IF(parametros_manuales!$H$27="Todos",'Plan mensual'!D73+'Plan mensual'!D184,0))+parametros_manuales!$F$27*('Plan mensual'!D70+'Plan mensual'!D181+IF(parametros_manuales!$H$27="Todos",'Plan mensual'!D74+'Plan mensual'!D185,0))+parametros_manuales!$G$27*('Plan mensual'!D71+'Plan mensual'!D182+IF(parametros_manuales!$H$27="Todos",'Plan mensual'!D75+'Plan mensual'!D186,0)))*parametros_manuales!$I$27*parametros_manuales!$J$27</f>
        <v>4904.8515909</v>
      </c>
      <c r="C172" s="9" t="n">
        <f aca="false">(parametros_manuales!$D$27*('Plan mensual'!E68+'Plan mensual'!E179+IF(parametros_manuales!$H$27="Todos",'Plan mensual'!E72+'Plan mensual'!E183,0))+parametros_manuales!$E$27*('Plan mensual'!E69+'Plan mensual'!E180+IF(parametros_manuales!$H$27="Todos",'Plan mensual'!E73+'Plan mensual'!E184,0))+parametros_manuales!$F$27*('Plan mensual'!E70+'Plan mensual'!E181+IF(parametros_manuales!$H$27="Todos",'Plan mensual'!E74+'Plan mensual'!E185,0))+parametros_manuales!$G$27*('Plan mensual'!E71+'Plan mensual'!E182+IF(parametros_manuales!$H$27="Todos",'Plan mensual'!E75+'Plan mensual'!E186,0)))*parametros_manuales!$I$27*parametros_manuales!$J$27</f>
        <v>3923.88127272</v>
      </c>
      <c r="D172" s="9" t="n">
        <f aca="false">(parametros_manuales!$D$27*('Plan mensual'!F68+'Plan mensual'!F179+IF(parametros_manuales!$H$27="Todos",'Plan mensual'!F72+'Plan mensual'!F183,0))+parametros_manuales!$E$27*('Plan mensual'!F69+'Plan mensual'!F180+IF(parametros_manuales!$H$27="Todos",'Plan mensual'!F73+'Plan mensual'!F184,0))+parametros_manuales!$F$27*('Plan mensual'!F70+'Plan mensual'!F181+IF(parametros_manuales!$H$27="Todos",'Plan mensual'!F74+'Plan mensual'!F185,0))+parametros_manuales!$G$27*('Plan mensual'!F71+'Plan mensual'!F182+IF(parametros_manuales!$H$27="Todos",'Plan mensual'!F75+'Plan mensual'!F186,0)))*parametros_manuales!$I$27*parametros_manuales!$J$27</f>
        <v>4169.123852265</v>
      </c>
      <c r="E172" s="9" t="n">
        <f aca="false">(parametros_manuales!$D$27*('Plan mensual'!G68+'Plan mensual'!G179+IF(parametros_manuales!$H$27="Todos",'Plan mensual'!G72+'Plan mensual'!G183,0))+parametros_manuales!$E$27*('Plan mensual'!G69+'Plan mensual'!G180+IF(parametros_manuales!$H$27="Todos",'Plan mensual'!G73+'Plan mensual'!G184,0))+parametros_manuales!$F$27*('Plan mensual'!G70+'Plan mensual'!G181+IF(parametros_manuales!$H$27="Todos",'Plan mensual'!G74+'Plan mensual'!G185,0))+parametros_manuales!$G$27*('Plan mensual'!G71+'Plan mensual'!G182+IF(parametros_manuales!$H$27="Todos",'Plan mensual'!G75+'Plan mensual'!G186,0)))*parametros_manuales!$I$27*parametros_manuales!$J$27</f>
        <v>4169.123852265</v>
      </c>
      <c r="F172" s="9" t="n">
        <f aca="false">(parametros_manuales!$D$27*('Plan mensual'!H68+'Plan mensual'!H179+IF(parametros_manuales!$H$27="Todos",'Plan mensual'!H72+'Plan mensual'!H183,0))+parametros_manuales!$E$27*('Plan mensual'!H69+'Plan mensual'!H180+IF(parametros_manuales!$H$27="Todos",'Plan mensual'!H73+'Plan mensual'!H184,0))+parametros_manuales!$F$27*('Plan mensual'!H70+'Plan mensual'!H181+IF(parametros_manuales!$H$27="Todos",'Plan mensual'!H74+'Plan mensual'!H185,0))+parametros_manuales!$G$27*('Plan mensual'!H71+'Plan mensual'!H182+IF(parametros_manuales!$H$27="Todos",'Plan mensual'!H75+'Plan mensual'!H186,0)))*parametros_manuales!$I$27*parametros_manuales!$J$27</f>
        <v>3923.88127272</v>
      </c>
      <c r="G172" s="9" t="n">
        <f aca="false">(parametros_manuales!$D$27*('Plan mensual'!I68+'Plan mensual'!I179+IF(parametros_manuales!$H$27="Todos",'Plan mensual'!I72+'Plan mensual'!I183,0))+parametros_manuales!$E$27*('Plan mensual'!I69+'Plan mensual'!I180+IF(parametros_manuales!$H$27="Todos",'Plan mensual'!I73+'Plan mensual'!I184,0))+parametros_manuales!$F$27*('Plan mensual'!I70+'Plan mensual'!I181+IF(parametros_manuales!$H$27="Todos",'Plan mensual'!I74+'Plan mensual'!I185,0))+parametros_manuales!$G$27*('Plan mensual'!I71+'Plan mensual'!I182+IF(parametros_manuales!$H$27="Todos",'Plan mensual'!I75+'Plan mensual'!I186,0)))*parametros_manuales!$I$27*parametros_manuales!$J$27</f>
        <v>3678.638693175</v>
      </c>
      <c r="H172" s="9" t="n">
        <f aca="false">(parametros_manuales!$D$27*('Plan mensual'!J68+'Plan mensual'!J179+IF(parametros_manuales!$H$27="Todos",'Plan mensual'!J72+'Plan mensual'!J183,0))+parametros_manuales!$E$27*('Plan mensual'!J69+'Plan mensual'!J180+IF(parametros_manuales!$H$27="Todos",'Plan mensual'!J73+'Plan mensual'!J184,0))+parametros_manuales!$F$27*('Plan mensual'!J70+'Plan mensual'!J181+IF(parametros_manuales!$H$27="Todos",'Plan mensual'!J74+'Plan mensual'!J185,0))+parametros_manuales!$G$27*('Plan mensual'!J71+'Plan mensual'!J182+IF(parametros_manuales!$H$27="Todos",'Plan mensual'!J75+'Plan mensual'!J186,0)))*parametros_manuales!$I$27*parametros_manuales!$J$27</f>
        <v>3923.88127272</v>
      </c>
      <c r="I172" s="9" t="n">
        <f aca="false">(parametros_manuales!$D$27*('Plan mensual'!K68+'Plan mensual'!K179+IF(parametros_manuales!$H$27="Todos",'Plan mensual'!K72+'Plan mensual'!K183,0))+parametros_manuales!$E$27*('Plan mensual'!K69+'Plan mensual'!K180+IF(parametros_manuales!$H$27="Todos",'Plan mensual'!K73+'Plan mensual'!K184,0))+parametros_manuales!$F$27*('Plan mensual'!K70+'Plan mensual'!K181+IF(parametros_manuales!$H$27="Todos",'Plan mensual'!K74+'Plan mensual'!K185,0))+parametros_manuales!$G$27*('Plan mensual'!K71+'Plan mensual'!K182+IF(parametros_manuales!$H$27="Todos",'Plan mensual'!K75+'Plan mensual'!K186,0)))*parametros_manuales!$I$27*parametros_manuales!$J$27</f>
        <v>3923.88127272</v>
      </c>
      <c r="J172" s="9" t="n">
        <f aca="false">(parametros_manuales!$D$27*('Plan mensual'!L68+'Plan mensual'!L179+IF(parametros_manuales!$H$27="Todos",'Plan mensual'!L72+'Plan mensual'!L183,0))+parametros_manuales!$E$27*('Plan mensual'!L69+'Plan mensual'!L180+IF(parametros_manuales!$H$27="Todos",'Plan mensual'!L73+'Plan mensual'!L184,0))+parametros_manuales!$F$27*('Plan mensual'!L70+'Plan mensual'!L181+IF(parametros_manuales!$H$27="Todos",'Plan mensual'!L74+'Plan mensual'!L185,0))+parametros_manuales!$G$27*('Plan mensual'!L71+'Plan mensual'!L182+IF(parametros_manuales!$H$27="Todos",'Plan mensual'!L75+'Plan mensual'!L186,0)))*parametros_manuales!$I$27*parametros_manuales!$J$27</f>
        <v>3923.88127272</v>
      </c>
      <c r="K172" s="9" t="n">
        <f aca="false">(parametros_manuales!$D$27*('Plan mensual'!M68+'Plan mensual'!M179+IF(parametros_manuales!$H$27="Todos",'Plan mensual'!M72+'Plan mensual'!M183,0))+parametros_manuales!$E$27*('Plan mensual'!M69+'Plan mensual'!M180+IF(parametros_manuales!$H$27="Todos",'Plan mensual'!M73+'Plan mensual'!M184,0))+parametros_manuales!$F$27*('Plan mensual'!M70+'Plan mensual'!M181+IF(parametros_manuales!$H$27="Todos",'Plan mensual'!M74+'Plan mensual'!M185,0))+parametros_manuales!$G$27*('Plan mensual'!M71+'Plan mensual'!M182+IF(parametros_manuales!$H$27="Todos",'Plan mensual'!M75+'Plan mensual'!M186,0)))*parametros_manuales!$I$27*parametros_manuales!$J$27</f>
        <v>3678.638693175</v>
      </c>
      <c r="L172" s="9" t="n">
        <f aca="false">(parametros_manuales!$D$27*('Plan mensual'!N68+'Plan mensual'!N179+IF(parametros_manuales!$H$27="Todos",'Plan mensual'!N72+'Plan mensual'!N183,0))+parametros_manuales!$E$27*('Plan mensual'!N69+'Plan mensual'!N180+IF(parametros_manuales!$H$27="Todos",'Plan mensual'!N73+'Plan mensual'!N184,0))+parametros_manuales!$F$27*('Plan mensual'!N70+'Plan mensual'!N181+IF(parametros_manuales!$H$27="Todos",'Plan mensual'!N74+'Plan mensual'!N185,0))+parametros_manuales!$G$27*('Plan mensual'!N71+'Plan mensual'!N182+IF(parametros_manuales!$H$27="Todos",'Plan mensual'!N75+'Plan mensual'!N186,0)))*parametros_manuales!$I$27*parametros_manuales!$J$27</f>
        <v>3433.39611363</v>
      </c>
      <c r="M172" s="9" t="n">
        <f aca="false">(parametros_manuales!$D$27*('Plan mensual'!O68+'Plan mensual'!O179+IF(parametros_manuales!$H$27="Todos",'Plan mensual'!O72+'Plan mensual'!O183,0))+parametros_manuales!$E$27*('Plan mensual'!O69+'Plan mensual'!O180+IF(parametros_manuales!$H$27="Todos",'Plan mensual'!O73+'Plan mensual'!O184,0))+parametros_manuales!$F$27*('Plan mensual'!O70+'Plan mensual'!O181+IF(parametros_manuales!$H$27="Todos",'Plan mensual'!O74+'Plan mensual'!O185,0))+parametros_manuales!$G$27*('Plan mensual'!O71+'Plan mensual'!O182+IF(parametros_manuales!$H$27="Todos",'Plan mensual'!O75+'Plan mensual'!O186,0)))*parametros_manuales!$I$27*parametros_manuales!$J$27</f>
        <v>5395.33674999</v>
      </c>
      <c r="N172" s="9" t="n">
        <f aca="false">SUM(B172:M172)</f>
        <v>49048.515909</v>
      </c>
      <c r="O172" s="9" t="n">
        <f aca="false">MAX(B172:M172)</f>
        <v>5395.33674999</v>
      </c>
      <c r="P172" s="44" t="n">
        <f aca="false">O172/(parametros_manuales!$B$7)</f>
        <v>35.9689116666</v>
      </c>
      <c r="Q172" s="8" t="str">
        <f aca="false">IF(O172=0,"-",INDEX($B$163:$M$163,MATCH(O172,B172:M172,0)))</f>
        <v>Dic</v>
      </c>
    </row>
    <row r="173" customFormat="false" ht="14.25" hidden="false" customHeight="true" outlineLevel="0" collapsed="false">
      <c r="A173" s="8" t="str">
        <f aca="false">parametros_manuales!$B$28</f>
        <v>Encastre de fondo</v>
      </c>
      <c r="B173" s="9" t="n">
        <f aca="false">(parametros_manuales!$D$28*('Plan mensual'!D68+'Plan mensual'!D179+IF(parametros_manuales!$H$28="Todos",'Plan mensual'!D72+'Plan mensual'!D183,0))+parametros_manuales!$E$28*('Plan mensual'!D69+'Plan mensual'!D180+IF(parametros_manuales!$H$28="Todos",'Plan mensual'!D73+'Plan mensual'!D184,0))+parametros_manuales!$F$28*('Plan mensual'!D70+'Plan mensual'!D181+IF(parametros_manuales!$H$28="Todos",'Plan mensual'!D74+'Plan mensual'!D185,0))+parametros_manuales!$G$28*('Plan mensual'!D71+'Plan mensual'!D182+IF(parametros_manuales!$H$28="Todos",'Plan mensual'!D75+'Plan mensual'!D186,0)))*parametros_manuales!$I$28*parametros_manuales!$J$28</f>
        <v>19505.6299821</v>
      </c>
      <c r="C173" s="9" t="n">
        <f aca="false">(parametros_manuales!$D$28*('Plan mensual'!E68+'Plan mensual'!E179+IF(parametros_manuales!$H$28="Todos",'Plan mensual'!E72+'Plan mensual'!E183,0))+parametros_manuales!$E$28*('Plan mensual'!E69+'Plan mensual'!E180+IF(parametros_manuales!$H$28="Todos",'Plan mensual'!E73+'Plan mensual'!E184,0))+parametros_manuales!$F$28*('Plan mensual'!E70+'Plan mensual'!E181+IF(parametros_manuales!$H$28="Todos",'Plan mensual'!E74+'Plan mensual'!E185,0))+parametros_manuales!$G$28*('Plan mensual'!E71+'Plan mensual'!E182+IF(parametros_manuales!$H$28="Todos",'Plan mensual'!E75+'Plan mensual'!E186,0)))*parametros_manuales!$I$28*parametros_manuales!$J$28</f>
        <v>14874.46506612</v>
      </c>
      <c r="D173" s="9" t="n">
        <f aca="false">(parametros_manuales!$D$28*('Plan mensual'!F68+'Plan mensual'!F179+IF(parametros_manuales!$H$28="Todos",'Plan mensual'!F72+'Plan mensual'!F183,0))+parametros_manuales!$E$28*('Plan mensual'!F69+'Plan mensual'!F180+IF(parametros_manuales!$H$28="Todos",'Plan mensual'!F73+'Plan mensual'!F184,0))+parametros_manuales!$F$28*('Plan mensual'!F70+'Plan mensual'!F181+IF(parametros_manuales!$H$28="Todos",'Plan mensual'!F74+'Plan mensual'!F185,0))+parametros_manuales!$G$28*('Plan mensual'!F71+'Plan mensual'!F182+IF(parametros_manuales!$H$28="Todos",'Plan mensual'!F75+'Plan mensual'!F186,0)))*parametros_manuales!$I$28*parametros_manuales!$J$28</f>
        <v>13902.976113065</v>
      </c>
      <c r="E173" s="9" t="n">
        <f aca="false">(parametros_manuales!$D$28*('Plan mensual'!G68+'Plan mensual'!G179+IF(parametros_manuales!$H$28="Todos",'Plan mensual'!G72+'Plan mensual'!G183,0))+parametros_manuales!$E$28*('Plan mensual'!G69+'Plan mensual'!G180+IF(parametros_manuales!$H$28="Todos",'Plan mensual'!G73+'Plan mensual'!G184,0))+parametros_manuales!$F$28*('Plan mensual'!G70+'Plan mensual'!G181+IF(parametros_manuales!$H$28="Todos",'Plan mensual'!G74+'Plan mensual'!G185,0))+parametros_manuales!$G$28*('Plan mensual'!G71+'Plan mensual'!G182+IF(parametros_manuales!$H$28="Todos",'Plan mensual'!G75+'Plan mensual'!G186,0)))*parametros_manuales!$I$28*parametros_manuales!$J$28</f>
        <v>13294.610346765</v>
      </c>
      <c r="F173" s="9" t="n">
        <f aca="false">(parametros_manuales!$D$28*('Plan mensual'!H68+'Plan mensual'!H179+IF(parametros_manuales!$H$28="Todos",'Plan mensual'!H72+'Plan mensual'!H183,0))+parametros_manuales!$E$28*('Plan mensual'!H69+'Plan mensual'!H180+IF(parametros_manuales!$H$28="Todos",'Plan mensual'!H73+'Plan mensual'!H184,0))+parametros_manuales!$F$28*('Plan mensual'!H70+'Plan mensual'!H181+IF(parametros_manuales!$H$28="Todos",'Plan mensual'!H74+'Plan mensual'!H185,0))+parametros_manuales!$G$28*('Plan mensual'!H71+'Plan mensual'!H182+IF(parametros_manuales!$H$28="Todos",'Plan mensual'!H75+'Plan mensual'!H186,0)))*parametros_manuales!$I$28*parametros_manuales!$J$28</f>
        <v>12441.00200092</v>
      </c>
      <c r="G173" s="9" t="n">
        <f aca="false">(parametros_manuales!$D$28*('Plan mensual'!I68+'Plan mensual'!I179+IF(parametros_manuales!$H$28="Todos",'Plan mensual'!I72+'Plan mensual'!I183,0))+parametros_manuales!$E$28*('Plan mensual'!I69+'Plan mensual'!I180+IF(parametros_manuales!$H$28="Todos",'Plan mensual'!I73+'Plan mensual'!I184,0))+parametros_manuales!$F$28*('Plan mensual'!I70+'Plan mensual'!I181+IF(parametros_manuales!$H$28="Todos",'Plan mensual'!I74+'Plan mensual'!I185,0))+parametros_manuales!$G$28*('Plan mensual'!I71+'Plan mensual'!I182+IF(parametros_manuales!$H$28="Todos",'Plan mensual'!I75+'Plan mensual'!I186,0)))*parametros_manuales!$I$28*parametros_manuales!$J$28</f>
        <v>12195.759421375</v>
      </c>
      <c r="H173" s="9" t="n">
        <f aca="false">(parametros_manuales!$D$28*('Plan mensual'!J68+'Plan mensual'!J179+IF(parametros_manuales!$H$28="Todos",'Plan mensual'!J72+'Plan mensual'!J183,0))+parametros_manuales!$E$28*('Plan mensual'!J69+'Plan mensual'!J180+IF(parametros_manuales!$H$28="Todos",'Plan mensual'!J73+'Plan mensual'!J184,0))+parametros_manuales!$F$28*('Plan mensual'!J70+'Plan mensual'!J181+IF(parametros_manuales!$H$28="Todos",'Plan mensual'!J74+'Plan mensual'!J185,0))+parametros_manuales!$G$28*('Plan mensual'!J71+'Plan mensual'!J182+IF(parametros_manuales!$H$28="Todos",'Plan mensual'!J75+'Plan mensual'!J186,0)))*parametros_manuales!$I$28*parametros_manuales!$J$28</f>
        <v>13049.36776722</v>
      </c>
      <c r="I173" s="9" t="n">
        <f aca="false">(parametros_manuales!$D$28*('Plan mensual'!K68+'Plan mensual'!K179+IF(parametros_manuales!$H$28="Todos",'Plan mensual'!K72+'Plan mensual'!K183,0))+parametros_manuales!$E$28*('Plan mensual'!K69+'Plan mensual'!K180+IF(parametros_manuales!$H$28="Todos",'Plan mensual'!K73+'Plan mensual'!K184,0))+parametros_manuales!$F$28*('Plan mensual'!K70+'Plan mensual'!K181+IF(parametros_manuales!$H$28="Todos",'Plan mensual'!K74+'Plan mensual'!K185,0))+parametros_manuales!$G$28*('Plan mensual'!K71+'Plan mensual'!K182+IF(parametros_manuales!$H$28="Todos",'Plan mensual'!K75+'Plan mensual'!K186,0)))*parametros_manuales!$I$28*parametros_manuales!$J$28</f>
        <v>13049.36776722</v>
      </c>
      <c r="J173" s="9" t="n">
        <f aca="false">(parametros_manuales!$D$28*('Plan mensual'!L68+'Plan mensual'!L179+IF(parametros_manuales!$H$28="Todos",'Plan mensual'!L72+'Plan mensual'!L183,0))+parametros_manuales!$E$28*('Plan mensual'!L69+'Plan mensual'!L180+IF(parametros_manuales!$H$28="Todos",'Plan mensual'!L73+'Plan mensual'!L184,0))+parametros_manuales!$F$28*('Plan mensual'!L70+'Plan mensual'!L181+IF(parametros_manuales!$H$28="Todos",'Plan mensual'!L74+'Plan mensual'!L185,0))+parametros_manuales!$G$28*('Plan mensual'!L71+'Plan mensual'!L182+IF(parametros_manuales!$H$28="Todos",'Plan mensual'!L75+'Plan mensual'!L186,0)))*parametros_manuales!$I$28*parametros_manuales!$J$28</f>
        <v>13049.36776722</v>
      </c>
      <c r="K173" s="9" t="n">
        <f aca="false">(parametros_manuales!$D$28*('Plan mensual'!M68+'Plan mensual'!M179+IF(parametros_manuales!$H$28="Todos",'Plan mensual'!M72+'Plan mensual'!M183,0))+parametros_manuales!$E$28*('Plan mensual'!M69+'Plan mensual'!M180+IF(parametros_manuales!$H$28="Todos",'Plan mensual'!M73+'Plan mensual'!M184,0))+parametros_manuales!$F$28*('Plan mensual'!M70+'Plan mensual'!M181+IF(parametros_manuales!$H$28="Todos",'Plan mensual'!M74+'Plan mensual'!M185,0))+parametros_manuales!$G$28*('Plan mensual'!M71+'Plan mensual'!M182+IF(parametros_manuales!$H$28="Todos",'Plan mensual'!M75+'Plan mensual'!M186,0)))*parametros_manuales!$I$28*parametros_manuales!$J$28</f>
        <v>12804.125187675</v>
      </c>
      <c r="L173" s="9" t="n">
        <f aca="false">(parametros_manuales!$D$28*('Plan mensual'!N68+'Plan mensual'!N179+IF(parametros_manuales!$H$28="Todos",'Plan mensual'!N72+'Plan mensual'!N183,0))+parametros_manuales!$E$28*('Plan mensual'!N69+'Plan mensual'!N180+IF(parametros_manuales!$H$28="Todos",'Plan mensual'!N73+'Plan mensual'!N184,0))+parametros_manuales!$F$28*('Plan mensual'!N70+'Plan mensual'!N181+IF(parametros_manuales!$H$28="Todos",'Plan mensual'!N74+'Plan mensual'!N185,0))+parametros_manuales!$G$28*('Plan mensual'!N71+'Plan mensual'!N182+IF(parametros_manuales!$H$28="Todos",'Plan mensual'!N75+'Plan mensual'!N186,0)))*parametros_manuales!$I$28*parametros_manuales!$J$28</f>
        <v>12558.88260813</v>
      </c>
      <c r="M173" s="9" t="n">
        <f aca="false">(parametros_manuales!$D$28*('Plan mensual'!O68+'Plan mensual'!O179+IF(parametros_manuales!$H$28="Todos",'Plan mensual'!O72+'Plan mensual'!O183,0))+parametros_manuales!$E$28*('Plan mensual'!O69+'Plan mensual'!O180+IF(parametros_manuales!$H$28="Todos",'Plan mensual'!O73+'Plan mensual'!O184,0))+parametros_manuales!$F$28*('Plan mensual'!O70+'Plan mensual'!O181+IF(parametros_manuales!$H$28="Todos",'Plan mensual'!O74+'Plan mensual'!O185,0))+parametros_manuales!$G$28*('Plan mensual'!O71+'Plan mensual'!O182+IF(parametros_manuales!$H$28="Todos",'Plan mensual'!O75+'Plan mensual'!O186,0)))*parametros_manuales!$I$28*parametros_manuales!$J$28</f>
        <v>19996.11514119</v>
      </c>
      <c r="N173" s="9" t="n">
        <f aca="false">SUM(B173:M173)</f>
        <v>170721.669169</v>
      </c>
      <c r="O173" s="9" t="n">
        <f aca="false">MAX(B173:M173)</f>
        <v>19996.11514119</v>
      </c>
      <c r="P173" s="44" t="n">
        <f aca="false">O173/(parametros_manuales!$B$7)</f>
        <v>133.3074342746</v>
      </c>
      <c r="Q173" s="8" t="str">
        <f aca="false">IF(O173=0,"-",INDEX($B$163:$M$163,MATCH(O173,B173:M173,0)))</f>
        <v>Dic</v>
      </c>
    </row>
    <row r="174" customFormat="false" ht="14.25" hidden="false" customHeight="true" outlineLevel="0" collapsed="false">
      <c r="A174" s="8" t="str">
        <f aca="false">parametros_manuales!$B$29</f>
        <v>Bordoneado</v>
      </c>
      <c r="B174" s="9" t="n">
        <f aca="false">(parametros_manuales!$D$29*('Plan mensual'!D68+'Plan mensual'!D179+IF(parametros_manuales!$H$29="Todos",'Plan mensual'!D72+'Plan mensual'!D183,0))+parametros_manuales!$E$29*('Plan mensual'!D69+'Plan mensual'!D180+IF(parametros_manuales!$H$29="Todos",'Plan mensual'!D73+'Plan mensual'!D184,0))+parametros_manuales!$F$29*('Plan mensual'!D70+'Plan mensual'!D181+IF(parametros_manuales!$H$29="Todos",'Plan mensual'!D74+'Plan mensual'!D185,0))+parametros_manuales!$G$29*('Plan mensual'!D71+'Plan mensual'!D182+IF(parametros_manuales!$H$29="Todos",'Plan mensual'!D75+'Plan mensual'!D186,0)))*parametros_manuales!$I$29*parametros_manuales!$J$29</f>
        <v>19505.6299821</v>
      </c>
      <c r="C174" s="9" t="n">
        <f aca="false">(parametros_manuales!$D$29*('Plan mensual'!E68+'Plan mensual'!E179+IF(parametros_manuales!$H$29="Todos",'Plan mensual'!E72+'Plan mensual'!E183,0))+parametros_manuales!$E$29*('Plan mensual'!E69+'Plan mensual'!E180+IF(parametros_manuales!$H$29="Todos",'Plan mensual'!E73+'Plan mensual'!E184,0))+parametros_manuales!$F$29*('Plan mensual'!E70+'Plan mensual'!E181+IF(parametros_manuales!$H$29="Todos",'Plan mensual'!E74+'Plan mensual'!E185,0))+parametros_manuales!$G$29*('Plan mensual'!E71+'Plan mensual'!E182+IF(parametros_manuales!$H$29="Todos",'Plan mensual'!E75+'Plan mensual'!E186,0)))*parametros_manuales!$I$29*parametros_manuales!$J$29</f>
        <v>14874.46506612</v>
      </c>
      <c r="D174" s="9" t="n">
        <f aca="false">(parametros_manuales!$D$29*('Plan mensual'!F68+'Plan mensual'!F179+IF(parametros_manuales!$H$29="Todos",'Plan mensual'!F72+'Plan mensual'!F183,0))+parametros_manuales!$E$29*('Plan mensual'!F69+'Plan mensual'!F180+IF(parametros_manuales!$H$29="Todos",'Plan mensual'!F73+'Plan mensual'!F184,0))+parametros_manuales!$F$29*('Plan mensual'!F70+'Plan mensual'!F181+IF(parametros_manuales!$H$29="Todos",'Plan mensual'!F74+'Plan mensual'!F185,0))+parametros_manuales!$G$29*('Plan mensual'!F71+'Plan mensual'!F182+IF(parametros_manuales!$H$29="Todos",'Plan mensual'!F75+'Plan mensual'!F186,0)))*parametros_manuales!$I$29*parametros_manuales!$J$29</f>
        <v>13902.976113065</v>
      </c>
      <c r="E174" s="9" t="n">
        <f aca="false">(parametros_manuales!$D$29*('Plan mensual'!G68+'Plan mensual'!G179+IF(parametros_manuales!$H$29="Todos",'Plan mensual'!G72+'Plan mensual'!G183,0))+parametros_manuales!$E$29*('Plan mensual'!G69+'Plan mensual'!G180+IF(parametros_manuales!$H$29="Todos",'Plan mensual'!G73+'Plan mensual'!G184,0))+parametros_manuales!$F$29*('Plan mensual'!G70+'Plan mensual'!G181+IF(parametros_manuales!$H$29="Todos",'Plan mensual'!G74+'Plan mensual'!G185,0))+parametros_manuales!$G$29*('Plan mensual'!G71+'Plan mensual'!G182+IF(parametros_manuales!$H$29="Todos",'Plan mensual'!G75+'Plan mensual'!G186,0)))*parametros_manuales!$I$29*parametros_manuales!$J$29</f>
        <v>13294.610346765</v>
      </c>
      <c r="F174" s="9" t="n">
        <f aca="false">(parametros_manuales!$D$29*('Plan mensual'!H68+'Plan mensual'!H179+IF(parametros_manuales!$H$29="Todos",'Plan mensual'!H72+'Plan mensual'!H183,0))+parametros_manuales!$E$29*('Plan mensual'!H69+'Plan mensual'!H180+IF(parametros_manuales!$H$29="Todos",'Plan mensual'!H73+'Plan mensual'!H184,0))+parametros_manuales!$F$29*('Plan mensual'!H70+'Plan mensual'!H181+IF(parametros_manuales!$H$29="Todos",'Plan mensual'!H74+'Plan mensual'!H185,0))+parametros_manuales!$G$29*('Plan mensual'!H71+'Plan mensual'!H182+IF(parametros_manuales!$H$29="Todos",'Plan mensual'!H75+'Plan mensual'!H186,0)))*parametros_manuales!$I$29*parametros_manuales!$J$29</f>
        <v>12441.00200092</v>
      </c>
      <c r="G174" s="9" t="n">
        <f aca="false">(parametros_manuales!$D$29*('Plan mensual'!I68+'Plan mensual'!I179+IF(parametros_manuales!$H$29="Todos",'Plan mensual'!I72+'Plan mensual'!I183,0))+parametros_manuales!$E$29*('Plan mensual'!I69+'Plan mensual'!I180+IF(parametros_manuales!$H$29="Todos",'Plan mensual'!I73+'Plan mensual'!I184,0))+parametros_manuales!$F$29*('Plan mensual'!I70+'Plan mensual'!I181+IF(parametros_manuales!$H$29="Todos",'Plan mensual'!I74+'Plan mensual'!I185,0))+parametros_manuales!$G$29*('Plan mensual'!I71+'Plan mensual'!I182+IF(parametros_manuales!$H$29="Todos",'Plan mensual'!I75+'Plan mensual'!I186,0)))*parametros_manuales!$I$29*parametros_manuales!$J$29</f>
        <v>12195.759421375</v>
      </c>
      <c r="H174" s="9" t="n">
        <f aca="false">(parametros_manuales!$D$29*('Plan mensual'!J68+'Plan mensual'!J179+IF(parametros_manuales!$H$29="Todos",'Plan mensual'!J72+'Plan mensual'!J183,0))+parametros_manuales!$E$29*('Plan mensual'!J69+'Plan mensual'!J180+IF(parametros_manuales!$H$29="Todos",'Plan mensual'!J73+'Plan mensual'!J184,0))+parametros_manuales!$F$29*('Plan mensual'!J70+'Plan mensual'!J181+IF(parametros_manuales!$H$29="Todos",'Plan mensual'!J74+'Plan mensual'!J185,0))+parametros_manuales!$G$29*('Plan mensual'!J71+'Plan mensual'!J182+IF(parametros_manuales!$H$29="Todos",'Plan mensual'!J75+'Plan mensual'!J186,0)))*parametros_manuales!$I$29*parametros_manuales!$J$29</f>
        <v>13049.36776722</v>
      </c>
      <c r="I174" s="9" t="n">
        <f aca="false">(parametros_manuales!$D$29*('Plan mensual'!K68+'Plan mensual'!K179+IF(parametros_manuales!$H$29="Todos",'Plan mensual'!K72+'Plan mensual'!K183,0))+parametros_manuales!$E$29*('Plan mensual'!K69+'Plan mensual'!K180+IF(parametros_manuales!$H$29="Todos",'Plan mensual'!K73+'Plan mensual'!K184,0))+parametros_manuales!$F$29*('Plan mensual'!K70+'Plan mensual'!K181+IF(parametros_manuales!$H$29="Todos",'Plan mensual'!K74+'Plan mensual'!K185,0))+parametros_manuales!$G$29*('Plan mensual'!K71+'Plan mensual'!K182+IF(parametros_manuales!$H$29="Todos",'Plan mensual'!K75+'Plan mensual'!K186,0)))*parametros_manuales!$I$29*parametros_manuales!$J$29</f>
        <v>13049.36776722</v>
      </c>
      <c r="J174" s="9" t="n">
        <f aca="false">(parametros_manuales!$D$29*('Plan mensual'!L68+'Plan mensual'!L179+IF(parametros_manuales!$H$29="Todos",'Plan mensual'!L72+'Plan mensual'!L183,0))+parametros_manuales!$E$29*('Plan mensual'!L69+'Plan mensual'!L180+IF(parametros_manuales!$H$29="Todos",'Plan mensual'!L73+'Plan mensual'!L184,0))+parametros_manuales!$F$29*('Plan mensual'!L70+'Plan mensual'!L181+IF(parametros_manuales!$H$29="Todos",'Plan mensual'!L74+'Plan mensual'!L185,0))+parametros_manuales!$G$29*('Plan mensual'!L71+'Plan mensual'!L182+IF(parametros_manuales!$H$29="Todos",'Plan mensual'!L75+'Plan mensual'!L186,0)))*parametros_manuales!$I$29*parametros_manuales!$J$29</f>
        <v>13049.36776722</v>
      </c>
      <c r="K174" s="9" t="n">
        <f aca="false">(parametros_manuales!$D$29*('Plan mensual'!M68+'Plan mensual'!M179+IF(parametros_manuales!$H$29="Todos",'Plan mensual'!M72+'Plan mensual'!M183,0))+parametros_manuales!$E$29*('Plan mensual'!M69+'Plan mensual'!M180+IF(parametros_manuales!$H$29="Todos",'Plan mensual'!M73+'Plan mensual'!M184,0))+parametros_manuales!$F$29*('Plan mensual'!M70+'Plan mensual'!M181+IF(parametros_manuales!$H$29="Todos",'Plan mensual'!M74+'Plan mensual'!M185,0))+parametros_manuales!$G$29*('Plan mensual'!M71+'Plan mensual'!M182+IF(parametros_manuales!$H$29="Todos",'Plan mensual'!M75+'Plan mensual'!M186,0)))*parametros_manuales!$I$29*parametros_manuales!$J$29</f>
        <v>12804.125187675</v>
      </c>
      <c r="L174" s="9" t="n">
        <f aca="false">(parametros_manuales!$D$29*('Plan mensual'!N68+'Plan mensual'!N179+IF(parametros_manuales!$H$29="Todos",'Plan mensual'!N72+'Plan mensual'!N183,0))+parametros_manuales!$E$29*('Plan mensual'!N69+'Plan mensual'!N180+IF(parametros_manuales!$H$29="Todos",'Plan mensual'!N73+'Plan mensual'!N184,0))+parametros_manuales!$F$29*('Plan mensual'!N70+'Plan mensual'!N181+IF(parametros_manuales!$H$29="Todos",'Plan mensual'!N74+'Plan mensual'!N185,0))+parametros_manuales!$G$29*('Plan mensual'!N71+'Plan mensual'!N182+IF(parametros_manuales!$H$29="Todos",'Plan mensual'!N75+'Plan mensual'!N186,0)))*parametros_manuales!$I$29*parametros_manuales!$J$29</f>
        <v>12558.88260813</v>
      </c>
      <c r="M174" s="9" t="n">
        <f aca="false">(parametros_manuales!$D$29*('Plan mensual'!O68+'Plan mensual'!O179+IF(parametros_manuales!$H$29="Todos",'Plan mensual'!O72+'Plan mensual'!O183,0))+parametros_manuales!$E$29*('Plan mensual'!O69+'Plan mensual'!O180+IF(parametros_manuales!$H$29="Todos",'Plan mensual'!O73+'Plan mensual'!O184,0))+parametros_manuales!$F$29*('Plan mensual'!O70+'Plan mensual'!O181+IF(parametros_manuales!$H$29="Todos",'Plan mensual'!O74+'Plan mensual'!O185,0))+parametros_manuales!$G$29*('Plan mensual'!O71+'Plan mensual'!O182+IF(parametros_manuales!$H$29="Todos",'Plan mensual'!O75+'Plan mensual'!O186,0)))*parametros_manuales!$I$29*parametros_manuales!$J$29</f>
        <v>19996.11514119</v>
      </c>
      <c r="N174" s="9" t="n">
        <f aca="false">SUM(B174:M174)</f>
        <v>170721.669169</v>
      </c>
      <c r="O174" s="9" t="n">
        <f aca="false">MAX(B174:M174)</f>
        <v>19996.11514119</v>
      </c>
      <c r="P174" s="44" t="n">
        <f aca="false">O174/(parametros_manuales!$B$7)</f>
        <v>133.3074342746</v>
      </c>
      <c r="Q174" s="8" t="str">
        <f aca="false">IF(O174=0,"-",INDEX($B$163:$M$163,MATCH(O174,B174:M174,0)))</f>
        <v>Dic</v>
      </c>
    </row>
    <row r="175" customFormat="false" ht="14.25" hidden="false" customHeight="true" outlineLevel="0" collapsed="false">
      <c r="A175" s="8" t="str">
        <f aca="false">parametros_manuales!$B$30</f>
        <v>Soldadura circunferencial de cúpula y fondo</v>
      </c>
      <c r="B175" s="9" t="n">
        <f aca="false">(parametros_manuales!$D$30*('Plan mensual'!D68+'Plan mensual'!D179+IF(parametros_manuales!$H$30="Todos",'Plan mensual'!D72+'Plan mensual'!D183,0))+parametros_manuales!$E$30*('Plan mensual'!D69+'Plan mensual'!D180+IF(parametros_manuales!$H$30="Todos",'Plan mensual'!D73+'Plan mensual'!D184,0))+parametros_manuales!$F$30*('Plan mensual'!D70+'Plan mensual'!D181+IF(parametros_manuales!$H$30="Todos",'Plan mensual'!D74+'Plan mensual'!D185,0))+parametros_manuales!$G$30*('Plan mensual'!D71+'Plan mensual'!D182+IF(parametros_manuales!$H$30="Todos",'Plan mensual'!D75+'Plan mensual'!D186,0)))*parametros_manuales!$I$30*parametros_manuales!$J$30</f>
        <v>19505.6299821</v>
      </c>
      <c r="C175" s="9" t="n">
        <f aca="false">(parametros_manuales!$D$30*('Plan mensual'!E68+'Plan mensual'!E179+IF(parametros_manuales!$H$30="Todos",'Plan mensual'!E72+'Plan mensual'!E183,0))+parametros_manuales!$E$30*('Plan mensual'!E69+'Plan mensual'!E180+IF(parametros_manuales!$H$30="Todos",'Plan mensual'!E73+'Plan mensual'!E184,0))+parametros_manuales!$F$30*('Plan mensual'!E70+'Plan mensual'!E181+IF(parametros_manuales!$H$30="Todos",'Plan mensual'!E74+'Plan mensual'!E185,0))+parametros_manuales!$G$30*('Plan mensual'!E71+'Plan mensual'!E182+IF(parametros_manuales!$H$30="Todos",'Plan mensual'!E75+'Plan mensual'!E186,0)))*parametros_manuales!$I$30*parametros_manuales!$J$30</f>
        <v>14874.46506612</v>
      </c>
      <c r="D175" s="9" t="n">
        <f aca="false">(parametros_manuales!$D$30*('Plan mensual'!F68+'Plan mensual'!F179+IF(parametros_manuales!$H$30="Todos",'Plan mensual'!F72+'Plan mensual'!F183,0))+parametros_manuales!$E$30*('Plan mensual'!F69+'Plan mensual'!F180+IF(parametros_manuales!$H$30="Todos",'Plan mensual'!F73+'Plan mensual'!F184,0))+parametros_manuales!$F$30*('Plan mensual'!F70+'Plan mensual'!F181+IF(parametros_manuales!$H$30="Todos",'Plan mensual'!F74+'Plan mensual'!F185,0))+parametros_manuales!$G$30*('Plan mensual'!F71+'Plan mensual'!F182+IF(parametros_manuales!$H$30="Todos",'Plan mensual'!F75+'Plan mensual'!F186,0)))*parametros_manuales!$I$30*parametros_manuales!$J$30</f>
        <v>13902.976113065</v>
      </c>
      <c r="E175" s="9" t="n">
        <f aca="false">(parametros_manuales!$D$30*('Plan mensual'!G68+'Plan mensual'!G179+IF(parametros_manuales!$H$30="Todos",'Plan mensual'!G72+'Plan mensual'!G183,0))+parametros_manuales!$E$30*('Plan mensual'!G69+'Plan mensual'!G180+IF(parametros_manuales!$H$30="Todos",'Plan mensual'!G73+'Plan mensual'!G184,0))+parametros_manuales!$F$30*('Plan mensual'!G70+'Plan mensual'!G181+IF(parametros_manuales!$H$30="Todos",'Plan mensual'!G74+'Plan mensual'!G185,0))+parametros_manuales!$G$30*('Plan mensual'!G71+'Plan mensual'!G182+IF(parametros_manuales!$H$30="Todos",'Plan mensual'!G75+'Plan mensual'!G186,0)))*parametros_manuales!$I$30*parametros_manuales!$J$30</f>
        <v>13294.610346765</v>
      </c>
      <c r="F175" s="9" t="n">
        <f aca="false">(parametros_manuales!$D$30*('Plan mensual'!H68+'Plan mensual'!H179+IF(parametros_manuales!$H$30="Todos",'Plan mensual'!H72+'Plan mensual'!H183,0))+parametros_manuales!$E$30*('Plan mensual'!H69+'Plan mensual'!H180+IF(parametros_manuales!$H$30="Todos",'Plan mensual'!H73+'Plan mensual'!H184,0))+parametros_manuales!$F$30*('Plan mensual'!H70+'Plan mensual'!H181+IF(parametros_manuales!$H$30="Todos",'Plan mensual'!H74+'Plan mensual'!H185,0))+parametros_manuales!$G$30*('Plan mensual'!H71+'Plan mensual'!H182+IF(parametros_manuales!$H$30="Todos",'Plan mensual'!H75+'Plan mensual'!H186,0)))*parametros_manuales!$I$30*parametros_manuales!$J$30</f>
        <v>12441.00200092</v>
      </c>
      <c r="G175" s="9" t="n">
        <f aca="false">(parametros_manuales!$D$30*('Plan mensual'!I68+'Plan mensual'!I179+IF(parametros_manuales!$H$30="Todos",'Plan mensual'!I72+'Plan mensual'!I183,0))+parametros_manuales!$E$30*('Plan mensual'!I69+'Plan mensual'!I180+IF(parametros_manuales!$H$30="Todos",'Plan mensual'!I73+'Plan mensual'!I184,0))+parametros_manuales!$F$30*('Plan mensual'!I70+'Plan mensual'!I181+IF(parametros_manuales!$H$30="Todos",'Plan mensual'!I74+'Plan mensual'!I185,0))+parametros_manuales!$G$30*('Plan mensual'!I71+'Plan mensual'!I182+IF(parametros_manuales!$H$30="Todos",'Plan mensual'!I75+'Plan mensual'!I186,0)))*parametros_manuales!$I$30*parametros_manuales!$J$30</f>
        <v>12195.759421375</v>
      </c>
      <c r="H175" s="9" t="n">
        <f aca="false">(parametros_manuales!$D$30*('Plan mensual'!J68+'Plan mensual'!J179+IF(parametros_manuales!$H$30="Todos",'Plan mensual'!J72+'Plan mensual'!J183,0))+parametros_manuales!$E$30*('Plan mensual'!J69+'Plan mensual'!J180+IF(parametros_manuales!$H$30="Todos",'Plan mensual'!J73+'Plan mensual'!J184,0))+parametros_manuales!$F$30*('Plan mensual'!J70+'Plan mensual'!J181+IF(parametros_manuales!$H$30="Todos",'Plan mensual'!J74+'Plan mensual'!J185,0))+parametros_manuales!$G$30*('Plan mensual'!J71+'Plan mensual'!J182+IF(parametros_manuales!$H$30="Todos",'Plan mensual'!J75+'Plan mensual'!J186,0)))*parametros_manuales!$I$30*parametros_manuales!$J$30</f>
        <v>13049.36776722</v>
      </c>
      <c r="I175" s="9" t="n">
        <f aca="false">(parametros_manuales!$D$30*('Plan mensual'!K68+'Plan mensual'!K179+IF(parametros_manuales!$H$30="Todos",'Plan mensual'!K72+'Plan mensual'!K183,0))+parametros_manuales!$E$30*('Plan mensual'!K69+'Plan mensual'!K180+IF(parametros_manuales!$H$30="Todos",'Plan mensual'!K73+'Plan mensual'!K184,0))+parametros_manuales!$F$30*('Plan mensual'!K70+'Plan mensual'!K181+IF(parametros_manuales!$H$30="Todos",'Plan mensual'!K74+'Plan mensual'!K185,0))+parametros_manuales!$G$30*('Plan mensual'!K71+'Plan mensual'!K182+IF(parametros_manuales!$H$30="Todos",'Plan mensual'!K75+'Plan mensual'!K186,0)))*parametros_manuales!$I$30*parametros_manuales!$J$30</f>
        <v>13049.36776722</v>
      </c>
      <c r="J175" s="9" t="n">
        <f aca="false">(parametros_manuales!$D$30*('Plan mensual'!L68+'Plan mensual'!L179+IF(parametros_manuales!$H$30="Todos",'Plan mensual'!L72+'Plan mensual'!L183,0))+parametros_manuales!$E$30*('Plan mensual'!L69+'Plan mensual'!L180+IF(parametros_manuales!$H$30="Todos",'Plan mensual'!L73+'Plan mensual'!L184,0))+parametros_manuales!$F$30*('Plan mensual'!L70+'Plan mensual'!L181+IF(parametros_manuales!$H$30="Todos",'Plan mensual'!L74+'Plan mensual'!L185,0))+parametros_manuales!$G$30*('Plan mensual'!L71+'Plan mensual'!L182+IF(parametros_manuales!$H$30="Todos",'Plan mensual'!L75+'Plan mensual'!L186,0)))*parametros_manuales!$I$30*parametros_manuales!$J$30</f>
        <v>13049.36776722</v>
      </c>
      <c r="K175" s="9" t="n">
        <f aca="false">(parametros_manuales!$D$30*('Plan mensual'!M68+'Plan mensual'!M179+IF(parametros_manuales!$H$30="Todos",'Plan mensual'!M72+'Plan mensual'!M183,0))+parametros_manuales!$E$30*('Plan mensual'!M69+'Plan mensual'!M180+IF(parametros_manuales!$H$30="Todos",'Plan mensual'!M73+'Plan mensual'!M184,0))+parametros_manuales!$F$30*('Plan mensual'!M70+'Plan mensual'!M181+IF(parametros_manuales!$H$30="Todos",'Plan mensual'!M74+'Plan mensual'!M185,0))+parametros_manuales!$G$30*('Plan mensual'!M71+'Plan mensual'!M182+IF(parametros_manuales!$H$30="Todos",'Plan mensual'!M75+'Plan mensual'!M186,0)))*parametros_manuales!$I$30*parametros_manuales!$J$30</f>
        <v>12804.125187675</v>
      </c>
      <c r="L175" s="9" t="n">
        <f aca="false">(parametros_manuales!$D$30*('Plan mensual'!N68+'Plan mensual'!N179+IF(parametros_manuales!$H$30="Todos",'Plan mensual'!N72+'Plan mensual'!N183,0))+parametros_manuales!$E$30*('Plan mensual'!N69+'Plan mensual'!N180+IF(parametros_manuales!$H$30="Todos",'Plan mensual'!N73+'Plan mensual'!N184,0))+parametros_manuales!$F$30*('Plan mensual'!N70+'Plan mensual'!N181+IF(parametros_manuales!$H$30="Todos",'Plan mensual'!N74+'Plan mensual'!N185,0))+parametros_manuales!$G$30*('Plan mensual'!N71+'Plan mensual'!N182+IF(parametros_manuales!$H$30="Todos",'Plan mensual'!N75+'Plan mensual'!N186,0)))*parametros_manuales!$I$30*parametros_manuales!$J$30</f>
        <v>12558.88260813</v>
      </c>
      <c r="M175" s="9" t="n">
        <f aca="false">(parametros_manuales!$D$30*('Plan mensual'!O68+'Plan mensual'!O179+IF(parametros_manuales!$H$30="Todos",'Plan mensual'!O72+'Plan mensual'!O183,0))+parametros_manuales!$E$30*('Plan mensual'!O69+'Plan mensual'!O180+IF(parametros_manuales!$H$30="Todos",'Plan mensual'!O73+'Plan mensual'!O184,0))+parametros_manuales!$F$30*('Plan mensual'!O70+'Plan mensual'!O181+IF(parametros_manuales!$H$30="Todos",'Plan mensual'!O74+'Plan mensual'!O185,0))+parametros_manuales!$G$30*('Plan mensual'!O71+'Plan mensual'!O182+IF(parametros_manuales!$H$30="Todos",'Plan mensual'!O75+'Plan mensual'!O186,0)))*parametros_manuales!$I$30*parametros_manuales!$J$30</f>
        <v>19996.11514119</v>
      </c>
      <c r="N175" s="9" t="n">
        <f aca="false">SUM(B175:M175)</f>
        <v>170721.669169</v>
      </c>
      <c r="O175" s="9" t="n">
        <f aca="false">MAX(B175:M175)</f>
        <v>19996.11514119</v>
      </c>
      <c r="P175" s="44" t="n">
        <f aca="false">O175/(parametros_manuales!$B$7)</f>
        <v>133.3074342746</v>
      </c>
      <c r="Q175" s="8" t="str">
        <f aca="false">IF(O175=0,"-",INDEX($B$163:$M$163,MATCH(O175,B175:M175,0)))</f>
        <v>Dic</v>
      </c>
    </row>
    <row r="176" customFormat="false" ht="14.25" hidden="false" customHeight="true" outlineLevel="0" collapsed="false">
      <c r="A176" s="8" t="str">
        <f aca="false">parametros_manuales!$B$31</f>
        <v>Control de calidad — Espesor</v>
      </c>
      <c r="B176" s="9" t="n">
        <f aca="false">(parametros_manuales!$D$31*('Plan mensual'!D68+'Plan mensual'!D179+IF(parametros_manuales!$H$31="Todos",'Plan mensual'!D72+'Plan mensual'!D183,0))+parametros_manuales!$E$31*('Plan mensual'!D69+'Plan mensual'!D180+IF(parametros_manuales!$H$31="Todos",'Plan mensual'!D73+'Plan mensual'!D184,0))+parametros_manuales!$F$31*('Plan mensual'!D70+'Plan mensual'!D181+IF(parametros_manuales!$H$31="Todos",'Plan mensual'!D74+'Plan mensual'!D185,0))+parametros_manuales!$G$31*('Plan mensual'!D71+'Plan mensual'!D182+IF(parametros_manuales!$H$31="Todos",'Plan mensual'!D75+'Plan mensual'!D186,0)))*parametros_manuales!$I$31*parametros_manuales!$J$31</f>
        <v>390.112599642</v>
      </c>
      <c r="C176" s="9" t="n">
        <f aca="false">(parametros_manuales!$D$31*('Plan mensual'!E68+'Plan mensual'!E179+IF(parametros_manuales!$H$31="Todos",'Plan mensual'!E72+'Plan mensual'!E183,0))+parametros_manuales!$E$31*('Plan mensual'!E69+'Plan mensual'!E180+IF(parametros_manuales!$H$31="Todos",'Plan mensual'!E73+'Plan mensual'!E184,0))+parametros_manuales!$F$31*('Plan mensual'!E70+'Plan mensual'!E181+IF(parametros_manuales!$H$31="Todos",'Plan mensual'!E74+'Plan mensual'!E185,0))+parametros_manuales!$G$31*('Plan mensual'!E71+'Plan mensual'!E182+IF(parametros_manuales!$H$31="Todos",'Plan mensual'!E75+'Plan mensual'!E186,0)))*parametros_manuales!$I$31*parametros_manuales!$J$31</f>
        <v>297.4893013224</v>
      </c>
      <c r="D176" s="9" t="n">
        <f aca="false">(parametros_manuales!$D$31*('Plan mensual'!F68+'Plan mensual'!F179+IF(parametros_manuales!$H$31="Todos",'Plan mensual'!F72+'Plan mensual'!F183,0))+parametros_manuales!$E$31*('Plan mensual'!F69+'Plan mensual'!F180+IF(parametros_manuales!$H$31="Todos",'Plan mensual'!F73+'Plan mensual'!F184,0))+parametros_manuales!$F$31*('Plan mensual'!F70+'Plan mensual'!F181+IF(parametros_manuales!$H$31="Todos",'Plan mensual'!F74+'Plan mensual'!F185,0))+parametros_manuales!$G$31*('Plan mensual'!F71+'Plan mensual'!F182+IF(parametros_manuales!$H$31="Todos",'Plan mensual'!F75+'Plan mensual'!F186,0)))*parametros_manuales!$I$31*parametros_manuales!$J$31</f>
        <v>278.0595222613</v>
      </c>
      <c r="E176" s="9" t="n">
        <f aca="false">(parametros_manuales!$D$31*('Plan mensual'!G68+'Plan mensual'!G179+IF(parametros_manuales!$H$31="Todos",'Plan mensual'!G72+'Plan mensual'!G183,0))+parametros_manuales!$E$31*('Plan mensual'!G69+'Plan mensual'!G180+IF(parametros_manuales!$H$31="Todos",'Plan mensual'!G73+'Plan mensual'!G184,0))+parametros_manuales!$F$31*('Plan mensual'!G70+'Plan mensual'!G181+IF(parametros_manuales!$H$31="Todos",'Plan mensual'!G74+'Plan mensual'!G185,0))+parametros_manuales!$G$31*('Plan mensual'!G71+'Plan mensual'!G182+IF(parametros_manuales!$H$31="Todos",'Plan mensual'!G75+'Plan mensual'!G186,0)))*parametros_manuales!$I$31*parametros_manuales!$J$31</f>
        <v>265.8922069353</v>
      </c>
      <c r="F176" s="9" t="n">
        <f aca="false">(parametros_manuales!$D$31*('Plan mensual'!H68+'Plan mensual'!H179+IF(parametros_manuales!$H$31="Todos",'Plan mensual'!H72+'Plan mensual'!H183,0))+parametros_manuales!$E$31*('Plan mensual'!H69+'Plan mensual'!H180+IF(parametros_manuales!$H$31="Todos",'Plan mensual'!H73+'Plan mensual'!H184,0))+parametros_manuales!$F$31*('Plan mensual'!H70+'Plan mensual'!H181+IF(parametros_manuales!$H$31="Todos",'Plan mensual'!H74+'Plan mensual'!H185,0))+parametros_manuales!$G$31*('Plan mensual'!H71+'Plan mensual'!H182+IF(parametros_manuales!$H$31="Todos",'Plan mensual'!H75+'Plan mensual'!H186,0)))*parametros_manuales!$I$31*parametros_manuales!$J$31</f>
        <v>248.8200400184</v>
      </c>
      <c r="G176" s="9" t="n">
        <f aca="false">(parametros_manuales!$D$31*('Plan mensual'!I68+'Plan mensual'!I179+IF(parametros_manuales!$H$31="Todos",'Plan mensual'!I72+'Plan mensual'!I183,0))+parametros_manuales!$E$31*('Plan mensual'!I69+'Plan mensual'!I180+IF(parametros_manuales!$H$31="Todos",'Plan mensual'!I73+'Plan mensual'!I184,0))+parametros_manuales!$F$31*('Plan mensual'!I70+'Plan mensual'!I181+IF(parametros_manuales!$H$31="Todos",'Plan mensual'!I74+'Plan mensual'!I185,0))+parametros_manuales!$G$31*('Plan mensual'!I71+'Plan mensual'!I182+IF(parametros_manuales!$H$31="Todos",'Plan mensual'!I75+'Plan mensual'!I186,0)))*parametros_manuales!$I$31*parametros_manuales!$J$31</f>
        <v>243.9151884275</v>
      </c>
      <c r="H176" s="9" t="n">
        <f aca="false">(parametros_manuales!$D$31*('Plan mensual'!J68+'Plan mensual'!J179+IF(parametros_manuales!$H$31="Todos",'Plan mensual'!J72+'Plan mensual'!J183,0))+parametros_manuales!$E$31*('Plan mensual'!J69+'Plan mensual'!J180+IF(parametros_manuales!$H$31="Todos",'Plan mensual'!J73+'Plan mensual'!J184,0))+parametros_manuales!$F$31*('Plan mensual'!J70+'Plan mensual'!J181+IF(parametros_manuales!$H$31="Todos",'Plan mensual'!J74+'Plan mensual'!J185,0))+parametros_manuales!$G$31*('Plan mensual'!J71+'Plan mensual'!J182+IF(parametros_manuales!$H$31="Todos",'Plan mensual'!J75+'Plan mensual'!J186,0)))*parametros_manuales!$I$31*parametros_manuales!$J$31</f>
        <v>260.9873553444</v>
      </c>
      <c r="I176" s="9" t="n">
        <f aca="false">(parametros_manuales!$D$31*('Plan mensual'!K68+'Plan mensual'!K179+IF(parametros_manuales!$H$31="Todos",'Plan mensual'!K72+'Plan mensual'!K183,0))+parametros_manuales!$E$31*('Plan mensual'!K69+'Plan mensual'!K180+IF(parametros_manuales!$H$31="Todos",'Plan mensual'!K73+'Plan mensual'!K184,0))+parametros_manuales!$F$31*('Plan mensual'!K70+'Plan mensual'!K181+IF(parametros_manuales!$H$31="Todos",'Plan mensual'!K74+'Plan mensual'!K185,0))+parametros_manuales!$G$31*('Plan mensual'!K71+'Plan mensual'!K182+IF(parametros_manuales!$H$31="Todos",'Plan mensual'!K75+'Plan mensual'!K186,0)))*parametros_manuales!$I$31*parametros_manuales!$J$31</f>
        <v>260.9873553444</v>
      </c>
      <c r="J176" s="9" t="n">
        <f aca="false">(parametros_manuales!$D$31*('Plan mensual'!L68+'Plan mensual'!L179+IF(parametros_manuales!$H$31="Todos",'Plan mensual'!L72+'Plan mensual'!L183,0))+parametros_manuales!$E$31*('Plan mensual'!L69+'Plan mensual'!L180+IF(parametros_manuales!$H$31="Todos",'Plan mensual'!L73+'Plan mensual'!L184,0))+parametros_manuales!$F$31*('Plan mensual'!L70+'Plan mensual'!L181+IF(parametros_manuales!$H$31="Todos",'Plan mensual'!L74+'Plan mensual'!L185,0))+parametros_manuales!$G$31*('Plan mensual'!L71+'Plan mensual'!L182+IF(parametros_manuales!$H$31="Todos",'Plan mensual'!L75+'Plan mensual'!L186,0)))*parametros_manuales!$I$31*parametros_manuales!$J$31</f>
        <v>260.9873553444</v>
      </c>
      <c r="K176" s="9" t="n">
        <f aca="false">(parametros_manuales!$D$31*('Plan mensual'!M68+'Plan mensual'!M179+IF(parametros_manuales!$H$31="Todos",'Plan mensual'!M72+'Plan mensual'!M183,0))+parametros_manuales!$E$31*('Plan mensual'!M69+'Plan mensual'!M180+IF(parametros_manuales!$H$31="Todos",'Plan mensual'!M73+'Plan mensual'!M184,0))+parametros_manuales!$F$31*('Plan mensual'!M70+'Plan mensual'!M181+IF(parametros_manuales!$H$31="Todos",'Plan mensual'!M74+'Plan mensual'!M185,0))+parametros_manuales!$G$31*('Plan mensual'!M71+'Plan mensual'!M182+IF(parametros_manuales!$H$31="Todos",'Plan mensual'!M75+'Plan mensual'!M186,0)))*parametros_manuales!$I$31*parametros_manuales!$J$31</f>
        <v>256.0825037535</v>
      </c>
      <c r="L176" s="9" t="n">
        <f aca="false">(parametros_manuales!$D$31*('Plan mensual'!N68+'Plan mensual'!N179+IF(parametros_manuales!$H$31="Todos",'Plan mensual'!N72+'Plan mensual'!N183,0))+parametros_manuales!$E$31*('Plan mensual'!N69+'Plan mensual'!N180+IF(parametros_manuales!$H$31="Todos",'Plan mensual'!N73+'Plan mensual'!N184,0))+parametros_manuales!$F$31*('Plan mensual'!N70+'Plan mensual'!N181+IF(parametros_manuales!$H$31="Todos",'Plan mensual'!N74+'Plan mensual'!N185,0))+parametros_manuales!$G$31*('Plan mensual'!N71+'Plan mensual'!N182+IF(parametros_manuales!$H$31="Todos",'Plan mensual'!N75+'Plan mensual'!N186,0)))*parametros_manuales!$I$31*parametros_manuales!$J$31</f>
        <v>251.1776521626</v>
      </c>
      <c r="M176" s="9" t="n">
        <f aca="false">(parametros_manuales!$D$31*('Plan mensual'!O68+'Plan mensual'!O179+IF(parametros_manuales!$H$31="Todos",'Plan mensual'!O72+'Plan mensual'!O183,0))+parametros_manuales!$E$31*('Plan mensual'!O69+'Plan mensual'!O180+IF(parametros_manuales!$H$31="Todos",'Plan mensual'!O73+'Plan mensual'!O184,0))+parametros_manuales!$F$31*('Plan mensual'!O70+'Plan mensual'!O181+IF(parametros_manuales!$H$31="Todos",'Plan mensual'!O74+'Plan mensual'!O185,0))+parametros_manuales!$G$31*('Plan mensual'!O71+'Plan mensual'!O182+IF(parametros_manuales!$H$31="Todos",'Plan mensual'!O75+'Plan mensual'!O186,0)))*parametros_manuales!$I$31*parametros_manuales!$J$31</f>
        <v>399.9223028238</v>
      </c>
      <c r="N176" s="9" t="n">
        <f aca="false">SUM(B176:M176)</f>
        <v>3414.43338338</v>
      </c>
      <c r="O176" s="9" t="n">
        <f aca="false">MAX(B176:M176)</f>
        <v>399.9223028238</v>
      </c>
      <c r="P176" s="44" t="n">
        <f aca="false">O176/(parametros_manuales!$B$7)</f>
        <v>2.666148685492</v>
      </c>
      <c r="Q176" s="8" t="str">
        <f aca="false">IF(O176=0,"-",INDEX($B$163:$M$163,MATCH(O176,B176:M176,0)))</f>
        <v>Dic</v>
      </c>
    </row>
    <row r="177" customFormat="false" ht="14.25" hidden="false" customHeight="true" outlineLevel="0" collapsed="false">
      <c r="A177" s="8" t="str">
        <f aca="false">parametros_manuales!$B$32</f>
        <v>Prueba hidráulica</v>
      </c>
      <c r="B177" s="9" t="n">
        <f aca="false">(parametros_manuales!$D$32*('Plan mensual'!D68+'Plan mensual'!D179+IF(parametros_manuales!$H$32="Todos",'Plan mensual'!D72+'Plan mensual'!D183,0))+parametros_manuales!$E$32*('Plan mensual'!D69+'Plan mensual'!D180+IF(parametros_manuales!$H$32="Todos",'Plan mensual'!D73+'Plan mensual'!D184,0))+parametros_manuales!$F$32*('Plan mensual'!D70+'Plan mensual'!D181+IF(parametros_manuales!$H$32="Todos",'Plan mensual'!D74+'Plan mensual'!D185,0))+parametros_manuales!$G$32*('Plan mensual'!D71+'Plan mensual'!D182+IF(parametros_manuales!$H$32="Todos",'Plan mensual'!D75+'Plan mensual'!D186,0)))*parametros_manuales!$I$32*parametros_manuales!$J$32</f>
        <v>19505.6299821</v>
      </c>
      <c r="C177" s="9" t="n">
        <f aca="false">(parametros_manuales!$D$32*('Plan mensual'!E68+'Plan mensual'!E179+IF(parametros_manuales!$H$32="Todos",'Plan mensual'!E72+'Plan mensual'!E183,0))+parametros_manuales!$E$32*('Plan mensual'!E69+'Plan mensual'!E180+IF(parametros_manuales!$H$32="Todos",'Plan mensual'!E73+'Plan mensual'!E184,0))+parametros_manuales!$F$32*('Plan mensual'!E70+'Plan mensual'!E181+IF(parametros_manuales!$H$32="Todos",'Plan mensual'!E74+'Plan mensual'!E185,0))+parametros_manuales!$G$32*('Plan mensual'!E71+'Plan mensual'!E182+IF(parametros_manuales!$H$32="Todos",'Plan mensual'!E75+'Plan mensual'!E186,0)))*parametros_manuales!$I$32*parametros_manuales!$J$32</f>
        <v>14874.46506612</v>
      </c>
      <c r="D177" s="9" t="n">
        <f aca="false">(parametros_manuales!$D$32*('Plan mensual'!F68+'Plan mensual'!F179+IF(parametros_manuales!$H$32="Todos",'Plan mensual'!F72+'Plan mensual'!F183,0))+parametros_manuales!$E$32*('Plan mensual'!F69+'Plan mensual'!F180+IF(parametros_manuales!$H$32="Todos",'Plan mensual'!F73+'Plan mensual'!F184,0))+parametros_manuales!$F$32*('Plan mensual'!F70+'Plan mensual'!F181+IF(parametros_manuales!$H$32="Todos",'Plan mensual'!F74+'Plan mensual'!F185,0))+parametros_manuales!$G$32*('Plan mensual'!F71+'Plan mensual'!F182+IF(parametros_manuales!$H$32="Todos",'Plan mensual'!F75+'Plan mensual'!F186,0)))*parametros_manuales!$I$32*parametros_manuales!$J$32</f>
        <v>13902.976113065</v>
      </c>
      <c r="E177" s="9" t="n">
        <f aca="false">(parametros_manuales!$D$32*('Plan mensual'!G68+'Plan mensual'!G179+IF(parametros_manuales!$H$32="Todos",'Plan mensual'!G72+'Plan mensual'!G183,0))+parametros_manuales!$E$32*('Plan mensual'!G69+'Plan mensual'!G180+IF(parametros_manuales!$H$32="Todos",'Plan mensual'!G73+'Plan mensual'!G184,0))+parametros_manuales!$F$32*('Plan mensual'!G70+'Plan mensual'!G181+IF(parametros_manuales!$H$32="Todos",'Plan mensual'!G74+'Plan mensual'!G185,0))+parametros_manuales!$G$32*('Plan mensual'!G71+'Plan mensual'!G182+IF(parametros_manuales!$H$32="Todos",'Plan mensual'!G75+'Plan mensual'!G186,0)))*parametros_manuales!$I$32*parametros_manuales!$J$32</f>
        <v>13294.610346765</v>
      </c>
      <c r="F177" s="9" t="n">
        <f aca="false">(parametros_manuales!$D$32*('Plan mensual'!H68+'Plan mensual'!H179+IF(parametros_manuales!$H$32="Todos",'Plan mensual'!H72+'Plan mensual'!H183,0))+parametros_manuales!$E$32*('Plan mensual'!H69+'Plan mensual'!H180+IF(parametros_manuales!$H$32="Todos",'Plan mensual'!H73+'Plan mensual'!H184,0))+parametros_manuales!$F$32*('Plan mensual'!H70+'Plan mensual'!H181+IF(parametros_manuales!$H$32="Todos",'Plan mensual'!H74+'Plan mensual'!H185,0))+parametros_manuales!$G$32*('Plan mensual'!H71+'Plan mensual'!H182+IF(parametros_manuales!$H$32="Todos",'Plan mensual'!H75+'Plan mensual'!H186,0)))*parametros_manuales!$I$32*parametros_manuales!$J$32</f>
        <v>12441.00200092</v>
      </c>
      <c r="G177" s="9" t="n">
        <f aca="false">(parametros_manuales!$D$32*('Plan mensual'!I68+'Plan mensual'!I179+IF(parametros_manuales!$H$32="Todos",'Plan mensual'!I72+'Plan mensual'!I183,0))+parametros_manuales!$E$32*('Plan mensual'!I69+'Plan mensual'!I180+IF(parametros_manuales!$H$32="Todos",'Plan mensual'!I73+'Plan mensual'!I184,0))+parametros_manuales!$F$32*('Plan mensual'!I70+'Plan mensual'!I181+IF(parametros_manuales!$H$32="Todos",'Plan mensual'!I74+'Plan mensual'!I185,0))+parametros_manuales!$G$32*('Plan mensual'!I71+'Plan mensual'!I182+IF(parametros_manuales!$H$32="Todos",'Plan mensual'!I75+'Plan mensual'!I186,0)))*parametros_manuales!$I$32*parametros_manuales!$J$32</f>
        <v>12195.759421375</v>
      </c>
      <c r="H177" s="9" t="n">
        <f aca="false">(parametros_manuales!$D$32*('Plan mensual'!J68+'Plan mensual'!J179+IF(parametros_manuales!$H$32="Todos",'Plan mensual'!J72+'Plan mensual'!J183,0))+parametros_manuales!$E$32*('Plan mensual'!J69+'Plan mensual'!J180+IF(parametros_manuales!$H$32="Todos",'Plan mensual'!J73+'Plan mensual'!J184,0))+parametros_manuales!$F$32*('Plan mensual'!J70+'Plan mensual'!J181+IF(parametros_manuales!$H$32="Todos",'Plan mensual'!J74+'Plan mensual'!J185,0))+parametros_manuales!$G$32*('Plan mensual'!J71+'Plan mensual'!J182+IF(parametros_manuales!$H$32="Todos",'Plan mensual'!J75+'Plan mensual'!J186,0)))*parametros_manuales!$I$32*parametros_manuales!$J$32</f>
        <v>13049.36776722</v>
      </c>
      <c r="I177" s="9" t="n">
        <f aca="false">(parametros_manuales!$D$32*('Plan mensual'!K68+'Plan mensual'!K179+IF(parametros_manuales!$H$32="Todos",'Plan mensual'!K72+'Plan mensual'!K183,0))+parametros_manuales!$E$32*('Plan mensual'!K69+'Plan mensual'!K180+IF(parametros_manuales!$H$32="Todos",'Plan mensual'!K73+'Plan mensual'!K184,0))+parametros_manuales!$F$32*('Plan mensual'!K70+'Plan mensual'!K181+IF(parametros_manuales!$H$32="Todos",'Plan mensual'!K74+'Plan mensual'!K185,0))+parametros_manuales!$G$32*('Plan mensual'!K71+'Plan mensual'!K182+IF(parametros_manuales!$H$32="Todos",'Plan mensual'!K75+'Plan mensual'!K186,0)))*parametros_manuales!$I$32*parametros_manuales!$J$32</f>
        <v>13049.36776722</v>
      </c>
      <c r="J177" s="9" t="n">
        <f aca="false">(parametros_manuales!$D$32*('Plan mensual'!L68+'Plan mensual'!L179+IF(parametros_manuales!$H$32="Todos",'Plan mensual'!L72+'Plan mensual'!L183,0))+parametros_manuales!$E$32*('Plan mensual'!L69+'Plan mensual'!L180+IF(parametros_manuales!$H$32="Todos",'Plan mensual'!L73+'Plan mensual'!L184,0))+parametros_manuales!$F$32*('Plan mensual'!L70+'Plan mensual'!L181+IF(parametros_manuales!$H$32="Todos",'Plan mensual'!L74+'Plan mensual'!L185,0))+parametros_manuales!$G$32*('Plan mensual'!L71+'Plan mensual'!L182+IF(parametros_manuales!$H$32="Todos",'Plan mensual'!L75+'Plan mensual'!L186,0)))*parametros_manuales!$I$32*parametros_manuales!$J$32</f>
        <v>13049.36776722</v>
      </c>
      <c r="K177" s="9" t="n">
        <f aca="false">(parametros_manuales!$D$32*('Plan mensual'!M68+'Plan mensual'!M179+IF(parametros_manuales!$H$32="Todos",'Plan mensual'!M72+'Plan mensual'!M183,0))+parametros_manuales!$E$32*('Plan mensual'!M69+'Plan mensual'!M180+IF(parametros_manuales!$H$32="Todos",'Plan mensual'!M73+'Plan mensual'!M184,0))+parametros_manuales!$F$32*('Plan mensual'!M70+'Plan mensual'!M181+IF(parametros_manuales!$H$32="Todos",'Plan mensual'!M74+'Plan mensual'!M185,0))+parametros_manuales!$G$32*('Plan mensual'!M71+'Plan mensual'!M182+IF(parametros_manuales!$H$32="Todos",'Plan mensual'!M75+'Plan mensual'!M186,0)))*parametros_manuales!$I$32*parametros_manuales!$J$32</f>
        <v>12804.125187675</v>
      </c>
      <c r="L177" s="9" t="n">
        <f aca="false">(parametros_manuales!$D$32*('Plan mensual'!N68+'Plan mensual'!N179+IF(parametros_manuales!$H$32="Todos",'Plan mensual'!N72+'Plan mensual'!N183,0))+parametros_manuales!$E$32*('Plan mensual'!N69+'Plan mensual'!N180+IF(parametros_manuales!$H$32="Todos",'Plan mensual'!N73+'Plan mensual'!N184,0))+parametros_manuales!$F$32*('Plan mensual'!N70+'Plan mensual'!N181+IF(parametros_manuales!$H$32="Todos",'Plan mensual'!N74+'Plan mensual'!N185,0))+parametros_manuales!$G$32*('Plan mensual'!N71+'Plan mensual'!N182+IF(parametros_manuales!$H$32="Todos",'Plan mensual'!N75+'Plan mensual'!N186,0)))*parametros_manuales!$I$32*parametros_manuales!$J$32</f>
        <v>12558.88260813</v>
      </c>
      <c r="M177" s="9" t="n">
        <f aca="false">(parametros_manuales!$D$32*('Plan mensual'!O68+'Plan mensual'!O179+IF(parametros_manuales!$H$32="Todos",'Plan mensual'!O72+'Plan mensual'!O183,0))+parametros_manuales!$E$32*('Plan mensual'!O69+'Plan mensual'!O180+IF(parametros_manuales!$H$32="Todos",'Plan mensual'!O73+'Plan mensual'!O184,0))+parametros_manuales!$F$32*('Plan mensual'!O70+'Plan mensual'!O181+IF(parametros_manuales!$H$32="Todos",'Plan mensual'!O74+'Plan mensual'!O185,0))+parametros_manuales!$G$32*('Plan mensual'!O71+'Plan mensual'!O182+IF(parametros_manuales!$H$32="Todos",'Plan mensual'!O75+'Plan mensual'!O186,0)))*parametros_manuales!$I$32*parametros_manuales!$J$32</f>
        <v>19996.11514119</v>
      </c>
      <c r="N177" s="9" t="n">
        <f aca="false">SUM(B177:M177)</f>
        <v>170721.669169</v>
      </c>
      <c r="O177" s="9" t="n">
        <f aca="false">MAX(B177:M177)</f>
        <v>19996.11514119</v>
      </c>
      <c r="P177" s="44" t="n">
        <f aca="false">O177/(parametros_manuales!$B$7)</f>
        <v>133.3074342746</v>
      </c>
      <c r="Q177" s="8" t="str">
        <f aca="false">IF(O177=0,"-",INDEX($B$163:$M$163,MATCH(O177,B177:M177,0)))</f>
        <v>Dic</v>
      </c>
    </row>
    <row r="178" customFormat="false" ht="14.25" hidden="false" customHeight="true" outlineLevel="0" collapsed="false">
      <c r="A178" s="8" t="str">
        <f aca="false">parametros_manuales!$B$33</f>
        <v>Secado</v>
      </c>
      <c r="B178" s="9" t="n">
        <f aca="false">(parametros_manuales!$D$33*('Plan mensual'!D68+'Plan mensual'!D179+IF(parametros_manuales!$H$33="Todos",'Plan mensual'!D72+'Plan mensual'!D183,0))+parametros_manuales!$E$33*('Plan mensual'!D69+'Plan mensual'!D180+IF(parametros_manuales!$H$33="Todos",'Plan mensual'!D73+'Plan mensual'!D184,0))+parametros_manuales!$F$33*('Plan mensual'!D70+'Plan mensual'!D181+IF(parametros_manuales!$H$33="Todos",'Plan mensual'!D74+'Plan mensual'!D185,0))+parametros_manuales!$G$33*('Plan mensual'!D71+'Plan mensual'!D182+IF(parametros_manuales!$H$33="Todos",'Plan mensual'!D75+'Plan mensual'!D186,0)))*parametros_manuales!$I$33*parametros_manuales!$J$33</f>
        <v>19505.6299821</v>
      </c>
      <c r="C178" s="9" t="n">
        <f aca="false">(parametros_manuales!$D$33*('Plan mensual'!E68+'Plan mensual'!E179+IF(parametros_manuales!$H$33="Todos",'Plan mensual'!E72+'Plan mensual'!E183,0))+parametros_manuales!$E$33*('Plan mensual'!E69+'Plan mensual'!E180+IF(parametros_manuales!$H$33="Todos",'Plan mensual'!E73+'Plan mensual'!E184,0))+parametros_manuales!$F$33*('Plan mensual'!E70+'Plan mensual'!E181+IF(parametros_manuales!$H$33="Todos",'Plan mensual'!E74+'Plan mensual'!E185,0))+parametros_manuales!$G$33*('Plan mensual'!E71+'Plan mensual'!E182+IF(parametros_manuales!$H$33="Todos",'Plan mensual'!E75+'Plan mensual'!E186,0)))*parametros_manuales!$I$33*parametros_manuales!$J$33</f>
        <v>14874.46506612</v>
      </c>
      <c r="D178" s="9" t="n">
        <f aca="false">(parametros_manuales!$D$33*('Plan mensual'!F68+'Plan mensual'!F179+IF(parametros_manuales!$H$33="Todos",'Plan mensual'!F72+'Plan mensual'!F183,0))+parametros_manuales!$E$33*('Plan mensual'!F69+'Plan mensual'!F180+IF(parametros_manuales!$H$33="Todos",'Plan mensual'!F73+'Plan mensual'!F184,0))+parametros_manuales!$F$33*('Plan mensual'!F70+'Plan mensual'!F181+IF(parametros_manuales!$H$33="Todos",'Plan mensual'!F74+'Plan mensual'!F185,0))+parametros_manuales!$G$33*('Plan mensual'!F71+'Plan mensual'!F182+IF(parametros_manuales!$H$33="Todos",'Plan mensual'!F75+'Plan mensual'!F186,0)))*parametros_manuales!$I$33*parametros_manuales!$J$33</f>
        <v>13902.976113065</v>
      </c>
      <c r="E178" s="9" t="n">
        <f aca="false">(parametros_manuales!$D$33*('Plan mensual'!G68+'Plan mensual'!G179+IF(parametros_manuales!$H$33="Todos",'Plan mensual'!G72+'Plan mensual'!G183,0))+parametros_manuales!$E$33*('Plan mensual'!G69+'Plan mensual'!G180+IF(parametros_manuales!$H$33="Todos",'Plan mensual'!G73+'Plan mensual'!G184,0))+parametros_manuales!$F$33*('Plan mensual'!G70+'Plan mensual'!G181+IF(parametros_manuales!$H$33="Todos",'Plan mensual'!G74+'Plan mensual'!G185,0))+parametros_manuales!$G$33*('Plan mensual'!G71+'Plan mensual'!G182+IF(parametros_manuales!$H$33="Todos",'Plan mensual'!G75+'Plan mensual'!G186,0)))*parametros_manuales!$I$33*parametros_manuales!$J$33</f>
        <v>13294.610346765</v>
      </c>
      <c r="F178" s="9" t="n">
        <f aca="false">(parametros_manuales!$D$33*('Plan mensual'!H68+'Plan mensual'!H179+IF(parametros_manuales!$H$33="Todos",'Plan mensual'!H72+'Plan mensual'!H183,0))+parametros_manuales!$E$33*('Plan mensual'!H69+'Plan mensual'!H180+IF(parametros_manuales!$H$33="Todos",'Plan mensual'!H73+'Plan mensual'!H184,0))+parametros_manuales!$F$33*('Plan mensual'!H70+'Plan mensual'!H181+IF(parametros_manuales!$H$33="Todos",'Plan mensual'!H74+'Plan mensual'!H185,0))+parametros_manuales!$G$33*('Plan mensual'!H71+'Plan mensual'!H182+IF(parametros_manuales!$H$33="Todos",'Plan mensual'!H75+'Plan mensual'!H186,0)))*parametros_manuales!$I$33*parametros_manuales!$J$33</f>
        <v>12441.00200092</v>
      </c>
      <c r="G178" s="9" t="n">
        <f aca="false">(parametros_manuales!$D$33*('Plan mensual'!I68+'Plan mensual'!I179+IF(parametros_manuales!$H$33="Todos",'Plan mensual'!I72+'Plan mensual'!I183,0))+parametros_manuales!$E$33*('Plan mensual'!I69+'Plan mensual'!I180+IF(parametros_manuales!$H$33="Todos",'Plan mensual'!I73+'Plan mensual'!I184,0))+parametros_manuales!$F$33*('Plan mensual'!I70+'Plan mensual'!I181+IF(parametros_manuales!$H$33="Todos",'Plan mensual'!I74+'Plan mensual'!I185,0))+parametros_manuales!$G$33*('Plan mensual'!I71+'Plan mensual'!I182+IF(parametros_manuales!$H$33="Todos",'Plan mensual'!I75+'Plan mensual'!I186,0)))*parametros_manuales!$I$33*parametros_manuales!$J$33</f>
        <v>12195.759421375</v>
      </c>
      <c r="H178" s="9" t="n">
        <f aca="false">(parametros_manuales!$D$33*('Plan mensual'!J68+'Plan mensual'!J179+IF(parametros_manuales!$H$33="Todos",'Plan mensual'!J72+'Plan mensual'!J183,0))+parametros_manuales!$E$33*('Plan mensual'!J69+'Plan mensual'!J180+IF(parametros_manuales!$H$33="Todos",'Plan mensual'!J73+'Plan mensual'!J184,0))+parametros_manuales!$F$33*('Plan mensual'!J70+'Plan mensual'!J181+IF(parametros_manuales!$H$33="Todos",'Plan mensual'!J74+'Plan mensual'!J185,0))+parametros_manuales!$G$33*('Plan mensual'!J71+'Plan mensual'!J182+IF(parametros_manuales!$H$33="Todos",'Plan mensual'!J75+'Plan mensual'!J186,0)))*parametros_manuales!$I$33*parametros_manuales!$J$33</f>
        <v>13049.36776722</v>
      </c>
      <c r="I178" s="9" t="n">
        <f aca="false">(parametros_manuales!$D$33*('Plan mensual'!K68+'Plan mensual'!K179+IF(parametros_manuales!$H$33="Todos",'Plan mensual'!K72+'Plan mensual'!K183,0))+parametros_manuales!$E$33*('Plan mensual'!K69+'Plan mensual'!K180+IF(parametros_manuales!$H$33="Todos",'Plan mensual'!K73+'Plan mensual'!K184,0))+parametros_manuales!$F$33*('Plan mensual'!K70+'Plan mensual'!K181+IF(parametros_manuales!$H$33="Todos",'Plan mensual'!K74+'Plan mensual'!K185,0))+parametros_manuales!$G$33*('Plan mensual'!K71+'Plan mensual'!K182+IF(parametros_manuales!$H$33="Todos",'Plan mensual'!K75+'Plan mensual'!K186,0)))*parametros_manuales!$I$33*parametros_manuales!$J$33</f>
        <v>13049.36776722</v>
      </c>
      <c r="J178" s="9" t="n">
        <f aca="false">(parametros_manuales!$D$33*('Plan mensual'!L68+'Plan mensual'!L179+IF(parametros_manuales!$H$33="Todos",'Plan mensual'!L72+'Plan mensual'!L183,0))+parametros_manuales!$E$33*('Plan mensual'!L69+'Plan mensual'!L180+IF(parametros_manuales!$H$33="Todos",'Plan mensual'!L73+'Plan mensual'!L184,0))+parametros_manuales!$F$33*('Plan mensual'!L70+'Plan mensual'!L181+IF(parametros_manuales!$H$33="Todos",'Plan mensual'!L74+'Plan mensual'!L185,0))+parametros_manuales!$G$33*('Plan mensual'!L71+'Plan mensual'!L182+IF(parametros_manuales!$H$33="Todos",'Plan mensual'!L75+'Plan mensual'!L186,0)))*parametros_manuales!$I$33*parametros_manuales!$J$33</f>
        <v>13049.36776722</v>
      </c>
      <c r="K178" s="9" t="n">
        <f aca="false">(parametros_manuales!$D$33*('Plan mensual'!M68+'Plan mensual'!M179+IF(parametros_manuales!$H$33="Todos",'Plan mensual'!M72+'Plan mensual'!M183,0))+parametros_manuales!$E$33*('Plan mensual'!M69+'Plan mensual'!M180+IF(parametros_manuales!$H$33="Todos",'Plan mensual'!M73+'Plan mensual'!M184,0))+parametros_manuales!$F$33*('Plan mensual'!M70+'Plan mensual'!M181+IF(parametros_manuales!$H$33="Todos",'Plan mensual'!M74+'Plan mensual'!M185,0))+parametros_manuales!$G$33*('Plan mensual'!M71+'Plan mensual'!M182+IF(parametros_manuales!$H$33="Todos",'Plan mensual'!M75+'Plan mensual'!M186,0)))*parametros_manuales!$I$33*parametros_manuales!$J$33</f>
        <v>12804.125187675</v>
      </c>
      <c r="L178" s="9" t="n">
        <f aca="false">(parametros_manuales!$D$33*('Plan mensual'!N68+'Plan mensual'!N179+IF(parametros_manuales!$H$33="Todos",'Plan mensual'!N72+'Plan mensual'!N183,0))+parametros_manuales!$E$33*('Plan mensual'!N69+'Plan mensual'!N180+IF(parametros_manuales!$H$33="Todos",'Plan mensual'!N73+'Plan mensual'!N184,0))+parametros_manuales!$F$33*('Plan mensual'!N70+'Plan mensual'!N181+IF(parametros_manuales!$H$33="Todos",'Plan mensual'!N74+'Plan mensual'!N185,0))+parametros_manuales!$G$33*('Plan mensual'!N71+'Plan mensual'!N182+IF(parametros_manuales!$H$33="Todos",'Plan mensual'!N75+'Plan mensual'!N186,0)))*parametros_manuales!$I$33*parametros_manuales!$J$33</f>
        <v>12558.88260813</v>
      </c>
      <c r="M178" s="9" t="n">
        <f aca="false">(parametros_manuales!$D$33*('Plan mensual'!O68+'Plan mensual'!O179+IF(parametros_manuales!$H$33="Todos",'Plan mensual'!O72+'Plan mensual'!O183,0))+parametros_manuales!$E$33*('Plan mensual'!O69+'Plan mensual'!O180+IF(parametros_manuales!$H$33="Todos",'Plan mensual'!O73+'Plan mensual'!O184,0))+parametros_manuales!$F$33*('Plan mensual'!O70+'Plan mensual'!O181+IF(parametros_manuales!$H$33="Todos",'Plan mensual'!O74+'Plan mensual'!O185,0))+parametros_manuales!$G$33*('Plan mensual'!O71+'Plan mensual'!O182+IF(parametros_manuales!$H$33="Todos",'Plan mensual'!O75+'Plan mensual'!O186,0)))*parametros_manuales!$I$33*parametros_manuales!$J$33</f>
        <v>19996.11514119</v>
      </c>
      <c r="N178" s="9" t="n">
        <f aca="false">SUM(B178:M178)</f>
        <v>170721.669169</v>
      </c>
      <c r="O178" s="9" t="n">
        <f aca="false">MAX(B178:M178)</f>
        <v>19996.11514119</v>
      </c>
      <c r="P178" s="44" t="n">
        <f aca="false">O178/(parametros_manuales!$B$7)</f>
        <v>133.3074342746</v>
      </c>
      <c r="Q178" s="8" t="str">
        <f aca="false">IF(O178=0,"-",INDEX($B$163:$M$163,MATCH(O178,B178:M178,0)))</f>
        <v>Dic</v>
      </c>
    </row>
    <row r="179" customFormat="false" ht="14.25" hidden="false" customHeight="true" outlineLevel="0" collapsed="false">
      <c r="A179" s="8" t="str">
        <f aca="false">parametros_manuales!$B$34</f>
        <v>Granallado</v>
      </c>
      <c r="B179" s="9" t="n">
        <f aca="false">(parametros_manuales!$D$34*('Plan mensual'!D68+'Plan mensual'!D179+IF(parametros_manuales!$H$34="Todos",'Plan mensual'!D72+'Plan mensual'!D183,0))+parametros_manuales!$E$34*('Plan mensual'!D69+'Plan mensual'!D180+IF(parametros_manuales!$H$34="Todos",'Plan mensual'!D73+'Plan mensual'!D184,0))+parametros_manuales!$F$34*('Plan mensual'!D70+'Plan mensual'!D181+IF(parametros_manuales!$H$34="Todos",'Plan mensual'!D74+'Plan mensual'!D185,0))+parametros_manuales!$G$34*('Plan mensual'!D71+'Plan mensual'!D182+IF(parametros_manuales!$H$34="Todos",'Plan mensual'!D75+'Plan mensual'!D186,0)))*parametros_manuales!$I$34*parametros_manuales!$J$34</f>
        <v>19505.6299821</v>
      </c>
      <c r="C179" s="9" t="n">
        <f aca="false">(parametros_manuales!$D$34*('Plan mensual'!E68+'Plan mensual'!E179+IF(parametros_manuales!$H$34="Todos",'Plan mensual'!E72+'Plan mensual'!E183,0))+parametros_manuales!$E$34*('Plan mensual'!E69+'Plan mensual'!E180+IF(parametros_manuales!$H$34="Todos",'Plan mensual'!E73+'Plan mensual'!E184,0))+parametros_manuales!$F$34*('Plan mensual'!E70+'Plan mensual'!E181+IF(parametros_manuales!$H$34="Todos",'Plan mensual'!E74+'Plan mensual'!E185,0))+parametros_manuales!$G$34*('Plan mensual'!E71+'Plan mensual'!E182+IF(parametros_manuales!$H$34="Todos",'Plan mensual'!E75+'Plan mensual'!E186,0)))*parametros_manuales!$I$34*parametros_manuales!$J$34</f>
        <v>14874.46506612</v>
      </c>
      <c r="D179" s="9" t="n">
        <f aca="false">(parametros_manuales!$D$34*('Plan mensual'!F68+'Plan mensual'!F179+IF(parametros_manuales!$H$34="Todos",'Plan mensual'!F72+'Plan mensual'!F183,0))+parametros_manuales!$E$34*('Plan mensual'!F69+'Plan mensual'!F180+IF(parametros_manuales!$H$34="Todos",'Plan mensual'!F73+'Plan mensual'!F184,0))+parametros_manuales!$F$34*('Plan mensual'!F70+'Plan mensual'!F181+IF(parametros_manuales!$H$34="Todos",'Plan mensual'!F74+'Plan mensual'!F185,0))+parametros_manuales!$G$34*('Plan mensual'!F71+'Plan mensual'!F182+IF(parametros_manuales!$H$34="Todos",'Plan mensual'!F75+'Plan mensual'!F186,0)))*parametros_manuales!$I$34*parametros_manuales!$J$34</f>
        <v>13902.976113065</v>
      </c>
      <c r="E179" s="9" t="n">
        <f aca="false">(parametros_manuales!$D$34*('Plan mensual'!G68+'Plan mensual'!G179+IF(parametros_manuales!$H$34="Todos",'Plan mensual'!G72+'Plan mensual'!G183,0))+parametros_manuales!$E$34*('Plan mensual'!G69+'Plan mensual'!G180+IF(parametros_manuales!$H$34="Todos",'Plan mensual'!G73+'Plan mensual'!G184,0))+parametros_manuales!$F$34*('Plan mensual'!G70+'Plan mensual'!G181+IF(parametros_manuales!$H$34="Todos",'Plan mensual'!G74+'Plan mensual'!G185,0))+parametros_manuales!$G$34*('Plan mensual'!G71+'Plan mensual'!G182+IF(parametros_manuales!$H$34="Todos",'Plan mensual'!G75+'Plan mensual'!G186,0)))*parametros_manuales!$I$34*parametros_manuales!$J$34</f>
        <v>13294.610346765</v>
      </c>
      <c r="F179" s="9" t="n">
        <f aca="false">(parametros_manuales!$D$34*('Plan mensual'!H68+'Plan mensual'!H179+IF(parametros_manuales!$H$34="Todos",'Plan mensual'!H72+'Plan mensual'!H183,0))+parametros_manuales!$E$34*('Plan mensual'!H69+'Plan mensual'!H180+IF(parametros_manuales!$H$34="Todos",'Plan mensual'!H73+'Plan mensual'!H184,0))+parametros_manuales!$F$34*('Plan mensual'!H70+'Plan mensual'!H181+IF(parametros_manuales!$H$34="Todos",'Plan mensual'!H74+'Plan mensual'!H185,0))+parametros_manuales!$G$34*('Plan mensual'!H71+'Plan mensual'!H182+IF(parametros_manuales!$H$34="Todos",'Plan mensual'!H75+'Plan mensual'!H186,0)))*parametros_manuales!$I$34*parametros_manuales!$J$34</f>
        <v>12441.00200092</v>
      </c>
      <c r="G179" s="9" t="n">
        <f aca="false">(parametros_manuales!$D$34*('Plan mensual'!I68+'Plan mensual'!I179+IF(parametros_manuales!$H$34="Todos",'Plan mensual'!I72+'Plan mensual'!I183,0))+parametros_manuales!$E$34*('Plan mensual'!I69+'Plan mensual'!I180+IF(parametros_manuales!$H$34="Todos",'Plan mensual'!I73+'Plan mensual'!I184,0))+parametros_manuales!$F$34*('Plan mensual'!I70+'Plan mensual'!I181+IF(parametros_manuales!$H$34="Todos",'Plan mensual'!I74+'Plan mensual'!I185,0))+parametros_manuales!$G$34*('Plan mensual'!I71+'Plan mensual'!I182+IF(parametros_manuales!$H$34="Todos",'Plan mensual'!I75+'Plan mensual'!I186,0)))*parametros_manuales!$I$34*parametros_manuales!$J$34</f>
        <v>12195.759421375</v>
      </c>
      <c r="H179" s="9" t="n">
        <f aca="false">(parametros_manuales!$D$34*('Plan mensual'!J68+'Plan mensual'!J179+IF(parametros_manuales!$H$34="Todos",'Plan mensual'!J72+'Plan mensual'!J183,0))+parametros_manuales!$E$34*('Plan mensual'!J69+'Plan mensual'!J180+IF(parametros_manuales!$H$34="Todos",'Plan mensual'!J73+'Plan mensual'!J184,0))+parametros_manuales!$F$34*('Plan mensual'!J70+'Plan mensual'!J181+IF(parametros_manuales!$H$34="Todos",'Plan mensual'!J74+'Plan mensual'!J185,0))+parametros_manuales!$G$34*('Plan mensual'!J71+'Plan mensual'!J182+IF(parametros_manuales!$H$34="Todos",'Plan mensual'!J75+'Plan mensual'!J186,0)))*parametros_manuales!$I$34*parametros_manuales!$J$34</f>
        <v>13049.36776722</v>
      </c>
      <c r="I179" s="9" t="n">
        <f aca="false">(parametros_manuales!$D$34*('Plan mensual'!K68+'Plan mensual'!K179+IF(parametros_manuales!$H$34="Todos",'Plan mensual'!K72+'Plan mensual'!K183,0))+parametros_manuales!$E$34*('Plan mensual'!K69+'Plan mensual'!K180+IF(parametros_manuales!$H$34="Todos",'Plan mensual'!K73+'Plan mensual'!K184,0))+parametros_manuales!$F$34*('Plan mensual'!K70+'Plan mensual'!K181+IF(parametros_manuales!$H$34="Todos",'Plan mensual'!K74+'Plan mensual'!K185,0))+parametros_manuales!$G$34*('Plan mensual'!K71+'Plan mensual'!K182+IF(parametros_manuales!$H$34="Todos",'Plan mensual'!K75+'Plan mensual'!K186,0)))*parametros_manuales!$I$34*parametros_manuales!$J$34</f>
        <v>13049.36776722</v>
      </c>
      <c r="J179" s="9" t="n">
        <f aca="false">(parametros_manuales!$D$34*('Plan mensual'!L68+'Plan mensual'!L179+IF(parametros_manuales!$H$34="Todos",'Plan mensual'!L72+'Plan mensual'!L183,0))+parametros_manuales!$E$34*('Plan mensual'!L69+'Plan mensual'!L180+IF(parametros_manuales!$H$34="Todos",'Plan mensual'!L73+'Plan mensual'!L184,0))+parametros_manuales!$F$34*('Plan mensual'!L70+'Plan mensual'!L181+IF(parametros_manuales!$H$34="Todos",'Plan mensual'!L74+'Plan mensual'!L185,0))+parametros_manuales!$G$34*('Plan mensual'!L71+'Plan mensual'!L182+IF(parametros_manuales!$H$34="Todos",'Plan mensual'!L75+'Plan mensual'!L186,0)))*parametros_manuales!$I$34*parametros_manuales!$J$34</f>
        <v>13049.36776722</v>
      </c>
      <c r="K179" s="9" t="n">
        <f aca="false">(parametros_manuales!$D$34*('Plan mensual'!M68+'Plan mensual'!M179+IF(parametros_manuales!$H$34="Todos",'Plan mensual'!M72+'Plan mensual'!M183,0))+parametros_manuales!$E$34*('Plan mensual'!M69+'Plan mensual'!M180+IF(parametros_manuales!$H$34="Todos",'Plan mensual'!M73+'Plan mensual'!M184,0))+parametros_manuales!$F$34*('Plan mensual'!M70+'Plan mensual'!M181+IF(parametros_manuales!$H$34="Todos",'Plan mensual'!M74+'Plan mensual'!M185,0))+parametros_manuales!$G$34*('Plan mensual'!M71+'Plan mensual'!M182+IF(parametros_manuales!$H$34="Todos",'Plan mensual'!M75+'Plan mensual'!M186,0)))*parametros_manuales!$I$34*parametros_manuales!$J$34</f>
        <v>12804.125187675</v>
      </c>
      <c r="L179" s="9" t="n">
        <f aca="false">(parametros_manuales!$D$34*('Plan mensual'!N68+'Plan mensual'!N179+IF(parametros_manuales!$H$34="Todos",'Plan mensual'!N72+'Plan mensual'!N183,0))+parametros_manuales!$E$34*('Plan mensual'!N69+'Plan mensual'!N180+IF(parametros_manuales!$H$34="Todos",'Plan mensual'!N73+'Plan mensual'!N184,0))+parametros_manuales!$F$34*('Plan mensual'!N70+'Plan mensual'!N181+IF(parametros_manuales!$H$34="Todos",'Plan mensual'!N74+'Plan mensual'!N185,0))+parametros_manuales!$G$34*('Plan mensual'!N71+'Plan mensual'!N182+IF(parametros_manuales!$H$34="Todos",'Plan mensual'!N75+'Plan mensual'!N186,0)))*parametros_manuales!$I$34*parametros_manuales!$J$34</f>
        <v>12558.88260813</v>
      </c>
      <c r="M179" s="9" t="n">
        <f aca="false">(parametros_manuales!$D$34*('Plan mensual'!O68+'Plan mensual'!O179+IF(parametros_manuales!$H$34="Todos",'Plan mensual'!O72+'Plan mensual'!O183,0))+parametros_manuales!$E$34*('Plan mensual'!O69+'Plan mensual'!O180+IF(parametros_manuales!$H$34="Todos",'Plan mensual'!O73+'Plan mensual'!O184,0))+parametros_manuales!$F$34*('Plan mensual'!O70+'Plan mensual'!O181+IF(parametros_manuales!$H$34="Todos",'Plan mensual'!O74+'Plan mensual'!O185,0))+parametros_manuales!$G$34*('Plan mensual'!O71+'Plan mensual'!O182+IF(parametros_manuales!$H$34="Todos",'Plan mensual'!O75+'Plan mensual'!O186,0)))*parametros_manuales!$I$34*parametros_manuales!$J$34</f>
        <v>19996.11514119</v>
      </c>
      <c r="N179" s="9" t="n">
        <f aca="false">SUM(B179:M179)</f>
        <v>170721.669169</v>
      </c>
      <c r="O179" s="9" t="n">
        <f aca="false">MAX(B179:M179)</f>
        <v>19996.11514119</v>
      </c>
      <c r="P179" s="44" t="n">
        <f aca="false">O179/(parametros_manuales!$B$7)</f>
        <v>133.3074342746</v>
      </c>
      <c r="Q179" s="8" t="str">
        <f aca="false">IF(O179=0,"-",INDEX($B$163:$M$163,MATCH(O179,B179:M179,0)))</f>
        <v>Dic</v>
      </c>
    </row>
    <row r="180" customFormat="false" ht="14.25" hidden="false" customHeight="true" outlineLevel="0" collapsed="false">
      <c r="A180" s="8" t="str">
        <f aca="false">parametros_manuales!$B$35</f>
        <v>Detección de defectos</v>
      </c>
      <c r="B180" s="9" t="n">
        <f aca="false">(parametros_manuales!$D$35*('Plan mensual'!D68+'Plan mensual'!D179+IF(parametros_manuales!$H$35="Todos",'Plan mensual'!D72+'Plan mensual'!D183,0))+parametros_manuales!$E$35*('Plan mensual'!D69+'Plan mensual'!D180+IF(parametros_manuales!$H$35="Todos",'Plan mensual'!D73+'Plan mensual'!D184,0))+parametros_manuales!$F$35*('Plan mensual'!D70+'Plan mensual'!D181+IF(parametros_manuales!$H$35="Todos",'Plan mensual'!D74+'Plan mensual'!D185,0))+parametros_manuales!$G$35*('Plan mensual'!D71+'Plan mensual'!D182+IF(parametros_manuales!$H$35="Todos",'Plan mensual'!D75+'Plan mensual'!D186,0)))*parametros_manuales!$I$35*parametros_manuales!$J$35</f>
        <v>19505.6299821</v>
      </c>
      <c r="C180" s="9" t="n">
        <f aca="false">(parametros_manuales!$D$35*('Plan mensual'!E68+'Plan mensual'!E179+IF(parametros_manuales!$H$35="Todos",'Plan mensual'!E72+'Plan mensual'!E183,0))+parametros_manuales!$E$35*('Plan mensual'!E69+'Plan mensual'!E180+IF(parametros_manuales!$H$35="Todos",'Plan mensual'!E73+'Plan mensual'!E184,0))+parametros_manuales!$F$35*('Plan mensual'!E70+'Plan mensual'!E181+IF(parametros_manuales!$H$35="Todos",'Plan mensual'!E74+'Plan mensual'!E185,0))+parametros_manuales!$G$35*('Plan mensual'!E71+'Plan mensual'!E182+IF(parametros_manuales!$H$35="Todos",'Plan mensual'!E75+'Plan mensual'!E186,0)))*parametros_manuales!$I$35*parametros_manuales!$J$35</f>
        <v>14874.46506612</v>
      </c>
      <c r="D180" s="9" t="n">
        <f aca="false">(parametros_manuales!$D$35*('Plan mensual'!F68+'Plan mensual'!F179+IF(parametros_manuales!$H$35="Todos",'Plan mensual'!F72+'Plan mensual'!F183,0))+parametros_manuales!$E$35*('Plan mensual'!F69+'Plan mensual'!F180+IF(parametros_manuales!$H$35="Todos",'Plan mensual'!F73+'Plan mensual'!F184,0))+parametros_manuales!$F$35*('Plan mensual'!F70+'Plan mensual'!F181+IF(parametros_manuales!$H$35="Todos",'Plan mensual'!F74+'Plan mensual'!F185,0))+parametros_manuales!$G$35*('Plan mensual'!F71+'Plan mensual'!F182+IF(parametros_manuales!$H$35="Todos",'Plan mensual'!F75+'Plan mensual'!F186,0)))*parametros_manuales!$I$35*parametros_manuales!$J$35</f>
        <v>13902.976113065</v>
      </c>
      <c r="E180" s="9" t="n">
        <f aca="false">(parametros_manuales!$D$35*('Plan mensual'!G68+'Plan mensual'!G179+IF(parametros_manuales!$H$35="Todos",'Plan mensual'!G72+'Plan mensual'!G183,0))+parametros_manuales!$E$35*('Plan mensual'!G69+'Plan mensual'!G180+IF(parametros_manuales!$H$35="Todos",'Plan mensual'!G73+'Plan mensual'!G184,0))+parametros_manuales!$F$35*('Plan mensual'!G70+'Plan mensual'!G181+IF(parametros_manuales!$H$35="Todos",'Plan mensual'!G74+'Plan mensual'!G185,0))+parametros_manuales!$G$35*('Plan mensual'!G71+'Plan mensual'!G182+IF(parametros_manuales!$H$35="Todos",'Plan mensual'!G75+'Plan mensual'!G186,0)))*parametros_manuales!$I$35*parametros_manuales!$J$35</f>
        <v>13294.610346765</v>
      </c>
      <c r="F180" s="9" t="n">
        <f aca="false">(parametros_manuales!$D$35*('Plan mensual'!H68+'Plan mensual'!H179+IF(parametros_manuales!$H$35="Todos",'Plan mensual'!H72+'Plan mensual'!H183,0))+parametros_manuales!$E$35*('Plan mensual'!H69+'Plan mensual'!H180+IF(parametros_manuales!$H$35="Todos",'Plan mensual'!H73+'Plan mensual'!H184,0))+parametros_manuales!$F$35*('Plan mensual'!H70+'Plan mensual'!H181+IF(parametros_manuales!$H$35="Todos",'Plan mensual'!H74+'Plan mensual'!H185,0))+parametros_manuales!$G$35*('Plan mensual'!H71+'Plan mensual'!H182+IF(parametros_manuales!$H$35="Todos",'Plan mensual'!H75+'Plan mensual'!H186,0)))*parametros_manuales!$I$35*parametros_manuales!$J$35</f>
        <v>12441.00200092</v>
      </c>
      <c r="G180" s="9" t="n">
        <f aca="false">(parametros_manuales!$D$35*('Plan mensual'!I68+'Plan mensual'!I179+IF(parametros_manuales!$H$35="Todos",'Plan mensual'!I72+'Plan mensual'!I183,0))+parametros_manuales!$E$35*('Plan mensual'!I69+'Plan mensual'!I180+IF(parametros_manuales!$H$35="Todos",'Plan mensual'!I73+'Plan mensual'!I184,0))+parametros_manuales!$F$35*('Plan mensual'!I70+'Plan mensual'!I181+IF(parametros_manuales!$H$35="Todos",'Plan mensual'!I74+'Plan mensual'!I185,0))+parametros_manuales!$G$35*('Plan mensual'!I71+'Plan mensual'!I182+IF(parametros_manuales!$H$35="Todos",'Plan mensual'!I75+'Plan mensual'!I186,0)))*parametros_manuales!$I$35*parametros_manuales!$J$35</f>
        <v>12195.759421375</v>
      </c>
      <c r="H180" s="9" t="n">
        <f aca="false">(parametros_manuales!$D$35*('Plan mensual'!J68+'Plan mensual'!J179+IF(parametros_manuales!$H$35="Todos",'Plan mensual'!J72+'Plan mensual'!J183,0))+parametros_manuales!$E$35*('Plan mensual'!J69+'Plan mensual'!J180+IF(parametros_manuales!$H$35="Todos",'Plan mensual'!J73+'Plan mensual'!J184,0))+parametros_manuales!$F$35*('Plan mensual'!J70+'Plan mensual'!J181+IF(parametros_manuales!$H$35="Todos",'Plan mensual'!J74+'Plan mensual'!J185,0))+parametros_manuales!$G$35*('Plan mensual'!J71+'Plan mensual'!J182+IF(parametros_manuales!$H$35="Todos",'Plan mensual'!J75+'Plan mensual'!J186,0)))*parametros_manuales!$I$35*parametros_manuales!$J$35</f>
        <v>13049.36776722</v>
      </c>
      <c r="I180" s="9" t="n">
        <f aca="false">(parametros_manuales!$D$35*('Plan mensual'!K68+'Plan mensual'!K179+IF(parametros_manuales!$H$35="Todos",'Plan mensual'!K72+'Plan mensual'!K183,0))+parametros_manuales!$E$35*('Plan mensual'!K69+'Plan mensual'!K180+IF(parametros_manuales!$H$35="Todos",'Plan mensual'!K73+'Plan mensual'!K184,0))+parametros_manuales!$F$35*('Plan mensual'!K70+'Plan mensual'!K181+IF(parametros_manuales!$H$35="Todos",'Plan mensual'!K74+'Plan mensual'!K185,0))+parametros_manuales!$G$35*('Plan mensual'!K71+'Plan mensual'!K182+IF(parametros_manuales!$H$35="Todos",'Plan mensual'!K75+'Plan mensual'!K186,0)))*parametros_manuales!$I$35*parametros_manuales!$J$35</f>
        <v>13049.36776722</v>
      </c>
      <c r="J180" s="9" t="n">
        <f aca="false">(parametros_manuales!$D$35*('Plan mensual'!L68+'Plan mensual'!L179+IF(parametros_manuales!$H$35="Todos",'Plan mensual'!L72+'Plan mensual'!L183,0))+parametros_manuales!$E$35*('Plan mensual'!L69+'Plan mensual'!L180+IF(parametros_manuales!$H$35="Todos",'Plan mensual'!L73+'Plan mensual'!L184,0))+parametros_manuales!$F$35*('Plan mensual'!L70+'Plan mensual'!L181+IF(parametros_manuales!$H$35="Todos",'Plan mensual'!L74+'Plan mensual'!L185,0))+parametros_manuales!$G$35*('Plan mensual'!L71+'Plan mensual'!L182+IF(parametros_manuales!$H$35="Todos",'Plan mensual'!L75+'Plan mensual'!L186,0)))*parametros_manuales!$I$35*parametros_manuales!$J$35</f>
        <v>13049.36776722</v>
      </c>
      <c r="K180" s="9" t="n">
        <f aca="false">(parametros_manuales!$D$35*('Plan mensual'!M68+'Plan mensual'!M179+IF(parametros_manuales!$H$35="Todos",'Plan mensual'!M72+'Plan mensual'!M183,0))+parametros_manuales!$E$35*('Plan mensual'!M69+'Plan mensual'!M180+IF(parametros_manuales!$H$35="Todos",'Plan mensual'!M73+'Plan mensual'!M184,0))+parametros_manuales!$F$35*('Plan mensual'!M70+'Plan mensual'!M181+IF(parametros_manuales!$H$35="Todos",'Plan mensual'!M74+'Plan mensual'!M185,0))+parametros_manuales!$G$35*('Plan mensual'!M71+'Plan mensual'!M182+IF(parametros_manuales!$H$35="Todos",'Plan mensual'!M75+'Plan mensual'!M186,0)))*parametros_manuales!$I$35*parametros_manuales!$J$35</f>
        <v>12804.125187675</v>
      </c>
      <c r="L180" s="9" t="n">
        <f aca="false">(parametros_manuales!$D$35*('Plan mensual'!N68+'Plan mensual'!N179+IF(parametros_manuales!$H$35="Todos",'Plan mensual'!N72+'Plan mensual'!N183,0))+parametros_manuales!$E$35*('Plan mensual'!N69+'Plan mensual'!N180+IF(parametros_manuales!$H$35="Todos",'Plan mensual'!N73+'Plan mensual'!N184,0))+parametros_manuales!$F$35*('Plan mensual'!N70+'Plan mensual'!N181+IF(parametros_manuales!$H$35="Todos",'Plan mensual'!N74+'Plan mensual'!N185,0))+parametros_manuales!$G$35*('Plan mensual'!N71+'Plan mensual'!N182+IF(parametros_manuales!$H$35="Todos",'Plan mensual'!N75+'Plan mensual'!N186,0)))*parametros_manuales!$I$35*parametros_manuales!$J$35</f>
        <v>12558.88260813</v>
      </c>
      <c r="M180" s="9" t="n">
        <f aca="false">(parametros_manuales!$D$35*('Plan mensual'!O68+'Plan mensual'!O179+IF(parametros_manuales!$H$35="Todos",'Plan mensual'!O72+'Plan mensual'!O183,0))+parametros_manuales!$E$35*('Plan mensual'!O69+'Plan mensual'!O180+IF(parametros_manuales!$H$35="Todos",'Plan mensual'!O73+'Plan mensual'!O184,0))+parametros_manuales!$F$35*('Plan mensual'!O70+'Plan mensual'!O181+IF(parametros_manuales!$H$35="Todos",'Plan mensual'!O74+'Plan mensual'!O185,0))+parametros_manuales!$G$35*('Plan mensual'!O71+'Plan mensual'!O182+IF(parametros_manuales!$H$35="Todos",'Plan mensual'!O75+'Plan mensual'!O186,0)))*parametros_manuales!$I$35*parametros_manuales!$J$35</f>
        <v>19996.11514119</v>
      </c>
      <c r="N180" s="9" t="n">
        <f aca="false">SUM(B180:M180)</f>
        <v>170721.669169</v>
      </c>
      <c r="O180" s="9" t="n">
        <f aca="false">MAX(B180:M180)</f>
        <v>19996.11514119</v>
      </c>
      <c r="P180" s="44" t="n">
        <f aca="false">O180/(parametros_manuales!$B$7)</f>
        <v>133.3074342746</v>
      </c>
      <c r="Q180" s="8" t="str">
        <f aca="false">IF(O180=0,"-",INDEX($B$163:$M$163,MATCH(O180,B180:M180,0)))</f>
        <v>Dic</v>
      </c>
    </row>
    <row r="181" customFormat="false" ht="14.25" hidden="false" customHeight="true" outlineLevel="0" collapsed="false">
      <c r="A181" s="8" t="str">
        <f aca="false">parametros_manuales!$B$36</f>
        <v>Corrección de defectos</v>
      </c>
      <c r="B181" s="9" t="n">
        <f aca="false">(parametros_manuales!$D$36*('Plan mensual'!D68+'Plan mensual'!D179+IF(parametros_manuales!$H$36="Todos",'Plan mensual'!D72+'Plan mensual'!D183,0))+parametros_manuales!$E$36*('Plan mensual'!D69+'Plan mensual'!D180+IF(parametros_manuales!$H$36="Todos",'Plan mensual'!D73+'Plan mensual'!D184,0))+parametros_manuales!$F$36*('Plan mensual'!D70+'Plan mensual'!D181+IF(parametros_manuales!$H$36="Todos",'Plan mensual'!D74+'Plan mensual'!D185,0))+parametros_manuales!$G$36*('Plan mensual'!D71+'Plan mensual'!D182+IF(parametros_manuales!$H$36="Todos",'Plan mensual'!D75+'Plan mensual'!D186,0)))*parametros_manuales!$I$36*parametros_manuales!$J$36</f>
        <v>975.281499105</v>
      </c>
      <c r="C181" s="9" t="n">
        <f aca="false">(parametros_manuales!$D$36*('Plan mensual'!E68+'Plan mensual'!E179+IF(parametros_manuales!$H$36="Todos",'Plan mensual'!E72+'Plan mensual'!E183,0))+parametros_manuales!$E$36*('Plan mensual'!E69+'Plan mensual'!E180+IF(parametros_manuales!$H$36="Todos",'Plan mensual'!E73+'Plan mensual'!E184,0))+parametros_manuales!$F$36*('Plan mensual'!E70+'Plan mensual'!E181+IF(parametros_manuales!$H$36="Todos",'Plan mensual'!E74+'Plan mensual'!E185,0))+parametros_manuales!$G$36*('Plan mensual'!E71+'Plan mensual'!E182+IF(parametros_manuales!$H$36="Todos",'Plan mensual'!E75+'Plan mensual'!E186,0)))*parametros_manuales!$I$36*parametros_manuales!$J$36</f>
        <v>743.723253306</v>
      </c>
      <c r="D181" s="9" t="n">
        <f aca="false">(parametros_manuales!$D$36*('Plan mensual'!F68+'Plan mensual'!F179+IF(parametros_manuales!$H$36="Todos",'Plan mensual'!F72+'Plan mensual'!F183,0))+parametros_manuales!$E$36*('Plan mensual'!F69+'Plan mensual'!F180+IF(parametros_manuales!$H$36="Todos",'Plan mensual'!F73+'Plan mensual'!F184,0))+parametros_manuales!$F$36*('Plan mensual'!F70+'Plan mensual'!F181+IF(parametros_manuales!$H$36="Todos",'Plan mensual'!F74+'Plan mensual'!F185,0))+parametros_manuales!$G$36*('Plan mensual'!F71+'Plan mensual'!F182+IF(parametros_manuales!$H$36="Todos",'Plan mensual'!F75+'Plan mensual'!F186,0)))*parametros_manuales!$I$36*parametros_manuales!$J$36</f>
        <v>695.14880565325</v>
      </c>
      <c r="E181" s="9" t="n">
        <f aca="false">(parametros_manuales!$D$36*('Plan mensual'!G68+'Plan mensual'!G179+IF(parametros_manuales!$H$36="Todos",'Plan mensual'!G72+'Plan mensual'!G183,0))+parametros_manuales!$E$36*('Plan mensual'!G69+'Plan mensual'!G180+IF(parametros_manuales!$H$36="Todos",'Plan mensual'!G73+'Plan mensual'!G184,0))+parametros_manuales!$F$36*('Plan mensual'!G70+'Plan mensual'!G181+IF(parametros_manuales!$H$36="Todos",'Plan mensual'!G74+'Plan mensual'!G185,0))+parametros_manuales!$G$36*('Plan mensual'!G71+'Plan mensual'!G182+IF(parametros_manuales!$H$36="Todos",'Plan mensual'!G75+'Plan mensual'!G186,0)))*parametros_manuales!$I$36*parametros_manuales!$J$36</f>
        <v>664.73051733825</v>
      </c>
      <c r="F181" s="9" t="n">
        <f aca="false">(parametros_manuales!$D$36*('Plan mensual'!H68+'Plan mensual'!H179+IF(parametros_manuales!$H$36="Todos",'Plan mensual'!H72+'Plan mensual'!H183,0))+parametros_manuales!$E$36*('Plan mensual'!H69+'Plan mensual'!H180+IF(parametros_manuales!$H$36="Todos",'Plan mensual'!H73+'Plan mensual'!H184,0))+parametros_manuales!$F$36*('Plan mensual'!H70+'Plan mensual'!H181+IF(parametros_manuales!$H$36="Todos",'Plan mensual'!H74+'Plan mensual'!H185,0))+parametros_manuales!$G$36*('Plan mensual'!H71+'Plan mensual'!H182+IF(parametros_manuales!$H$36="Todos",'Plan mensual'!H75+'Plan mensual'!H186,0)))*parametros_manuales!$I$36*parametros_manuales!$J$36</f>
        <v>622.050100046</v>
      </c>
      <c r="G181" s="9" t="n">
        <f aca="false">(parametros_manuales!$D$36*('Plan mensual'!I68+'Plan mensual'!I179+IF(parametros_manuales!$H$36="Todos",'Plan mensual'!I72+'Plan mensual'!I183,0))+parametros_manuales!$E$36*('Plan mensual'!I69+'Plan mensual'!I180+IF(parametros_manuales!$H$36="Todos",'Plan mensual'!I73+'Plan mensual'!I184,0))+parametros_manuales!$F$36*('Plan mensual'!I70+'Plan mensual'!I181+IF(parametros_manuales!$H$36="Todos",'Plan mensual'!I74+'Plan mensual'!I185,0))+parametros_manuales!$G$36*('Plan mensual'!I71+'Plan mensual'!I182+IF(parametros_manuales!$H$36="Todos",'Plan mensual'!I75+'Plan mensual'!I186,0)))*parametros_manuales!$I$36*parametros_manuales!$J$36</f>
        <v>609.78797106875</v>
      </c>
      <c r="H181" s="9" t="n">
        <f aca="false">(parametros_manuales!$D$36*('Plan mensual'!J68+'Plan mensual'!J179+IF(parametros_manuales!$H$36="Todos",'Plan mensual'!J72+'Plan mensual'!J183,0))+parametros_manuales!$E$36*('Plan mensual'!J69+'Plan mensual'!J180+IF(parametros_manuales!$H$36="Todos",'Plan mensual'!J73+'Plan mensual'!J184,0))+parametros_manuales!$F$36*('Plan mensual'!J70+'Plan mensual'!J181+IF(parametros_manuales!$H$36="Todos",'Plan mensual'!J74+'Plan mensual'!J185,0))+parametros_manuales!$G$36*('Plan mensual'!J71+'Plan mensual'!J182+IF(parametros_manuales!$H$36="Todos",'Plan mensual'!J75+'Plan mensual'!J186,0)))*parametros_manuales!$I$36*parametros_manuales!$J$36</f>
        <v>652.468388361</v>
      </c>
      <c r="I181" s="9" t="n">
        <f aca="false">(parametros_manuales!$D$36*('Plan mensual'!K68+'Plan mensual'!K179+IF(parametros_manuales!$H$36="Todos",'Plan mensual'!K72+'Plan mensual'!K183,0))+parametros_manuales!$E$36*('Plan mensual'!K69+'Plan mensual'!K180+IF(parametros_manuales!$H$36="Todos",'Plan mensual'!K73+'Plan mensual'!K184,0))+parametros_manuales!$F$36*('Plan mensual'!K70+'Plan mensual'!K181+IF(parametros_manuales!$H$36="Todos",'Plan mensual'!K74+'Plan mensual'!K185,0))+parametros_manuales!$G$36*('Plan mensual'!K71+'Plan mensual'!K182+IF(parametros_manuales!$H$36="Todos",'Plan mensual'!K75+'Plan mensual'!K186,0)))*parametros_manuales!$I$36*parametros_manuales!$J$36</f>
        <v>652.468388361</v>
      </c>
      <c r="J181" s="9" t="n">
        <f aca="false">(parametros_manuales!$D$36*('Plan mensual'!L68+'Plan mensual'!L179+IF(parametros_manuales!$H$36="Todos",'Plan mensual'!L72+'Plan mensual'!L183,0))+parametros_manuales!$E$36*('Plan mensual'!L69+'Plan mensual'!L180+IF(parametros_manuales!$H$36="Todos",'Plan mensual'!L73+'Plan mensual'!L184,0))+parametros_manuales!$F$36*('Plan mensual'!L70+'Plan mensual'!L181+IF(parametros_manuales!$H$36="Todos",'Plan mensual'!L74+'Plan mensual'!L185,0))+parametros_manuales!$G$36*('Plan mensual'!L71+'Plan mensual'!L182+IF(parametros_manuales!$H$36="Todos",'Plan mensual'!L75+'Plan mensual'!L186,0)))*parametros_manuales!$I$36*parametros_manuales!$J$36</f>
        <v>652.468388361</v>
      </c>
      <c r="K181" s="9" t="n">
        <f aca="false">(parametros_manuales!$D$36*('Plan mensual'!M68+'Plan mensual'!M179+IF(parametros_manuales!$H$36="Todos",'Plan mensual'!M72+'Plan mensual'!M183,0))+parametros_manuales!$E$36*('Plan mensual'!M69+'Plan mensual'!M180+IF(parametros_manuales!$H$36="Todos",'Plan mensual'!M73+'Plan mensual'!M184,0))+parametros_manuales!$F$36*('Plan mensual'!M70+'Plan mensual'!M181+IF(parametros_manuales!$H$36="Todos",'Plan mensual'!M74+'Plan mensual'!M185,0))+parametros_manuales!$G$36*('Plan mensual'!M71+'Plan mensual'!M182+IF(parametros_manuales!$H$36="Todos",'Plan mensual'!M75+'Plan mensual'!M186,0)))*parametros_manuales!$I$36*parametros_manuales!$J$36</f>
        <v>640.20625938375</v>
      </c>
      <c r="L181" s="9" t="n">
        <f aca="false">(parametros_manuales!$D$36*('Plan mensual'!N68+'Plan mensual'!N179+IF(parametros_manuales!$H$36="Todos",'Plan mensual'!N72+'Plan mensual'!N183,0))+parametros_manuales!$E$36*('Plan mensual'!N69+'Plan mensual'!N180+IF(parametros_manuales!$H$36="Todos",'Plan mensual'!N73+'Plan mensual'!N184,0))+parametros_manuales!$F$36*('Plan mensual'!N70+'Plan mensual'!N181+IF(parametros_manuales!$H$36="Todos",'Plan mensual'!N74+'Plan mensual'!N185,0))+parametros_manuales!$G$36*('Plan mensual'!N71+'Plan mensual'!N182+IF(parametros_manuales!$H$36="Todos",'Plan mensual'!N75+'Plan mensual'!N186,0)))*parametros_manuales!$I$36*parametros_manuales!$J$36</f>
        <v>627.9441304065</v>
      </c>
      <c r="M181" s="9" t="n">
        <f aca="false">(parametros_manuales!$D$36*('Plan mensual'!O68+'Plan mensual'!O179+IF(parametros_manuales!$H$36="Todos",'Plan mensual'!O72+'Plan mensual'!O183,0))+parametros_manuales!$E$36*('Plan mensual'!O69+'Plan mensual'!O180+IF(parametros_manuales!$H$36="Todos",'Plan mensual'!O73+'Plan mensual'!O184,0))+parametros_manuales!$F$36*('Plan mensual'!O70+'Plan mensual'!O181+IF(parametros_manuales!$H$36="Todos",'Plan mensual'!O74+'Plan mensual'!O185,0))+parametros_manuales!$G$36*('Plan mensual'!O71+'Plan mensual'!O182+IF(parametros_manuales!$H$36="Todos",'Plan mensual'!O75+'Plan mensual'!O186,0)))*parametros_manuales!$I$36*parametros_manuales!$J$36</f>
        <v>999.8057570595</v>
      </c>
      <c r="N181" s="9" t="n">
        <f aca="false">SUM(B181:M181)</f>
        <v>8536.08345845</v>
      </c>
      <c r="O181" s="9" t="n">
        <f aca="false">MAX(B181:M181)</f>
        <v>999.8057570595</v>
      </c>
      <c r="P181" s="44" t="n">
        <f aca="false">O181/(parametros_manuales!$B$7)</f>
        <v>6.66537171373</v>
      </c>
      <c r="Q181" s="8" t="str">
        <f aca="false">IF(O181=0,"-",INDEX($B$163:$M$163,MATCH(O181,B181:M181,0)))</f>
        <v>Dic</v>
      </c>
    </row>
    <row r="182" customFormat="false" ht="14.25" hidden="false" customHeight="true" outlineLevel="0" collapsed="false">
      <c r="A182" s="8" t="str">
        <f aca="false">parametros_manuales!$B$37</f>
        <v>Pintura en polvo + horno</v>
      </c>
      <c r="B182" s="9" t="n">
        <f aca="false">(parametros_manuales!$D$37*('Plan mensual'!D68+'Plan mensual'!D179+IF(parametros_manuales!$H$37="Todos",'Plan mensual'!D72+'Plan mensual'!D183,0))+parametros_manuales!$E$37*('Plan mensual'!D69+'Plan mensual'!D180+IF(parametros_manuales!$H$37="Todos",'Plan mensual'!D73+'Plan mensual'!D184,0))+parametros_manuales!$F$37*('Plan mensual'!D70+'Plan mensual'!D181+IF(parametros_manuales!$H$37="Todos",'Plan mensual'!D74+'Plan mensual'!D185,0))+parametros_manuales!$G$37*('Plan mensual'!D71+'Plan mensual'!D182+IF(parametros_manuales!$H$37="Todos",'Plan mensual'!D75+'Plan mensual'!D186,0)))*parametros_manuales!$I$37*parametros_manuales!$J$37</f>
        <v>19505.6299821</v>
      </c>
      <c r="C182" s="9" t="n">
        <f aca="false">(parametros_manuales!$D$37*('Plan mensual'!E68+'Plan mensual'!E179+IF(parametros_manuales!$H$37="Todos",'Plan mensual'!E72+'Plan mensual'!E183,0))+parametros_manuales!$E$37*('Plan mensual'!E69+'Plan mensual'!E180+IF(parametros_manuales!$H$37="Todos",'Plan mensual'!E73+'Plan mensual'!E184,0))+parametros_manuales!$F$37*('Plan mensual'!E70+'Plan mensual'!E181+IF(parametros_manuales!$H$37="Todos",'Plan mensual'!E74+'Plan mensual'!E185,0))+parametros_manuales!$G$37*('Plan mensual'!E71+'Plan mensual'!E182+IF(parametros_manuales!$H$37="Todos",'Plan mensual'!E75+'Plan mensual'!E186,0)))*parametros_manuales!$I$37*parametros_manuales!$J$37</f>
        <v>14874.46506612</v>
      </c>
      <c r="D182" s="9" t="n">
        <f aca="false">(parametros_manuales!$D$37*('Plan mensual'!F68+'Plan mensual'!F179+IF(parametros_manuales!$H$37="Todos",'Plan mensual'!F72+'Plan mensual'!F183,0))+parametros_manuales!$E$37*('Plan mensual'!F69+'Plan mensual'!F180+IF(parametros_manuales!$H$37="Todos",'Plan mensual'!F73+'Plan mensual'!F184,0))+parametros_manuales!$F$37*('Plan mensual'!F70+'Plan mensual'!F181+IF(parametros_manuales!$H$37="Todos",'Plan mensual'!F74+'Plan mensual'!F185,0))+parametros_manuales!$G$37*('Plan mensual'!F71+'Plan mensual'!F182+IF(parametros_manuales!$H$37="Todos",'Plan mensual'!F75+'Plan mensual'!F186,0)))*parametros_manuales!$I$37*parametros_manuales!$J$37</f>
        <v>13902.976113065</v>
      </c>
      <c r="E182" s="9" t="n">
        <f aca="false">(parametros_manuales!$D$37*('Plan mensual'!G68+'Plan mensual'!G179+IF(parametros_manuales!$H$37="Todos",'Plan mensual'!G72+'Plan mensual'!G183,0))+parametros_manuales!$E$37*('Plan mensual'!G69+'Plan mensual'!G180+IF(parametros_manuales!$H$37="Todos",'Plan mensual'!G73+'Plan mensual'!G184,0))+parametros_manuales!$F$37*('Plan mensual'!G70+'Plan mensual'!G181+IF(parametros_manuales!$H$37="Todos",'Plan mensual'!G74+'Plan mensual'!G185,0))+parametros_manuales!$G$37*('Plan mensual'!G71+'Plan mensual'!G182+IF(parametros_manuales!$H$37="Todos",'Plan mensual'!G75+'Plan mensual'!G186,0)))*parametros_manuales!$I$37*parametros_manuales!$J$37</f>
        <v>13294.610346765</v>
      </c>
      <c r="F182" s="9" t="n">
        <f aca="false">(parametros_manuales!$D$37*('Plan mensual'!H68+'Plan mensual'!H179+IF(parametros_manuales!$H$37="Todos",'Plan mensual'!H72+'Plan mensual'!H183,0))+parametros_manuales!$E$37*('Plan mensual'!H69+'Plan mensual'!H180+IF(parametros_manuales!$H$37="Todos",'Plan mensual'!H73+'Plan mensual'!H184,0))+parametros_manuales!$F$37*('Plan mensual'!H70+'Plan mensual'!H181+IF(parametros_manuales!$H$37="Todos",'Plan mensual'!H74+'Plan mensual'!H185,0))+parametros_manuales!$G$37*('Plan mensual'!H71+'Plan mensual'!H182+IF(parametros_manuales!$H$37="Todos",'Plan mensual'!H75+'Plan mensual'!H186,0)))*parametros_manuales!$I$37*parametros_manuales!$J$37</f>
        <v>12441.00200092</v>
      </c>
      <c r="G182" s="9" t="n">
        <f aca="false">(parametros_manuales!$D$37*('Plan mensual'!I68+'Plan mensual'!I179+IF(parametros_manuales!$H$37="Todos",'Plan mensual'!I72+'Plan mensual'!I183,0))+parametros_manuales!$E$37*('Plan mensual'!I69+'Plan mensual'!I180+IF(parametros_manuales!$H$37="Todos",'Plan mensual'!I73+'Plan mensual'!I184,0))+parametros_manuales!$F$37*('Plan mensual'!I70+'Plan mensual'!I181+IF(parametros_manuales!$H$37="Todos",'Plan mensual'!I74+'Plan mensual'!I185,0))+parametros_manuales!$G$37*('Plan mensual'!I71+'Plan mensual'!I182+IF(parametros_manuales!$H$37="Todos",'Plan mensual'!I75+'Plan mensual'!I186,0)))*parametros_manuales!$I$37*parametros_manuales!$J$37</f>
        <v>12195.759421375</v>
      </c>
      <c r="H182" s="9" t="n">
        <f aca="false">(parametros_manuales!$D$37*('Plan mensual'!J68+'Plan mensual'!J179+IF(parametros_manuales!$H$37="Todos",'Plan mensual'!J72+'Plan mensual'!J183,0))+parametros_manuales!$E$37*('Plan mensual'!J69+'Plan mensual'!J180+IF(parametros_manuales!$H$37="Todos",'Plan mensual'!J73+'Plan mensual'!J184,0))+parametros_manuales!$F$37*('Plan mensual'!J70+'Plan mensual'!J181+IF(parametros_manuales!$H$37="Todos",'Plan mensual'!J74+'Plan mensual'!J185,0))+parametros_manuales!$G$37*('Plan mensual'!J71+'Plan mensual'!J182+IF(parametros_manuales!$H$37="Todos",'Plan mensual'!J75+'Plan mensual'!J186,0)))*parametros_manuales!$I$37*parametros_manuales!$J$37</f>
        <v>13049.36776722</v>
      </c>
      <c r="I182" s="9" t="n">
        <f aca="false">(parametros_manuales!$D$37*('Plan mensual'!K68+'Plan mensual'!K179+IF(parametros_manuales!$H$37="Todos",'Plan mensual'!K72+'Plan mensual'!K183,0))+parametros_manuales!$E$37*('Plan mensual'!K69+'Plan mensual'!K180+IF(parametros_manuales!$H$37="Todos",'Plan mensual'!K73+'Plan mensual'!K184,0))+parametros_manuales!$F$37*('Plan mensual'!K70+'Plan mensual'!K181+IF(parametros_manuales!$H$37="Todos",'Plan mensual'!K74+'Plan mensual'!K185,0))+parametros_manuales!$G$37*('Plan mensual'!K71+'Plan mensual'!K182+IF(parametros_manuales!$H$37="Todos",'Plan mensual'!K75+'Plan mensual'!K186,0)))*parametros_manuales!$I$37*parametros_manuales!$J$37</f>
        <v>13049.36776722</v>
      </c>
      <c r="J182" s="9" t="n">
        <f aca="false">(parametros_manuales!$D$37*('Plan mensual'!L68+'Plan mensual'!L179+IF(parametros_manuales!$H$37="Todos",'Plan mensual'!L72+'Plan mensual'!L183,0))+parametros_manuales!$E$37*('Plan mensual'!L69+'Plan mensual'!L180+IF(parametros_manuales!$H$37="Todos",'Plan mensual'!L73+'Plan mensual'!L184,0))+parametros_manuales!$F$37*('Plan mensual'!L70+'Plan mensual'!L181+IF(parametros_manuales!$H$37="Todos",'Plan mensual'!L74+'Plan mensual'!L185,0))+parametros_manuales!$G$37*('Plan mensual'!L71+'Plan mensual'!L182+IF(parametros_manuales!$H$37="Todos",'Plan mensual'!L75+'Plan mensual'!L186,0)))*parametros_manuales!$I$37*parametros_manuales!$J$37</f>
        <v>13049.36776722</v>
      </c>
      <c r="K182" s="9" t="n">
        <f aca="false">(parametros_manuales!$D$37*('Plan mensual'!M68+'Plan mensual'!M179+IF(parametros_manuales!$H$37="Todos",'Plan mensual'!M72+'Plan mensual'!M183,0))+parametros_manuales!$E$37*('Plan mensual'!M69+'Plan mensual'!M180+IF(parametros_manuales!$H$37="Todos",'Plan mensual'!M73+'Plan mensual'!M184,0))+parametros_manuales!$F$37*('Plan mensual'!M70+'Plan mensual'!M181+IF(parametros_manuales!$H$37="Todos",'Plan mensual'!M74+'Plan mensual'!M185,0))+parametros_manuales!$G$37*('Plan mensual'!M71+'Plan mensual'!M182+IF(parametros_manuales!$H$37="Todos",'Plan mensual'!M75+'Plan mensual'!M186,0)))*parametros_manuales!$I$37*parametros_manuales!$J$37</f>
        <v>12804.125187675</v>
      </c>
      <c r="L182" s="9" t="n">
        <f aca="false">(parametros_manuales!$D$37*('Plan mensual'!N68+'Plan mensual'!N179+IF(parametros_manuales!$H$37="Todos",'Plan mensual'!N72+'Plan mensual'!N183,0))+parametros_manuales!$E$37*('Plan mensual'!N69+'Plan mensual'!N180+IF(parametros_manuales!$H$37="Todos",'Plan mensual'!N73+'Plan mensual'!N184,0))+parametros_manuales!$F$37*('Plan mensual'!N70+'Plan mensual'!N181+IF(parametros_manuales!$H$37="Todos",'Plan mensual'!N74+'Plan mensual'!N185,0))+parametros_manuales!$G$37*('Plan mensual'!N71+'Plan mensual'!N182+IF(parametros_manuales!$H$37="Todos",'Plan mensual'!N75+'Plan mensual'!N186,0)))*parametros_manuales!$I$37*parametros_manuales!$J$37</f>
        <v>12558.88260813</v>
      </c>
      <c r="M182" s="9" t="n">
        <f aca="false">(parametros_manuales!$D$37*('Plan mensual'!O68+'Plan mensual'!O179+IF(parametros_manuales!$H$37="Todos",'Plan mensual'!O72+'Plan mensual'!O183,0))+parametros_manuales!$E$37*('Plan mensual'!O69+'Plan mensual'!O180+IF(parametros_manuales!$H$37="Todos",'Plan mensual'!O73+'Plan mensual'!O184,0))+parametros_manuales!$F$37*('Plan mensual'!O70+'Plan mensual'!O181+IF(parametros_manuales!$H$37="Todos",'Plan mensual'!O74+'Plan mensual'!O185,0))+parametros_manuales!$G$37*('Plan mensual'!O71+'Plan mensual'!O182+IF(parametros_manuales!$H$37="Todos",'Plan mensual'!O75+'Plan mensual'!O186,0)))*parametros_manuales!$I$37*parametros_manuales!$J$37</f>
        <v>19996.11514119</v>
      </c>
      <c r="N182" s="9" t="n">
        <f aca="false">SUM(B182:M182)</f>
        <v>170721.669169</v>
      </c>
      <c r="O182" s="9" t="n">
        <f aca="false">MAX(B182:M182)</f>
        <v>19996.11514119</v>
      </c>
      <c r="P182" s="44" t="n">
        <f aca="false">O182/(parametros_manuales!$B$7)</f>
        <v>133.3074342746</v>
      </c>
      <c r="Q182" s="8" t="str">
        <f aca="false">IF(O182=0,"-",INDEX($B$163:$M$163,MATCH(O182,B182:M182,0)))</f>
        <v>Dic</v>
      </c>
    </row>
    <row r="183" customFormat="false" ht="14.25" hidden="false" customHeight="true" outlineLevel="0" collapsed="false">
      <c r="A183" s="8" t="str">
        <f aca="false">parametros_manuales!$B$38</f>
        <v>Carga de polvo</v>
      </c>
      <c r="B183" s="9" t="n">
        <f aca="false">(parametros_manuales!$D$38*('Plan mensual'!D68+'Plan mensual'!D179+IF(parametros_manuales!$H$38="Todos",'Plan mensual'!D72+'Plan mensual'!D183,0))+parametros_manuales!$E$38*('Plan mensual'!D69+'Plan mensual'!D180+IF(parametros_manuales!$H$38="Todos",'Plan mensual'!D73+'Plan mensual'!D184,0))+parametros_manuales!$F$38*('Plan mensual'!D70+'Plan mensual'!D181+IF(parametros_manuales!$H$38="Todos",'Plan mensual'!D74+'Plan mensual'!D185,0))+parametros_manuales!$G$38*('Plan mensual'!D71+'Plan mensual'!D182+IF(parametros_manuales!$H$38="Todos",'Plan mensual'!D75+'Plan mensual'!D186,0)))*parametros_manuales!$I$38*parametros_manuales!$J$38</f>
        <v>4858.3539821</v>
      </c>
      <c r="C183" s="9" t="n">
        <f aca="false">(parametros_manuales!$D$38*('Plan mensual'!E68+'Plan mensual'!E179+IF(parametros_manuales!$H$38="Todos",'Plan mensual'!E72+'Plan mensual'!E183,0))+parametros_manuales!$E$38*('Plan mensual'!E69+'Plan mensual'!E180+IF(parametros_manuales!$H$38="Todos",'Plan mensual'!E73+'Plan mensual'!E184,0))+parametros_manuales!$F$38*('Plan mensual'!E70+'Plan mensual'!E181+IF(parametros_manuales!$H$38="Todos",'Plan mensual'!E74+'Plan mensual'!E185,0))+parametros_manuales!$G$38*('Plan mensual'!E71+'Plan mensual'!E182+IF(parametros_manuales!$H$38="Todos",'Plan mensual'!E75+'Plan mensual'!E186,0)))*parametros_manuales!$I$38*parametros_manuales!$J$38</f>
        <v>3764.68786612</v>
      </c>
      <c r="D183" s="9" t="n">
        <f aca="false">(parametros_manuales!$D$38*('Plan mensual'!F68+'Plan mensual'!F179+IF(parametros_manuales!$H$38="Todos",'Plan mensual'!F72+'Plan mensual'!F183,0))+parametros_manuales!$E$38*('Plan mensual'!F69+'Plan mensual'!F180+IF(parametros_manuales!$H$38="Todos",'Plan mensual'!F73+'Plan mensual'!F184,0))+parametros_manuales!$F$38*('Plan mensual'!F70+'Plan mensual'!F181+IF(parametros_manuales!$H$38="Todos",'Plan mensual'!F74+'Plan mensual'!F185,0))+parametros_manuales!$G$38*('Plan mensual'!F71+'Plan mensual'!F182+IF(parametros_manuales!$H$38="Todos",'Plan mensual'!F75+'Plan mensual'!F186,0)))*parametros_manuales!$I$38*parametros_manuales!$J$38</f>
        <v>3682.284713065</v>
      </c>
      <c r="E183" s="9" t="n">
        <f aca="false">(parametros_manuales!$D$38*('Plan mensual'!G68+'Plan mensual'!G179+IF(parametros_manuales!$H$38="Todos",'Plan mensual'!G72+'Plan mensual'!G183,0))+parametros_manuales!$E$38*('Plan mensual'!G69+'Plan mensual'!G180+IF(parametros_manuales!$H$38="Todos",'Plan mensual'!G73+'Plan mensual'!G184,0))+parametros_manuales!$F$38*('Plan mensual'!G70+'Plan mensual'!G181+IF(parametros_manuales!$H$38="Todos",'Plan mensual'!G74+'Plan mensual'!G185,0))+parametros_manuales!$G$38*('Plan mensual'!G71+'Plan mensual'!G182+IF(parametros_manuales!$H$38="Todos",'Plan mensual'!G75+'Plan mensual'!G186,0)))*parametros_manuales!$I$38*parametros_manuales!$J$38</f>
        <v>3580.621946765</v>
      </c>
      <c r="F183" s="9" t="n">
        <f aca="false">(parametros_manuales!$D$38*('Plan mensual'!H68+'Plan mensual'!H179+IF(parametros_manuales!$H$38="Todos",'Plan mensual'!H72+'Plan mensual'!H183,0))+parametros_manuales!$E$38*('Plan mensual'!H69+'Plan mensual'!H180+IF(parametros_manuales!$H$38="Todos",'Plan mensual'!H73+'Plan mensual'!H184,0))+parametros_manuales!$F$38*('Plan mensual'!H70+'Plan mensual'!H181+IF(parametros_manuales!$H$38="Todos",'Plan mensual'!H74+'Plan mensual'!H185,0))+parametros_manuales!$G$38*('Plan mensual'!H71+'Plan mensual'!H182+IF(parametros_manuales!$H$38="Todos",'Plan mensual'!H75+'Plan mensual'!H186,0)))*parametros_manuales!$I$38*parametros_manuales!$J$38</f>
        <v>3358.03680092</v>
      </c>
      <c r="G183" s="9" t="n">
        <f aca="false">(parametros_manuales!$D$38*('Plan mensual'!I68+'Plan mensual'!I179+IF(parametros_manuales!$H$38="Todos",'Plan mensual'!I72+'Plan mensual'!I183,0))+parametros_manuales!$E$38*('Plan mensual'!I69+'Plan mensual'!I180+IF(parametros_manuales!$H$38="Todos",'Plan mensual'!I73+'Plan mensual'!I184,0))+parametros_manuales!$F$38*('Plan mensual'!I70+'Plan mensual'!I181+IF(parametros_manuales!$H$38="Todos",'Plan mensual'!I74+'Plan mensual'!I185,0))+parametros_manuales!$G$38*('Plan mensual'!I71+'Plan mensual'!I182+IF(parametros_manuales!$H$38="Todos",'Plan mensual'!I75+'Plan mensual'!I186,0)))*parametros_manuales!$I$38*parametros_manuales!$J$38</f>
        <v>3237.114421375</v>
      </c>
      <c r="H183" s="9" t="n">
        <f aca="false">(parametros_manuales!$D$38*('Plan mensual'!J68+'Plan mensual'!J179+IF(parametros_manuales!$H$38="Todos",'Plan mensual'!J72+'Plan mensual'!J183,0))+parametros_manuales!$E$38*('Plan mensual'!J69+'Plan mensual'!J180+IF(parametros_manuales!$H$38="Todos",'Plan mensual'!J73+'Plan mensual'!J184,0))+parametros_manuales!$F$38*('Plan mensual'!J70+'Plan mensual'!J181+IF(parametros_manuales!$H$38="Todos",'Plan mensual'!J74+'Plan mensual'!J185,0))+parametros_manuales!$G$38*('Plan mensual'!J71+'Plan mensual'!J182+IF(parametros_manuales!$H$38="Todos",'Plan mensual'!J75+'Plan mensual'!J186,0)))*parametros_manuales!$I$38*parametros_manuales!$J$38</f>
        <v>3459.69956722</v>
      </c>
      <c r="I183" s="9" t="n">
        <f aca="false">(parametros_manuales!$D$38*('Plan mensual'!K68+'Plan mensual'!K179+IF(parametros_manuales!$H$38="Todos",'Plan mensual'!K72+'Plan mensual'!K183,0))+parametros_manuales!$E$38*('Plan mensual'!K69+'Plan mensual'!K180+IF(parametros_manuales!$H$38="Todos",'Plan mensual'!K73+'Plan mensual'!K184,0))+parametros_manuales!$F$38*('Plan mensual'!K70+'Plan mensual'!K181+IF(parametros_manuales!$H$38="Todos",'Plan mensual'!K74+'Plan mensual'!K185,0))+parametros_manuales!$G$38*('Plan mensual'!K71+'Plan mensual'!K182+IF(parametros_manuales!$H$38="Todos",'Plan mensual'!K75+'Plan mensual'!K186,0)))*parametros_manuales!$I$38*parametros_manuales!$J$38</f>
        <v>3459.69956722</v>
      </c>
      <c r="J183" s="9" t="n">
        <f aca="false">(parametros_manuales!$D$38*('Plan mensual'!L68+'Plan mensual'!L179+IF(parametros_manuales!$H$38="Todos",'Plan mensual'!L72+'Plan mensual'!L183,0))+parametros_manuales!$E$38*('Plan mensual'!L69+'Plan mensual'!L180+IF(parametros_manuales!$H$38="Todos",'Plan mensual'!L73+'Plan mensual'!L184,0))+parametros_manuales!$F$38*('Plan mensual'!L70+'Plan mensual'!L181+IF(parametros_manuales!$H$38="Todos",'Plan mensual'!L74+'Plan mensual'!L185,0))+parametros_manuales!$G$38*('Plan mensual'!L71+'Plan mensual'!L182+IF(parametros_manuales!$H$38="Todos",'Plan mensual'!L75+'Plan mensual'!L186,0)))*parametros_manuales!$I$38*parametros_manuales!$J$38</f>
        <v>3459.69956722</v>
      </c>
      <c r="K183" s="9" t="n">
        <f aca="false">(parametros_manuales!$D$38*('Plan mensual'!M68+'Plan mensual'!M179+IF(parametros_manuales!$H$38="Todos",'Plan mensual'!M72+'Plan mensual'!M183,0))+parametros_manuales!$E$38*('Plan mensual'!M69+'Plan mensual'!M180+IF(parametros_manuales!$H$38="Todos",'Plan mensual'!M73+'Plan mensual'!M184,0))+parametros_manuales!$F$38*('Plan mensual'!M70+'Plan mensual'!M181+IF(parametros_manuales!$H$38="Todos",'Plan mensual'!M74+'Plan mensual'!M185,0))+parametros_manuales!$G$38*('Plan mensual'!M71+'Plan mensual'!M182+IF(parametros_manuales!$H$38="Todos",'Plan mensual'!M75+'Plan mensual'!M186,0)))*parametros_manuales!$I$38*parametros_manuales!$J$38</f>
        <v>3338.777187675</v>
      </c>
      <c r="L183" s="9" t="n">
        <f aca="false">(parametros_manuales!$D$38*('Plan mensual'!N68+'Plan mensual'!N179+IF(parametros_manuales!$H$38="Todos",'Plan mensual'!N72+'Plan mensual'!N183,0))+parametros_manuales!$E$38*('Plan mensual'!N69+'Plan mensual'!N180+IF(parametros_manuales!$H$38="Todos",'Plan mensual'!N73+'Plan mensual'!N184,0))+parametros_manuales!$F$38*('Plan mensual'!N70+'Plan mensual'!N181+IF(parametros_manuales!$H$38="Todos",'Plan mensual'!N74+'Plan mensual'!N185,0))+parametros_manuales!$G$38*('Plan mensual'!N71+'Plan mensual'!N182+IF(parametros_manuales!$H$38="Todos",'Plan mensual'!N75+'Plan mensual'!N186,0)))*parametros_manuales!$I$38*parametros_manuales!$J$38</f>
        <v>3217.85480813</v>
      </c>
      <c r="M183" s="9" t="n">
        <f aca="false">(parametros_manuales!$D$38*('Plan mensual'!O68+'Plan mensual'!O179+IF(parametros_manuales!$H$38="Todos",'Plan mensual'!O72+'Plan mensual'!O183,0))+parametros_manuales!$E$38*('Plan mensual'!O69+'Plan mensual'!O180+IF(parametros_manuales!$H$38="Todos",'Plan mensual'!O73+'Plan mensual'!O184,0))+parametros_manuales!$F$38*('Plan mensual'!O70+'Plan mensual'!O181+IF(parametros_manuales!$H$38="Todos",'Plan mensual'!O74+'Plan mensual'!O185,0))+parametros_manuales!$G$38*('Plan mensual'!O71+'Plan mensual'!O182+IF(parametros_manuales!$H$38="Todos",'Plan mensual'!O75+'Plan mensual'!O186,0)))*parametros_manuales!$I$38*parametros_manuales!$J$38</f>
        <v>5100.19874119</v>
      </c>
      <c r="N183" s="9" t="n">
        <f aca="false">SUM(B183:M183)</f>
        <v>44517.029169</v>
      </c>
      <c r="O183" s="9" t="n">
        <f aca="false">MAX(B183:M183)</f>
        <v>5100.19874119</v>
      </c>
      <c r="P183" s="44" t="n">
        <f aca="false">O183/(parametros_manuales!$B$7)</f>
        <v>34.0013249412667</v>
      </c>
      <c r="Q183" s="8" t="str">
        <f aca="false">IF(O183=0,"-",INDEX($B$163:$M$163,MATCH(O183,B183:M183,0)))</f>
        <v>Dic</v>
      </c>
    </row>
    <row r="184" customFormat="false" ht="14.25" hidden="false" customHeight="true" outlineLevel="0" collapsed="false">
      <c r="A184" s="8" t="str">
        <f aca="false">parametros_manuales!$B$39</f>
        <v>Ensamblaje</v>
      </c>
      <c r="B184" s="9" t="n">
        <f aca="false">(parametros_manuales!$D$39*('Plan mensual'!D68+'Plan mensual'!D179+IF(parametros_manuales!$H$39="Todos",'Plan mensual'!D72+'Plan mensual'!D183,0))+parametros_manuales!$E$39*('Plan mensual'!D69+'Plan mensual'!D180+IF(parametros_manuales!$H$39="Todos",'Plan mensual'!D73+'Plan mensual'!D184,0))+parametros_manuales!$F$39*('Plan mensual'!D70+'Plan mensual'!D181+IF(parametros_manuales!$H$39="Todos",'Plan mensual'!D74+'Plan mensual'!D185,0))+parametros_manuales!$G$39*('Plan mensual'!D71+'Plan mensual'!D182+IF(parametros_manuales!$H$39="Todos",'Plan mensual'!D75+'Plan mensual'!D186,0)))*parametros_manuales!$I$39*parametros_manuales!$J$39</f>
        <v>4858.3539821</v>
      </c>
      <c r="C184" s="9" t="n">
        <f aca="false">(parametros_manuales!$D$39*('Plan mensual'!E68+'Plan mensual'!E179+IF(parametros_manuales!$H$39="Todos",'Plan mensual'!E72+'Plan mensual'!E183,0))+parametros_manuales!$E$39*('Plan mensual'!E69+'Plan mensual'!E180+IF(parametros_manuales!$H$39="Todos",'Plan mensual'!E73+'Plan mensual'!E184,0))+parametros_manuales!$F$39*('Plan mensual'!E70+'Plan mensual'!E181+IF(parametros_manuales!$H$39="Todos",'Plan mensual'!E74+'Plan mensual'!E185,0))+parametros_manuales!$G$39*('Plan mensual'!E71+'Plan mensual'!E182+IF(parametros_manuales!$H$39="Todos",'Plan mensual'!E75+'Plan mensual'!E186,0)))*parametros_manuales!$I$39*parametros_manuales!$J$39</f>
        <v>3764.68786612</v>
      </c>
      <c r="D184" s="9" t="n">
        <f aca="false">(parametros_manuales!$D$39*('Plan mensual'!F68+'Plan mensual'!F179+IF(parametros_manuales!$H$39="Todos",'Plan mensual'!F72+'Plan mensual'!F183,0))+parametros_manuales!$E$39*('Plan mensual'!F69+'Plan mensual'!F180+IF(parametros_manuales!$H$39="Todos",'Plan mensual'!F73+'Plan mensual'!F184,0))+parametros_manuales!$F$39*('Plan mensual'!F70+'Plan mensual'!F181+IF(parametros_manuales!$H$39="Todos",'Plan mensual'!F74+'Plan mensual'!F185,0))+parametros_manuales!$G$39*('Plan mensual'!F71+'Plan mensual'!F182+IF(parametros_manuales!$H$39="Todos",'Plan mensual'!F75+'Plan mensual'!F186,0)))*parametros_manuales!$I$39*parametros_manuales!$J$39</f>
        <v>3682.284713065</v>
      </c>
      <c r="E184" s="9" t="n">
        <f aca="false">(parametros_manuales!$D$39*('Plan mensual'!G68+'Plan mensual'!G179+IF(parametros_manuales!$H$39="Todos",'Plan mensual'!G72+'Plan mensual'!G183,0))+parametros_manuales!$E$39*('Plan mensual'!G69+'Plan mensual'!G180+IF(parametros_manuales!$H$39="Todos",'Plan mensual'!G73+'Plan mensual'!G184,0))+parametros_manuales!$F$39*('Plan mensual'!G70+'Plan mensual'!G181+IF(parametros_manuales!$H$39="Todos",'Plan mensual'!G74+'Plan mensual'!G185,0))+parametros_manuales!$G$39*('Plan mensual'!G71+'Plan mensual'!G182+IF(parametros_manuales!$H$39="Todos",'Plan mensual'!G75+'Plan mensual'!G186,0)))*parametros_manuales!$I$39*parametros_manuales!$J$39</f>
        <v>3580.621946765</v>
      </c>
      <c r="F184" s="9" t="n">
        <f aca="false">(parametros_manuales!$D$39*('Plan mensual'!H68+'Plan mensual'!H179+IF(parametros_manuales!$H$39="Todos",'Plan mensual'!H72+'Plan mensual'!H183,0))+parametros_manuales!$E$39*('Plan mensual'!H69+'Plan mensual'!H180+IF(parametros_manuales!$H$39="Todos",'Plan mensual'!H73+'Plan mensual'!H184,0))+parametros_manuales!$F$39*('Plan mensual'!H70+'Plan mensual'!H181+IF(parametros_manuales!$H$39="Todos",'Plan mensual'!H74+'Plan mensual'!H185,0))+parametros_manuales!$G$39*('Plan mensual'!H71+'Plan mensual'!H182+IF(parametros_manuales!$H$39="Todos",'Plan mensual'!H75+'Plan mensual'!H186,0)))*parametros_manuales!$I$39*parametros_manuales!$J$39</f>
        <v>3358.03680092</v>
      </c>
      <c r="G184" s="9" t="n">
        <f aca="false">(parametros_manuales!$D$39*('Plan mensual'!I68+'Plan mensual'!I179+IF(parametros_manuales!$H$39="Todos",'Plan mensual'!I72+'Plan mensual'!I183,0))+parametros_manuales!$E$39*('Plan mensual'!I69+'Plan mensual'!I180+IF(parametros_manuales!$H$39="Todos",'Plan mensual'!I73+'Plan mensual'!I184,0))+parametros_manuales!$F$39*('Plan mensual'!I70+'Plan mensual'!I181+IF(parametros_manuales!$H$39="Todos",'Plan mensual'!I74+'Plan mensual'!I185,0))+parametros_manuales!$G$39*('Plan mensual'!I71+'Plan mensual'!I182+IF(parametros_manuales!$H$39="Todos",'Plan mensual'!I75+'Plan mensual'!I186,0)))*parametros_manuales!$I$39*parametros_manuales!$J$39</f>
        <v>3237.114421375</v>
      </c>
      <c r="H184" s="9" t="n">
        <f aca="false">(parametros_manuales!$D$39*('Plan mensual'!J68+'Plan mensual'!J179+IF(parametros_manuales!$H$39="Todos",'Plan mensual'!J72+'Plan mensual'!J183,0))+parametros_manuales!$E$39*('Plan mensual'!J69+'Plan mensual'!J180+IF(parametros_manuales!$H$39="Todos",'Plan mensual'!J73+'Plan mensual'!J184,0))+parametros_manuales!$F$39*('Plan mensual'!J70+'Plan mensual'!J181+IF(parametros_manuales!$H$39="Todos",'Plan mensual'!J74+'Plan mensual'!J185,0))+parametros_manuales!$G$39*('Plan mensual'!J71+'Plan mensual'!J182+IF(parametros_manuales!$H$39="Todos",'Plan mensual'!J75+'Plan mensual'!J186,0)))*parametros_manuales!$I$39*parametros_manuales!$J$39</f>
        <v>3459.69956722</v>
      </c>
      <c r="I184" s="9" t="n">
        <f aca="false">(parametros_manuales!$D$39*('Plan mensual'!K68+'Plan mensual'!K179+IF(parametros_manuales!$H$39="Todos",'Plan mensual'!K72+'Plan mensual'!K183,0))+parametros_manuales!$E$39*('Plan mensual'!K69+'Plan mensual'!K180+IF(parametros_manuales!$H$39="Todos",'Plan mensual'!K73+'Plan mensual'!K184,0))+parametros_manuales!$F$39*('Plan mensual'!K70+'Plan mensual'!K181+IF(parametros_manuales!$H$39="Todos",'Plan mensual'!K74+'Plan mensual'!K185,0))+parametros_manuales!$G$39*('Plan mensual'!K71+'Plan mensual'!K182+IF(parametros_manuales!$H$39="Todos",'Plan mensual'!K75+'Plan mensual'!K186,0)))*parametros_manuales!$I$39*parametros_manuales!$J$39</f>
        <v>3459.69956722</v>
      </c>
      <c r="J184" s="9" t="n">
        <f aca="false">(parametros_manuales!$D$39*('Plan mensual'!L68+'Plan mensual'!L179+IF(parametros_manuales!$H$39="Todos",'Plan mensual'!L72+'Plan mensual'!L183,0))+parametros_manuales!$E$39*('Plan mensual'!L69+'Plan mensual'!L180+IF(parametros_manuales!$H$39="Todos",'Plan mensual'!L73+'Plan mensual'!L184,0))+parametros_manuales!$F$39*('Plan mensual'!L70+'Plan mensual'!L181+IF(parametros_manuales!$H$39="Todos",'Plan mensual'!L74+'Plan mensual'!L185,0))+parametros_manuales!$G$39*('Plan mensual'!L71+'Plan mensual'!L182+IF(parametros_manuales!$H$39="Todos",'Plan mensual'!L75+'Plan mensual'!L186,0)))*parametros_manuales!$I$39*parametros_manuales!$J$39</f>
        <v>3459.69956722</v>
      </c>
      <c r="K184" s="9" t="n">
        <f aca="false">(parametros_manuales!$D$39*('Plan mensual'!M68+'Plan mensual'!M179+IF(parametros_manuales!$H$39="Todos",'Plan mensual'!M72+'Plan mensual'!M183,0))+parametros_manuales!$E$39*('Plan mensual'!M69+'Plan mensual'!M180+IF(parametros_manuales!$H$39="Todos",'Plan mensual'!M73+'Plan mensual'!M184,0))+parametros_manuales!$F$39*('Plan mensual'!M70+'Plan mensual'!M181+IF(parametros_manuales!$H$39="Todos",'Plan mensual'!M74+'Plan mensual'!M185,0))+parametros_manuales!$G$39*('Plan mensual'!M71+'Plan mensual'!M182+IF(parametros_manuales!$H$39="Todos",'Plan mensual'!M75+'Plan mensual'!M186,0)))*parametros_manuales!$I$39*parametros_manuales!$J$39</f>
        <v>3338.777187675</v>
      </c>
      <c r="L184" s="9" t="n">
        <f aca="false">(parametros_manuales!$D$39*('Plan mensual'!N68+'Plan mensual'!N179+IF(parametros_manuales!$H$39="Todos",'Plan mensual'!N72+'Plan mensual'!N183,0))+parametros_manuales!$E$39*('Plan mensual'!N69+'Plan mensual'!N180+IF(parametros_manuales!$H$39="Todos",'Plan mensual'!N73+'Plan mensual'!N184,0))+parametros_manuales!$F$39*('Plan mensual'!N70+'Plan mensual'!N181+IF(parametros_manuales!$H$39="Todos",'Plan mensual'!N74+'Plan mensual'!N185,0))+parametros_manuales!$G$39*('Plan mensual'!N71+'Plan mensual'!N182+IF(parametros_manuales!$H$39="Todos",'Plan mensual'!N75+'Plan mensual'!N186,0)))*parametros_manuales!$I$39*parametros_manuales!$J$39</f>
        <v>3217.85480813</v>
      </c>
      <c r="M184" s="9" t="n">
        <f aca="false">(parametros_manuales!$D$39*('Plan mensual'!O68+'Plan mensual'!O179+IF(parametros_manuales!$H$39="Todos",'Plan mensual'!O72+'Plan mensual'!O183,0))+parametros_manuales!$E$39*('Plan mensual'!O69+'Plan mensual'!O180+IF(parametros_manuales!$H$39="Todos",'Plan mensual'!O73+'Plan mensual'!O184,0))+parametros_manuales!$F$39*('Plan mensual'!O70+'Plan mensual'!O181+IF(parametros_manuales!$H$39="Todos",'Plan mensual'!O74+'Plan mensual'!O185,0))+parametros_manuales!$G$39*('Plan mensual'!O71+'Plan mensual'!O182+IF(parametros_manuales!$H$39="Todos",'Plan mensual'!O75+'Plan mensual'!O186,0)))*parametros_manuales!$I$39*parametros_manuales!$J$39</f>
        <v>5100.19874119</v>
      </c>
      <c r="N184" s="9" t="n">
        <f aca="false">SUM(B184:M184)</f>
        <v>44517.029169</v>
      </c>
      <c r="O184" s="9" t="n">
        <f aca="false">MAX(B184:M184)</f>
        <v>5100.19874119</v>
      </c>
      <c r="P184" s="44" t="n">
        <f aca="false">O184/(parametros_manuales!$B$7)</f>
        <v>34.0013249412667</v>
      </c>
      <c r="Q184" s="8" t="str">
        <f aca="false">IF(O184=0,"-",INDEX($B$163:$M$163,MATCH(O184,B184:M184,0)))</f>
        <v>Dic</v>
      </c>
    </row>
    <row r="185" customFormat="false" ht="14.25" hidden="false" customHeight="true" outlineLevel="0" collapsed="false">
      <c r="A185" s="8" t="str">
        <f aca="false">parametros_manuales!$B$40</f>
        <v>Presurización</v>
      </c>
      <c r="B185" s="9" t="n">
        <f aca="false">(parametros_manuales!$D$40*('Plan mensual'!D68+'Plan mensual'!D179+IF(parametros_manuales!$H$40="Todos",'Plan mensual'!D72+'Plan mensual'!D183,0))+parametros_manuales!$E$40*('Plan mensual'!D69+'Plan mensual'!D180+IF(parametros_manuales!$H$40="Todos",'Plan mensual'!D73+'Plan mensual'!D184,0))+parametros_manuales!$F$40*('Plan mensual'!D70+'Plan mensual'!D181+IF(parametros_manuales!$H$40="Todos",'Plan mensual'!D74+'Plan mensual'!D185,0))+parametros_manuales!$G$40*('Plan mensual'!D71+'Plan mensual'!D182+IF(parametros_manuales!$H$40="Todos",'Plan mensual'!D75+'Plan mensual'!D186,0)))*parametros_manuales!$I$40*parametros_manuales!$J$40</f>
        <v>4858.3539821</v>
      </c>
      <c r="C185" s="9" t="n">
        <f aca="false">(parametros_manuales!$D$40*('Plan mensual'!E68+'Plan mensual'!E179+IF(parametros_manuales!$H$40="Todos",'Plan mensual'!E72+'Plan mensual'!E183,0))+parametros_manuales!$E$40*('Plan mensual'!E69+'Plan mensual'!E180+IF(parametros_manuales!$H$40="Todos",'Plan mensual'!E73+'Plan mensual'!E184,0))+parametros_manuales!$F$40*('Plan mensual'!E70+'Plan mensual'!E181+IF(parametros_manuales!$H$40="Todos",'Plan mensual'!E74+'Plan mensual'!E185,0))+parametros_manuales!$G$40*('Plan mensual'!E71+'Plan mensual'!E182+IF(parametros_manuales!$H$40="Todos",'Plan mensual'!E75+'Plan mensual'!E186,0)))*parametros_manuales!$I$40*parametros_manuales!$J$40</f>
        <v>3764.68786612</v>
      </c>
      <c r="D185" s="9" t="n">
        <f aca="false">(parametros_manuales!$D$40*('Plan mensual'!F68+'Plan mensual'!F179+IF(parametros_manuales!$H$40="Todos",'Plan mensual'!F72+'Plan mensual'!F183,0))+parametros_manuales!$E$40*('Plan mensual'!F69+'Plan mensual'!F180+IF(parametros_manuales!$H$40="Todos",'Plan mensual'!F73+'Plan mensual'!F184,0))+parametros_manuales!$F$40*('Plan mensual'!F70+'Plan mensual'!F181+IF(parametros_manuales!$H$40="Todos",'Plan mensual'!F74+'Plan mensual'!F185,0))+parametros_manuales!$G$40*('Plan mensual'!F71+'Plan mensual'!F182+IF(parametros_manuales!$H$40="Todos",'Plan mensual'!F75+'Plan mensual'!F186,0)))*parametros_manuales!$I$40*parametros_manuales!$J$40</f>
        <v>3682.284713065</v>
      </c>
      <c r="E185" s="9" t="n">
        <f aca="false">(parametros_manuales!$D$40*('Plan mensual'!G68+'Plan mensual'!G179+IF(parametros_manuales!$H$40="Todos",'Plan mensual'!G72+'Plan mensual'!G183,0))+parametros_manuales!$E$40*('Plan mensual'!G69+'Plan mensual'!G180+IF(parametros_manuales!$H$40="Todos",'Plan mensual'!G73+'Plan mensual'!G184,0))+parametros_manuales!$F$40*('Plan mensual'!G70+'Plan mensual'!G181+IF(parametros_manuales!$H$40="Todos",'Plan mensual'!G74+'Plan mensual'!G185,0))+parametros_manuales!$G$40*('Plan mensual'!G71+'Plan mensual'!G182+IF(parametros_manuales!$H$40="Todos",'Plan mensual'!G75+'Plan mensual'!G186,0)))*parametros_manuales!$I$40*parametros_manuales!$J$40</f>
        <v>3580.621946765</v>
      </c>
      <c r="F185" s="9" t="n">
        <f aca="false">(parametros_manuales!$D$40*('Plan mensual'!H68+'Plan mensual'!H179+IF(parametros_manuales!$H$40="Todos",'Plan mensual'!H72+'Plan mensual'!H183,0))+parametros_manuales!$E$40*('Plan mensual'!H69+'Plan mensual'!H180+IF(parametros_manuales!$H$40="Todos",'Plan mensual'!H73+'Plan mensual'!H184,0))+parametros_manuales!$F$40*('Plan mensual'!H70+'Plan mensual'!H181+IF(parametros_manuales!$H$40="Todos",'Plan mensual'!H74+'Plan mensual'!H185,0))+parametros_manuales!$G$40*('Plan mensual'!H71+'Plan mensual'!H182+IF(parametros_manuales!$H$40="Todos",'Plan mensual'!H75+'Plan mensual'!H186,0)))*parametros_manuales!$I$40*parametros_manuales!$J$40</f>
        <v>3358.03680092</v>
      </c>
      <c r="G185" s="9" t="n">
        <f aca="false">(parametros_manuales!$D$40*('Plan mensual'!I68+'Plan mensual'!I179+IF(parametros_manuales!$H$40="Todos",'Plan mensual'!I72+'Plan mensual'!I183,0))+parametros_manuales!$E$40*('Plan mensual'!I69+'Plan mensual'!I180+IF(parametros_manuales!$H$40="Todos",'Plan mensual'!I73+'Plan mensual'!I184,0))+parametros_manuales!$F$40*('Plan mensual'!I70+'Plan mensual'!I181+IF(parametros_manuales!$H$40="Todos",'Plan mensual'!I74+'Plan mensual'!I185,0))+parametros_manuales!$G$40*('Plan mensual'!I71+'Plan mensual'!I182+IF(parametros_manuales!$H$40="Todos",'Plan mensual'!I75+'Plan mensual'!I186,0)))*parametros_manuales!$I$40*parametros_manuales!$J$40</f>
        <v>3237.114421375</v>
      </c>
      <c r="H185" s="9" t="n">
        <f aca="false">(parametros_manuales!$D$40*('Plan mensual'!J68+'Plan mensual'!J179+IF(parametros_manuales!$H$40="Todos",'Plan mensual'!J72+'Plan mensual'!J183,0))+parametros_manuales!$E$40*('Plan mensual'!J69+'Plan mensual'!J180+IF(parametros_manuales!$H$40="Todos",'Plan mensual'!J73+'Plan mensual'!J184,0))+parametros_manuales!$F$40*('Plan mensual'!J70+'Plan mensual'!J181+IF(parametros_manuales!$H$40="Todos",'Plan mensual'!J74+'Plan mensual'!J185,0))+parametros_manuales!$G$40*('Plan mensual'!J71+'Plan mensual'!J182+IF(parametros_manuales!$H$40="Todos",'Plan mensual'!J75+'Plan mensual'!J186,0)))*parametros_manuales!$I$40*parametros_manuales!$J$40</f>
        <v>3459.69956722</v>
      </c>
      <c r="I185" s="9" t="n">
        <f aca="false">(parametros_manuales!$D$40*('Plan mensual'!K68+'Plan mensual'!K179+IF(parametros_manuales!$H$40="Todos",'Plan mensual'!K72+'Plan mensual'!K183,0))+parametros_manuales!$E$40*('Plan mensual'!K69+'Plan mensual'!K180+IF(parametros_manuales!$H$40="Todos",'Plan mensual'!K73+'Plan mensual'!K184,0))+parametros_manuales!$F$40*('Plan mensual'!K70+'Plan mensual'!K181+IF(parametros_manuales!$H$40="Todos",'Plan mensual'!K74+'Plan mensual'!K185,0))+parametros_manuales!$G$40*('Plan mensual'!K71+'Plan mensual'!K182+IF(parametros_manuales!$H$40="Todos",'Plan mensual'!K75+'Plan mensual'!K186,0)))*parametros_manuales!$I$40*parametros_manuales!$J$40</f>
        <v>3459.69956722</v>
      </c>
      <c r="J185" s="9" t="n">
        <f aca="false">(parametros_manuales!$D$40*('Plan mensual'!L68+'Plan mensual'!L179+IF(parametros_manuales!$H$40="Todos",'Plan mensual'!L72+'Plan mensual'!L183,0))+parametros_manuales!$E$40*('Plan mensual'!L69+'Plan mensual'!L180+IF(parametros_manuales!$H$40="Todos",'Plan mensual'!L73+'Plan mensual'!L184,0))+parametros_manuales!$F$40*('Plan mensual'!L70+'Plan mensual'!L181+IF(parametros_manuales!$H$40="Todos",'Plan mensual'!L74+'Plan mensual'!L185,0))+parametros_manuales!$G$40*('Plan mensual'!L71+'Plan mensual'!L182+IF(parametros_manuales!$H$40="Todos",'Plan mensual'!L75+'Plan mensual'!L186,0)))*parametros_manuales!$I$40*parametros_manuales!$J$40</f>
        <v>3459.69956722</v>
      </c>
      <c r="K185" s="9" t="n">
        <f aca="false">(parametros_manuales!$D$40*('Plan mensual'!M68+'Plan mensual'!M179+IF(parametros_manuales!$H$40="Todos",'Plan mensual'!M72+'Plan mensual'!M183,0))+parametros_manuales!$E$40*('Plan mensual'!M69+'Plan mensual'!M180+IF(parametros_manuales!$H$40="Todos",'Plan mensual'!M73+'Plan mensual'!M184,0))+parametros_manuales!$F$40*('Plan mensual'!M70+'Plan mensual'!M181+IF(parametros_manuales!$H$40="Todos",'Plan mensual'!M74+'Plan mensual'!M185,0))+parametros_manuales!$G$40*('Plan mensual'!M71+'Plan mensual'!M182+IF(parametros_manuales!$H$40="Todos",'Plan mensual'!M75+'Plan mensual'!M186,0)))*parametros_manuales!$I$40*parametros_manuales!$J$40</f>
        <v>3338.777187675</v>
      </c>
      <c r="L185" s="9" t="n">
        <f aca="false">(parametros_manuales!$D$40*('Plan mensual'!N68+'Plan mensual'!N179+IF(parametros_manuales!$H$40="Todos",'Plan mensual'!N72+'Plan mensual'!N183,0))+parametros_manuales!$E$40*('Plan mensual'!N69+'Plan mensual'!N180+IF(parametros_manuales!$H$40="Todos",'Plan mensual'!N73+'Plan mensual'!N184,0))+parametros_manuales!$F$40*('Plan mensual'!N70+'Plan mensual'!N181+IF(parametros_manuales!$H$40="Todos",'Plan mensual'!N74+'Plan mensual'!N185,0))+parametros_manuales!$G$40*('Plan mensual'!N71+'Plan mensual'!N182+IF(parametros_manuales!$H$40="Todos",'Plan mensual'!N75+'Plan mensual'!N186,0)))*parametros_manuales!$I$40*parametros_manuales!$J$40</f>
        <v>3217.85480813</v>
      </c>
      <c r="M185" s="9" t="n">
        <f aca="false">(parametros_manuales!$D$40*('Plan mensual'!O68+'Plan mensual'!O179+IF(parametros_manuales!$H$40="Todos",'Plan mensual'!O72+'Plan mensual'!O183,0))+parametros_manuales!$E$40*('Plan mensual'!O69+'Plan mensual'!O180+IF(parametros_manuales!$H$40="Todos",'Plan mensual'!O73+'Plan mensual'!O184,0))+parametros_manuales!$F$40*('Plan mensual'!O70+'Plan mensual'!O181+IF(parametros_manuales!$H$40="Todos",'Plan mensual'!O74+'Plan mensual'!O185,0))+parametros_manuales!$G$40*('Plan mensual'!O71+'Plan mensual'!O182+IF(parametros_manuales!$H$40="Todos",'Plan mensual'!O75+'Plan mensual'!O186,0)))*parametros_manuales!$I$40*parametros_manuales!$J$40</f>
        <v>5100.19874119</v>
      </c>
      <c r="N185" s="9" t="n">
        <f aca="false">SUM(B185:M185)</f>
        <v>44517.029169</v>
      </c>
      <c r="O185" s="9" t="n">
        <f aca="false">MAX(B185:M185)</f>
        <v>5100.19874119</v>
      </c>
      <c r="P185" s="44" t="n">
        <f aca="false">O185/(parametros_manuales!$B$7)</f>
        <v>34.0013249412667</v>
      </c>
      <c r="Q185" s="8" t="str">
        <f aca="false">IF(O185=0,"-",INDEX($B$163:$M$163,MATCH(O185,B185:M185,0)))</f>
        <v>Dic</v>
      </c>
    </row>
    <row r="186" customFormat="false" ht="14.25" hidden="false" customHeight="true" outlineLevel="0" collapsed="false">
      <c r="A186" s="8" t="str">
        <f aca="false">parametros_manuales!$B$41</f>
        <v>Control de calidad — Ensayo de pérdidas</v>
      </c>
      <c r="B186" s="9" t="n">
        <f aca="false">(parametros_manuales!$D$41*('Plan mensual'!D68+'Plan mensual'!D179+IF(parametros_manuales!$H$41="Todos",'Plan mensual'!D72+'Plan mensual'!D183,0))+parametros_manuales!$E$41*('Plan mensual'!D69+'Plan mensual'!D180+IF(parametros_manuales!$H$41="Todos",'Plan mensual'!D73+'Plan mensual'!D184,0))+parametros_manuales!$F$41*('Plan mensual'!D70+'Plan mensual'!D181+IF(parametros_manuales!$H$41="Todos",'Plan mensual'!D74+'Plan mensual'!D185,0))+parametros_manuales!$G$41*('Plan mensual'!D71+'Plan mensual'!D182+IF(parametros_manuales!$H$41="Todos",'Plan mensual'!D75+'Plan mensual'!D186,0)))*parametros_manuales!$I$41*parametros_manuales!$J$41</f>
        <v>4858.3539821</v>
      </c>
      <c r="C186" s="9" t="n">
        <f aca="false">(parametros_manuales!$D$41*('Plan mensual'!E68+'Plan mensual'!E179+IF(parametros_manuales!$H$41="Todos",'Plan mensual'!E72+'Plan mensual'!E183,0))+parametros_manuales!$E$41*('Plan mensual'!E69+'Plan mensual'!E180+IF(parametros_manuales!$H$41="Todos",'Plan mensual'!E73+'Plan mensual'!E184,0))+parametros_manuales!$F$41*('Plan mensual'!E70+'Plan mensual'!E181+IF(parametros_manuales!$H$41="Todos",'Plan mensual'!E74+'Plan mensual'!E185,0))+parametros_manuales!$G$41*('Plan mensual'!E71+'Plan mensual'!E182+IF(parametros_manuales!$H$41="Todos",'Plan mensual'!E75+'Plan mensual'!E186,0)))*parametros_manuales!$I$41*parametros_manuales!$J$41</f>
        <v>3764.68786612</v>
      </c>
      <c r="D186" s="9" t="n">
        <f aca="false">(parametros_manuales!$D$41*('Plan mensual'!F68+'Plan mensual'!F179+IF(parametros_manuales!$H$41="Todos",'Plan mensual'!F72+'Plan mensual'!F183,0))+parametros_manuales!$E$41*('Plan mensual'!F69+'Plan mensual'!F180+IF(parametros_manuales!$H$41="Todos",'Plan mensual'!F73+'Plan mensual'!F184,0))+parametros_manuales!$F$41*('Plan mensual'!F70+'Plan mensual'!F181+IF(parametros_manuales!$H$41="Todos",'Plan mensual'!F74+'Plan mensual'!F185,0))+parametros_manuales!$G$41*('Plan mensual'!F71+'Plan mensual'!F182+IF(parametros_manuales!$H$41="Todos",'Plan mensual'!F75+'Plan mensual'!F186,0)))*parametros_manuales!$I$41*parametros_manuales!$J$41</f>
        <v>3682.284713065</v>
      </c>
      <c r="E186" s="9" t="n">
        <f aca="false">(parametros_manuales!$D$41*('Plan mensual'!G68+'Plan mensual'!G179+IF(parametros_manuales!$H$41="Todos",'Plan mensual'!G72+'Plan mensual'!G183,0))+parametros_manuales!$E$41*('Plan mensual'!G69+'Plan mensual'!G180+IF(parametros_manuales!$H$41="Todos",'Plan mensual'!G73+'Plan mensual'!G184,0))+parametros_manuales!$F$41*('Plan mensual'!G70+'Plan mensual'!G181+IF(parametros_manuales!$H$41="Todos",'Plan mensual'!G74+'Plan mensual'!G185,0))+parametros_manuales!$G$41*('Plan mensual'!G71+'Plan mensual'!G182+IF(parametros_manuales!$H$41="Todos",'Plan mensual'!G75+'Plan mensual'!G186,0)))*parametros_manuales!$I$41*parametros_manuales!$J$41</f>
        <v>3580.621946765</v>
      </c>
      <c r="F186" s="9" t="n">
        <f aca="false">(parametros_manuales!$D$41*('Plan mensual'!H68+'Plan mensual'!H179+IF(parametros_manuales!$H$41="Todos",'Plan mensual'!H72+'Plan mensual'!H183,0))+parametros_manuales!$E$41*('Plan mensual'!H69+'Plan mensual'!H180+IF(parametros_manuales!$H$41="Todos",'Plan mensual'!H73+'Plan mensual'!H184,0))+parametros_manuales!$F$41*('Plan mensual'!H70+'Plan mensual'!H181+IF(parametros_manuales!$H$41="Todos",'Plan mensual'!H74+'Plan mensual'!H185,0))+parametros_manuales!$G$41*('Plan mensual'!H71+'Plan mensual'!H182+IF(parametros_manuales!$H$41="Todos",'Plan mensual'!H75+'Plan mensual'!H186,0)))*parametros_manuales!$I$41*parametros_manuales!$J$41</f>
        <v>3358.03680092</v>
      </c>
      <c r="G186" s="9" t="n">
        <f aca="false">(parametros_manuales!$D$41*('Plan mensual'!I68+'Plan mensual'!I179+IF(parametros_manuales!$H$41="Todos",'Plan mensual'!I72+'Plan mensual'!I183,0))+parametros_manuales!$E$41*('Plan mensual'!I69+'Plan mensual'!I180+IF(parametros_manuales!$H$41="Todos",'Plan mensual'!I73+'Plan mensual'!I184,0))+parametros_manuales!$F$41*('Plan mensual'!I70+'Plan mensual'!I181+IF(parametros_manuales!$H$41="Todos",'Plan mensual'!I74+'Plan mensual'!I185,0))+parametros_manuales!$G$41*('Plan mensual'!I71+'Plan mensual'!I182+IF(parametros_manuales!$H$41="Todos",'Plan mensual'!I75+'Plan mensual'!I186,0)))*parametros_manuales!$I$41*parametros_manuales!$J$41</f>
        <v>3237.114421375</v>
      </c>
      <c r="H186" s="9" t="n">
        <f aca="false">(parametros_manuales!$D$41*('Plan mensual'!J68+'Plan mensual'!J179+IF(parametros_manuales!$H$41="Todos",'Plan mensual'!J72+'Plan mensual'!J183,0))+parametros_manuales!$E$41*('Plan mensual'!J69+'Plan mensual'!J180+IF(parametros_manuales!$H$41="Todos",'Plan mensual'!J73+'Plan mensual'!J184,0))+parametros_manuales!$F$41*('Plan mensual'!J70+'Plan mensual'!J181+IF(parametros_manuales!$H$41="Todos",'Plan mensual'!J74+'Plan mensual'!J185,0))+parametros_manuales!$G$41*('Plan mensual'!J71+'Plan mensual'!J182+IF(parametros_manuales!$H$41="Todos",'Plan mensual'!J75+'Plan mensual'!J186,0)))*parametros_manuales!$I$41*parametros_manuales!$J$41</f>
        <v>3459.69956722</v>
      </c>
      <c r="I186" s="9" t="n">
        <f aca="false">(parametros_manuales!$D$41*('Plan mensual'!K68+'Plan mensual'!K179+IF(parametros_manuales!$H$41="Todos",'Plan mensual'!K72+'Plan mensual'!K183,0))+parametros_manuales!$E$41*('Plan mensual'!K69+'Plan mensual'!K180+IF(parametros_manuales!$H$41="Todos",'Plan mensual'!K73+'Plan mensual'!K184,0))+parametros_manuales!$F$41*('Plan mensual'!K70+'Plan mensual'!K181+IF(parametros_manuales!$H$41="Todos",'Plan mensual'!K74+'Plan mensual'!K185,0))+parametros_manuales!$G$41*('Plan mensual'!K71+'Plan mensual'!K182+IF(parametros_manuales!$H$41="Todos",'Plan mensual'!K75+'Plan mensual'!K186,0)))*parametros_manuales!$I$41*parametros_manuales!$J$41</f>
        <v>3459.69956722</v>
      </c>
      <c r="J186" s="9" t="n">
        <f aca="false">(parametros_manuales!$D$41*('Plan mensual'!L68+'Plan mensual'!L179+IF(parametros_manuales!$H$41="Todos",'Plan mensual'!L72+'Plan mensual'!L183,0))+parametros_manuales!$E$41*('Plan mensual'!L69+'Plan mensual'!L180+IF(parametros_manuales!$H$41="Todos",'Plan mensual'!L73+'Plan mensual'!L184,0))+parametros_manuales!$F$41*('Plan mensual'!L70+'Plan mensual'!L181+IF(parametros_manuales!$H$41="Todos",'Plan mensual'!L74+'Plan mensual'!L185,0))+parametros_manuales!$G$41*('Plan mensual'!L71+'Plan mensual'!L182+IF(parametros_manuales!$H$41="Todos",'Plan mensual'!L75+'Plan mensual'!L186,0)))*parametros_manuales!$I$41*parametros_manuales!$J$41</f>
        <v>3459.69956722</v>
      </c>
      <c r="K186" s="9" t="n">
        <f aca="false">(parametros_manuales!$D$41*('Plan mensual'!M68+'Plan mensual'!M179+IF(parametros_manuales!$H$41="Todos",'Plan mensual'!M72+'Plan mensual'!M183,0))+parametros_manuales!$E$41*('Plan mensual'!M69+'Plan mensual'!M180+IF(parametros_manuales!$H$41="Todos",'Plan mensual'!M73+'Plan mensual'!M184,0))+parametros_manuales!$F$41*('Plan mensual'!M70+'Plan mensual'!M181+IF(parametros_manuales!$H$41="Todos",'Plan mensual'!M74+'Plan mensual'!M185,0))+parametros_manuales!$G$41*('Plan mensual'!M71+'Plan mensual'!M182+IF(parametros_manuales!$H$41="Todos",'Plan mensual'!M75+'Plan mensual'!M186,0)))*parametros_manuales!$I$41*parametros_manuales!$J$41</f>
        <v>3338.777187675</v>
      </c>
      <c r="L186" s="9" t="n">
        <f aca="false">(parametros_manuales!$D$41*('Plan mensual'!N68+'Plan mensual'!N179+IF(parametros_manuales!$H$41="Todos",'Plan mensual'!N72+'Plan mensual'!N183,0))+parametros_manuales!$E$41*('Plan mensual'!N69+'Plan mensual'!N180+IF(parametros_manuales!$H$41="Todos",'Plan mensual'!N73+'Plan mensual'!N184,0))+parametros_manuales!$F$41*('Plan mensual'!N70+'Plan mensual'!N181+IF(parametros_manuales!$H$41="Todos",'Plan mensual'!N74+'Plan mensual'!N185,0))+parametros_manuales!$G$41*('Plan mensual'!N71+'Plan mensual'!N182+IF(parametros_manuales!$H$41="Todos",'Plan mensual'!N75+'Plan mensual'!N186,0)))*parametros_manuales!$I$41*parametros_manuales!$J$41</f>
        <v>3217.85480813</v>
      </c>
      <c r="M186" s="9" t="n">
        <f aca="false">(parametros_manuales!$D$41*('Plan mensual'!O68+'Plan mensual'!O179+IF(parametros_manuales!$H$41="Todos",'Plan mensual'!O72+'Plan mensual'!O183,0))+parametros_manuales!$E$41*('Plan mensual'!O69+'Plan mensual'!O180+IF(parametros_manuales!$H$41="Todos",'Plan mensual'!O73+'Plan mensual'!O184,0))+parametros_manuales!$F$41*('Plan mensual'!O70+'Plan mensual'!O181+IF(parametros_manuales!$H$41="Todos",'Plan mensual'!O74+'Plan mensual'!O185,0))+parametros_manuales!$G$41*('Plan mensual'!O71+'Plan mensual'!O182+IF(parametros_manuales!$H$41="Todos",'Plan mensual'!O75+'Plan mensual'!O186,0)))*parametros_manuales!$I$41*parametros_manuales!$J$41</f>
        <v>5100.19874119</v>
      </c>
      <c r="N186" s="9" t="n">
        <f aca="false">SUM(B186:M186)</f>
        <v>44517.029169</v>
      </c>
      <c r="O186" s="9" t="n">
        <f aca="false">MAX(B186:M186)</f>
        <v>5100.19874119</v>
      </c>
      <c r="P186" s="44" t="n">
        <f aca="false">O186/(parametros_manuales!$B$7)</f>
        <v>34.0013249412667</v>
      </c>
      <c r="Q186" s="8" t="str">
        <f aca="false">IF(O186=0,"-",INDEX($B$163:$M$163,MATCH(O186,B186:M186,0)))</f>
        <v>Dic</v>
      </c>
    </row>
    <row r="187" customFormat="false" ht="14.25" hidden="false" customHeight="true" outlineLevel="0" collapsed="false">
      <c r="A187" s="8" t="str">
        <f aca="false">parametros_manuales!$B$42</f>
        <v>Etiquetado</v>
      </c>
      <c r="B187" s="9" t="n">
        <f aca="false">(parametros_manuales!$D$42*('Plan mensual'!D68+'Plan mensual'!D179+IF(parametros_manuales!$H$42="Todos",'Plan mensual'!D72+'Plan mensual'!D183,0))+parametros_manuales!$E$42*('Plan mensual'!D69+'Plan mensual'!D180+IF(parametros_manuales!$H$42="Todos",'Plan mensual'!D73+'Plan mensual'!D184,0))+parametros_manuales!$F$42*('Plan mensual'!D70+'Plan mensual'!D181+IF(parametros_manuales!$H$42="Todos",'Plan mensual'!D74+'Plan mensual'!D185,0))+parametros_manuales!$G$42*('Plan mensual'!D71+'Plan mensual'!D182+IF(parametros_manuales!$H$42="Todos",'Plan mensual'!D75+'Plan mensual'!D186,0)))*parametros_manuales!$I$42*parametros_manuales!$J$42</f>
        <v>4858.3539821</v>
      </c>
      <c r="C187" s="9" t="n">
        <f aca="false">(parametros_manuales!$D$42*('Plan mensual'!E68+'Plan mensual'!E179+IF(parametros_manuales!$H$42="Todos",'Plan mensual'!E72+'Plan mensual'!E183,0))+parametros_manuales!$E$42*('Plan mensual'!E69+'Plan mensual'!E180+IF(parametros_manuales!$H$42="Todos",'Plan mensual'!E73+'Plan mensual'!E184,0))+parametros_manuales!$F$42*('Plan mensual'!E70+'Plan mensual'!E181+IF(parametros_manuales!$H$42="Todos",'Plan mensual'!E74+'Plan mensual'!E185,0))+parametros_manuales!$G$42*('Plan mensual'!E71+'Plan mensual'!E182+IF(parametros_manuales!$H$42="Todos",'Plan mensual'!E75+'Plan mensual'!E186,0)))*parametros_manuales!$I$42*parametros_manuales!$J$42</f>
        <v>3764.68786612</v>
      </c>
      <c r="D187" s="9" t="n">
        <f aca="false">(parametros_manuales!$D$42*('Plan mensual'!F68+'Plan mensual'!F179+IF(parametros_manuales!$H$42="Todos",'Plan mensual'!F72+'Plan mensual'!F183,0))+parametros_manuales!$E$42*('Plan mensual'!F69+'Plan mensual'!F180+IF(parametros_manuales!$H$42="Todos",'Plan mensual'!F73+'Plan mensual'!F184,0))+parametros_manuales!$F$42*('Plan mensual'!F70+'Plan mensual'!F181+IF(parametros_manuales!$H$42="Todos",'Plan mensual'!F74+'Plan mensual'!F185,0))+parametros_manuales!$G$42*('Plan mensual'!F71+'Plan mensual'!F182+IF(parametros_manuales!$H$42="Todos",'Plan mensual'!F75+'Plan mensual'!F186,0)))*parametros_manuales!$I$42*parametros_manuales!$J$42</f>
        <v>3682.284713065</v>
      </c>
      <c r="E187" s="9" t="n">
        <f aca="false">(parametros_manuales!$D$42*('Plan mensual'!G68+'Plan mensual'!G179+IF(parametros_manuales!$H$42="Todos",'Plan mensual'!G72+'Plan mensual'!G183,0))+parametros_manuales!$E$42*('Plan mensual'!G69+'Plan mensual'!G180+IF(parametros_manuales!$H$42="Todos",'Plan mensual'!G73+'Plan mensual'!G184,0))+parametros_manuales!$F$42*('Plan mensual'!G70+'Plan mensual'!G181+IF(parametros_manuales!$H$42="Todos",'Plan mensual'!G74+'Plan mensual'!G185,0))+parametros_manuales!$G$42*('Plan mensual'!G71+'Plan mensual'!G182+IF(parametros_manuales!$H$42="Todos",'Plan mensual'!G75+'Plan mensual'!G186,0)))*parametros_manuales!$I$42*parametros_manuales!$J$42</f>
        <v>3580.621946765</v>
      </c>
      <c r="F187" s="9" t="n">
        <f aca="false">(parametros_manuales!$D$42*('Plan mensual'!H68+'Plan mensual'!H179+IF(parametros_manuales!$H$42="Todos",'Plan mensual'!H72+'Plan mensual'!H183,0))+parametros_manuales!$E$42*('Plan mensual'!H69+'Plan mensual'!H180+IF(parametros_manuales!$H$42="Todos",'Plan mensual'!H73+'Plan mensual'!H184,0))+parametros_manuales!$F$42*('Plan mensual'!H70+'Plan mensual'!H181+IF(parametros_manuales!$H$42="Todos",'Plan mensual'!H74+'Plan mensual'!H185,0))+parametros_manuales!$G$42*('Plan mensual'!H71+'Plan mensual'!H182+IF(parametros_manuales!$H$42="Todos",'Plan mensual'!H75+'Plan mensual'!H186,0)))*parametros_manuales!$I$42*parametros_manuales!$J$42</f>
        <v>3358.03680092</v>
      </c>
      <c r="G187" s="9" t="n">
        <f aca="false">(parametros_manuales!$D$42*('Plan mensual'!I68+'Plan mensual'!I179+IF(parametros_manuales!$H$42="Todos",'Plan mensual'!I72+'Plan mensual'!I183,0))+parametros_manuales!$E$42*('Plan mensual'!I69+'Plan mensual'!I180+IF(parametros_manuales!$H$42="Todos",'Plan mensual'!I73+'Plan mensual'!I184,0))+parametros_manuales!$F$42*('Plan mensual'!I70+'Plan mensual'!I181+IF(parametros_manuales!$H$42="Todos",'Plan mensual'!I74+'Plan mensual'!I185,0))+parametros_manuales!$G$42*('Plan mensual'!I71+'Plan mensual'!I182+IF(parametros_manuales!$H$42="Todos",'Plan mensual'!I75+'Plan mensual'!I186,0)))*parametros_manuales!$I$42*parametros_manuales!$J$42</f>
        <v>3237.114421375</v>
      </c>
      <c r="H187" s="9" t="n">
        <f aca="false">(parametros_manuales!$D$42*('Plan mensual'!J68+'Plan mensual'!J179+IF(parametros_manuales!$H$42="Todos",'Plan mensual'!J72+'Plan mensual'!J183,0))+parametros_manuales!$E$42*('Plan mensual'!J69+'Plan mensual'!J180+IF(parametros_manuales!$H$42="Todos",'Plan mensual'!J73+'Plan mensual'!J184,0))+parametros_manuales!$F$42*('Plan mensual'!J70+'Plan mensual'!J181+IF(parametros_manuales!$H$42="Todos",'Plan mensual'!J74+'Plan mensual'!J185,0))+parametros_manuales!$G$42*('Plan mensual'!J71+'Plan mensual'!J182+IF(parametros_manuales!$H$42="Todos",'Plan mensual'!J75+'Plan mensual'!J186,0)))*parametros_manuales!$I$42*parametros_manuales!$J$42</f>
        <v>3459.69956722</v>
      </c>
      <c r="I187" s="9" t="n">
        <f aca="false">(parametros_manuales!$D$42*('Plan mensual'!K68+'Plan mensual'!K179+IF(parametros_manuales!$H$42="Todos",'Plan mensual'!K72+'Plan mensual'!K183,0))+parametros_manuales!$E$42*('Plan mensual'!K69+'Plan mensual'!K180+IF(parametros_manuales!$H$42="Todos",'Plan mensual'!K73+'Plan mensual'!K184,0))+parametros_manuales!$F$42*('Plan mensual'!K70+'Plan mensual'!K181+IF(parametros_manuales!$H$42="Todos",'Plan mensual'!K74+'Plan mensual'!K185,0))+parametros_manuales!$G$42*('Plan mensual'!K71+'Plan mensual'!K182+IF(parametros_manuales!$H$42="Todos",'Plan mensual'!K75+'Plan mensual'!K186,0)))*parametros_manuales!$I$42*parametros_manuales!$J$42</f>
        <v>3459.69956722</v>
      </c>
      <c r="J187" s="9" t="n">
        <f aca="false">(parametros_manuales!$D$42*('Plan mensual'!L68+'Plan mensual'!L179+IF(parametros_manuales!$H$42="Todos",'Plan mensual'!L72+'Plan mensual'!L183,0))+parametros_manuales!$E$42*('Plan mensual'!L69+'Plan mensual'!L180+IF(parametros_manuales!$H$42="Todos",'Plan mensual'!L73+'Plan mensual'!L184,0))+parametros_manuales!$F$42*('Plan mensual'!L70+'Plan mensual'!L181+IF(parametros_manuales!$H$42="Todos",'Plan mensual'!L74+'Plan mensual'!L185,0))+parametros_manuales!$G$42*('Plan mensual'!L71+'Plan mensual'!L182+IF(parametros_manuales!$H$42="Todos",'Plan mensual'!L75+'Plan mensual'!L186,0)))*parametros_manuales!$I$42*parametros_manuales!$J$42</f>
        <v>3459.69956722</v>
      </c>
      <c r="K187" s="9" t="n">
        <f aca="false">(parametros_manuales!$D$42*('Plan mensual'!M68+'Plan mensual'!M179+IF(parametros_manuales!$H$42="Todos",'Plan mensual'!M72+'Plan mensual'!M183,0))+parametros_manuales!$E$42*('Plan mensual'!M69+'Plan mensual'!M180+IF(parametros_manuales!$H$42="Todos",'Plan mensual'!M73+'Plan mensual'!M184,0))+parametros_manuales!$F$42*('Plan mensual'!M70+'Plan mensual'!M181+IF(parametros_manuales!$H$42="Todos",'Plan mensual'!M74+'Plan mensual'!M185,0))+parametros_manuales!$G$42*('Plan mensual'!M71+'Plan mensual'!M182+IF(parametros_manuales!$H$42="Todos",'Plan mensual'!M75+'Plan mensual'!M186,0)))*parametros_manuales!$I$42*parametros_manuales!$J$42</f>
        <v>3338.777187675</v>
      </c>
      <c r="L187" s="9" t="n">
        <f aca="false">(parametros_manuales!$D$42*('Plan mensual'!N68+'Plan mensual'!N179+IF(parametros_manuales!$H$42="Todos",'Plan mensual'!N72+'Plan mensual'!N183,0))+parametros_manuales!$E$42*('Plan mensual'!N69+'Plan mensual'!N180+IF(parametros_manuales!$H$42="Todos",'Plan mensual'!N73+'Plan mensual'!N184,0))+parametros_manuales!$F$42*('Plan mensual'!N70+'Plan mensual'!N181+IF(parametros_manuales!$H$42="Todos",'Plan mensual'!N74+'Plan mensual'!N185,0))+parametros_manuales!$G$42*('Plan mensual'!N71+'Plan mensual'!N182+IF(parametros_manuales!$H$42="Todos",'Plan mensual'!N75+'Plan mensual'!N186,0)))*parametros_manuales!$I$42*parametros_manuales!$J$42</f>
        <v>3217.85480813</v>
      </c>
      <c r="M187" s="9" t="n">
        <f aca="false">(parametros_manuales!$D$42*('Plan mensual'!O68+'Plan mensual'!O179+IF(parametros_manuales!$H$42="Todos",'Plan mensual'!O72+'Plan mensual'!O183,0))+parametros_manuales!$E$42*('Plan mensual'!O69+'Plan mensual'!O180+IF(parametros_manuales!$H$42="Todos",'Plan mensual'!O73+'Plan mensual'!O184,0))+parametros_manuales!$F$42*('Plan mensual'!O70+'Plan mensual'!O181+IF(parametros_manuales!$H$42="Todos",'Plan mensual'!O74+'Plan mensual'!O185,0))+parametros_manuales!$G$42*('Plan mensual'!O71+'Plan mensual'!O182+IF(parametros_manuales!$H$42="Todos",'Plan mensual'!O75+'Plan mensual'!O186,0)))*parametros_manuales!$I$42*parametros_manuales!$J$42</f>
        <v>5100.19874119</v>
      </c>
      <c r="N187" s="9" t="n">
        <f aca="false">SUM(B187:M187)</f>
        <v>44517.029169</v>
      </c>
      <c r="O187" s="9" t="n">
        <f aca="false">MAX(B187:M187)</f>
        <v>5100.19874119</v>
      </c>
      <c r="P187" s="44" t="n">
        <f aca="false">O187/(parametros_manuales!$B$7)</f>
        <v>34.0013249412667</v>
      </c>
      <c r="Q187" s="8" t="str">
        <f aca="false">IF(O187=0,"-",INDEX($B$163:$M$163,MATCH(O187,B187:M187,0)))</f>
        <v>Dic</v>
      </c>
    </row>
    <row r="188" customFormat="false" ht="14.25" hidden="false" customHeight="true" outlineLevel="0" collapsed="false">
      <c r="A188" s="8" t="str">
        <f aca="false">parametros_manuales!$B$43</f>
        <v>Embalaje y paletizado</v>
      </c>
      <c r="B188" s="9" t="n">
        <f aca="false">(parametros_manuales!$D$43*('Plan mensual'!D68+'Plan mensual'!D179+IF(parametros_manuales!$H$43="Todos",'Plan mensual'!D72+'Plan mensual'!D183,0))+parametros_manuales!$E$43*('Plan mensual'!D69+'Plan mensual'!D180+IF(parametros_manuales!$H$43="Todos",'Plan mensual'!D73+'Plan mensual'!D184,0))+parametros_manuales!$F$43*('Plan mensual'!D70+'Plan mensual'!D181+IF(parametros_manuales!$H$43="Todos",'Plan mensual'!D74+'Plan mensual'!D185,0))+parametros_manuales!$G$43*('Plan mensual'!D71+'Plan mensual'!D182+IF(parametros_manuales!$H$43="Todos",'Plan mensual'!D75+'Plan mensual'!D186,0)))*parametros_manuales!$I$43*parametros_manuales!$J$43</f>
        <v>19505.6299821</v>
      </c>
      <c r="C188" s="9" t="n">
        <f aca="false">(parametros_manuales!$D$43*('Plan mensual'!E68+'Plan mensual'!E179+IF(parametros_manuales!$H$43="Todos",'Plan mensual'!E72+'Plan mensual'!E183,0))+parametros_manuales!$E$43*('Plan mensual'!E69+'Plan mensual'!E180+IF(parametros_manuales!$H$43="Todos",'Plan mensual'!E73+'Plan mensual'!E184,0))+parametros_manuales!$F$43*('Plan mensual'!E70+'Plan mensual'!E181+IF(parametros_manuales!$H$43="Todos",'Plan mensual'!E74+'Plan mensual'!E185,0))+parametros_manuales!$G$43*('Plan mensual'!E71+'Plan mensual'!E182+IF(parametros_manuales!$H$43="Todos",'Plan mensual'!E75+'Plan mensual'!E186,0)))*parametros_manuales!$I$43*parametros_manuales!$J$43</f>
        <v>14874.46506612</v>
      </c>
      <c r="D188" s="9" t="n">
        <f aca="false">(parametros_manuales!$D$43*('Plan mensual'!F68+'Plan mensual'!F179+IF(parametros_manuales!$H$43="Todos",'Plan mensual'!F72+'Plan mensual'!F183,0))+parametros_manuales!$E$43*('Plan mensual'!F69+'Plan mensual'!F180+IF(parametros_manuales!$H$43="Todos",'Plan mensual'!F73+'Plan mensual'!F184,0))+parametros_manuales!$F$43*('Plan mensual'!F70+'Plan mensual'!F181+IF(parametros_manuales!$H$43="Todos",'Plan mensual'!F74+'Plan mensual'!F185,0))+parametros_manuales!$G$43*('Plan mensual'!F71+'Plan mensual'!F182+IF(parametros_manuales!$H$43="Todos",'Plan mensual'!F75+'Plan mensual'!F186,0)))*parametros_manuales!$I$43*parametros_manuales!$J$43</f>
        <v>13902.976113065</v>
      </c>
      <c r="E188" s="9" t="n">
        <f aca="false">(parametros_manuales!$D$43*('Plan mensual'!G68+'Plan mensual'!G179+IF(parametros_manuales!$H$43="Todos",'Plan mensual'!G72+'Plan mensual'!G183,0))+parametros_manuales!$E$43*('Plan mensual'!G69+'Plan mensual'!G180+IF(parametros_manuales!$H$43="Todos",'Plan mensual'!G73+'Plan mensual'!G184,0))+parametros_manuales!$F$43*('Plan mensual'!G70+'Plan mensual'!G181+IF(parametros_manuales!$H$43="Todos",'Plan mensual'!G74+'Plan mensual'!G185,0))+parametros_manuales!$G$43*('Plan mensual'!G71+'Plan mensual'!G182+IF(parametros_manuales!$H$43="Todos",'Plan mensual'!G75+'Plan mensual'!G186,0)))*parametros_manuales!$I$43*parametros_manuales!$J$43</f>
        <v>13294.610346765</v>
      </c>
      <c r="F188" s="9" t="n">
        <f aca="false">(parametros_manuales!$D$43*('Plan mensual'!H68+'Plan mensual'!H179+IF(parametros_manuales!$H$43="Todos",'Plan mensual'!H72+'Plan mensual'!H183,0))+parametros_manuales!$E$43*('Plan mensual'!H69+'Plan mensual'!H180+IF(parametros_manuales!$H$43="Todos",'Plan mensual'!H73+'Plan mensual'!H184,0))+parametros_manuales!$F$43*('Plan mensual'!H70+'Plan mensual'!H181+IF(parametros_manuales!$H$43="Todos",'Plan mensual'!H74+'Plan mensual'!H185,0))+parametros_manuales!$G$43*('Plan mensual'!H71+'Plan mensual'!H182+IF(parametros_manuales!$H$43="Todos",'Plan mensual'!H75+'Plan mensual'!H186,0)))*parametros_manuales!$I$43*parametros_manuales!$J$43</f>
        <v>12441.00200092</v>
      </c>
      <c r="G188" s="9" t="n">
        <f aca="false">(parametros_manuales!$D$43*('Plan mensual'!I68+'Plan mensual'!I179+IF(parametros_manuales!$H$43="Todos",'Plan mensual'!I72+'Plan mensual'!I183,0))+parametros_manuales!$E$43*('Plan mensual'!I69+'Plan mensual'!I180+IF(parametros_manuales!$H$43="Todos",'Plan mensual'!I73+'Plan mensual'!I184,0))+parametros_manuales!$F$43*('Plan mensual'!I70+'Plan mensual'!I181+IF(parametros_manuales!$H$43="Todos",'Plan mensual'!I74+'Plan mensual'!I185,0))+parametros_manuales!$G$43*('Plan mensual'!I71+'Plan mensual'!I182+IF(parametros_manuales!$H$43="Todos",'Plan mensual'!I75+'Plan mensual'!I186,0)))*parametros_manuales!$I$43*parametros_manuales!$J$43</f>
        <v>12195.759421375</v>
      </c>
      <c r="H188" s="9" t="n">
        <f aca="false">(parametros_manuales!$D$43*('Plan mensual'!J68+'Plan mensual'!J179+IF(parametros_manuales!$H$43="Todos",'Plan mensual'!J72+'Plan mensual'!J183,0))+parametros_manuales!$E$43*('Plan mensual'!J69+'Plan mensual'!J180+IF(parametros_manuales!$H$43="Todos",'Plan mensual'!J73+'Plan mensual'!J184,0))+parametros_manuales!$F$43*('Plan mensual'!J70+'Plan mensual'!J181+IF(parametros_manuales!$H$43="Todos",'Plan mensual'!J74+'Plan mensual'!J185,0))+parametros_manuales!$G$43*('Plan mensual'!J71+'Plan mensual'!J182+IF(parametros_manuales!$H$43="Todos",'Plan mensual'!J75+'Plan mensual'!J186,0)))*parametros_manuales!$I$43*parametros_manuales!$J$43</f>
        <v>13049.36776722</v>
      </c>
      <c r="I188" s="9" t="n">
        <f aca="false">(parametros_manuales!$D$43*('Plan mensual'!K68+'Plan mensual'!K179+IF(parametros_manuales!$H$43="Todos",'Plan mensual'!K72+'Plan mensual'!K183,0))+parametros_manuales!$E$43*('Plan mensual'!K69+'Plan mensual'!K180+IF(parametros_manuales!$H$43="Todos",'Plan mensual'!K73+'Plan mensual'!K184,0))+parametros_manuales!$F$43*('Plan mensual'!K70+'Plan mensual'!K181+IF(parametros_manuales!$H$43="Todos",'Plan mensual'!K74+'Plan mensual'!K185,0))+parametros_manuales!$G$43*('Plan mensual'!K71+'Plan mensual'!K182+IF(parametros_manuales!$H$43="Todos",'Plan mensual'!K75+'Plan mensual'!K186,0)))*parametros_manuales!$I$43*parametros_manuales!$J$43</f>
        <v>13049.36776722</v>
      </c>
      <c r="J188" s="9" t="n">
        <f aca="false">(parametros_manuales!$D$43*('Plan mensual'!L68+'Plan mensual'!L179+IF(parametros_manuales!$H$43="Todos",'Plan mensual'!L72+'Plan mensual'!L183,0))+parametros_manuales!$E$43*('Plan mensual'!L69+'Plan mensual'!L180+IF(parametros_manuales!$H$43="Todos",'Plan mensual'!L73+'Plan mensual'!L184,0))+parametros_manuales!$F$43*('Plan mensual'!L70+'Plan mensual'!L181+IF(parametros_manuales!$H$43="Todos",'Plan mensual'!L74+'Plan mensual'!L185,0))+parametros_manuales!$G$43*('Plan mensual'!L71+'Plan mensual'!L182+IF(parametros_manuales!$H$43="Todos",'Plan mensual'!L75+'Plan mensual'!L186,0)))*parametros_manuales!$I$43*parametros_manuales!$J$43</f>
        <v>13049.36776722</v>
      </c>
      <c r="K188" s="9" t="n">
        <f aca="false">(parametros_manuales!$D$43*('Plan mensual'!M68+'Plan mensual'!M179+IF(parametros_manuales!$H$43="Todos",'Plan mensual'!M72+'Plan mensual'!M183,0))+parametros_manuales!$E$43*('Plan mensual'!M69+'Plan mensual'!M180+IF(parametros_manuales!$H$43="Todos",'Plan mensual'!M73+'Plan mensual'!M184,0))+parametros_manuales!$F$43*('Plan mensual'!M70+'Plan mensual'!M181+IF(parametros_manuales!$H$43="Todos",'Plan mensual'!M74+'Plan mensual'!M185,0))+parametros_manuales!$G$43*('Plan mensual'!M71+'Plan mensual'!M182+IF(parametros_manuales!$H$43="Todos",'Plan mensual'!M75+'Plan mensual'!M186,0)))*parametros_manuales!$I$43*parametros_manuales!$J$43</f>
        <v>12804.125187675</v>
      </c>
      <c r="L188" s="9" t="n">
        <f aca="false">(parametros_manuales!$D$43*('Plan mensual'!N68+'Plan mensual'!N179+IF(parametros_manuales!$H$43="Todos",'Plan mensual'!N72+'Plan mensual'!N183,0))+parametros_manuales!$E$43*('Plan mensual'!N69+'Plan mensual'!N180+IF(parametros_manuales!$H$43="Todos",'Plan mensual'!N73+'Plan mensual'!N184,0))+parametros_manuales!$F$43*('Plan mensual'!N70+'Plan mensual'!N181+IF(parametros_manuales!$H$43="Todos",'Plan mensual'!N74+'Plan mensual'!N185,0))+parametros_manuales!$G$43*('Plan mensual'!N71+'Plan mensual'!N182+IF(parametros_manuales!$H$43="Todos",'Plan mensual'!N75+'Plan mensual'!N186,0)))*parametros_manuales!$I$43*parametros_manuales!$J$43</f>
        <v>12558.88260813</v>
      </c>
      <c r="M188" s="9" t="n">
        <f aca="false">(parametros_manuales!$D$43*('Plan mensual'!O68+'Plan mensual'!O179+IF(parametros_manuales!$H$43="Todos",'Plan mensual'!O72+'Plan mensual'!O183,0))+parametros_manuales!$E$43*('Plan mensual'!O69+'Plan mensual'!O180+IF(parametros_manuales!$H$43="Todos",'Plan mensual'!O73+'Plan mensual'!O184,0))+parametros_manuales!$F$43*('Plan mensual'!O70+'Plan mensual'!O181+IF(parametros_manuales!$H$43="Todos",'Plan mensual'!O74+'Plan mensual'!O185,0))+parametros_manuales!$G$43*('Plan mensual'!O71+'Plan mensual'!O182+IF(parametros_manuales!$H$43="Todos",'Plan mensual'!O75+'Plan mensual'!O186,0)))*parametros_manuales!$I$43*parametros_manuales!$J$43</f>
        <v>19996.11514119</v>
      </c>
      <c r="N188" s="9" t="n">
        <f aca="false">SUM(B188:M188)</f>
        <v>170721.669169</v>
      </c>
      <c r="O188" s="9" t="n">
        <f aca="false">MAX(B188:M188)</f>
        <v>19996.11514119</v>
      </c>
      <c r="P188" s="44" t="n">
        <f aca="false">O188/(parametros_manuales!$B$7)</f>
        <v>133.3074342746</v>
      </c>
      <c r="Q188" s="8" t="str">
        <f aca="false">IF(O188=0,"-",INDEX($B$163:$M$163,MATCH(O188,B188:M188,0)))</f>
        <v>Dic</v>
      </c>
    </row>
    <row r="189" customFormat="false" ht="14.25" hidden="false" customHeight="true" outlineLevel="0" collapsed="false"/>
    <row r="190" customFormat="false" ht="14.25" hidden="false" customHeight="true" outlineLevel="0" collapsed="false">
      <c r="A190" s="7" t="s">
        <v>207</v>
      </c>
      <c r="B190" s="7" t="s">
        <v>59</v>
      </c>
      <c r="C190" s="7" t="s">
        <v>60</v>
      </c>
      <c r="D190" s="7" t="s">
        <v>61</v>
      </c>
      <c r="E190" s="7" t="s">
        <v>62</v>
      </c>
      <c r="F190" s="7" t="s">
        <v>63</v>
      </c>
      <c r="G190" s="7" t="s">
        <v>64</v>
      </c>
      <c r="H190" s="7" t="s">
        <v>65</v>
      </c>
      <c r="I190" s="7" t="s">
        <v>66</v>
      </c>
      <c r="J190" s="7" t="s">
        <v>67</v>
      </c>
      <c r="K190" s="7" t="s">
        <v>68</v>
      </c>
      <c r="L190" s="7" t="s">
        <v>69</v>
      </c>
      <c r="M190" s="7" t="s">
        <v>70</v>
      </c>
      <c r="N190" s="7" t="s">
        <v>181</v>
      </c>
      <c r="O190" s="7" t="s">
        <v>198</v>
      </c>
      <c r="P190" s="7" t="s">
        <v>199</v>
      </c>
      <c r="Q190" s="7" t="s">
        <v>200</v>
      </c>
    </row>
    <row r="191" customFormat="false" ht="14.25" hidden="false" customHeight="true" outlineLevel="0" collapsed="false">
      <c r="A191" s="8" t="str">
        <f aca="false">parametros_manuales!$B$19</f>
        <v>Recepción de materia prima</v>
      </c>
      <c r="B191" s="9" t="n">
        <f aca="false">(parametros_manuales!$D$19*('Plan mensual'!D79+'Plan mensual'!D190+IF(parametros_manuales!$H$19="Todos",'Plan mensual'!D83+'Plan mensual'!D194,0))+parametros_manuales!$E$19*('Plan mensual'!D80+'Plan mensual'!D191+IF(parametros_manuales!$H$19="Todos",'Plan mensual'!D84+'Plan mensual'!D195,0))+parametros_manuales!$F$19*('Plan mensual'!D81+'Plan mensual'!D192+IF(parametros_manuales!$H$19="Todos",'Plan mensual'!D85+'Plan mensual'!D196,0))+parametros_manuales!$G$19*('Plan mensual'!D82+'Plan mensual'!D193+IF(parametros_manuales!$H$19="Todos",'Plan mensual'!D86+'Plan mensual'!D197,0)))*parametros_manuales!$I$19*parametros_manuales!$J$19</f>
        <v>24937.5151945</v>
      </c>
      <c r="C191" s="9" t="n">
        <f aca="false">(parametros_manuales!$D$19*('Plan mensual'!E79+'Plan mensual'!E190+IF(parametros_manuales!$H$19="Todos",'Plan mensual'!E83+'Plan mensual'!E194,0))+parametros_manuales!$E$19*('Plan mensual'!E80+'Plan mensual'!E191+IF(parametros_manuales!$H$19="Todos",'Plan mensual'!E84+'Plan mensual'!E195,0))+parametros_manuales!$F$19*('Plan mensual'!E81+'Plan mensual'!E192+IF(parametros_manuales!$H$19="Todos",'Plan mensual'!E85+'Plan mensual'!E196,0))+parametros_manuales!$G$19*('Plan mensual'!E82+'Plan mensual'!E193+IF(parametros_manuales!$H$19="Todos",'Plan mensual'!E86+'Plan mensual'!E197,0)))*parametros_manuales!$I$19*parametros_manuales!$J$19</f>
        <v>19013.21368472</v>
      </c>
      <c r="D191" s="9" t="n">
        <f aca="false">(parametros_manuales!$D$19*('Plan mensual'!F79+'Plan mensual'!F190+IF(parametros_manuales!$H$19="Todos",'Plan mensual'!F83+'Plan mensual'!F194,0))+parametros_manuales!$E$19*('Plan mensual'!F80+'Plan mensual'!F191+IF(parametros_manuales!$H$19="Todos",'Plan mensual'!F84+'Plan mensual'!F195,0))+parametros_manuales!$F$19*('Plan mensual'!F81+'Plan mensual'!F192+IF(parametros_manuales!$H$19="Todos",'Plan mensual'!F85+'Plan mensual'!F196,0))+parametros_manuales!$G$19*('Plan mensual'!F82+'Plan mensual'!F193+IF(parametros_manuales!$H$19="Todos",'Plan mensual'!F86+'Plan mensual'!F197,0)))*parametros_manuales!$I$19*parametros_manuales!$J$19</f>
        <v>17761.960188765</v>
      </c>
      <c r="E191" s="9" t="n">
        <f aca="false">(parametros_manuales!$D$19*('Plan mensual'!G79+'Plan mensual'!G190+IF(parametros_manuales!$H$19="Todos",'Plan mensual'!G83+'Plan mensual'!G194,0))+parametros_manuales!$E$19*('Plan mensual'!G80+'Plan mensual'!G191+IF(parametros_manuales!$H$19="Todos",'Plan mensual'!G84+'Plan mensual'!G195,0))+parametros_manuales!$F$19*('Plan mensual'!G81+'Plan mensual'!G192+IF(parametros_manuales!$H$19="Todos",'Plan mensual'!G85+'Plan mensual'!G196,0))+parametros_manuales!$G$19*('Plan mensual'!G82+'Plan mensual'!G193+IF(parametros_manuales!$H$19="Todos",'Plan mensual'!G86+'Plan mensual'!G197,0)))*parametros_manuales!$I$19*parametros_manuales!$J$19</f>
        <v>16981.294796365</v>
      </c>
      <c r="F191" s="9" t="n">
        <f aca="false">(parametros_manuales!$D$19*('Plan mensual'!H79+'Plan mensual'!H190+IF(parametros_manuales!$H$19="Todos",'Plan mensual'!H83+'Plan mensual'!H194,0))+parametros_manuales!$E$19*('Plan mensual'!H80+'Plan mensual'!H191+IF(parametros_manuales!$H$19="Todos",'Plan mensual'!H84+'Plan mensual'!H195,0))+parametros_manuales!$F$19*('Plan mensual'!H81+'Plan mensual'!H192+IF(parametros_manuales!$H$19="Todos",'Plan mensual'!H85+'Plan mensual'!H196,0))+parametros_manuales!$G$19*('Plan mensual'!H82+'Plan mensual'!H193+IF(parametros_manuales!$H$19="Todos",'Plan mensual'!H86+'Plan mensual'!H197,0)))*parametros_manuales!$I$19*parametros_manuales!$J$19</f>
        <v>15890.55211512</v>
      </c>
      <c r="G191" s="9" t="n">
        <f aca="false">(parametros_manuales!$D$19*('Plan mensual'!I79+'Plan mensual'!I190+IF(parametros_manuales!$H$19="Todos",'Plan mensual'!I83+'Plan mensual'!I194,0))+parametros_manuales!$E$19*('Plan mensual'!I80+'Plan mensual'!I191+IF(parametros_manuales!$H$19="Todos",'Plan mensual'!I84+'Plan mensual'!I195,0))+parametros_manuales!$F$19*('Plan mensual'!I81+'Plan mensual'!I192+IF(parametros_manuales!$H$19="Todos",'Plan mensual'!I85+'Plan mensual'!I196,0))+parametros_manuales!$G$19*('Plan mensual'!I82+'Plan mensual'!I193+IF(parametros_manuales!$H$19="Todos",'Plan mensual'!I86+'Plan mensual'!I197,0)))*parametros_manuales!$I$19*parametros_manuales!$J$19</f>
        <v>15580.474826275</v>
      </c>
      <c r="H191" s="9" t="n">
        <f aca="false">(parametros_manuales!$D$19*('Plan mensual'!J79+'Plan mensual'!J190+IF(parametros_manuales!$H$19="Todos",'Plan mensual'!J83+'Plan mensual'!J194,0))+parametros_manuales!$E$19*('Plan mensual'!J80+'Plan mensual'!J191+IF(parametros_manuales!$H$19="Todos",'Plan mensual'!J84+'Plan mensual'!J195,0))+parametros_manuales!$F$19*('Plan mensual'!J81+'Plan mensual'!J192+IF(parametros_manuales!$H$19="Todos",'Plan mensual'!J85+'Plan mensual'!J196,0))+parametros_manuales!$G$19*('Plan mensual'!J82+'Plan mensual'!J193+IF(parametros_manuales!$H$19="Todos",'Plan mensual'!J86+'Plan mensual'!J197,0)))*parametros_manuales!$I$19*parametros_manuales!$J$19</f>
        <v>16671.21750752</v>
      </c>
      <c r="I191" s="9" t="n">
        <f aca="false">(parametros_manuales!$D$19*('Plan mensual'!K79+'Plan mensual'!K190+IF(parametros_manuales!$H$19="Todos",'Plan mensual'!K83+'Plan mensual'!K194,0))+parametros_manuales!$E$19*('Plan mensual'!K80+'Plan mensual'!K191+IF(parametros_manuales!$H$19="Todos",'Plan mensual'!K84+'Plan mensual'!K195,0))+parametros_manuales!$F$19*('Plan mensual'!K81+'Plan mensual'!K192+IF(parametros_manuales!$H$19="Todos",'Plan mensual'!K85+'Plan mensual'!K196,0))+parametros_manuales!$G$19*('Plan mensual'!K82+'Plan mensual'!K193+IF(parametros_manuales!$H$19="Todos",'Plan mensual'!K86+'Plan mensual'!K197,0)))*parametros_manuales!$I$19*parametros_manuales!$J$19</f>
        <v>16671.21750752</v>
      </c>
      <c r="J191" s="9" t="n">
        <f aca="false">(parametros_manuales!$D$19*('Plan mensual'!L79+'Plan mensual'!L190+IF(parametros_manuales!$H$19="Todos",'Plan mensual'!L83+'Plan mensual'!L194,0))+parametros_manuales!$E$19*('Plan mensual'!L80+'Plan mensual'!L191+IF(parametros_manuales!$H$19="Todos",'Plan mensual'!L84+'Plan mensual'!L195,0))+parametros_manuales!$F$19*('Plan mensual'!L81+'Plan mensual'!L192+IF(parametros_manuales!$H$19="Todos",'Plan mensual'!L85+'Plan mensual'!L196,0))+parametros_manuales!$G$19*('Plan mensual'!L82+'Plan mensual'!L193+IF(parametros_manuales!$H$19="Todos",'Plan mensual'!L86+'Plan mensual'!L197,0)))*parametros_manuales!$I$19*parametros_manuales!$J$19</f>
        <v>16671.21750752</v>
      </c>
      <c r="K191" s="9" t="n">
        <f aca="false">(parametros_manuales!$D$19*('Plan mensual'!M79+'Plan mensual'!M190+IF(parametros_manuales!$H$19="Todos",'Plan mensual'!M83+'Plan mensual'!M194,0))+parametros_manuales!$E$19*('Plan mensual'!M80+'Plan mensual'!M191+IF(parametros_manuales!$H$19="Todos",'Plan mensual'!M84+'Plan mensual'!M195,0))+parametros_manuales!$F$19*('Plan mensual'!M81+'Plan mensual'!M192+IF(parametros_manuales!$H$19="Todos",'Plan mensual'!M85+'Plan mensual'!M196,0))+parametros_manuales!$G$19*('Plan mensual'!M82+'Plan mensual'!M193+IF(parametros_manuales!$H$19="Todos",'Plan mensual'!M86+'Plan mensual'!M197,0)))*parametros_manuales!$I$19*parametros_manuales!$J$19</f>
        <v>16361.140218675</v>
      </c>
      <c r="L191" s="9" t="n">
        <f aca="false">(parametros_manuales!$D$19*('Plan mensual'!N79+'Plan mensual'!N190+IF(parametros_manuales!$H$19="Todos",'Plan mensual'!N83+'Plan mensual'!N194,0))+parametros_manuales!$E$19*('Plan mensual'!N80+'Plan mensual'!N191+IF(parametros_manuales!$H$19="Todos",'Plan mensual'!N84+'Plan mensual'!N195,0))+parametros_manuales!$F$19*('Plan mensual'!N81+'Plan mensual'!N192+IF(parametros_manuales!$H$19="Todos",'Plan mensual'!N85+'Plan mensual'!N196,0))+parametros_manuales!$G$19*('Plan mensual'!N82+'Plan mensual'!N193+IF(parametros_manuales!$H$19="Todos",'Plan mensual'!N86+'Plan mensual'!N197,0)))*parametros_manuales!$I$19*parametros_manuales!$J$19</f>
        <v>16051.06292983</v>
      </c>
      <c r="M191" s="9" t="n">
        <f aca="false">(parametros_manuales!$D$19*('Plan mensual'!O79+'Plan mensual'!O190+IF(parametros_manuales!$H$19="Todos",'Plan mensual'!O83+'Plan mensual'!O194,0))+parametros_manuales!$E$19*('Plan mensual'!O80+'Plan mensual'!O191+IF(parametros_manuales!$H$19="Todos",'Plan mensual'!O84+'Plan mensual'!O195,0))+parametros_manuales!$F$19*('Plan mensual'!O81+'Plan mensual'!O192+IF(parametros_manuales!$H$19="Todos",'Plan mensual'!O85+'Plan mensual'!O196,0))+parametros_manuales!$G$19*('Plan mensual'!O82+'Plan mensual'!O193+IF(parametros_manuales!$H$19="Todos",'Plan mensual'!O86+'Plan mensual'!O197,0)))*parametros_manuales!$I$19*parametros_manuales!$J$19</f>
        <v>25557.66977219</v>
      </c>
      <c r="N191" s="9" t="n">
        <f aca="false">SUM(B191:M191)</f>
        <v>218148.536249</v>
      </c>
      <c r="O191" s="9" t="n">
        <f aca="false">MAX(B191:M191)</f>
        <v>25557.66977219</v>
      </c>
      <c r="P191" s="44" t="n">
        <f aca="false">O191/(parametros_manuales!$B$7)</f>
        <v>170.384465147933</v>
      </c>
      <c r="Q191" s="8" t="str">
        <f aca="false">IF(O191=0,"-",INDEX($B$190:$M$190,MATCH(O191,B191:M191,0)))</f>
        <v>Dic</v>
      </c>
    </row>
    <row r="192" customFormat="false" ht="14.25" hidden="false" customHeight="true" outlineLevel="0" collapsed="false">
      <c r="A192" s="8" t="str">
        <f aca="false">parametros_manuales!$B$20</f>
        <v>Corte de chapa (guillotina) — 2,5 a 10 kg</v>
      </c>
      <c r="B192" s="9" t="n">
        <f aca="false">(parametros_manuales!$D$20*('Plan mensual'!D79+'Plan mensual'!D190+IF(parametros_manuales!$H$20="Todos",'Plan mensual'!D83+'Plan mensual'!D194,0))+parametros_manuales!$E$20*('Plan mensual'!D80+'Plan mensual'!D191+IF(parametros_manuales!$H$20="Todos",'Plan mensual'!D84+'Plan mensual'!D195,0))+parametros_manuales!$F$20*('Plan mensual'!D81+'Plan mensual'!D192+IF(parametros_manuales!$H$20="Todos",'Plan mensual'!D85+'Plan mensual'!D196,0))+parametros_manuales!$G$20*('Plan mensual'!D82+'Plan mensual'!D193+IF(parametros_manuales!$H$20="Todos",'Plan mensual'!D86+'Plan mensual'!D197,0)))*parametros_manuales!$I$20*parametros_manuales!$J$20</f>
        <v>6201.5457769</v>
      </c>
      <c r="C192" s="9" t="n">
        <f aca="false">(parametros_manuales!$D$20*('Plan mensual'!E79+'Plan mensual'!E190+IF(parametros_manuales!$H$20="Todos",'Plan mensual'!E83+'Plan mensual'!E194,0))+parametros_manuales!$E$20*('Plan mensual'!E80+'Plan mensual'!E191+IF(parametros_manuales!$H$20="Todos",'Plan mensual'!E84+'Plan mensual'!E195,0))+parametros_manuales!$F$20*('Plan mensual'!E81+'Plan mensual'!E192+IF(parametros_manuales!$H$20="Todos",'Plan mensual'!E85+'Plan mensual'!E196,0))+parametros_manuales!$G$20*('Plan mensual'!E82+'Plan mensual'!E193+IF(parametros_manuales!$H$20="Todos",'Plan mensual'!E86+'Plan mensual'!E197,0)))*parametros_manuales!$I$20*parametros_manuales!$J$20</f>
        <v>4961.23662152</v>
      </c>
      <c r="D192" s="9" t="n">
        <f aca="false">(parametros_manuales!$D$20*('Plan mensual'!F79+'Plan mensual'!F190+IF(parametros_manuales!$H$20="Todos",'Plan mensual'!F83+'Plan mensual'!F194,0))+parametros_manuales!$E$20*('Plan mensual'!F80+'Plan mensual'!F191+IF(parametros_manuales!$H$20="Todos",'Plan mensual'!F84+'Plan mensual'!F195,0))+parametros_manuales!$F$20*('Plan mensual'!F81+'Plan mensual'!F192+IF(parametros_manuales!$H$20="Todos",'Plan mensual'!F85+'Plan mensual'!F196,0))+parametros_manuales!$G$20*('Plan mensual'!F82+'Plan mensual'!F193+IF(parametros_manuales!$H$20="Todos",'Plan mensual'!F86+'Plan mensual'!F197,0)))*parametros_manuales!$I$20*parametros_manuales!$J$20</f>
        <v>5271.313910365</v>
      </c>
      <c r="E192" s="9" t="n">
        <f aca="false">(parametros_manuales!$D$20*('Plan mensual'!G79+'Plan mensual'!G190+IF(parametros_manuales!$H$20="Todos",'Plan mensual'!G83+'Plan mensual'!G194,0))+parametros_manuales!$E$20*('Plan mensual'!G80+'Plan mensual'!G191+IF(parametros_manuales!$H$20="Todos",'Plan mensual'!G84+'Plan mensual'!G195,0))+parametros_manuales!$F$20*('Plan mensual'!G81+'Plan mensual'!G192+IF(parametros_manuales!$H$20="Todos",'Plan mensual'!G85+'Plan mensual'!G196,0))+parametros_manuales!$G$20*('Plan mensual'!G82+'Plan mensual'!G193+IF(parametros_manuales!$H$20="Todos",'Plan mensual'!G86+'Plan mensual'!G197,0)))*parametros_manuales!$I$20*parametros_manuales!$J$20</f>
        <v>5271.313910365</v>
      </c>
      <c r="F192" s="9" t="n">
        <f aca="false">(parametros_manuales!$D$20*('Plan mensual'!H79+'Plan mensual'!H190+IF(parametros_manuales!$H$20="Todos",'Plan mensual'!H83+'Plan mensual'!H194,0))+parametros_manuales!$E$20*('Plan mensual'!H80+'Plan mensual'!H191+IF(parametros_manuales!$H$20="Todos",'Plan mensual'!H84+'Plan mensual'!H195,0))+parametros_manuales!$F$20*('Plan mensual'!H81+'Plan mensual'!H192+IF(parametros_manuales!$H$20="Todos",'Plan mensual'!H85+'Plan mensual'!H196,0))+parametros_manuales!$G$20*('Plan mensual'!H82+'Plan mensual'!H193+IF(parametros_manuales!$H$20="Todos",'Plan mensual'!H86+'Plan mensual'!H197,0)))*parametros_manuales!$I$20*parametros_manuales!$J$20</f>
        <v>4961.23662152</v>
      </c>
      <c r="G192" s="9" t="n">
        <f aca="false">(parametros_manuales!$D$20*('Plan mensual'!I79+'Plan mensual'!I190+IF(parametros_manuales!$H$20="Todos",'Plan mensual'!I83+'Plan mensual'!I194,0))+parametros_manuales!$E$20*('Plan mensual'!I80+'Plan mensual'!I191+IF(parametros_manuales!$H$20="Todos",'Plan mensual'!I84+'Plan mensual'!I195,0))+parametros_manuales!$F$20*('Plan mensual'!I81+'Plan mensual'!I192+IF(parametros_manuales!$H$20="Todos",'Plan mensual'!I85+'Plan mensual'!I196,0))+parametros_manuales!$G$20*('Plan mensual'!I82+'Plan mensual'!I193+IF(parametros_manuales!$H$20="Todos",'Plan mensual'!I86+'Plan mensual'!I197,0)))*parametros_manuales!$I$20*parametros_manuales!$J$20</f>
        <v>4651.159332675</v>
      </c>
      <c r="H192" s="9" t="n">
        <f aca="false">(parametros_manuales!$D$20*('Plan mensual'!J79+'Plan mensual'!J190+IF(parametros_manuales!$H$20="Todos",'Plan mensual'!J83+'Plan mensual'!J194,0))+parametros_manuales!$E$20*('Plan mensual'!J80+'Plan mensual'!J191+IF(parametros_manuales!$H$20="Todos",'Plan mensual'!J84+'Plan mensual'!J195,0))+parametros_manuales!$F$20*('Plan mensual'!J81+'Plan mensual'!J192+IF(parametros_manuales!$H$20="Todos",'Plan mensual'!J85+'Plan mensual'!J196,0))+parametros_manuales!$G$20*('Plan mensual'!J82+'Plan mensual'!J193+IF(parametros_manuales!$H$20="Todos",'Plan mensual'!J86+'Plan mensual'!J197,0)))*parametros_manuales!$I$20*parametros_manuales!$J$20</f>
        <v>4961.23662152</v>
      </c>
      <c r="I192" s="9" t="n">
        <f aca="false">(parametros_manuales!$D$20*('Plan mensual'!K79+'Plan mensual'!K190+IF(parametros_manuales!$H$20="Todos",'Plan mensual'!K83+'Plan mensual'!K194,0))+parametros_manuales!$E$20*('Plan mensual'!K80+'Plan mensual'!K191+IF(parametros_manuales!$H$20="Todos",'Plan mensual'!K84+'Plan mensual'!K195,0))+parametros_manuales!$F$20*('Plan mensual'!K81+'Plan mensual'!K192+IF(parametros_manuales!$H$20="Todos",'Plan mensual'!K85+'Plan mensual'!K196,0))+parametros_manuales!$G$20*('Plan mensual'!K82+'Plan mensual'!K193+IF(parametros_manuales!$H$20="Todos",'Plan mensual'!K86+'Plan mensual'!K197,0)))*parametros_manuales!$I$20*parametros_manuales!$J$20</f>
        <v>4961.23662152</v>
      </c>
      <c r="J192" s="9" t="n">
        <f aca="false">(parametros_manuales!$D$20*('Plan mensual'!L79+'Plan mensual'!L190+IF(parametros_manuales!$H$20="Todos",'Plan mensual'!L83+'Plan mensual'!L194,0))+parametros_manuales!$E$20*('Plan mensual'!L80+'Plan mensual'!L191+IF(parametros_manuales!$H$20="Todos",'Plan mensual'!L84+'Plan mensual'!L195,0))+parametros_manuales!$F$20*('Plan mensual'!L81+'Plan mensual'!L192+IF(parametros_manuales!$H$20="Todos",'Plan mensual'!L85+'Plan mensual'!L196,0))+parametros_manuales!$G$20*('Plan mensual'!L82+'Plan mensual'!L193+IF(parametros_manuales!$H$20="Todos",'Plan mensual'!L86+'Plan mensual'!L197,0)))*parametros_manuales!$I$20*parametros_manuales!$J$20</f>
        <v>4961.23662152</v>
      </c>
      <c r="K192" s="9" t="n">
        <f aca="false">(parametros_manuales!$D$20*('Plan mensual'!M79+'Plan mensual'!M190+IF(parametros_manuales!$H$20="Todos",'Plan mensual'!M83+'Plan mensual'!M194,0))+parametros_manuales!$E$20*('Plan mensual'!M80+'Plan mensual'!M191+IF(parametros_manuales!$H$20="Todos",'Plan mensual'!M84+'Plan mensual'!M195,0))+parametros_manuales!$F$20*('Plan mensual'!M81+'Plan mensual'!M192+IF(parametros_manuales!$H$20="Todos",'Plan mensual'!M85+'Plan mensual'!M196,0))+parametros_manuales!$G$20*('Plan mensual'!M82+'Plan mensual'!M193+IF(parametros_manuales!$H$20="Todos",'Plan mensual'!M86+'Plan mensual'!M197,0)))*parametros_manuales!$I$20*parametros_manuales!$J$20</f>
        <v>4651.159332675</v>
      </c>
      <c r="L192" s="9" t="n">
        <f aca="false">(parametros_manuales!$D$20*('Plan mensual'!N79+'Plan mensual'!N190+IF(parametros_manuales!$H$20="Todos",'Plan mensual'!N83+'Plan mensual'!N194,0))+parametros_manuales!$E$20*('Plan mensual'!N80+'Plan mensual'!N191+IF(parametros_manuales!$H$20="Todos",'Plan mensual'!N84+'Plan mensual'!N195,0))+parametros_manuales!$F$20*('Plan mensual'!N81+'Plan mensual'!N192+IF(parametros_manuales!$H$20="Todos",'Plan mensual'!N85+'Plan mensual'!N196,0))+parametros_manuales!$G$20*('Plan mensual'!N82+'Plan mensual'!N193+IF(parametros_manuales!$H$20="Todos",'Plan mensual'!N86+'Plan mensual'!N197,0)))*parametros_manuales!$I$20*parametros_manuales!$J$20</f>
        <v>4341.08204383</v>
      </c>
      <c r="M192" s="9" t="n">
        <f aca="false">(parametros_manuales!$D$20*('Plan mensual'!O79+'Plan mensual'!O190+IF(parametros_manuales!$H$20="Todos",'Plan mensual'!O83+'Plan mensual'!O194,0))+parametros_manuales!$E$20*('Plan mensual'!O80+'Plan mensual'!O191+IF(parametros_manuales!$H$20="Todos",'Plan mensual'!O84+'Plan mensual'!O195,0))+parametros_manuales!$F$20*('Plan mensual'!O81+'Plan mensual'!O192+IF(parametros_manuales!$H$20="Todos",'Plan mensual'!O85+'Plan mensual'!O196,0))+parametros_manuales!$G$20*('Plan mensual'!O82+'Plan mensual'!O193+IF(parametros_manuales!$H$20="Todos",'Plan mensual'!O86+'Plan mensual'!O197,0)))*parametros_manuales!$I$20*parametros_manuales!$J$20</f>
        <v>6821.70035459</v>
      </c>
      <c r="N192" s="9" t="n">
        <f aca="false">SUM(B192:M192)</f>
        <v>62015.457769</v>
      </c>
      <c r="O192" s="9" t="n">
        <f aca="false">MAX(B192:M192)</f>
        <v>6821.70035459</v>
      </c>
      <c r="P192" s="44" t="n">
        <f aca="false">O192/(parametros_manuales!$B$7)</f>
        <v>45.4780023639333</v>
      </c>
      <c r="Q192" s="8" t="str">
        <f aca="false">IF(O192=0,"-",INDEX($B$190:$M$190,MATCH(O192,B192:M192,0)))</f>
        <v>Dic</v>
      </c>
    </row>
    <row r="193" customFormat="false" ht="14.25" hidden="false" customHeight="true" outlineLevel="0" collapsed="false">
      <c r="A193" s="8" t="str">
        <f aca="false">parametros_manuales!$B$21</f>
        <v>Corte de tubo — 1 kg</v>
      </c>
      <c r="B193" s="9" t="n">
        <f aca="false">(parametros_manuales!$D$21*('Plan mensual'!D79+'Plan mensual'!D190+IF(parametros_manuales!$H$21="Todos",'Plan mensual'!D83+'Plan mensual'!D194,0))+parametros_manuales!$E$21*('Plan mensual'!D80+'Plan mensual'!D191+IF(parametros_manuales!$H$21="Todos",'Plan mensual'!D84+'Plan mensual'!D195,0))+parametros_manuales!$F$21*('Plan mensual'!D81+'Plan mensual'!D192+IF(parametros_manuales!$H$21="Todos",'Plan mensual'!D85+'Plan mensual'!D196,0))+parametros_manuales!$G$21*('Plan mensual'!D82+'Plan mensual'!D193+IF(parametros_manuales!$H$21="Todos",'Plan mensual'!D86+'Plan mensual'!D197,0)))*parametros_manuales!$I$21*parametros_manuales!$J$21</f>
        <v>18735.9694176</v>
      </c>
      <c r="C193" s="9" t="n">
        <f aca="false">(parametros_manuales!$D$21*('Plan mensual'!E79+'Plan mensual'!E190+IF(parametros_manuales!$H$21="Todos",'Plan mensual'!E83+'Plan mensual'!E194,0))+parametros_manuales!$E$21*('Plan mensual'!E80+'Plan mensual'!E191+IF(parametros_manuales!$H$21="Todos",'Plan mensual'!E84+'Plan mensual'!E195,0))+parametros_manuales!$F$21*('Plan mensual'!E81+'Plan mensual'!E192+IF(parametros_manuales!$H$21="Todos",'Plan mensual'!E85+'Plan mensual'!E196,0))+parametros_manuales!$G$21*('Plan mensual'!E82+'Plan mensual'!E193+IF(parametros_manuales!$H$21="Todos",'Plan mensual'!E86+'Plan mensual'!E197,0)))*parametros_manuales!$I$21*parametros_manuales!$J$21</f>
        <v>14051.9770632</v>
      </c>
      <c r="D193" s="9" t="n">
        <f aca="false">(parametros_manuales!$D$21*('Plan mensual'!F79+'Plan mensual'!F190+IF(parametros_manuales!$H$21="Todos",'Plan mensual'!F83+'Plan mensual'!F194,0))+parametros_manuales!$E$21*('Plan mensual'!F80+'Plan mensual'!F191+IF(parametros_manuales!$H$21="Todos",'Plan mensual'!F84+'Plan mensual'!F195,0))+parametros_manuales!$F$21*('Plan mensual'!F81+'Plan mensual'!F192+IF(parametros_manuales!$H$21="Todos",'Plan mensual'!F85+'Plan mensual'!F196,0))+parametros_manuales!$G$21*('Plan mensual'!F82+'Plan mensual'!F193+IF(parametros_manuales!$H$21="Todos",'Plan mensual'!F86+'Plan mensual'!F197,0)))*parametros_manuales!$I$21*parametros_manuales!$J$21</f>
        <v>12490.6462784</v>
      </c>
      <c r="E193" s="9" t="n">
        <f aca="false">(parametros_manuales!$D$21*('Plan mensual'!G79+'Plan mensual'!G190+IF(parametros_manuales!$H$21="Todos",'Plan mensual'!G83+'Plan mensual'!G194,0))+parametros_manuales!$E$21*('Plan mensual'!G80+'Plan mensual'!G191+IF(parametros_manuales!$H$21="Todos",'Plan mensual'!G84+'Plan mensual'!G195,0))+parametros_manuales!$F$21*('Plan mensual'!G81+'Plan mensual'!G192+IF(parametros_manuales!$H$21="Todos",'Plan mensual'!G85+'Plan mensual'!G196,0))+parametros_manuales!$G$21*('Plan mensual'!G82+'Plan mensual'!G193+IF(parametros_manuales!$H$21="Todos",'Plan mensual'!G86+'Plan mensual'!G197,0)))*parametros_manuales!$I$21*parametros_manuales!$J$21</f>
        <v>11709.980886</v>
      </c>
      <c r="F193" s="9" t="n">
        <f aca="false">(parametros_manuales!$D$21*('Plan mensual'!H79+'Plan mensual'!H190+IF(parametros_manuales!$H$21="Todos",'Plan mensual'!H83+'Plan mensual'!H194,0))+parametros_manuales!$E$21*('Plan mensual'!H80+'Plan mensual'!H191+IF(parametros_manuales!$H$21="Todos",'Plan mensual'!H84+'Plan mensual'!H195,0))+parametros_manuales!$F$21*('Plan mensual'!H81+'Plan mensual'!H192+IF(parametros_manuales!$H$21="Todos",'Plan mensual'!H85+'Plan mensual'!H196,0))+parametros_manuales!$G$21*('Plan mensual'!H82+'Plan mensual'!H193+IF(parametros_manuales!$H$21="Todos",'Plan mensual'!H86+'Plan mensual'!H197,0)))*parametros_manuales!$I$21*parametros_manuales!$J$21</f>
        <v>10929.3154936</v>
      </c>
      <c r="G193" s="9" t="n">
        <f aca="false">(parametros_manuales!$D$21*('Plan mensual'!I79+'Plan mensual'!I190+IF(parametros_manuales!$H$21="Todos",'Plan mensual'!I83+'Plan mensual'!I194,0))+parametros_manuales!$E$21*('Plan mensual'!I80+'Plan mensual'!I191+IF(parametros_manuales!$H$21="Todos",'Plan mensual'!I84+'Plan mensual'!I195,0))+parametros_manuales!$F$21*('Plan mensual'!I81+'Plan mensual'!I192+IF(parametros_manuales!$H$21="Todos",'Plan mensual'!I85+'Plan mensual'!I196,0))+parametros_manuales!$G$21*('Plan mensual'!I82+'Plan mensual'!I193+IF(parametros_manuales!$H$21="Todos",'Plan mensual'!I86+'Plan mensual'!I197,0)))*parametros_manuales!$I$21*parametros_manuales!$J$21</f>
        <v>10929.3154936</v>
      </c>
      <c r="H193" s="9" t="n">
        <f aca="false">(parametros_manuales!$D$21*('Plan mensual'!J79+'Plan mensual'!J190+IF(parametros_manuales!$H$21="Todos",'Plan mensual'!J83+'Plan mensual'!J194,0))+parametros_manuales!$E$21*('Plan mensual'!J80+'Plan mensual'!J191+IF(parametros_manuales!$H$21="Todos",'Plan mensual'!J84+'Plan mensual'!J195,0))+parametros_manuales!$F$21*('Plan mensual'!J81+'Plan mensual'!J192+IF(parametros_manuales!$H$21="Todos",'Plan mensual'!J85+'Plan mensual'!J196,0))+parametros_manuales!$G$21*('Plan mensual'!J82+'Plan mensual'!J193+IF(parametros_manuales!$H$21="Todos",'Plan mensual'!J86+'Plan mensual'!J197,0)))*parametros_manuales!$I$21*parametros_manuales!$J$21</f>
        <v>11709.980886</v>
      </c>
      <c r="I193" s="9" t="n">
        <f aca="false">(parametros_manuales!$D$21*('Plan mensual'!K79+'Plan mensual'!K190+IF(parametros_manuales!$H$21="Todos",'Plan mensual'!K83+'Plan mensual'!K194,0))+parametros_manuales!$E$21*('Plan mensual'!K80+'Plan mensual'!K191+IF(parametros_manuales!$H$21="Todos",'Plan mensual'!K84+'Plan mensual'!K195,0))+parametros_manuales!$F$21*('Plan mensual'!K81+'Plan mensual'!K192+IF(parametros_manuales!$H$21="Todos",'Plan mensual'!K85+'Plan mensual'!K196,0))+parametros_manuales!$G$21*('Plan mensual'!K82+'Plan mensual'!K193+IF(parametros_manuales!$H$21="Todos",'Plan mensual'!K86+'Plan mensual'!K197,0)))*parametros_manuales!$I$21*parametros_manuales!$J$21</f>
        <v>11709.980886</v>
      </c>
      <c r="J193" s="9" t="n">
        <f aca="false">(parametros_manuales!$D$21*('Plan mensual'!L79+'Plan mensual'!L190+IF(parametros_manuales!$H$21="Todos",'Plan mensual'!L83+'Plan mensual'!L194,0))+parametros_manuales!$E$21*('Plan mensual'!L80+'Plan mensual'!L191+IF(parametros_manuales!$H$21="Todos",'Plan mensual'!L84+'Plan mensual'!L195,0))+parametros_manuales!$F$21*('Plan mensual'!L81+'Plan mensual'!L192+IF(parametros_manuales!$H$21="Todos",'Plan mensual'!L85+'Plan mensual'!L196,0))+parametros_manuales!$G$21*('Plan mensual'!L82+'Plan mensual'!L193+IF(parametros_manuales!$H$21="Todos",'Plan mensual'!L86+'Plan mensual'!L197,0)))*parametros_manuales!$I$21*parametros_manuales!$J$21</f>
        <v>11709.980886</v>
      </c>
      <c r="K193" s="9" t="n">
        <f aca="false">(parametros_manuales!$D$21*('Plan mensual'!M79+'Plan mensual'!M190+IF(parametros_manuales!$H$21="Todos",'Plan mensual'!M83+'Plan mensual'!M194,0))+parametros_manuales!$E$21*('Plan mensual'!M80+'Plan mensual'!M191+IF(parametros_manuales!$H$21="Todos",'Plan mensual'!M84+'Plan mensual'!M195,0))+parametros_manuales!$F$21*('Plan mensual'!M81+'Plan mensual'!M192+IF(parametros_manuales!$H$21="Todos",'Plan mensual'!M85+'Plan mensual'!M196,0))+parametros_manuales!$G$21*('Plan mensual'!M82+'Plan mensual'!M193+IF(parametros_manuales!$H$21="Todos",'Plan mensual'!M86+'Plan mensual'!M197,0)))*parametros_manuales!$I$21*parametros_manuales!$J$21</f>
        <v>11709.980886</v>
      </c>
      <c r="L193" s="9" t="n">
        <f aca="false">(parametros_manuales!$D$21*('Plan mensual'!N79+'Plan mensual'!N190+IF(parametros_manuales!$H$21="Todos",'Plan mensual'!N83+'Plan mensual'!N194,0))+parametros_manuales!$E$21*('Plan mensual'!N80+'Plan mensual'!N191+IF(parametros_manuales!$H$21="Todos",'Plan mensual'!N84+'Plan mensual'!N195,0))+parametros_manuales!$F$21*('Plan mensual'!N81+'Plan mensual'!N192+IF(parametros_manuales!$H$21="Todos",'Plan mensual'!N85+'Plan mensual'!N196,0))+parametros_manuales!$G$21*('Plan mensual'!N82+'Plan mensual'!N193+IF(parametros_manuales!$H$21="Todos",'Plan mensual'!N86+'Plan mensual'!N197,0)))*parametros_manuales!$I$21*parametros_manuales!$J$21</f>
        <v>11709.980886</v>
      </c>
      <c r="M193" s="9" t="n">
        <f aca="false">(parametros_manuales!$D$21*('Plan mensual'!O79+'Plan mensual'!O190+IF(parametros_manuales!$H$21="Todos",'Plan mensual'!O83+'Plan mensual'!O194,0))+parametros_manuales!$E$21*('Plan mensual'!O80+'Plan mensual'!O191+IF(parametros_manuales!$H$21="Todos",'Plan mensual'!O84+'Plan mensual'!O195,0))+parametros_manuales!$F$21*('Plan mensual'!O81+'Plan mensual'!O192+IF(parametros_manuales!$H$21="Todos",'Plan mensual'!O85+'Plan mensual'!O196,0))+parametros_manuales!$G$21*('Plan mensual'!O82+'Plan mensual'!O193+IF(parametros_manuales!$H$21="Todos",'Plan mensual'!O86+'Plan mensual'!O197,0)))*parametros_manuales!$I$21*parametros_manuales!$J$21</f>
        <v>18735.9694176</v>
      </c>
      <c r="N193" s="9" t="n">
        <f aca="false">SUM(B193:M193)</f>
        <v>156133.07848</v>
      </c>
      <c r="O193" s="9" t="n">
        <f aca="false">MAX(B193:M193)</f>
        <v>18735.9694176</v>
      </c>
      <c r="P193" s="44" t="n">
        <f aca="false">O193/(parametros_manuales!$B$7)</f>
        <v>124.906462784</v>
      </c>
      <c r="Q193" s="8" t="str">
        <f aca="false">IF(O193=0,"-",INDEX($B$190:$M$190,MATCH(O193,B193:M193,0)))</f>
        <v>Ene</v>
      </c>
    </row>
    <row r="194" customFormat="false" ht="14.25" hidden="false" customHeight="true" outlineLevel="0" collapsed="false">
      <c r="A194" s="8" t="str">
        <f aca="false">parametros_manuales!$B$22</f>
        <v>Corte de disco y embutido (cúpula y fondo)</v>
      </c>
      <c r="B194" s="9" t="n">
        <f aca="false">(parametros_manuales!$D$22*('Plan mensual'!D79+'Plan mensual'!D190+IF(parametros_manuales!$H$22="Todos",'Plan mensual'!D83+'Plan mensual'!D194,0))+parametros_manuales!$E$22*('Plan mensual'!D80+'Plan mensual'!D191+IF(parametros_manuales!$H$22="Todos",'Plan mensual'!D84+'Plan mensual'!D195,0))+parametros_manuales!$F$22*('Plan mensual'!D81+'Plan mensual'!D192+IF(parametros_manuales!$H$22="Todos",'Plan mensual'!D85+'Plan mensual'!D196,0))+parametros_manuales!$G$22*('Plan mensual'!D82+'Plan mensual'!D193+IF(parametros_manuales!$H$22="Todos",'Plan mensual'!D86+'Plan mensual'!D197,0)))*parametros_manuales!$I$22*parametros_manuales!$J$22</f>
        <v>49875.030389</v>
      </c>
      <c r="C194" s="9" t="n">
        <f aca="false">(parametros_manuales!$D$22*('Plan mensual'!E79+'Plan mensual'!E190+IF(parametros_manuales!$H$22="Todos",'Plan mensual'!E83+'Plan mensual'!E194,0))+parametros_manuales!$E$22*('Plan mensual'!E80+'Plan mensual'!E191+IF(parametros_manuales!$H$22="Todos",'Plan mensual'!E84+'Plan mensual'!E195,0))+parametros_manuales!$F$22*('Plan mensual'!E81+'Plan mensual'!E192+IF(parametros_manuales!$H$22="Todos",'Plan mensual'!E85+'Plan mensual'!E196,0))+parametros_manuales!$G$22*('Plan mensual'!E82+'Plan mensual'!E193+IF(parametros_manuales!$H$22="Todos",'Plan mensual'!E86+'Plan mensual'!E197,0)))*parametros_manuales!$I$22*parametros_manuales!$J$22</f>
        <v>38026.42736944</v>
      </c>
      <c r="D194" s="9" t="n">
        <f aca="false">(parametros_manuales!$D$22*('Plan mensual'!F79+'Plan mensual'!F190+IF(parametros_manuales!$H$22="Todos",'Plan mensual'!F83+'Plan mensual'!F194,0))+parametros_manuales!$E$22*('Plan mensual'!F80+'Plan mensual'!F191+IF(parametros_manuales!$H$22="Todos",'Plan mensual'!F84+'Plan mensual'!F195,0))+parametros_manuales!$F$22*('Plan mensual'!F81+'Plan mensual'!F192+IF(parametros_manuales!$H$22="Todos",'Plan mensual'!F85+'Plan mensual'!F196,0))+parametros_manuales!$G$22*('Plan mensual'!F82+'Plan mensual'!F193+IF(parametros_manuales!$H$22="Todos",'Plan mensual'!F86+'Plan mensual'!F197,0)))*parametros_manuales!$I$22*parametros_manuales!$J$22</f>
        <v>35523.92037753</v>
      </c>
      <c r="E194" s="9" t="n">
        <f aca="false">(parametros_manuales!$D$22*('Plan mensual'!G79+'Plan mensual'!G190+IF(parametros_manuales!$H$22="Todos",'Plan mensual'!G83+'Plan mensual'!G194,0))+parametros_manuales!$E$22*('Plan mensual'!G80+'Plan mensual'!G191+IF(parametros_manuales!$H$22="Todos",'Plan mensual'!G84+'Plan mensual'!G195,0))+parametros_manuales!$F$22*('Plan mensual'!G81+'Plan mensual'!G192+IF(parametros_manuales!$H$22="Todos",'Plan mensual'!G85+'Plan mensual'!G196,0))+parametros_manuales!$G$22*('Plan mensual'!G82+'Plan mensual'!G193+IF(parametros_manuales!$H$22="Todos",'Plan mensual'!G86+'Plan mensual'!G197,0)))*parametros_manuales!$I$22*parametros_manuales!$J$22</f>
        <v>33962.58959273</v>
      </c>
      <c r="F194" s="9" t="n">
        <f aca="false">(parametros_manuales!$D$22*('Plan mensual'!H79+'Plan mensual'!H190+IF(parametros_manuales!$H$22="Todos",'Plan mensual'!H83+'Plan mensual'!H194,0))+parametros_manuales!$E$22*('Plan mensual'!H80+'Plan mensual'!H191+IF(parametros_manuales!$H$22="Todos",'Plan mensual'!H84+'Plan mensual'!H195,0))+parametros_manuales!$F$22*('Plan mensual'!H81+'Plan mensual'!H192+IF(parametros_manuales!$H$22="Todos",'Plan mensual'!H85+'Plan mensual'!H196,0))+parametros_manuales!$G$22*('Plan mensual'!H82+'Plan mensual'!H193+IF(parametros_manuales!$H$22="Todos",'Plan mensual'!H86+'Plan mensual'!H197,0)))*parametros_manuales!$I$22*parametros_manuales!$J$22</f>
        <v>31781.10423024</v>
      </c>
      <c r="G194" s="9" t="n">
        <f aca="false">(parametros_manuales!$D$22*('Plan mensual'!I79+'Plan mensual'!I190+IF(parametros_manuales!$H$22="Todos",'Plan mensual'!I83+'Plan mensual'!I194,0))+parametros_manuales!$E$22*('Plan mensual'!I80+'Plan mensual'!I191+IF(parametros_manuales!$H$22="Todos",'Plan mensual'!I84+'Plan mensual'!I195,0))+parametros_manuales!$F$22*('Plan mensual'!I81+'Plan mensual'!I192+IF(parametros_manuales!$H$22="Todos",'Plan mensual'!I85+'Plan mensual'!I196,0))+parametros_manuales!$G$22*('Plan mensual'!I82+'Plan mensual'!I193+IF(parametros_manuales!$H$22="Todos",'Plan mensual'!I86+'Plan mensual'!I197,0)))*parametros_manuales!$I$22*parametros_manuales!$J$22</f>
        <v>31160.94965255</v>
      </c>
      <c r="H194" s="9" t="n">
        <f aca="false">(parametros_manuales!$D$22*('Plan mensual'!J79+'Plan mensual'!J190+IF(parametros_manuales!$H$22="Todos",'Plan mensual'!J83+'Plan mensual'!J194,0))+parametros_manuales!$E$22*('Plan mensual'!J80+'Plan mensual'!J191+IF(parametros_manuales!$H$22="Todos",'Plan mensual'!J84+'Plan mensual'!J195,0))+parametros_manuales!$F$22*('Plan mensual'!J81+'Plan mensual'!J192+IF(parametros_manuales!$H$22="Todos",'Plan mensual'!J85+'Plan mensual'!J196,0))+parametros_manuales!$G$22*('Plan mensual'!J82+'Plan mensual'!J193+IF(parametros_manuales!$H$22="Todos",'Plan mensual'!J86+'Plan mensual'!J197,0)))*parametros_manuales!$I$22*parametros_manuales!$J$22</f>
        <v>33342.43501504</v>
      </c>
      <c r="I194" s="9" t="n">
        <f aca="false">(parametros_manuales!$D$22*('Plan mensual'!K79+'Plan mensual'!K190+IF(parametros_manuales!$H$22="Todos",'Plan mensual'!K83+'Plan mensual'!K194,0))+parametros_manuales!$E$22*('Plan mensual'!K80+'Plan mensual'!K191+IF(parametros_manuales!$H$22="Todos",'Plan mensual'!K84+'Plan mensual'!K195,0))+parametros_manuales!$F$22*('Plan mensual'!K81+'Plan mensual'!K192+IF(parametros_manuales!$H$22="Todos",'Plan mensual'!K85+'Plan mensual'!K196,0))+parametros_manuales!$G$22*('Plan mensual'!K82+'Plan mensual'!K193+IF(parametros_manuales!$H$22="Todos",'Plan mensual'!K86+'Plan mensual'!K197,0)))*parametros_manuales!$I$22*parametros_manuales!$J$22</f>
        <v>33342.43501504</v>
      </c>
      <c r="J194" s="9" t="n">
        <f aca="false">(parametros_manuales!$D$22*('Plan mensual'!L79+'Plan mensual'!L190+IF(parametros_manuales!$H$22="Todos",'Plan mensual'!L83+'Plan mensual'!L194,0))+parametros_manuales!$E$22*('Plan mensual'!L80+'Plan mensual'!L191+IF(parametros_manuales!$H$22="Todos",'Plan mensual'!L84+'Plan mensual'!L195,0))+parametros_manuales!$F$22*('Plan mensual'!L81+'Plan mensual'!L192+IF(parametros_manuales!$H$22="Todos",'Plan mensual'!L85+'Plan mensual'!L196,0))+parametros_manuales!$G$22*('Plan mensual'!L82+'Plan mensual'!L193+IF(parametros_manuales!$H$22="Todos",'Plan mensual'!L86+'Plan mensual'!L197,0)))*parametros_manuales!$I$22*parametros_manuales!$J$22</f>
        <v>33342.43501504</v>
      </c>
      <c r="K194" s="9" t="n">
        <f aca="false">(parametros_manuales!$D$22*('Plan mensual'!M79+'Plan mensual'!M190+IF(parametros_manuales!$H$22="Todos",'Plan mensual'!M83+'Plan mensual'!M194,0))+parametros_manuales!$E$22*('Plan mensual'!M80+'Plan mensual'!M191+IF(parametros_manuales!$H$22="Todos",'Plan mensual'!M84+'Plan mensual'!M195,0))+parametros_manuales!$F$22*('Plan mensual'!M81+'Plan mensual'!M192+IF(parametros_manuales!$H$22="Todos",'Plan mensual'!M85+'Plan mensual'!M196,0))+parametros_manuales!$G$22*('Plan mensual'!M82+'Plan mensual'!M193+IF(parametros_manuales!$H$22="Todos",'Plan mensual'!M86+'Plan mensual'!M197,0)))*parametros_manuales!$I$22*parametros_manuales!$J$22</f>
        <v>32722.28043735</v>
      </c>
      <c r="L194" s="9" t="n">
        <f aca="false">(parametros_manuales!$D$22*('Plan mensual'!N79+'Plan mensual'!N190+IF(parametros_manuales!$H$22="Todos",'Plan mensual'!N83+'Plan mensual'!N194,0))+parametros_manuales!$E$22*('Plan mensual'!N80+'Plan mensual'!N191+IF(parametros_manuales!$H$22="Todos",'Plan mensual'!N84+'Plan mensual'!N195,0))+parametros_manuales!$F$22*('Plan mensual'!N81+'Plan mensual'!N192+IF(parametros_manuales!$H$22="Todos",'Plan mensual'!N85+'Plan mensual'!N196,0))+parametros_manuales!$G$22*('Plan mensual'!N82+'Plan mensual'!N193+IF(parametros_manuales!$H$22="Todos",'Plan mensual'!N86+'Plan mensual'!N197,0)))*parametros_manuales!$I$22*parametros_manuales!$J$22</f>
        <v>32102.12585966</v>
      </c>
      <c r="M194" s="9" t="n">
        <f aca="false">(parametros_manuales!$D$22*('Plan mensual'!O79+'Plan mensual'!O190+IF(parametros_manuales!$H$22="Todos",'Plan mensual'!O83+'Plan mensual'!O194,0))+parametros_manuales!$E$22*('Plan mensual'!O80+'Plan mensual'!O191+IF(parametros_manuales!$H$22="Todos",'Plan mensual'!O84+'Plan mensual'!O195,0))+parametros_manuales!$F$22*('Plan mensual'!O81+'Plan mensual'!O192+IF(parametros_manuales!$H$22="Todos",'Plan mensual'!O85+'Plan mensual'!O196,0))+parametros_manuales!$G$22*('Plan mensual'!O82+'Plan mensual'!O193+IF(parametros_manuales!$H$22="Todos",'Plan mensual'!O86+'Plan mensual'!O197,0)))*parametros_manuales!$I$22*parametros_manuales!$J$22</f>
        <v>51115.33954438</v>
      </c>
      <c r="N194" s="9" t="n">
        <f aca="false">SUM(B194:M194)</f>
        <v>436297.072498</v>
      </c>
      <c r="O194" s="9" t="n">
        <f aca="false">MAX(B194:M194)</f>
        <v>51115.33954438</v>
      </c>
      <c r="P194" s="44" t="n">
        <f aca="false">O194/(parametros_manuales!$B$7)</f>
        <v>340.768930295867</v>
      </c>
      <c r="Q194" s="8" t="str">
        <f aca="false">IF(O194=0,"-",INDEX($B$190:$M$190,MATCH(O194,B194:M194,0)))</f>
        <v>Dic</v>
      </c>
    </row>
    <row r="195" customFormat="false" ht="14.25" hidden="false" customHeight="true" outlineLevel="0" collapsed="false">
      <c r="A195" s="8" t="str">
        <f aca="false">parametros_manuales!$B$23</f>
        <v>Preparación de cuello</v>
      </c>
      <c r="B195" s="9" t="n">
        <f aca="false">(parametros_manuales!$D$23*('Plan mensual'!D79+'Plan mensual'!D190+IF(parametros_manuales!$H$23="Todos",'Plan mensual'!D83+'Plan mensual'!D194,0))+parametros_manuales!$E$23*('Plan mensual'!D80+'Plan mensual'!D191+IF(parametros_manuales!$H$23="Todos",'Plan mensual'!D84+'Plan mensual'!D195,0))+parametros_manuales!$F$23*('Plan mensual'!D81+'Plan mensual'!D192+IF(parametros_manuales!$H$23="Todos",'Plan mensual'!D85+'Plan mensual'!D196,0))+parametros_manuales!$G$23*('Plan mensual'!D82+'Plan mensual'!D193+IF(parametros_manuales!$H$23="Todos",'Plan mensual'!D86+'Plan mensual'!D197,0)))*parametros_manuales!$I$23*parametros_manuales!$J$23</f>
        <v>24937.5151945</v>
      </c>
      <c r="C195" s="9" t="n">
        <f aca="false">(parametros_manuales!$D$23*('Plan mensual'!E79+'Plan mensual'!E190+IF(parametros_manuales!$H$23="Todos",'Plan mensual'!E83+'Plan mensual'!E194,0))+parametros_manuales!$E$23*('Plan mensual'!E80+'Plan mensual'!E191+IF(parametros_manuales!$H$23="Todos",'Plan mensual'!E84+'Plan mensual'!E195,0))+parametros_manuales!$F$23*('Plan mensual'!E81+'Plan mensual'!E192+IF(parametros_manuales!$H$23="Todos",'Plan mensual'!E85+'Plan mensual'!E196,0))+parametros_manuales!$G$23*('Plan mensual'!E82+'Plan mensual'!E193+IF(parametros_manuales!$H$23="Todos",'Plan mensual'!E86+'Plan mensual'!E197,0)))*parametros_manuales!$I$23*parametros_manuales!$J$23</f>
        <v>19013.21368472</v>
      </c>
      <c r="D195" s="9" t="n">
        <f aca="false">(parametros_manuales!$D$23*('Plan mensual'!F79+'Plan mensual'!F190+IF(parametros_manuales!$H$23="Todos",'Plan mensual'!F83+'Plan mensual'!F194,0))+parametros_manuales!$E$23*('Plan mensual'!F80+'Plan mensual'!F191+IF(parametros_manuales!$H$23="Todos",'Plan mensual'!F84+'Plan mensual'!F195,0))+parametros_manuales!$F$23*('Plan mensual'!F81+'Plan mensual'!F192+IF(parametros_manuales!$H$23="Todos",'Plan mensual'!F85+'Plan mensual'!F196,0))+parametros_manuales!$G$23*('Plan mensual'!F82+'Plan mensual'!F193+IF(parametros_manuales!$H$23="Todos",'Plan mensual'!F86+'Plan mensual'!F197,0)))*parametros_manuales!$I$23*parametros_manuales!$J$23</f>
        <v>17761.960188765</v>
      </c>
      <c r="E195" s="9" t="n">
        <f aca="false">(parametros_manuales!$D$23*('Plan mensual'!G79+'Plan mensual'!G190+IF(parametros_manuales!$H$23="Todos",'Plan mensual'!G83+'Plan mensual'!G194,0))+parametros_manuales!$E$23*('Plan mensual'!G80+'Plan mensual'!G191+IF(parametros_manuales!$H$23="Todos",'Plan mensual'!G84+'Plan mensual'!G195,0))+parametros_manuales!$F$23*('Plan mensual'!G81+'Plan mensual'!G192+IF(parametros_manuales!$H$23="Todos",'Plan mensual'!G85+'Plan mensual'!G196,0))+parametros_manuales!$G$23*('Plan mensual'!G82+'Plan mensual'!G193+IF(parametros_manuales!$H$23="Todos",'Plan mensual'!G86+'Plan mensual'!G197,0)))*parametros_manuales!$I$23*parametros_manuales!$J$23</f>
        <v>16981.294796365</v>
      </c>
      <c r="F195" s="9" t="n">
        <f aca="false">(parametros_manuales!$D$23*('Plan mensual'!H79+'Plan mensual'!H190+IF(parametros_manuales!$H$23="Todos",'Plan mensual'!H83+'Plan mensual'!H194,0))+parametros_manuales!$E$23*('Plan mensual'!H80+'Plan mensual'!H191+IF(parametros_manuales!$H$23="Todos",'Plan mensual'!H84+'Plan mensual'!H195,0))+parametros_manuales!$F$23*('Plan mensual'!H81+'Plan mensual'!H192+IF(parametros_manuales!$H$23="Todos",'Plan mensual'!H85+'Plan mensual'!H196,0))+parametros_manuales!$G$23*('Plan mensual'!H82+'Plan mensual'!H193+IF(parametros_manuales!$H$23="Todos",'Plan mensual'!H86+'Plan mensual'!H197,0)))*parametros_manuales!$I$23*parametros_manuales!$J$23</f>
        <v>15890.55211512</v>
      </c>
      <c r="G195" s="9" t="n">
        <f aca="false">(parametros_manuales!$D$23*('Plan mensual'!I79+'Plan mensual'!I190+IF(parametros_manuales!$H$23="Todos",'Plan mensual'!I83+'Plan mensual'!I194,0))+parametros_manuales!$E$23*('Plan mensual'!I80+'Plan mensual'!I191+IF(parametros_manuales!$H$23="Todos",'Plan mensual'!I84+'Plan mensual'!I195,0))+parametros_manuales!$F$23*('Plan mensual'!I81+'Plan mensual'!I192+IF(parametros_manuales!$H$23="Todos",'Plan mensual'!I85+'Plan mensual'!I196,0))+parametros_manuales!$G$23*('Plan mensual'!I82+'Plan mensual'!I193+IF(parametros_manuales!$H$23="Todos",'Plan mensual'!I86+'Plan mensual'!I197,0)))*parametros_manuales!$I$23*parametros_manuales!$J$23</f>
        <v>15580.474826275</v>
      </c>
      <c r="H195" s="9" t="n">
        <f aca="false">(parametros_manuales!$D$23*('Plan mensual'!J79+'Plan mensual'!J190+IF(parametros_manuales!$H$23="Todos",'Plan mensual'!J83+'Plan mensual'!J194,0))+parametros_manuales!$E$23*('Plan mensual'!J80+'Plan mensual'!J191+IF(parametros_manuales!$H$23="Todos",'Plan mensual'!J84+'Plan mensual'!J195,0))+parametros_manuales!$F$23*('Plan mensual'!J81+'Plan mensual'!J192+IF(parametros_manuales!$H$23="Todos",'Plan mensual'!J85+'Plan mensual'!J196,0))+parametros_manuales!$G$23*('Plan mensual'!J82+'Plan mensual'!J193+IF(parametros_manuales!$H$23="Todos",'Plan mensual'!J86+'Plan mensual'!J197,0)))*parametros_manuales!$I$23*parametros_manuales!$J$23</f>
        <v>16671.21750752</v>
      </c>
      <c r="I195" s="9" t="n">
        <f aca="false">(parametros_manuales!$D$23*('Plan mensual'!K79+'Plan mensual'!K190+IF(parametros_manuales!$H$23="Todos",'Plan mensual'!K83+'Plan mensual'!K194,0))+parametros_manuales!$E$23*('Plan mensual'!K80+'Plan mensual'!K191+IF(parametros_manuales!$H$23="Todos",'Plan mensual'!K84+'Plan mensual'!K195,0))+parametros_manuales!$F$23*('Plan mensual'!K81+'Plan mensual'!K192+IF(parametros_manuales!$H$23="Todos",'Plan mensual'!K85+'Plan mensual'!K196,0))+parametros_manuales!$G$23*('Plan mensual'!K82+'Plan mensual'!K193+IF(parametros_manuales!$H$23="Todos",'Plan mensual'!K86+'Plan mensual'!K197,0)))*parametros_manuales!$I$23*parametros_manuales!$J$23</f>
        <v>16671.21750752</v>
      </c>
      <c r="J195" s="9" t="n">
        <f aca="false">(parametros_manuales!$D$23*('Plan mensual'!L79+'Plan mensual'!L190+IF(parametros_manuales!$H$23="Todos",'Plan mensual'!L83+'Plan mensual'!L194,0))+parametros_manuales!$E$23*('Plan mensual'!L80+'Plan mensual'!L191+IF(parametros_manuales!$H$23="Todos",'Plan mensual'!L84+'Plan mensual'!L195,0))+parametros_manuales!$F$23*('Plan mensual'!L81+'Plan mensual'!L192+IF(parametros_manuales!$H$23="Todos",'Plan mensual'!L85+'Plan mensual'!L196,0))+parametros_manuales!$G$23*('Plan mensual'!L82+'Plan mensual'!L193+IF(parametros_manuales!$H$23="Todos",'Plan mensual'!L86+'Plan mensual'!L197,0)))*parametros_manuales!$I$23*parametros_manuales!$J$23</f>
        <v>16671.21750752</v>
      </c>
      <c r="K195" s="9" t="n">
        <f aca="false">(parametros_manuales!$D$23*('Plan mensual'!M79+'Plan mensual'!M190+IF(parametros_manuales!$H$23="Todos",'Plan mensual'!M83+'Plan mensual'!M194,0))+parametros_manuales!$E$23*('Plan mensual'!M80+'Plan mensual'!M191+IF(parametros_manuales!$H$23="Todos",'Plan mensual'!M84+'Plan mensual'!M195,0))+parametros_manuales!$F$23*('Plan mensual'!M81+'Plan mensual'!M192+IF(parametros_manuales!$H$23="Todos",'Plan mensual'!M85+'Plan mensual'!M196,0))+parametros_manuales!$G$23*('Plan mensual'!M82+'Plan mensual'!M193+IF(parametros_manuales!$H$23="Todos",'Plan mensual'!M86+'Plan mensual'!M197,0)))*parametros_manuales!$I$23*parametros_manuales!$J$23</f>
        <v>16361.140218675</v>
      </c>
      <c r="L195" s="9" t="n">
        <f aca="false">(parametros_manuales!$D$23*('Plan mensual'!N79+'Plan mensual'!N190+IF(parametros_manuales!$H$23="Todos",'Plan mensual'!N83+'Plan mensual'!N194,0))+parametros_manuales!$E$23*('Plan mensual'!N80+'Plan mensual'!N191+IF(parametros_manuales!$H$23="Todos",'Plan mensual'!N84+'Plan mensual'!N195,0))+parametros_manuales!$F$23*('Plan mensual'!N81+'Plan mensual'!N192+IF(parametros_manuales!$H$23="Todos",'Plan mensual'!N85+'Plan mensual'!N196,0))+parametros_manuales!$G$23*('Plan mensual'!N82+'Plan mensual'!N193+IF(parametros_manuales!$H$23="Todos",'Plan mensual'!N86+'Plan mensual'!N197,0)))*parametros_manuales!$I$23*parametros_manuales!$J$23</f>
        <v>16051.06292983</v>
      </c>
      <c r="M195" s="9" t="n">
        <f aca="false">(parametros_manuales!$D$23*('Plan mensual'!O79+'Plan mensual'!O190+IF(parametros_manuales!$H$23="Todos",'Plan mensual'!O83+'Plan mensual'!O194,0))+parametros_manuales!$E$23*('Plan mensual'!O80+'Plan mensual'!O191+IF(parametros_manuales!$H$23="Todos",'Plan mensual'!O84+'Plan mensual'!O195,0))+parametros_manuales!$F$23*('Plan mensual'!O81+'Plan mensual'!O192+IF(parametros_manuales!$H$23="Todos",'Plan mensual'!O85+'Plan mensual'!O196,0))+parametros_manuales!$G$23*('Plan mensual'!O82+'Plan mensual'!O193+IF(parametros_manuales!$H$23="Todos",'Plan mensual'!O86+'Plan mensual'!O197,0)))*parametros_manuales!$I$23*parametros_manuales!$J$23</f>
        <v>25557.66977219</v>
      </c>
      <c r="N195" s="9" t="n">
        <f aca="false">SUM(B195:M195)</f>
        <v>218148.536249</v>
      </c>
      <c r="O195" s="9" t="n">
        <f aca="false">MAX(B195:M195)</f>
        <v>25557.66977219</v>
      </c>
      <c r="P195" s="44" t="n">
        <f aca="false">O195/(parametros_manuales!$B$7)</f>
        <v>170.384465147933</v>
      </c>
      <c r="Q195" s="8" t="str">
        <f aca="false">IF(O195=0,"-",INDEX($B$190:$M$190,MATCH(O195,B195:M195,0)))</f>
        <v>Dic</v>
      </c>
    </row>
    <row r="196" customFormat="false" ht="14.25" hidden="false" customHeight="true" outlineLevel="0" collapsed="false">
      <c r="A196" s="8" t="str">
        <f aca="false">parametros_manuales!$B$24</f>
        <v>Numerado de cúpula</v>
      </c>
      <c r="B196" s="9" t="n">
        <f aca="false">(parametros_manuales!$D$24*('Plan mensual'!D79+'Plan mensual'!D190+IF(parametros_manuales!$H$24="Todos",'Plan mensual'!D83+'Plan mensual'!D194,0))+parametros_manuales!$E$24*('Plan mensual'!D80+'Plan mensual'!D191+IF(parametros_manuales!$H$24="Todos",'Plan mensual'!D84+'Plan mensual'!D195,0))+parametros_manuales!$F$24*('Plan mensual'!D81+'Plan mensual'!D192+IF(parametros_manuales!$H$24="Todos",'Plan mensual'!D85+'Plan mensual'!D196,0))+parametros_manuales!$G$24*('Plan mensual'!D82+'Plan mensual'!D193+IF(parametros_manuales!$H$24="Todos",'Plan mensual'!D86+'Plan mensual'!D197,0)))*parametros_manuales!$I$24*parametros_manuales!$J$24</f>
        <v>24937.5151945</v>
      </c>
      <c r="C196" s="9" t="n">
        <f aca="false">(parametros_manuales!$D$24*('Plan mensual'!E79+'Plan mensual'!E190+IF(parametros_manuales!$H$24="Todos",'Plan mensual'!E83+'Plan mensual'!E194,0))+parametros_manuales!$E$24*('Plan mensual'!E80+'Plan mensual'!E191+IF(parametros_manuales!$H$24="Todos",'Plan mensual'!E84+'Plan mensual'!E195,0))+parametros_manuales!$F$24*('Plan mensual'!E81+'Plan mensual'!E192+IF(parametros_manuales!$H$24="Todos",'Plan mensual'!E85+'Plan mensual'!E196,0))+parametros_manuales!$G$24*('Plan mensual'!E82+'Plan mensual'!E193+IF(parametros_manuales!$H$24="Todos",'Plan mensual'!E86+'Plan mensual'!E197,0)))*parametros_manuales!$I$24*parametros_manuales!$J$24</f>
        <v>19013.21368472</v>
      </c>
      <c r="D196" s="9" t="n">
        <f aca="false">(parametros_manuales!$D$24*('Plan mensual'!F79+'Plan mensual'!F190+IF(parametros_manuales!$H$24="Todos",'Plan mensual'!F83+'Plan mensual'!F194,0))+parametros_manuales!$E$24*('Plan mensual'!F80+'Plan mensual'!F191+IF(parametros_manuales!$H$24="Todos",'Plan mensual'!F84+'Plan mensual'!F195,0))+parametros_manuales!$F$24*('Plan mensual'!F81+'Plan mensual'!F192+IF(parametros_manuales!$H$24="Todos",'Plan mensual'!F85+'Plan mensual'!F196,0))+parametros_manuales!$G$24*('Plan mensual'!F82+'Plan mensual'!F193+IF(parametros_manuales!$H$24="Todos",'Plan mensual'!F86+'Plan mensual'!F197,0)))*parametros_manuales!$I$24*parametros_manuales!$J$24</f>
        <v>17761.960188765</v>
      </c>
      <c r="E196" s="9" t="n">
        <f aca="false">(parametros_manuales!$D$24*('Plan mensual'!G79+'Plan mensual'!G190+IF(parametros_manuales!$H$24="Todos",'Plan mensual'!G83+'Plan mensual'!G194,0))+parametros_manuales!$E$24*('Plan mensual'!G80+'Plan mensual'!G191+IF(parametros_manuales!$H$24="Todos",'Plan mensual'!G84+'Plan mensual'!G195,0))+parametros_manuales!$F$24*('Plan mensual'!G81+'Plan mensual'!G192+IF(parametros_manuales!$H$24="Todos",'Plan mensual'!G85+'Plan mensual'!G196,0))+parametros_manuales!$G$24*('Plan mensual'!G82+'Plan mensual'!G193+IF(parametros_manuales!$H$24="Todos",'Plan mensual'!G86+'Plan mensual'!G197,0)))*parametros_manuales!$I$24*parametros_manuales!$J$24</f>
        <v>16981.294796365</v>
      </c>
      <c r="F196" s="9" t="n">
        <f aca="false">(parametros_manuales!$D$24*('Plan mensual'!H79+'Plan mensual'!H190+IF(parametros_manuales!$H$24="Todos",'Plan mensual'!H83+'Plan mensual'!H194,0))+parametros_manuales!$E$24*('Plan mensual'!H80+'Plan mensual'!H191+IF(parametros_manuales!$H$24="Todos",'Plan mensual'!H84+'Plan mensual'!H195,0))+parametros_manuales!$F$24*('Plan mensual'!H81+'Plan mensual'!H192+IF(parametros_manuales!$H$24="Todos",'Plan mensual'!H85+'Plan mensual'!H196,0))+parametros_manuales!$G$24*('Plan mensual'!H82+'Plan mensual'!H193+IF(parametros_manuales!$H$24="Todos",'Plan mensual'!H86+'Plan mensual'!H197,0)))*parametros_manuales!$I$24*parametros_manuales!$J$24</f>
        <v>15890.55211512</v>
      </c>
      <c r="G196" s="9" t="n">
        <f aca="false">(parametros_manuales!$D$24*('Plan mensual'!I79+'Plan mensual'!I190+IF(parametros_manuales!$H$24="Todos",'Plan mensual'!I83+'Plan mensual'!I194,0))+parametros_manuales!$E$24*('Plan mensual'!I80+'Plan mensual'!I191+IF(parametros_manuales!$H$24="Todos",'Plan mensual'!I84+'Plan mensual'!I195,0))+parametros_manuales!$F$24*('Plan mensual'!I81+'Plan mensual'!I192+IF(parametros_manuales!$H$24="Todos",'Plan mensual'!I85+'Plan mensual'!I196,0))+parametros_manuales!$G$24*('Plan mensual'!I82+'Plan mensual'!I193+IF(parametros_manuales!$H$24="Todos",'Plan mensual'!I86+'Plan mensual'!I197,0)))*parametros_manuales!$I$24*parametros_manuales!$J$24</f>
        <v>15580.474826275</v>
      </c>
      <c r="H196" s="9" t="n">
        <f aca="false">(parametros_manuales!$D$24*('Plan mensual'!J79+'Plan mensual'!J190+IF(parametros_manuales!$H$24="Todos",'Plan mensual'!J83+'Plan mensual'!J194,0))+parametros_manuales!$E$24*('Plan mensual'!J80+'Plan mensual'!J191+IF(parametros_manuales!$H$24="Todos",'Plan mensual'!J84+'Plan mensual'!J195,0))+parametros_manuales!$F$24*('Plan mensual'!J81+'Plan mensual'!J192+IF(parametros_manuales!$H$24="Todos",'Plan mensual'!J85+'Plan mensual'!J196,0))+parametros_manuales!$G$24*('Plan mensual'!J82+'Plan mensual'!J193+IF(parametros_manuales!$H$24="Todos",'Plan mensual'!J86+'Plan mensual'!J197,0)))*parametros_manuales!$I$24*parametros_manuales!$J$24</f>
        <v>16671.21750752</v>
      </c>
      <c r="I196" s="9" t="n">
        <f aca="false">(parametros_manuales!$D$24*('Plan mensual'!K79+'Plan mensual'!K190+IF(parametros_manuales!$H$24="Todos",'Plan mensual'!K83+'Plan mensual'!K194,0))+parametros_manuales!$E$24*('Plan mensual'!K80+'Plan mensual'!K191+IF(parametros_manuales!$H$24="Todos",'Plan mensual'!K84+'Plan mensual'!K195,0))+parametros_manuales!$F$24*('Plan mensual'!K81+'Plan mensual'!K192+IF(parametros_manuales!$H$24="Todos",'Plan mensual'!K85+'Plan mensual'!K196,0))+parametros_manuales!$G$24*('Plan mensual'!K82+'Plan mensual'!K193+IF(parametros_manuales!$H$24="Todos",'Plan mensual'!K86+'Plan mensual'!K197,0)))*parametros_manuales!$I$24*parametros_manuales!$J$24</f>
        <v>16671.21750752</v>
      </c>
      <c r="J196" s="9" t="n">
        <f aca="false">(parametros_manuales!$D$24*('Plan mensual'!L79+'Plan mensual'!L190+IF(parametros_manuales!$H$24="Todos",'Plan mensual'!L83+'Plan mensual'!L194,0))+parametros_manuales!$E$24*('Plan mensual'!L80+'Plan mensual'!L191+IF(parametros_manuales!$H$24="Todos",'Plan mensual'!L84+'Plan mensual'!L195,0))+parametros_manuales!$F$24*('Plan mensual'!L81+'Plan mensual'!L192+IF(parametros_manuales!$H$24="Todos",'Plan mensual'!L85+'Plan mensual'!L196,0))+parametros_manuales!$G$24*('Plan mensual'!L82+'Plan mensual'!L193+IF(parametros_manuales!$H$24="Todos",'Plan mensual'!L86+'Plan mensual'!L197,0)))*parametros_manuales!$I$24*parametros_manuales!$J$24</f>
        <v>16671.21750752</v>
      </c>
      <c r="K196" s="9" t="n">
        <f aca="false">(parametros_manuales!$D$24*('Plan mensual'!M79+'Plan mensual'!M190+IF(parametros_manuales!$H$24="Todos",'Plan mensual'!M83+'Plan mensual'!M194,0))+parametros_manuales!$E$24*('Plan mensual'!M80+'Plan mensual'!M191+IF(parametros_manuales!$H$24="Todos",'Plan mensual'!M84+'Plan mensual'!M195,0))+parametros_manuales!$F$24*('Plan mensual'!M81+'Plan mensual'!M192+IF(parametros_manuales!$H$24="Todos",'Plan mensual'!M85+'Plan mensual'!M196,0))+parametros_manuales!$G$24*('Plan mensual'!M82+'Plan mensual'!M193+IF(parametros_manuales!$H$24="Todos",'Plan mensual'!M86+'Plan mensual'!M197,0)))*parametros_manuales!$I$24*parametros_manuales!$J$24</f>
        <v>16361.140218675</v>
      </c>
      <c r="L196" s="9" t="n">
        <f aca="false">(parametros_manuales!$D$24*('Plan mensual'!N79+'Plan mensual'!N190+IF(parametros_manuales!$H$24="Todos",'Plan mensual'!N83+'Plan mensual'!N194,0))+parametros_manuales!$E$24*('Plan mensual'!N80+'Plan mensual'!N191+IF(parametros_manuales!$H$24="Todos",'Plan mensual'!N84+'Plan mensual'!N195,0))+parametros_manuales!$F$24*('Plan mensual'!N81+'Plan mensual'!N192+IF(parametros_manuales!$H$24="Todos",'Plan mensual'!N85+'Plan mensual'!N196,0))+parametros_manuales!$G$24*('Plan mensual'!N82+'Plan mensual'!N193+IF(parametros_manuales!$H$24="Todos",'Plan mensual'!N86+'Plan mensual'!N197,0)))*parametros_manuales!$I$24*parametros_manuales!$J$24</f>
        <v>16051.06292983</v>
      </c>
      <c r="M196" s="9" t="n">
        <f aca="false">(parametros_manuales!$D$24*('Plan mensual'!O79+'Plan mensual'!O190+IF(parametros_manuales!$H$24="Todos",'Plan mensual'!O83+'Plan mensual'!O194,0))+parametros_manuales!$E$24*('Plan mensual'!O80+'Plan mensual'!O191+IF(parametros_manuales!$H$24="Todos",'Plan mensual'!O84+'Plan mensual'!O195,0))+parametros_manuales!$F$24*('Plan mensual'!O81+'Plan mensual'!O192+IF(parametros_manuales!$H$24="Todos",'Plan mensual'!O85+'Plan mensual'!O196,0))+parametros_manuales!$G$24*('Plan mensual'!O82+'Plan mensual'!O193+IF(parametros_manuales!$H$24="Todos",'Plan mensual'!O86+'Plan mensual'!O197,0)))*parametros_manuales!$I$24*parametros_manuales!$J$24</f>
        <v>25557.66977219</v>
      </c>
      <c r="N196" s="9" t="n">
        <f aca="false">SUM(B196:M196)</f>
        <v>218148.536249</v>
      </c>
      <c r="O196" s="9" t="n">
        <f aca="false">MAX(B196:M196)</f>
        <v>25557.66977219</v>
      </c>
      <c r="P196" s="44" t="n">
        <f aca="false">O196/(parametros_manuales!$B$7)</f>
        <v>170.384465147933</v>
      </c>
      <c r="Q196" s="8" t="str">
        <f aca="false">IF(O196=0,"-",INDEX($B$190:$M$190,MATCH(O196,B196:M196,0)))</f>
        <v>Dic</v>
      </c>
    </row>
    <row r="197" customFormat="false" ht="14.25" hidden="false" customHeight="true" outlineLevel="0" collapsed="false">
      <c r="A197" s="8" t="str">
        <f aca="false">parametros_manuales!$B$25</f>
        <v>Soldadura del cuello a la cúpula</v>
      </c>
      <c r="B197" s="9" t="n">
        <f aca="false">(parametros_manuales!$D$25*('Plan mensual'!D79+'Plan mensual'!D190+IF(parametros_manuales!$H$25="Todos",'Plan mensual'!D83+'Plan mensual'!D194,0))+parametros_manuales!$E$25*('Plan mensual'!D80+'Plan mensual'!D191+IF(parametros_manuales!$H$25="Todos",'Plan mensual'!D84+'Plan mensual'!D195,0))+parametros_manuales!$F$25*('Plan mensual'!D81+'Plan mensual'!D192+IF(parametros_manuales!$H$25="Todos",'Plan mensual'!D85+'Plan mensual'!D196,0))+parametros_manuales!$G$25*('Plan mensual'!D82+'Plan mensual'!D193+IF(parametros_manuales!$H$25="Todos",'Plan mensual'!D86+'Plan mensual'!D197,0)))*parametros_manuales!$I$25*parametros_manuales!$J$25</f>
        <v>24937.5151945</v>
      </c>
      <c r="C197" s="9" t="n">
        <f aca="false">(parametros_manuales!$D$25*('Plan mensual'!E79+'Plan mensual'!E190+IF(parametros_manuales!$H$25="Todos",'Plan mensual'!E83+'Plan mensual'!E194,0))+parametros_manuales!$E$25*('Plan mensual'!E80+'Plan mensual'!E191+IF(parametros_manuales!$H$25="Todos",'Plan mensual'!E84+'Plan mensual'!E195,0))+parametros_manuales!$F$25*('Plan mensual'!E81+'Plan mensual'!E192+IF(parametros_manuales!$H$25="Todos",'Plan mensual'!E85+'Plan mensual'!E196,0))+parametros_manuales!$G$25*('Plan mensual'!E82+'Plan mensual'!E193+IF(parametros_manuales!$H$25="Todos",'Plan mensual'!E86+'Plan mensual'!E197,0)))*parametros_manuales!$I$25*parametros_manuales!$J$25</f>
        <v>19013.21368472</v>
      </c>
      <c r="D197" s="9" t="n">
        <f aca="false">(parametros_manuales!$D$25*('Plan mensual'!F79+'Plan mensual'!F190+IF(parametros_manuales!$H$25="Todos",'Plan mensual'!F83+'Plan mensual'!F194,0))+parametros_manuales!$E$25*('Plan mensual'!F80+'Plan mensual'!F191+IF(parametros_manuales!$H$25="Todos",'Plan mensual'!F84+'Plan mensual'!F195,0))+parametros_manuales!$F$25*('Plan mensual'!F81+'Plan mensual'!F192+IF(parametros_manuales!$H$25="Todos",'Plan mensual'!F85+'Plan mensual'!F196,0))+parametros_manuales!$G$25*('Plan mensual'!F82+'Plan mensual'!F193+IF(parametros_manuales!$H$25="Todos",'Plan mensual'!F86+'Plan mensual'!F197,0)))*parametros_manuales!$I$25*parametros_manuales!$J$25</f>
        <v>17761.960188765</v>
      </c>
      <c r="E197" s="9" t="n">
        <f aca="false">(parametros_manuales!$D$25*('Plan mensual'!G79+'Plan mensual'!G190+IF(parametros_manuales!$H$25="Todos",'Plan mensual'!G83+'Plan mensual'!G194,0))+parametros_manuales!$E$25*('Plan mensual'!G80+'Plan mensual'!G191+IF(parametros_manuales!$H$25="Todos",'Plan mensual'!G84+'Plan mensual'!G195,0))+parametros_manuales!$F$25*('Plan mensual'!G81+'Plan mensual'!G192+IF(parametros_manuales!$H$25="Todos",'Plan mensual'!G85+'Plan mensual'!G196,0))+parametros_manuales!$G$25*('Plan mensual'!G82+'Plan mensual'!G193+IF(parametros_manuales!$H$25="Todos",'Plan mensual'!G86+'Plan mensual'!G197,0)))*parametros_manuales!$I$25*parametros_manuales!$J$25</f>
        <v>16981.294796365</v>
      </c>
      <c r="F197" s="9" t="n">
        <f aca="false">(parametros_manuales!$D$25*('Plan mensual'!H79+'Plan mensual'!H190+IF(parametros_manuales!$H$25="Todos",'Plan mensual'!H83+'Plan mensual'!H194,0))+parametros_manuales!$E$25*('Plan mensual'!H80+'Plan mensual'!H191+IF(parametros_manuales!$H$25="Todos",'Plan mensual'!H84+'Plan mensual'!H195,0))+parametros_manuales!$F$25*('Plan mensual'!H81+'Plan mensual'!H192+IF(parametros_manuales!$H$25="Todos",'Plan mensual'!H85+'Plan mensual'!H196,0))+parametros_manuales!$G$25*('Plan mensual'!H82+'Plan mensual'!H193+IF(parametros_manuales!$H$25="Todos",'Plan mensual'!H86+'Plan mensual'!H197,0)))*parametros_manuales!$I$25*parametros_manuales!$J$25</f>
        <v>15890.55211512</v>
      </c>
      <c r="G197" s="9" t="n">
        <f aca="false">(parametros_manuales!$D$25*('Plan mensual'!I79+'Plan mensual'!I190+IF(parametros_manuales!$H$25="Todos",'Plan mensual'!I83+'Plan mensual'!I194,0))+parametros_manuales!$E$25*('Plan mensual'!I80+'Plan mensual'!I191+IF(parametros_manuales!$H$25="Todos",'Plan mensual'!I84+'Plan mensual'!I195,0))+parametros_manuales!$F$25*('Plan mensual'!I81+'Plan mensual'!I192+IF(parametros_manuales!$H$25="Todos",'Plan mensual'!I85+'Plan mensual'!I196,0))+parametros_manuales!$G$25*('Plan mensual'!I82+'Plan mensual'!I193+IF(parametros_manuales!$H$25="Todos",'Plan mensual'!I86+'Plan mensual'!I197,0)))*parametros_manuales!$I$25*parametros_manuales!$J$25</f>
        <v>15580.474826275</v>
      </c>
      <c r="H197" s="9" t="n">
        <f aca="false">(parametros_manuales!$D$25*('Plan mensual'!J79+'Plan mensual'!J190+IF(parametros_manuales!$H$25="Todos",'Plan mensual'!J83+'Plan mensual'!J194,0))+parametros_manuales!$E$25*('Plan mensual'!J80+'Plan mensual'!J191+IF(parametros_manuales!$H$25="Todos",'Plan mensual'!J84+'Plan mensual'!J195,0))+parametros_manuales!$F$25*('Plan mensual'!J81+'Plan mensual'!J192+IF(parametros_manuales!$H$25="Todos",'Plan mensual'!J85+'Plan mensual'!J196,0))+parametros_manuales!$G$25*('Plan mensual'!J82+'Plan mensual'!J193+IF(parametros_manuales!$H$25="Todos",'Plan mensual'!J86+'Plan mensual'!J197,0)))*parametros_manuales!$I$25*parametros_manuales!$J$25</f>
        <v>16671.21750752</v>
      </c>
      <c r="I197" s="9" t="n">
        <f aca="false">(parametros_manuales!$D$25*('Plan mensual'!K79+'Plan mensual'!K190+IF(parametros_manuales!$H$25="Todos",'Plan mensual'!K83+'Plan mensual'!K194,0))+parametros_manuales!$E$25*('Plan mensual'!K80+'Plan mensual'!K191+IF(parametros_manuales!$H$25="Todos",'Plan mensual'!K84+'Plan mensual'!K195,0))+parametros_manuales!$F$25*('Plan mensual'!K81+'Plan mensual'!K192+IF(parametros_manuales!$H$25="Todos",'Plan mensual'!K85+'Plan mensual'!K196,0))+parametros_manuales!$G$25*('Plan mensual'!K82+'Plan mensual'!K193+IF(parametros_manuales!$H$25="Todos",'Plan mensual'!K86+'Plan mensual'!K197,0)))*parametros_manuales!$I$25*parametros_manuales!$J$25</f>
        <v>16671.21750752</v>
      </c>
      <c r="J197" s="9" t="n">
        <f aca="false">(parametros_manuales!$D$25*('Plan mensual'!L79+'Plan mensual'!L190+IF(parametros_manuales!$H$25="Todos",'Plan mensual'!L83+'Plan mensual'!L194,0))+parametros_manuales!$E$25*('Plan mensual'!L80+'Plan mensual'!L191+IF(parametros_manuales!$H$25="Todos",'Plan mensual'!L84+'Plan mensual'!L195,0))+parametros_manuales!$F$25*('Plan mensual'!L81+'Plan mensual'!L192+IF(parametros_manuales!$H$25="Todos",'Plan mensual'!L85+'Plan mensual'!L196,0))+parametros_manuales!$G$25*('Plan mensual'!L82+'Plan mensual'!L193+IF(parametros_manuales!$H$25="Todos",'Plan mensual'!L86+'Plan mensual'!L197,0)))*parametros_manuales!$I$25*parametros_manuales!$J$25</f>
        <v>16671.21750752</v>
      </c>
      <c r="K197" s="9" t="n">
        <f aca="false">(parametros_manuales!$D$25*('Plan mensual'!M79+'Plan mensual'!M190+IF(parametros_manuales!$H$25="Todos",'Plan mensual'!M83+'Plan mensual'!M194,0))+parametros_manuales!$E$25*('Plan mensual'!M80+'Plan mensual'!M191+IF(parametros_manuales!$H$25="Todos",'Plan mensual'!M84+'Plan mensual'!M195,0))+parametros_manuales!$F$25*('Plan mensual'!M81+'Plan mensual'!M192+IF(parametros_manuales!$H$25="Todos",'Plan mensual'!M85+'Plan mensual'!M196,0))+parametros_manuales!$G$25*('Plan mensual'!M82+'Plan mensual'!M193+IF(parametros_manuales!$H$25="Todos",'Plan mensual'!M86+'Plan mensual'!M197,0)))*parametros_manuales!$I$25*parametros_manuales!$J$25</f>
        <v>16361.140218675</v>
      </c>
      <c r="L197" s="9" t="n">
        <f aca="false">(parametros_manuales!$D$25*('Plan mensual'!N79+'Plan mensual'!N190+IF(parametros_manuales!$H$25="Todos",'Plan mensual'!N83+'Plan mensual'!N194,0))+parametros_manuales!$E$25*('Plan mensual'!N80+'Plan mensual'!N191+IF(parametros_manuales!$H$25="Todos",'Plan mensual'!N84+'Plan mensual'!N195,0))+parametros_manuales!$F$25*('Plan mensual'!N81+'Plan mensual'!N192+IF(parametros_manuales!$H$25="Todos",'Plan mensual'!N85+'Plan mensual'!N196,0))+parametros_manuales!$G$25*('Plan mensual'!N82+'Plan mensual'!N193+IF(parametros_manuales!$H$25="Todos",'Plan mensual'!N86+'Plan mensual'!N197,0)))*parametros_manuales!$I$25*parametros_manuales!$J$25</f>
        <v>16051.06292983</v>
      </c>
      <c r="M197" s="9" t="n">
        <f aca="false">(parametros_manuales!$D$25*('Plan mensual'!O79+'Plan mensual'!O190+IF(parametros_manuales!$H$25="Todos",'Plan mensual'!O83+'Plan mensual'!O194,0))+parametros_manuales!$E$25*('Plan mensual'!O80+'Plan mensual'!O191+IF(parametros_manuales!$H$25="Todos",'Plan mensual'!O84+'Plan mensual'!O195,0))+parametros_manuales!$F$25*('Plan mensual'!O81+'Plan mensual'!O192+IF(parametros_manuales!$H$25="Todos",'Plan mensual'!O85+'Plan mensual'!O196,0))+parametros_manuales!$G$25*('Plan mensual'!O82+'Plan mensual'!O193+IF(parametros_manuales!$H$25="Todos",'Plan mensual'!O86+'Plan mensual'!O197,0)))*parametros_manuales!$I$25*parametros_manuales!$J$25</f>
        <v>25557.66977219</v>
      </c>
      <c r="N197" s="9" t="n">
        <f aca="false">SUM(B197:M197)</f>
        <v>218148.536249</v>
      </c>
      <c r="O197" s="9" t="n">
        <f aca="false">MAX(B197:M197)</f>
        <v>25557.66977219</v>
      </c>
      <c r="P197" s="44" t="n">
        <f aca="false">O197/(parametros_manuales!$B$7)</f>
        <v>170.384465147933</v>
      </c>
      <c r="Q197" s="8" t="str">
        <f aca="false">IF(O197=0,"-",INDEX($B$190:$M$190,MATCH(O197,B197:M197,0)))</f>
        <v>Dic</v>
      </c>
    </row>
    <row r="198" customFormat="false" ht="14.25" hidden="false" customHeight="true" outlineLevel="0" collapsed="false">
      <c r="A198" s="8" t="str">
        <f aca="false">parametros_manuales!$B$26</f>
        <v>Cilindrado</v>
      </c>
      <c r="B198" s="9" t="n">
        <f aca="false">(parametros_manuales!$D$26*('Plan mensual'!D79+'Plan mensual'!D190+IF(parametros_manuales!$H$26="Todos",'Plan mensual'!D83+'Plan mensual'!D194,0))+parametros_manuales!$E$26*('Plan mensual'!D80+'Plan mensual'!D191+IF(parametros_manuales!$H$26="Todos",'Plan mensual'!D84+'Plan mensual'!D195,0))+parametros_manuales!$F$26*('Plan mensual'!D81+'Plan mensual'!D192+IF(parametros_manuales!$H$26="Todos",'Plan mensual'!D85+'Plan mensual'!D196,0))+parametros_manuales!$G$26*('Plan mensual'!D82+'Plan mensual'!D193+IF(parametros_manuales!$H$26="Todos",'Plan mensual'!D86+'Plan mensual'!D197,0)))*parametros_manuales!$I$26*parametros_manuales!$J$26</f>
        <v>6201.5457769</v>
      </c>
      <c r="C198" s="9" t="n">
        <f aca="false">(parametros_manuales!$D$26*('Plan mensual'!E79+'Plan mensual'!E190+IF(parametros_manuales!$H$26="Todos",'Plan mensual'!E83+'Plan mensual'!E194,0))+parametros_manuales!$E$26*('Plan mensual'!E80+'Plan mensual'!E191+IF(parametros_manuales!$H$26="Todos",'Plan mensual'!E84+'Plan mensual'!E195,0))+parametros_manuales!$F$26*('Plan mensual'!E81+'Plan mensual'!E192+IF(parametros_manuales!$H$26="Todos",'Plan mensual'!E85+'Plan mensual'!E196,0))+parametros_manuales!$G$26*('Plan mensual'!E82+'Plan mensual'!E193+IF(parametros_manuales!$H$26="Todos",'Plan mensual'!E86+'Plan mensual'!E197,0)))*parametros_manuales!$I$26*parametros_manuales!$J$26</f>
        <v>4961.23662152</v>
      </c>
      <c r="D198" s="9" t="n">
        <f aca="false">(parametros_manuales!$D$26*('Plan mensual'!F79+'Plan mensual'!F190+IF(parametros_manuales!$H$26="Todos",'Plan mensual'!F83+'Plan mensual'!F194,0))+parametros_manuales!$E$26*('Plan mensual'!F80+'Plan mensual'!F191+IF(parametros_manuales!$H$26="Todos",'Plan mensual'!F84+'Plan mensual'!F195,0))+parametros_manuales!$F$26*('Plan mensual'!F81+'Plan mensual'!F192+IF(parametros_manuales!$H$26="Todos",'Plan mensual'!F85+'Plan mensual'!F196,0))+parametros_manuales!$G$26*('Plan mensual'!F82+'Plan mensual'!F193+IF(parametros_manuales!$H$26="Todos",'Plan mensual'!F86+'Plan mensual'!F197,0)))*parametros_manuales!$I$26*parametros_manuales!$J$26</f>
        <v>5271.313910365</v>
      </c>
      <c r="E198" s="9" t="n">
        <f aca="false">(parametros_manuales!$D$26*('Plan mensual'!G79+'Plan mensual'!G190+IF(parametros_manuales!$H$26="Todos",'Plan mensual'!G83+'Plan mensual'!G194,0))+parametros_manuales!$E$26*('Plan mensual'!G80+'Plan mensual'!G191+IF(parametros_manuales!$H$26="Todos",'Plan mensual'!G84+'Plan mensual'!G195,0))+parametros_manuales!$F$26*('Plan mensual'!G81+'Plan mensual'!G192+IF(parametros_manuales!$H$26="Todos",'Plan mensual'!G85+'Plan mensual'!G196,0))+parametros_manuales!$G$26*('Plan mensual'!G82+'Plan mensual'!G193+IF(parametros_manuales!$H$26="Todos",'Plan mensual'!G86+'Plan mensual'!G197,0)))*parametros_manuales!$I$26*parametros_manuales!$J$26</f>
        <v>5271.313910365</v>
      </c>
      <c r="F198" s="9" t="n">
        <f aca="false">(parametros_manuales!$D$26*('Plan mensual'!H79+'Plan mensual'!H190+IF(parametros_manuales!$H$26="Todos",'Plan mensual'!H83+'Plan mensual'!H194,0))+parametros_manuales!$E$26*('Plan mensual'!H80+'Plan mensual'!H191+IF(parametros_manuales!$H$26="Todos",'Plan mensual'!H84+'Plan mensual'!H195,0))+parametros_manuales!$F$26*('Plan mensual'!H81+'Plan mensual'!H192+IF(parametros_manuales!$H$26="Todos",'Plan mensual'!H85+'Plan mensual'!H196,0))+parametros_manuales!$G$26*('Plan mensual'!H82+'Plan mensual'!H193+IF(parametros_manuales!$H$26="Todos",'Plan mensual'!H86+'Plan mensual'!H197,0)))*parametros_manuales!$I$26*parametros_manuales!$J$26</f>
        <v>4961.23662152</v>
      </c>
      <c r="G198" s="9" t="n">
        <f aca="false">(parametros_manuales!$D$26*('Plan mensual'!I79+'Plan mensual'!I190+IF(parametros_manuales!$H$26="Todos",'Plan mensual'!I83+'Plan mensual'!I194,0))+parametros_manuales!$E$26*('Plan mensual'!I80+'Plan mensual'!I191+IF(parametros_manuales!$H$26="Todos",'Plan mensual'!I84+'Plan mensual'!I195,0))+parametros_manuales!$F$26*('Plan mensual'!I81+'Plan mensual'!I192+IF(parametros_manuales!$H$26="Todos",'Plan mensual'!I85+'Plan mensual'!I196,0))+parametros_manuales!$G$26*('Plan mensual'!I82+'Plan mensual'!I193+IF(parametros_manuales!$H$26="Todos",'Plan mensual'!I86+'Plan mensual'!I197,0)))*parametros_manuales!$I$26*parametros_manuales!$J$26</f>
        <v>4651.159332675</v>
      </c>
      <c r="H198" s="9" t="n">
        <f aca="false">(parametros_manuales!$D$26*('Plan mensual'!J79+'Plan mensual'!J190+IF(parametros_manuales!$H$26="Todos",'Plan mensual'!J83+'Plan mensual'!J194,0))+parametros_manuales!$E$26*('Plan mensual'!J80+'Plan mensual'!J191+IF(parametros_manuales!$H$26="Todos",'Plan mensual'!J84+'Plan mensual'!J195,0))+parametros_manuales!$F$26*('Plan mensual'!J81+'Plan mensual'!J192+IF(parametros_manuales!$H$26="Todos",'Plan mensual'!J85+'Plan mensual'!J196,0))+parametros_manuales!$G$26*('Plan mensual'!J82+'Plan mensual'!J193+IF(parametros_manuales!$H$26="Todos",'Plan mensual'!J86+'Plan mensual'!J197,0)))*parametros_manuales!$I$26*parametros_manuales!$J$26</f>
        <v>4961.23662152</v>
      </c>
      <c r="I198" s="9" t="n">
        <f aca="false">(parametros_manuales!$D$26*('Plan mensual'!K79+'Plan mensual'!K190+IF(parametros_manuales!$H$26="Todos",'Plan mensual'!K83+'Plan mensual'!K194,0))+parametros_manuales!$E$26*('Plan mensual'!K80+'Plan mensual'!K191+IF(parametros_manuales!$H$26="Todos",'Plan mensual'!K84+'Plan mensual'!K195,0))+parametros_manuales!$F$26*('Plan mensual'!K81+'Plan mensual'!K192+IF(parametros_manuales!$H$26="Todos",'Plan mensual'!K85+'Plan mensual'!K196,0))+parametros_manuales!$G$26*('Plan mensual'!K82+'Plan mensual'!K193+IF(parametros_manuales!$H$26="Todos",'Plan mensual'!K86+'Plan mensual'!K197,0)))*parametros_manuales!$I$26*parametros_manuales!$J$26</f>
        <v>4961.23662152</v>
      </c>
      <c r="J198" s="9" t="n">
        <f aca="false">(parametros_manuales!$D$26*('Plan mensual'!L79+'Plan mensual'!L190+IF(parametros_manuales!$H$26="Todos",'Plan mensual'!L83+'Plan mensual'!L194,0))+parametros_manuales!$E$26*('Plan mensual'!L80+'Plan mensual'!L191+IF(parametros_manuales!$H$26="Todos",'Plan mensual'!L84+'Plan mensual'!L195,0))+parametros_manuales!$F$26*('Plan mensual'!L81+'Plan mensual'!L192+IF(parametros_manuales!$H$26="Todos",'Plan mensual'!L85+'Plan mensual'!L196,0))+parametros_manuales!$G$26*('Plan mensual'!L82+'Plan mensual'!L193+IF(parametros_manuales!$H$26="Todos",'Plan mensual'!L86+'Plan mensual'!L197,0)))*parametros_manuales!$I$26*parametros_manuales!$J$26</f>
        <v>4961.23662152</v>
      </c>
      <c r="K198" s="9" t="n">
        <f aca="false">(parametros_manuales!$D$26*('Plan mensual'!M79+'Plan mensual'!M190+IF(parametros_manuales!$H$26="Todos",'Plan mensual'!M83+'Plan mensual'!M194,0))+parametros_manuales!$E$26*('Plan mensual'!M80+'Plan mensual'!M191+IF(parametros_manuales!$H$26="Todos",'Plan mensual'!M84+'Plan mensual'!M195,0))+parametros_manuales!$F$26*('Plan mensual'!M81+'Plan mensual'!M192+IF(parametros_manuales!$H$26="Todos",'Plan mensual'!M85+'Plan mensual'!M196,0))+parametros_manuales!$G$26*('Plan mensual'!M82+'Plan mensual'!M193+IF(parametros_manuales!$H$26="Todos",'Plan mensual'!M86+'Plan mensual'!M197,0)))*parametros_manuales!$I$26*parametros_manuales!$J$26</f>
        <v>4651.159332675</v>
      </c>
      <c r="L198" s="9" t="n">
        <f aca="false">(parametros_manuales!$D$26*('Plan mensual'!N79+'Plan mensual'!N190+IF(parametros_manuales!$H$26="Todos",'Plan mensual'!N83+'Plan mensual'!N194,0))+parametros_manuales!$E$26*('Plan mensual'!N80+'Plan mensual'!N191+IF(parametros_manuales!$H$26="Todos",'Plan mensual'!N84+'Plan mensual'!N195,0))+parametros_manuales!$F$26*('Plan mensual'!N81+'Plan mensual'!N192+IF(parametros_manuales!$H$26="Todos",'Plan mensual'!N85+'Plan mensual'!N196,0))+parametros_manuales!$G$26*('Plan mensual'!N82+'Plan mensual'!N193+IF(parametros_manuales!$H$26="Todos",'Plan mensual'!N86+'Plan mensual'!N197,0)))*parametros_manuales!$I$26*parametros_manuales!$J$26</f>
        <v>4341.08204383</v>
      </c>
      <c r="M198" s="9" t="n">
        <f aca="false">(parametros_manuales!$D$26*('Plan mensual'!O79+'Plan mensual'!O190+IF(parametros_manuales!$H$26="Todos",'Plan mensual'!O83+'Plan mensual'!O194,0))+parametros_manuales!$E$26*('Plan mensual'!O80+'Plan mensual'!O191+IF(parametros_manuales!$H$26="Todos",'Plan mensual'!O84+'Plan mensual'!O195,0))+parametros_manuales!$F$26*('Plan mensual'!O81+'Plan mensual'!O192+IF(parametros_manuales!$H$26="Todos",'Plan mensual'!O85+'Plan mensual'!O196,0))+parametros_manuales!$G$26*('Plan mensual'!O82+'Plan mensual'!O193+IF(parametros_manuales!$H$26="Todos",'Plan mensual'!O86+'Plan mensual'!O197,0)))*parametros_manuales!$I$26*parametros_manuales!$J$26</f>
        <v>6821.70035459</v>
      </c>
      <c r="N198" s="9" t="n">
        <f aca="false">SUM(B198:M198)</f>
        <v>62015.457769</v>
      </c>
      <c r="O198" s="9" t="n">
        <f aca="false">MAX(B198:M198)</f>
        <v>6821.70035459</v>
      </c>
      <c r="P198" s="44" t="n">
        <f aca="false">O198/(parametros_manuales!$B$7)</f>
        <v>45.4780023639333</v>
      </c>
      <c r="Q198" s="8" t="str">
        <f aca="false">IF(O198=0,"-",INDEX($B$190:$M$190,MATCH(O198,B198:M198,0)))</f>
        <v>Dic</v>
      </c>
    </row>
    <row r="199" customFormat="false" ht="14.25" hidden="false" customHeight="true" outlineLevel="0" collapsed="false">
      <c r="A199" s="8" t="str">
        <f aca="false">parametros_manuales!$B$27</f>
        <v>Soldadura longitudinal</v>
      </c>
      <c r="B199" s="9" t="n">
        <f aca="false">(parametros_manuales!$D$27*('Plan mensual'!D79+'Plan mensual'!D190+IF(parametros_manuales!$H$27="Todos",'Plan mensual'!D83+'Plan mensual'!D194,0))+parametros_manuales!$E$27*('Plan mensual'!D80+'Plan mensual'!D191+IF(parametros_manuales!$H$27="Todos",'Plan mensual'!D84+'Plan mensual'!D195,0))+parametros_manuales!$F$27*('Plan mensual'!D81+'Plan mensual'!D192+IF(parametros_manuales!$H$27="Todos",'Plan mensual'!D85+'Plan mensual'!D196,0))+parametros_manuales!$G$27*('Plan mensual'!D82+'Plan mensual'!D193+IF(parametros_manuales!$H$27="Todos",'Plan mensual'!D86+'Plan mensual'!D197,0)))*parametros_manuales!$I$27*parametros_manuales!$J$27</f>
        <v>6201.5457769</v>
      </c>
      <c r="C199" s="9" t="n">
        <f aca="false">(parametros_manuales!$D$27*('Plan mensual'!E79+'Plan mensual'!E190+IF(parametros_manuales!$H$27="Todos",'Plan mensual'!E83+'Plan mensual'!E194,0))+parametros_manuales!$E$27*('Plan mensual'!E80+'Plan mensual'!E191+IF(parametros_manuales!$H$27="Todos",'Plan mensual'!E84+'Plan mensual'!E195,0))+parametros_manuales!$F$27*('Plan mensual'!E81+'Plan mensual'!E192+IF(parametros_manuales!$H$27="Todos",'Plan mensual'!E85+'Plan mensual'!E196,0))+parametros_manuales!$G$27*('Plan mensual'!E82+'Plan mensual'!E193+IF(parametros_manuales!$H$27="Todos",'Plan mensual'!E86+'Plan mensual'!E197,0)))*parametros_manuales!$I$27*parametros_manuales!$J$27</f>
        <v>4961.23662152</v>
      </c>
      <c r="D199" s="9" t="n">
        <f aca="false">(parametros_manuales!$D$27*('Plan mensual'!F79+'Plan mensual'!F190+IF(parametros_manuales!$H$27="Todos",'Plan mensual'!F83+'Plan mensual'!F194,0))+parametros_manuales!$E$27*('Plan mensual'!F80+'Plan mensual'!F191+IF(parametros_manuales!$H$27="Todos",'Plan mensual'!F84+'Plan mensual'!F195,0))+parametros_manuales!$F$27*('Plan mensual'!F81+'Plan mensual'!F192+IF(parametros_manuales!$H$27="Todos",'Plan mensual'!F85+'Plan mensual'!F196,0))+parametros_manuales!$G$27*('Plan mensual'!F82+'Plan mensual'!F193+IF(parametros_manuales!$H$27="Todos",'Plan mensual'!F86+'Plan mensual'!F197,0)))*parametros_manuales!$I$27*parametros_manuales!$J$27</f>
        <v>5271.313910365</v>
      </c>
      <c r="E199" s="9" t="n">
        <f aca="false">(parametros_manuales!$D$27*('Plan mensual'!G79+'Plan mensual'!G190+IF(parametros_manuales!$H$27="Todos",'Plan mensual'!G83+'Plan mensual'!G194,0))+parametros_manuales!$E$27*('Plan mensual'!G80+'Plan mensual'!G191+IF(parametros_manuales!$H$27="Todos",'Plan mensual'!G84+'Plan mensual'!G195,0))+parametros_manuales!$F$27*('Plan mensual'!G81+'Plan mensual'!G192+IF(parametros_manuales!$H$27="Todos",'Plan mensual'!G85+'Plan mensual'!G196,0))+parametros_manuales!$G$27*('Plan mensual'!G82+'Plan mensual'!G193+IF(parametros_manuales!$H$27="Todos",'Plan mensual'!G86+'Plan mensual'!G197,0)))*parametros_manuales!$I$27*parametros_manuales!$J$27</f>
        <v>5271.313910365</v>
      </c>
      <c r="F199" s="9" t="n">
        <f aca="false">(parametros_manuales!$D$27*('Plan mensual'!H79+'Plan mensual'!H190+IF(parametros_manuales!$H$27="Todos",'Plan mensual'!H83+'Plan mensual'!H194,0))+parametros_manuales!$E$27*('Plan mensual'!H80+'Plan mensual'!H191+IF(parametros_manuales!$H$27="Todos",'Plan mensual'!H84+'Plan mensual'!H195,0))+parametros_manuales!$F$27*('Plan mensual'!H81+'Plan mensual'!H192+IF(parametros_manuales!$H$27="Todos",'Plan mensual'!H85+'Plan mensual'!H196,0))+parametros_manuales!$G$27*('Plan mensual'!H82+'Plan mensual'!H193+IF(parametros_manuales!$H$27="Todos",'Plan mensual'!H86+'Plan mensual'!H197,0)))*parametros_manuales!$I$27*parametros_manuales!$J$27</f>
        <v>4961.23662152</v>
      </c>
      <c r="G199" s="9" t="n">
        <f aca="false">(parametros_manuales!$D$27*('Plan mensual'!I79+'Plan mensual'!I190+IF(parametros_manuales!$H$27="Todos",'Plan mensual'!I83+'Plan mensual'!I194,0))+parametros_manuales!$E$27*('Plan mensual'!I80+'Plan mensual'!I191+IF(parametros_manuales!$H$27="Todos",'Plan mensual'!I84+'Plan mensual'!I195,0))+parametros_manuales!$F$27*('Plan mensual'!I81+'Plan mensual'!I192+IF(parametros_manuales!$H$27="Todos",'Plan mensual'!I85+'Plan mensual'!I196,0))+parametros_manuales!$G$27*('Plan mensual'!I82+'Plan mensual'!I193+IF(parametros_manuales!$H$27="Todos",'Plan mensual'!I86+'Plan mensual'!I197,0)))*parametros_manuales!$I$27*parametros_manuales!$J$27</f>
        <v>4651.159332675</v>
      </c>
      <c r="H199" s="9" t="n">
        <f aca="false">(parametros_manuales!$D$27*('Plan mensual'!J79+'Plan mensual'!J190+IF(parametros_manuales!$H$27="Todos",'Plan mensual'!J83+'Plan mensual'!J194,0))+parametros_manuales!$E$27*('Plan mensual'!J80+'Plan mensual'!J191+IF(parametros_manuales!$H$27="Todos",'Plan mensual'!J84+'Plan mensual'!J195,0))+parametros_manuales!$F$27*('Plan mensual'!J81+'Plan mensual'!J192+IF(parametros_manuales!$H$27="Todos",'Plan mensual'!J85+'Plan mensual'!J196,0))+parametros_manuales!$G$27*('Plan mensual'!J82+'Plan mensual'!J193+IF(parametros_manuales!$H$27="Todos",'Plan mensual'!J86+'Plan mensual'!J197,0)))*parametros_manuales!$I$27*parametros_manuales!$J$27</f>
        <v>4961.23662152</v>
      </c>
      <c r="I199" s="9" t="n">
        <f aca="false">(parametros_manuales!$D$27*('Plan mensual'!K79+'Plan mensual'!K190+IF(parametros_manuales!$H$27="Todos",'Plan mensual'!K83+'Plan mensual'!K194,0))+parametros_manuales!$E$27*('Plan mensual'!K80+'Plan mensual'!K191+IF(parametros_manuales!$H$27="Todos",'Plan mensual'!K84+'Plan mensual'!K195,0))+parametros_manuales!$F$27*('Plan mensual'!K81+'Plan mensual'!K192+IF(parametros_manuales!$H$27="Todos",'Plan mensual'!K85+'Plan mensual'!K196,0))+parametros_manuales!$G$27*('Plan mensual'!K82+'Plan mensual'!K193+IF(parametros_manuales!$H$27="Todos",'Plan mensual'!K86+'Plan mensual'!K197,0)))*parametros_manuales!$I$27*parametros_manuales!$J$27</f>
        <v>4961.23662152</v>
      </c>
      <c r="J199" s="9" t="n">
        <f aca="false">(parametros_manuales!$D$27*('Plan mensual'!L79+'Plan mensual'!L190+IF(parametros_manuales!$H$27="Todos",'Plan mensual'!L83+'Plan mensual'!L194,0))+parametros_manuales!$E$27*('Plan mensual'!L80+'Plan mensual'!L191+IF(parametros_manuales!$H$27="Todos",'Plan mensual'!L84+'Plan mensual'!L195,0))+parametros_manuales!$F$27*('Plan mensual'!L81+'Plan mensual'!L192+IF(parametros_manuales!$H$27="Todos",'Plan mensual'!L85+'Plan mensual'!L196,0))+parametros_manuales!$G$27*('Plan mensual'!L82+'Plan mensual'!L193+IF(parametros_manuales!$H$27="Todos",'Plan mensual'!L86+'Plan mensual'!L197,0)))*parametros_manuales!$I$27*parametros_manuales!$J$27</f>
        <v>4961.23662152</v>
      </c>
      <c r="K199" s="9" t="n">
        <f aca="false">(parametros_manuales!$D$27*('Plan mensual'!M79+'Plan mensual'!M190+IF(parametros_manuales!$H$27="Todos",'Plan mensual'!M83+'Plan mensual'!M194,0))+parametros_manuales!$E$27*('Plan mensual'!M80+'Plan mensual'!M191+IF(parametros_manuales!$H$27="Todos",'Plan mensual'!M84+'Plan mensual'!M195,0))+parametros_manuales!$F$27*('Plan mensual'!M81+'Plan mensual'!M192+IF(parametros_manuales!$H$27="Todos",'Plan mensual'!M85+'Plan mensual'!M196,0))+parametros_manuales!$G$27*('Plan mensual'!M82+'Plan mensual'!M193+IF(parametros_manuales!$H$27="Todos",'Plan mensual'!M86+'Plan mensual'!M197,0)))*parametros_manuales!$I$27*parametros_manuales!$J$27</f>
        <v>4651.159332675</v>
      </c>
      <c r="L199" s="9" t="n">
        <f aca="false">(parametros_manuales!$D$27*('Plan mensual'!N79+'Plan mensual'!N190+IF(parametros_manuales!$H$27="Todos",'Plan mensual'!N83+'Plan mensual'!N194,0))+parametros_manuales!$E$27*('Plan mensual'!N80+'Plan mensual'!N191+IF(parametros_manuales!$H$27="Todos",'Plan mensual'!N84+'Plan mensual'!N195,0))+parametros_manuales!$F$27*('Plan mensual'!N81+'Plan mensual'!N192+IF(parametros_manuales!$H$27="Todos",'Plan mensual'!N85+'Plan mensual'!N196,0))+parametros_manuales!$G$27*('Plan mensual'!N82+'Plan mensual'!N193+IF(parametros_manuales!$H$27="Todos",'Plan mensual'!N86+'Plan mensual'!N197,0)))*parametros_manuales!$I$27*parametros_manuales!$J$27</f>
        <v>4341.08204383</v>
      </c>
      <c r="M199" s="9" t="n">
        <f aca="false">(parametros_manuales!$D$27*('Plan mensual'!O79+'Plan mensual'!O190+IF(parametros_manuales!$H$27="Todos",'Plan mensual'!O83+'Plan mensual'!O194,0))+parametros_manuales!$E$27*('Plan mensual'!O80+'Plan mensual'!O191+IF(parametros_manuales!$H$27="Todos",'Plan mensual'!O84+'Plan mensual'!O195,0))+parametros_manuales!$F$27*('Plan mensual'!O81+'Plan mensual'!O192+IF(parametros_manuales!$H$27="Todos",'Plan mensual'!O85+'Plan mensual'!O196,0))+parametros_manuales!$G$27*('Plan mensual'!O82+'Plan mensual'!O193+IF(parametros_manuales!$H$27="Todos",'Plan mensual'!O86+'Plan mensual'!O197,0)))*parametros_manuales!$I$27*parametros_manuales!$J$27</f>
        <v>6821.70035459</v>
      </c>
      <c r="N199" s="9" t="n">
        <f aca="false">SUM(B199:M199)</f>
        <v>62015.457769</v>
      </c>
      <c r="O199" s="9" t="n">
        <f aca="false">MAX(B199:M199)</f>
        <v>6821.70035459</v>
      </c>
      <c r="P199" s="44" t="n">
        <f aca="false">O199/(parametros_manuales!$B$7)</f>
        <v>45.4780023639333</v>
      </c>
      <c r="Q199" s="8" t="str">
        <f aca="false">IF(O199=0,"-",INDEX($B$190:$M$190,MATCH(O199,B199:M199,0)))</f>
        <v>Dic</v>
      </c>
    </row>
    <row r="200" customFormat="false" ht="14.25" hidden="false" customHeight="true" outlineLevel="0" collapsed="false">
      <c r="A200" s="8" t="str">
        <f aca="false">parametros_manuales!$B$28</f>
        <v>Encastre de fondo</v>
      </c>
      <c r="B200" s="9" t="n">
        <f aca="false">(parametros_manuales!$D$28*('Plan mensual'!D79+'Plan mensual'!D190+IF(parametros_manuales!$H$28="Todos",'Plan mensual'!D83+'Plan mensual'!D194,0))+parametros_manuales!$E$28*('Plan mensual'!D80+'Plan mensual'!D191+IF(parametros_manuales!$H$28="Todos",'Plan mensual'!D84+'Plan mensual'!D195,0))+parametros_manuales!$F$28*('Plan mensual'!D81+'Plan mensual'!D192+IF(parametros_manuales!$H$28="Todos",'Plan mensual'!D85+'Plan mensual'!D196,0))+parametros_manuales!$G$28*('Plan mensual'!D82+'Plan mensual'!D193+IF(parametros_manuales!$H$28="Todos",'Plan mensual'!D86+'Plan mensual'!D197,0)))*parametros_manuales!$I$28*parametros_manuales!$J$28</f>
        <v>24937.5151945</v>
      </c>
      <c r="C200" s="9" t="n">
        <f aca="false">(parametros_manuales!$D$28*('Plan mensual'!E79+'Plan mensual'!E190+IF(parametros_manuales!$H$28="Todos",'Plan mensual'!E83+'Plan mensual'!E194,0))+parametros_manuales!$E$28*('Plan mensual'!E80+'Plan mensual'!E191+IF(parametros_manuales!$H$28="Todos",'Plan mensual'!E84+'Plan mensual'!E195,0))+parametros_manuales!$F$28*('Plan mensual'!E81+'Plan mensual'!E192+IF(parametros_manuales!$H$28="Todos",'Plan mensual'!E85+'Plan mensual'!E196,0))+parametros_manuales!$G$28*('Plan mensual'!E82+'Plan mensual'!E193+IF(parametros_manuales!$H$28="Todos",'Plan mensual'!E86+'Plan mensual'!E197,0)))*parametros_manuales!$I$28*parametros_manuales!$J$28</f>
        <v>19013.21368472</v>
      </c>
      <c r="D200" s="9" t="n">
        <f aca="false">(parametros_manuales!$D$28*('Plan mensual'!F79+'Plan mensual'!F190+IF(parametros_manuales!$H$28="Todos",'Plan mensual'!F83+'Plan mensual'!F194,0))+parametros_manuales!$E$28*('Plan mensual'!F80+'Plan mensual'!F191+IF(parametros_manuales!$H$28="Todos",'Plan mensual'!F84+'Plan mensual'!F195,0))+parametros_manuales!$F$28*('Plan mensual'!F81+'Plan mensual'!F192+IF(parametros_manuales!$H$28="Todos",'Plan mensual'!F85+'Plan mensual'!F196,0))+parametros_manuales!$G$28*('Plan mensual'!F82+'Plan mensual'!F193+IF(parametros_manuales!$H$28="Todos",'Plan mensual'!F86+'Plan mensual'!F197,0)))*parametros_manuales!$I$28*parametros_manuales!$J$28</f>
        <v>17761.960188765</v>
      </c>
      <c r="E200" s="9" t="n">
        <f aca="false">(parametros_manuales!$D$28*('Plan mensual'!G79+'Plan mensual'!G190+IF(parametros_manuales!$H$28="Todos",'Plan mensual'!G83+'Plan mensual'!G194,0))+parametros_manuales!$E$28*('Plan mensual'!G80+'Plan mensual'!G191+IF(parametros_manuales!$H$28="Todos",'Plan mensual'!G84+'Plan mensual'!G195,0))+parametros_manuales!$F$28*('Plan mensual'!G81+'Plan mensual'!G192+IF(parametros_manuales!$H$28="Todos",'Plan mensual'!G85+'Plan mensual'!G196,0))+parametros_manuales!$G$28*('Plan mensual'!G82+'Plan mensual'!G193+IF(parametros_manuales!$H$28="Todos",'Plan mensual'!G86+'Plan mensual'!G197,0)))*parametros_manuales!$I$28*parametros_manuales!$J$28</f>
        <v>16981.294796365</v>
      </c>
      <c r="F200" s="9" t="n">
        <f aca="false">(parametros_manuales!$D$28*('Plan mensual'!H79+'Plan mensual'!H190+IF(parametros_manuales!$H$28="Todos",'Plan mensual'!H83+'Plan mensual'!H194,0))+parametros_manuales!$E$28*('Plan mensual'!H80+'Plan mensual'!H191+IF(parametros_manuales!$H$28="Todos",'Plan mensual'!H84+'Plan mensual'!H195,0))+parametros_manuales!$F$28*('Plan mensual'!H81+'Plan mensual'!H192+IF(parametros_manuales!$H$28="Todos",'Plan mensual'!H85+'Plan mensual'!H196,0))+parametros_manuales!$G$28*('Plan mensual'!H82+'Plan mensual'!H193+IF(parametros_manuales!$H$28="Todos",'Plan mensual'!H86+'Plan mensual'!H197,0)))*parametros_manuales!$I$28*parametros_manuales!$J$28</f>
        <v>15890.55211512</v>
      </c>
      <c r="G200" s="9" t="n">
        <f aca="false">(parametros_manuales!$D$28*('Plan mensual'!I79+'Plan mensual'!I190+IF(parametros_manuales!$H$28="Todos",'Plan mensual'!I83+'Plan mensual'!I194,0))+parametros_manuales!$E$28*('Plan mensual'!I80+'Plan mensual'!I191+IF(parametros_manuales!$H$28="Todos",'Plan mensual'!I84+'Plan mensual'!I195,0))+parametros_manuales!$F$28*('Plan mensual'!I81+'Plan mensual'!I192+IF(parametros_manuales!$H$28="Todos",'Plan mensual'!I85+'Plan mensual'!I196,0))+parametros_manuales!$G$28*('Plan mensual'!I82+'Plan mensual'!I193+IF(parametros_manuales!$H$28="Todos",'Plan mensual'!I86+'Plan mensual'!I197,0)))*parametros_manuales!$I$28*parametros_manuales!$J$28</f>
        <v>15580.474826275</v>
      </c>
      <c r="H200" s="9" t="n">
        <f aca="false">(parametros_manuales!$D$28*('Plan mensual'!J79+'Plan mensual'!J190+IF(parametros_manuales!$H$28="Todos",'Plan mensual'!J83+'Plan mensual'!J194,0))+parametros_manuales!$E$28*('Plan mensual'!J80+'Plan mensual'!J191+IF(parametros_manuales!$H$28="Todos",'Plan mensual'!J84+'Plan mensual'!J195,0))+parametros_manuales!$F$28*('Plan mensual'!J81+'Plan mensual'!J192+IF(parametros_manuales!$H$28="Todos",'Plan mensual'!J85+'Plan mensual'!J196,0))+parametros_manuales!$G$28*('Plan mensual'!J82+'Plan mensual'!J193+IF(parametros_manuales!$H$28="Todos",'Plan mensual'!J86+'Plan mensual'!J197,0)))*parametros_manuales!$I$28*parametros_manuales!$J$28</f>
        <v>16671.21750752</v>
      </c>
      <c r="I200" s="9" t="n">
        <f aca="false">(parametros_manuales!$D$28*('Plan mensual'!K79+'Plan mensual'!K190+IF(parametros_manuales!$H$28="Todos",'Plan mensual'!K83+'Plan mensual'!K194,0))+parametros_manuales!$E$28*('Plan mensual'!K80+'Plan mensual'!K191+IF(parametros_manuales!$H$28="Todos",'Plan mensual'!K84+'Plan mensual'!K195,0))+parametros_manuales!$F$28*('Plan mensual'!K81+'Plan mensual'!K192+IF(parametros_manuales!$H$28="Todos",'Plan mensual'!K85+'Plan mensual'!K196,0))+parametros_manuales!$G$28*('Plan mensual'!K82+'Plan mensual'!K193+IF(parametros_manuales!$H$28="Todos",'Plan mensual'!K86+'Plan mensual'!K197,0)))*parametros_manuales!$I$28*parametros_manuales!$J$28</f>
        <v>16671.21750752</v>
      </c>
      <c r="J200" s="9" t="n">
        <f aca="false">(parametros_manuales!$D$28*('Plan mensual'!L79+'Plan mensual'!L190+IF(parametros_manuales!$H$28="Todos",'Plan mensual'!L83+'Plan mensual'!L194,0))+parametros_manuales!$E$28*('Plan mensual'!L80+'Plan mensual'!L191+IF(parametros_manuales!$H$28="Todos",'Plan mensual'!L84+'Plan mensual'!L195,0))+parametros_manuales!$F$28*('Plan mensual'!L81+'Plan mensual'!L192+IF(parametros_manuales!$H$28="Todos",'Plan mensual'!L85+'Plan mensual'!L196,0))+parametros_manuales!$G$28*('Plan mensual'!L82+'Plan mensual'!L193+IF(parametros_manuales!$H$28="Todos",'Plan mensual'!L86+'Plan mensual'!L197,0)))*parametros_manuales!$I$28*parametros_manuales!$J$28</f>
        <v>16671.21750752</v>
      </c>
      <c r="K200" s="9" t="n">
        <f aca="false">(parametros_manuales!$D$28*('Plan mensual'!M79+'Plan mensual'!M190+IF(parametros_manuales!$H$28="Todos",'Plan mensual'!M83+'Plan mensual'!M194,0))+parametros_manuales!$E$28*('Plan mensual'!M80+'Plan mensual'!M191+IF(parametros_manuales!$H$28="Todos",'Plan mensual'!M84+'Plan mensual'!M195,0))+parametros_manuales!$F$28*('Plan mensual'!M81+'Plan mensual'!M192+IF(parametros_manuales!$H$28="Todos",'Plan mensual'!M85+'Plan mensual'!M196,0))+parametros_manuales!$G$28*('Plan mensual'!M82+'Plan mensual'!M193+IF(parametros_manuales!$H$28="Todos",'Plan mensual'!M86+'Plan mensual'!M197,0)))*parametros_manuales!$I$28*parametros_manuales!$J$28</f>
        <v>16361.140218675</v>
      </c>
      <c r="L200" s="9" t="n">
        <f aca="false">(parametros_manuales!$D$28*('Plan mensual'!N79+'Plan mensual'!N190+IF(parametros_manuales!$H$28="Todos",'Plan mensual'!N83+'Plan mensual'!N194,0))+parametros_manuales!$E$28*('Plan mensual'!N80+'Plan mensual'!N191+IF(parametros_manuales!$H$28="Todos",'Plan mensual'!N84+'Plan mensual'!N195,0))+parametros_manuales!$F$28*('Plan mensual'!N81+'Plan mensual'!N192+IF(parametros_manuales!$H$28="Todos",'Plan mensual'!N85+'Plan mensual'!N196,0))+parametros_manuales!$G$28*('Plan mensual'!N82+'Plan mensual'!N193+IF(parametros_manuales!$H$28="Todos",'Plan mensual'!N86+'Plan mensual'!N197,0)))*parametros_manuales!$I$28*parametros_manuales!$J$28</f>
        <v>16051.06292983</v>
      </c>
      <c r="M200" s="9" t="n">
        <f aca="false">(parametros_manuales!$D$28*('Plan mensual'!O79+'Plan mensual'!O190+IF(parametros_manuales!$H$28="Todos",'Plan mensual'!O83+'Plan mensual'!O194,0))+parametros_manuales!$E$28*('Plan mensual'!O80+'Plan mensual'!O191+IF(parametros_manuales!$H$28="Todos",'Plan mensual'!O84+'Plan mensual'!O195,0))+parametros_manuales!$F$28*('Plan mensual'!O81+'Plan mensual'!O192+IF(parametros_manuales!$H$28="Todos",'Plan mensual'!O85+'Plan mensual'!O196,0))+parametros_manuales!$G$28*('Plan mensual'!O82+'Plan mensual'!O193+IF(parametros_manuales!$H$28="Todos",'Plan mensual'!O86+'Plan mensual'!O197,0)))*parametros_manuales!$I$28*parametros_manuales!$J$28</f>
        <v>25557.66977219</v>
      </c>
      <c r="N200" s="9" t="n">
        <f aca="false">SUM(B200:M200)</f>
        <v>218148.536249</v>
      </c>
      <c r="O200" s="9" t="n">
        <f aca="false">MAX(B200:M200)</f>
        <v>25557.66977219</v>
      </c>
      <c r="P200" s="44" t="n">
        <f aca="false">O200/(parametros_manuales!$B$7)</f>
        <v>170.384465147933</v>
      </c>
      <c r="Q200" s="8" t="str">
        <f aca="false">IF(O200=0,"-",INDEX($B$190:$M$190,MATCH(O200,B200:M200,0)))</f>
        <v>Dic</v>
      </c>
    </row>
    <row r="201" customFormat="false" ht="14.25" hidden="false" customHeight="true" outlineLevel="0" collapsed="false">
      <c r="A201" s="8" t="str">
        <f aca="false">parametros_manuales!$B$29</f>
        <v>Bordoneado</v>
      </c>
      <c r="B201" s="9" t="n">
        <f aca="false">(parametros_manuales!$D$29*('Plan mensual'!D79+'Plan mensual'!D190+IF(parametros_manuales!$H$29="Todos",'Plan mensual'!D83+'Plan mensual'!D194,0))+parametros_manuales!$E$29*('Plan mensual'!D80+'Plan mensual'!D191+IF(parametros_manuales!$H$29="Todos",'Plan mensual'!D84+'Plan mensual'!D195,0))+parametros_manuales!$F$29*('Plan mensual'!D81+'Plan mensual'!D192+IF(parametros_manuales!$H$29="Todos",'Plan mensual'!D85+'Plan mensual'!D196,0))+parametros_manuales!$G$29*('Plan mensual'!D82+'Plan mensual'!D193+IF(parametros_manuales!$H$29="Todos",'Plan mensual'!D86+'Plan mensual'!D197,0)))*parametros_manuales!$I$29*parametros_manuales!$J$29</f>
        <v>24937.5151945</v>
      </c>
      <c r="C201" s="9" t="n">
        <f aca="false">(parametros_manuales!$D$29*('Plan mensual'!E79+'Plan mensual'!E190+IF(parametros_manuales!$H$29="Todos",'Plan mensual'!E83+'Plan mensual'!E194,0))+parametros_manuales!$E$29*('Plan mensual'!E80+'Plan mensual'!E191+IF(parametros_manuales!$H$29="Todos",'Plan mensual'!E84+'Plan mensual'!E195,0))+parametros_manuales!$F$29*('Plan mensual'!E81+'Plan mensual'!E192+IF(parametros_manuales!$H$29="Todos",'Plan mensual'!E85+'Plan mensual'!E196,0))+parametros_manuales!$G$29*('Plan mensual'!E82+'Plan mensual'!E193+IF(parametros_manuales!$H$29="Todos",'Plan mensual'!E86+'Plan mensual'!E197,0)))*parametros_manuales!$I$29*parametros_manuales!$J$29</f>
        <v>19013.21368472</v>
      </c>
      <c r="D201" s="9" t="n">
        <f aca="false">(parametros_manuales!$D$29*('Plan mensual'!F79+'Plan mensual'!F190+IF(parametros_manuales!$H$29="Todos",'Plan mensual'!F83+'Plan mensual'!F194,0))+parametros_manuales!$E$29*('Plan mensual'!F80+'Plan mensual'!F191+IF(parametros_manuales!$H$29="Todos",'Plan mensual'!F84+'Plan mensual'!F195,0))+parametros_manuales!$F$29*('Plan mensual'!F81+'Plan mensual'!F192+IF(parametros_manuales!$H$29="Todos",'Plan mensual'!F85+'Plan mensual'!F196,0))+parametros_manuales!$G$29*('Plan mensual'!F82+'Plan mensual'!F193+IF(parametros_manuales!$H$29="Todos",'Plan mensual'!F86+'Plan mensual'!F197,0)))*parametros_manuales!$I$29*parametros_manuales!$J$29</f>
        <v>17761.960188765</v>
      </c>
      <c r="E201" s="9" t="n">
        <f aca="false">(parametros_manuales!$D$29*('Plan mensual'!G79+'Plan mensual'!G190+IF(parametros_manuales!$H$29="Todos",'Plan mensual'!G83+'Plan mensual'!G194,0))+parametros_manuales!$E$29*('Plan mensual'!G80+'Plan mensual'!G191+IF(parametros_manuales!$H$29="Todos",'Plan mensual'!G84+'Plan mensual'!G195,0))+parametros_manuales!$F$29*('Plan mensual'!G81+'Plan mensual'!G192+IF(parametros_manuales!$H$29="Todos",'Plan mensual'!G85+'Plan mensual'!G196,0))+parametros_manuales!$G$29*('Plan mensual'!G82+'Plan mensual'!G193+IF(parametros_manuales!$H$29="Todos",'Plan mensual'!G86+'Plan mensual'!G197,0)))*parametros_manuales!$I$29*parametros_manuales!$J$29</f>
        <v>16981.294796365</v>
      </c>
      <c r="F201" s="9" t="n">
        <f aca="false">(parametros_manuales!$D$29*('Plan mensual'!H79+'Plan mensual'!H190+IF(parametros_manuales!$H$29="Todos",'Plan mensual'!H83+'Plan mensual'!H194,0))+parametros_manuales!$E$29*('Plan mensual'!H80+'Plan mensual'!H191+IF(parametros_manuales!$H$29="Todos",'Plan mensual'!H84+'Plan mensual'!H195,0))+parametros_manuales!$F$29*('Plan mensual'!H81+'Plan mensual'!H192+IF(parametros_manuales!$H$29="Todos",'Plan mensual'!H85+'Plan mensual'!H196,0))+parametros_manuales!$G$29*('Plan mensual'!H82+'Plan mensual'!H193+IF(parametros_manuales!$H$29="Todos",'Plan mensual'!H86+'Plan mensual'!H197,0)))*parametros_manuales!$I$29*parametros_manuales!$J$29</f>
        <v>15890.55211512</v>
      </c>
      <c r="G201" s="9" t="n">
        <f aca="false">(parametros_manuales!$D$29*('Plan mensual'!I79+'Plan mensual'!I190+IF(parametros_manuales!$H$29="Todos",'Plan mensual'!I83+'Plan mensual'!I194,0))+parametros_manuales!$E$29*('Plan mensual'!I80+'Plan mensual'!I191+IF(parametros_manuales!$H$29="Todos",'Plan mensual'!I84+'Plan mensual'!I195,0))+parametros_manuales!$F$29*('Plan mensual'!I81+'Plan mensual'!I192+IF(parametros_manuales!$H$29="Todos",'Plan mensual'!I85+'Plan mensual'!I196,0))+parametros_manuales!$G$29*('Plan mensual'!I82+'Plan mensual'!I193+IF(parametros_manuales!$H$29="Todos",'Plan mensual'!I86+'Plan mensual'!I197,0)))*parametros_manuales!$I$29*parametros_manuales!$J$29</f>
        <v>15580.474826275</v>
      </c>
      <c r="H201" s="9" t="n">
        <f aca="false">(parametros_manuales!$D$29*('Plan mensual'!J79+'Plan mensual'!J190+IF(parametros_manuales!$H$29="Todos",'Plan mensual'!J83+'Plan mensual'!J194,0))+parametros_manuales!$E$29*('Plan mensual'!J80+'Plan mensual'!J191+IF(parametros_manuales!$H$29="Todos",'Plan mensual'!J84+'Plan mensual'!J195,0))+parametros_manuales!$F$29*('Plan mensual'!J81+'Plan mensual'!J192+IF(parametros_manuales!$H$29="Todos",'Plan mensual'!J85+'Plan mensual'!J196,0))+parametros_manuales!$G$29*('Plan mensual'!J82+'Plan mensual'!J193+IF(parametros_manuales!$H$29="Todos",'Plan mensual'!J86+'Plan mensual'!J197,0)))*parametros_manuales!$I$29*parametros_manuales!$J$29</f>
        <v>16671.21750752</v>
      </c>
      <c r="I201" s="9" t="n">
        <f aca="false">(parametros_manuales!$D$29*('Plan mensual'!K79+'Plan mensual'!K190+IF(parametros_manuales!$H$29="Todos",'Plan mensual'!K83+'Plan mensual'!K194,0))+parametros_manuales!$E$29*('Plan mensual'!K80+'Plan mensual'!K191+IF(parametros_manuales!$H$29="Todos",'Plan mensual'!K84+'Plan mensual'!K195,0))+parametros_manuales!$F$29*('Plan mensual'!K81+'Plan mensual'!K192+IF(parametros_manuales!$H$29="Todos",'Plan mensual'!K85+'Plan mensual'!K196,0))+parametros_manuales!$G$29*('Plan mensual'!K82+'Plan mensual'!K193+IF(parametros_manuales!$H$29="Todos",'Plan mensual'!K86+'Plan mensual'!K197,0)))*parametros_manuales!$I$29*parametros_manuales!$J$29</f>
        <v>16671.21750752</v>
      </c>
      <c r="J201" s="9" t="n">
        <f aca="false">(parametros_manuales!$D$29*('Plan mensual'!L79+'Plan mensual'!L190+IF(parametros_manuales!$H$29="Todos",'Plan mensual'!L83+'Plan mensual'!L194,0))+parametros_manuales!$E$29*('Plan mensual'!L80+'Plan mensual'!L191+IF(parametros_manuales!$H$29="Todos",'Plan mensual'!L84+'Plan mensual'!L195,0))+parametros_manuales!$F$29*('Plan mensual'!L81+'Plan mensual'!L192+IF(parametros_manuales!$H$29="Todos",'Plan mensual'!L85+'Plan mensual'!L196,0))+parametros_manuales!$G$29*('Plan mensual'!L82+'Plan mensual'!L193+IF(parametros_manuales!$H$29="Todos",'Plan mensual'!L86+'Plan mensual'!L197,0)))*parametros_manuales!$I$29*parametros_manuales!$J$29</f>
        <v>16671.21750752</v>
      </c>
      <c r="K201" s="9" t="n">
        <f aca="false">(parametros_manuales!$D$29*('Plan mensual'!M79+'Plan mensual'!M190+IF(parametros_manuales!$H$29="Todos",'Plan mensual'!M83+'Plan mensual'!M194,0))+parametros_manuales!$E$29*('Plan mensual'!M80+'Plan mensual'!M191+IF(parametros_manuales!$H$29="Todos",'Plan mensual'!M84+'Plan mensual'!M195,0))+parametros_manuales!$F$29*('Plan mensual'!M81+'Plan mensual'!M192+IF(parametros_manuales!$H$29="Todos",'Plan mensual'!M85+'Plan mensual'!M196,0))+parametros_manuales!$G$29*('Plan mensual'!M82+'Plan mensual'!M193+IF(parametros_manuales!$H$29="Todos",'Plan mensual'!M86+'Plan mensual'!M197,0)))*parametros_manuales!$I$29*parametros_manuales!$J$29</f>
        <v>16361.140218675</v>
      </c>
      <c r="L201" s="9" t="n">
        <f aca="false">(parametros_manuales!$D$29*('Plan mensual'!N79+'Plan mensual'!N190+IF(parametros_manuales!$H$29="Todos",'Plan mensual'!N83+'Plan mensual'!N194,0))+parametros_manuales!$E$29*('Plan mensual'!N80+'Plan mensual'!N191+IF(parametros_manuales!$H$29="Todos",'Plan mensual'!N84+'Plan mensual'!N195,0))+parametros_manuales!$F$29*('Plan mensual'!N81+'Plan mensual'!N192+IF(parametros_manuales!$H$29="Todos",'Plan mensual'!N85+'Plan mensual'!N196,0))+parametros_manuales!$G$29*('Plan mensual'!N82+'Plan mensual'!N193+IF(parametros_manuales!$H$29="Todos",'Plan mensual'!N86+'Plan mensual'!N197,0)))*parametros_manuales!$I$29*parametros_manuales!$J$29</f>
        <v>16051.06292983</v>
      </c>
      <c r="M201" s="9" t="n">
        <f aca="false">(parametros_manuales!$D$29*('Plan mensual'!O79+'Plan mensual'!O190+IF(parametros_manuales!$H$29="Todos",'Plan mensual'!O83+'Plan mensual'!O194,0))+parametros_manuales!$E$29*('Plan mensual'!O80+'Plan mensual'!O191+IF(parametros_manuales!$H$29="Todos",'Plan mensual'!O84+'Plan mensual'!O195,0))+parametros_manuales!$F$29*('Plan mensual'!O81+'Plan mensual'!O192+IF(parametros_manuales!$H$29="Todos",'Plan mensual'!O85+'Plan mensual'!O196,0))+parametros_manuales!$G$29*('Plan mensual'!O82+'Plan mensual'!O193+IF(parametros_manuales!$H$29="Todos",'Plan mensual'!O86+'Plan mensual'!O197,0)))*parametros_manuales!$I$29*parametros_manuales!$J$29</f>
        <v>25557.66977219</v>
      </c>
      <c r="N201" s="9" t="n">
        <f aca="false">SUM(B201:M201)</f>
        <v>218148.536249</v>
      </c>
      <c r="O201" s="9" t="n">
        <f aca="false">MAX(B201:M201)</f>
        <v>25557.66977219</v>
      </c>
      <c r="P201" s="44" t="n">
        <f aca="false">O201/(parametros_manuales!$B$7)</f>
        <v>170.384465147933</v>
      </c>
      <c r="Q201" s="8" t="str">
        <f aca="false">IF(O201=0,"-",INDEX($B$190:$M$190,MATCH(O201,B201:M201,0)))</f>
        <v>Dic</v>
      </c>
    </row>
    <row r="202" customFormat="false" ht="14.25" hidden="false" customHeight="true" outlineLevel="0" collapsed="false">
      <c r="A202" s="8" t="str">
        <f aca="false">parametros_manuales!$B$30</f>
        <v>Soldadura circunferencial de cúpula y fondo</v>
      </c>
      <c r="B202" s="9" t="n">
        <f aca="false">(parametros_manuales!$D$30*('Plan mensual'!D79+'Plan mensual'!D190+IF(parametros_manuales!$H$30="Todos",'Plan mensual'!D83+'Plan mensual'!D194,0))+parametros_manuales!$E$30*('Plan mensual'!D80+'Plan mensual'!D191+IF(parametros_manuales!$H$30="Todos",'Plan mensual'!D84+'Plan mensual'!D195,0))+parametros_manuales!$F$30*('Plan mensual'!D81+'Plan mensual'!D192+IF(parametros_manuales!$H$30="Todos",'Plan mensual'!D85+'Plan mensual'!D196,0))+parametros_manuales!$G$30*('Plan mensual'!D82+'Plan mensual'!D193+IF(parametros_manuales!$H$30="Todos",'Plan mensual'!D86+'Plan mensual'!D197,0)))*parametros_manuales!$I$30*parametros_manuales!$J$30</f>
        <v>24937.5151945</v>
      </c>
      <c r="C202" s="9" t="n">
        <f aca="false">(parametros_manuales!$D$30*('Plan mensual'!E79+'Plan mensual'!E190+IF(parametros_manuales!$H$30="Todos",'Plan mensual'!E83+'Plan mensual'!E194,0))+parametros_manuales!$E$30*('Plan mensual'!E80+'Plan mensual'!E191+IF(parametros_manuales!$H$30="Todos",'Plan mensual'!E84+'Plan mensual'!E195,0))+parametros_manuales!$F$30*('Plan mensual'!E81+'Plan mensual'!E192+IF(parametros_manuales!$H$30="Todos",'Plan mensual'!E85+'Plan mensual'!E196,0))+parametros_manuales!$G$30*('Plan mensual'!E82+'Plan mensual'!E193+IF(parametros_manuales!$H$30="Todos",'Plan mensual'!E86+'Plan mensual'!E197,0)))*parametros_manuales!$I$30*parametros_manuales!$J$30</f>
        <v>19013.21368472</v>
      </c>
      <c r="D202" s="9" t="n">
        <f aca="false">(parametros_manuales!$D$30*('Plan mensual'!F79+'Plan mensual'!F190+IF(parametros_manuales!$H$30="Todos",'Plan mensual'!F83+'Plan mensual'!F194,0))+parametros_manuales!$E$30*('Plan mensual'!F80+'Plan mensual'!F191+IF(parametros_manuales!$H$30="Todos",'Plan mensual'!F84+'Plan mensual'!F195,0))+parametros_manuales!$F$30*('Plan mensual'!F81+'Plan mensual'!F192+IF(parametros_manuales!$H$30="Todos",'Plan mensual'!F85+'Plan mensual'!F196,0))+parametros_manuales!$G$30*('Plan mensual'!F82+'Plan mensual'!F193+IF(parametros_manuales!$H$30="Todos",'Plan mensual'!F86+'Plan mensual'!F197,0)))*parametros_manuales!$I$30*parametros_manuales!$J$30</f>
        <v>17761.960188765</v>
      </c>
      <c r="E202" s="9" t="n">
        <f aca="false">(parametros_manuales!$D$30*('Plan mensual'!G79+'Plan mensual'!G190+IF(parametros_manuales!$H$30="Todos",'Plan mensual'!G83+'Plan mensual'!G194,0))+parametros_manuales!$E$30*('Plan mensual'!G80+'Plan mensual'!G191+IF(parametros_manuales!$H$30="Todos",'Plan mensual'!G84+'Plan mensual'!G195,0))+parametros_manuales!$F$30*('Plan mensual'!G81+'Plan mensual'!G192+IF(parametros_manuales!$H$30="Todos",'Plan mensual'!G85+'Plan mensual'!G196,0))+parametros_manuales!$G$30*('Plan mensual'!G82+'Plan mensual'!G193+IF(parametros_manuales!$H$30="Todos",'Plan mensual'!G86+'Plan mensual'!G197,0)))*parametros_manuales!$I$30*parametros_manuales!$J$30</f>
        <v>16981.294796365</v>
      </c>
      <c r="F202" s="9" t="n">
        <f aca="false">(parametros_manuales!$D$30*('Plan mensual'!H79+'Plan mensual'!H190+IF(parametros_manuales!$H$30="Todos",'Plan mensual'!H83+'Plan mensual'!H194,0))+parametros_manuales!$E$30*('Plan mensual'!H80+'Plan mensual'!H191+IF(parametros_manuales!$H$30="Todos",'Plan mensual'!H84+'Plan mensual'!H195,0))+parametros_manuales!$F$30*('Plan mensual'!H81+'Plan mensual'!H192+IF(parametros_manuales!$H$30="Todos",'Plan mensual'!H85+'Plan mensual'!H196,0))+parametros_manuales!$G$30*('Plan mensual'!H82+'Plan mensual'!H193+IF(parametros_manuales!$H$30="Todos",'Plan mensual'!H86+'Plan mensual'!H197,0)))*parametros_manuales!$I$30*parametros_manuales!$J$30</f>
        <v>15890.55211512</v>
      </c>
      <c r="G202" s="9" t="n">
        <f aca="false">(parametros_manuales!$D$30*('Plan mensual'!I79+'Plan mensual'!I190+IF(parametros_manuales!$H$30="Todos",'Plan mensual'!I83+'Plan mensual'!I194,0))+parametros_manuales!$E$30*('Plan mensual'!I80+'Plan mensual'!I191+IF(parametros_manuales!$H$30="Todos",'Plan mensual'!I84+'Plan mensual'!I195,0))+parametros_manuales!$F$30*('Plan mensual'!I81+'Plan mensual'!I192+IF(parametros_manuales!$H$30="Todos",'Plan mensual'!I85+'Plan mensual'!I196,0))+parametros_manuales!$G$30*('Plan mensual'!I82+'Plan mensual'!I193+IF(parametros_manuales!$H$30="Todos",'Plan mensual'!I86+'Plan mensual'!I197,0)))*parametros_manuales!$I$30*parametros_manuales!$J$30</f>
        <v>15580.474826275</v>
      </c>
      <c r="H202" s="9" t="n">
        <f aca="false">(parametros_manuales!$D$30*('Plan mensual'!J79+'Plan mensual'!J190+IF(parametros_manuales!$H$30="Todos",'Plan mensual'!J83+'Plan mensual'!J194,0))+parametros_manuales!$E$30*('Plan mensual'!J80+'Plan mensual'!J191+IF(parametros_manuales!$H$30="Todos",'Plan mensual'!J84+'Plan mensual'!J195,0))+parametros_manuales!$F$30*('Plan mensual'!J81+'Plan mensual'!J192+IF(parametros_manuales!$H$30="Todos",'Plan mensual'!J85+'Plan mensual'!J196,0))+parametros_manuales!$G$30*('Plan mensual'!J82+'Plan mensual'!J193+IF(parametros_manuales!$H$30="Todos",'Plan mensual'!J86+'Plan mensual'!J197,0)))*parametros_manuales!$I$30*parametros_manuales!$J$30</f>
        <v>16671.21750752</v>
      </c>
      <c r="I202" s="9" t="n">
        <f aca="false">(parametros_manuales!$D$30*('Plan mensual'!K79+'Plan mensual'!K190+IF(parametros_manuales!$H$30="Todos",'Plan mensual'!K83+'Plan mensual'!K194,0))+parametros_manuales!$E$30*('Plan mensual'!K80+'Plan mensual'!K191+IF(parametros_manuales!$H$30="Todos",'Plan mensual'!K84+'Plan mensual'!K195,0))+parametros_manuales!$F$30*('Plan mensual'!K81+'Plan mensual'!K192+IF(parametros_manuales!$H$30="Todos",'Plan mensual'!K85+'Plan mensual'!K196,0))+parametros_manuales!$G$30*('Plan mensual'!K82+'Plan mensual'!K193+IF(parametros_manuales!$H$30="Todos",'Plan mensual'!K86+'Plan mensual'!K197,0)))*parametros_manuales!$I$30*parametros_manuales!$J$30</f>
        <v>16671.21750752</v>
      </c>
      <c r="J202" s="9" t="n">
        <f aca="false">(parametros_manuales!$D$30*('Plan mensual'!L79+'Plan mensual'!L190+IF(parametros_manuales!$H$30="Todos",'Plan mensual'!L83+'Plan mensual'!L194,0))+parametros_manuales!$E$30*('Plan mensual'!L80+'Plan mensual'!L191+IF(parametros_manuales!$H$30="Todos",'Plan mensual'!L84+'Plan mensual'!L195,0))+parametros_manuales!$F$30*('Plan mensual'!L81+'Plan mensual'!L192+IF(parametros_manuales!$H$30="Todos",'Plan mensual'!L85+'Plan mensual'!L196,0))+parametros_manuales!$G$30*('Plan mensual'!L82+'Plan mensual'!L193+IF(parametros_manuales!$H$30="Todos",'Plan mensual'!L86+'Plan mensual'!L197,0)))*parametros_manuales!$I$30*parametros_manuales!$J$30</f>
        <v>16671.21750752</v>
      </c>
      <c r="K202" s="9" t="n">
        <f aca="false">(parametros_manuales!$D$30*('Plan mensual'!M79+'Plan mensual'!M190+IF(parametros_manuales!$H$30="Todos",'Plan mensual'!M83+'Plan mensual'!M194,0))+parametros_manuales!$E$30*('Plan mensual'!M80+'Plan mensual'!M191+IF(parametros_manuales!$H$30="Todos",'Plan mensual'!M84+'Plan mensual'!M195,0))+parametros_manuales!$F$30*('Plan mensual'!M81+'Plan mensual'!M192+IF(parametros_manuales!$H$30="Todos",'Plan mensual'!M85+'Plan mensual'!M196,0))+parametros_manuales!$G$30*('Plan mensual'!M82+'Plan mensual'!M193+IF(parametros_manuales!$H$30="Todos",'Plan mensual'!M86+'Plan mensual'!M197,0)))*parametros_manuales!$I$30*parametros_manuales!$J$30</f>
        <v>16361.140218675</v>
      </c>
      <c r="L202" s="9" t="n">
        <f aca="false">(parametros_manuales!$D$30*('Plan mensual'!N79+'Plan mensual'!N190+IF(parametros_manuales!$H$30="Todos",'Plan mensual'!N83+'Plan mensual'!N194,0))+parametros_manuales!$E$30*('Plan mensual'!N80+'Plan mensual'!N191+IF(parametros_manuales!$H$30="Todos",'Plan mensual'!N84+'Plan mensual'!N195,0))+parametros_manuales!$F$30*('Plan mensual'!N81+'Plan mensual'!N192+IF(parametros_manuales!$H$30="Todos",'Plan mensual'!N85+'Plan mensual'!N196,0))+parametros_manuales!$G$30*('Plan mensual'!N82+'Plan mensual'!N193+IF(parametros_manuales!$H$30="Todos",'Plan mensual'!N86+'Plan mensual'!N197,0)))*parametros_manuales!$I$30*parametros_manuales!$J$30</f>
        <v>16051.06292983</v>
      </c>
      <c r="M202" s="9" t="n">
        <f aca="false">(parametros_manuales!$D$30*('Plan mensual'!O79+'Plan mensual'!O190+IF(parametros_manuales!$H$30="Todos",'Plan mensual'!O83+'Plan mensual'!O194,0))+parametros_manuales!$E$30*('Plan mensual'!O80+'Plan mensual'!O191+IF(parametros_manuales!$H$30="Todos",'Plan mensual'!O84+'Plan mensual'!O195,0))+parametros_manuales!$F$30*('Plan mensual'!O81+'Plan mensual'!O192+IF(parametros_manuales!$H$30="Todos",'Plan mensual'!O85+'Plan mensual'!O196,0))+parametros_manuales!$G$30*('Plan mensual'!O82+'Plan mensual'!O193+IF(parametros_manuales!$H$30="Todos",'Plan mensual'!O86+'Plan mensual'!O197,0)))*parametros_manuales!$I$30*parametros_manuales!$J$30</f>
        <v>25557.66977219</v>
      </c>
      <c r="N202" s="9" t="n">
        <f aca="false">SUM(B202:M202)</f>
        <v>218148.536249</v>
      </c>
      <c r="O202" s="9" t="n">
        <f aca="false">MAX(B202:M202)</f>
        <v>25557.66977219</v>
      </c>
      <c r="P202" s="44" t="n">
        <f aca="false">O202/(parametros_manuales!$B$7)</f>
        <v>170.384465147933</v>
      </c>
      <c r="Q202" s="8" t="str">
        <f aca="false">IF(O202=0,"-",INDEX($B$190:$M$190,MATCH(O202,B202:M202,0)))</f>
        <v>Dic</v>
      </c>
    </row>
    <row r="203" customFormat="false" ht="14.25" hidden="false" customHeight="true" outlineLevel="0" collapsed="false">
      <c r="A203" s="8" t="str">
        <f aca="false">parametros_manuales!$B$31</f>
        <v>Control de calidad — Espesor</v>
      </c>
      <c r="B203" s="9" t="n">
        <f aca="false">(parametros_manuales!$D$31*('Plan mensual'!D79+'Plan mensual'!D190+IF(parametros_manuales!$H$31="Todos",'Plan mensual'!D83+'Plan mensual'!D194,0))+parametros_manuales!$E$31*('Plan mensual'!D80+'Plan mensual'!D191+IF(parametros_manuales!$H$31="Todos",'Plan mensual'!D84+'Plan mensual'!D195,0))+parametros_manuales!$F$31*('Plan mensual'!D81+'Plan mensual'!D192+IF(parametros_manuales!$H$31="Todos",'Plan mensual'!D85+'Plan mensual'!D196,0))+parametros_manuales!$G$31*('Plan mensual'!D82+'Plan mensual'!D193+IF(parametros_manuales!$H$31="Todos",'Plan mensual'!D86+'Plan mensual'!D197,0)))*parametros_manuales!$I$31*parametros_manuales!$J$31</f>
        <v>498.75030389</v>
      </c>
      <c r="C203" s="9" t="n">
        <f aca="false">(parametros_manuales!$D$31*('Plan mensual'!E79+'Plan mensual'!E190+IF(parametros_manuales!$H$31="Todos",'Plan mensual'!E83+'Plan mensual'!E194,0))+parametros_manuales!$E$31*('Plan mensual'!E80+'Plan mensual'!E191+IF(parametros_manuales!$H$31="Todos",'Plan mensual'!E84+'Plan mensual'!E195,0))+parametros_manuales!$F$31*('Plan mensual'!E81+'Plan mensual'!E192+IF(parametros_manuales!$H$31="Todos",'Plan mensual'!E85+'Plan mensual'!E196,0))+parametros_manuales!$G$31*('Plan mensual'!E82+'Plan mensual'!E193+IF(parametros_manuales!$H$31="Todos",'Plan mensual'!E86+'Plan mensual'!E197,0)))*parametros_manuales!$I$31*parametros_manuales!$J$31</f>
        <v>380.2642736944</v>
      </c>
      <c r="D203" s="9" t="n">
        <f aca="false">(parametros_manuales!$D$31*('Plan mensual'!F79+'Plan mensual'!F190+IF(parametros_manuales!$H$31="Todos",'Plan mensual'!F83+'Plan mensual'!F194,0))+parametros_manuales!$E$31*('Plan mensual'!F80+'Plan mensual'!F191+IF(parametros_manuales!$H$31="Todos",'Plan mensual'!F84+'Plan mensual'!F195,0))+parametros_manuales!$F$31*('Plan mensual'!F81+'Plan mensual'!F192+IF(parametros_manuales!$H$31="Todos",'Plan mensual'!F85+'Plan mensual'!F196,0))+parametros_manuales!$G$31*('Plan mensual'!F82+'Plan mensual'!F193+IF(parametros_manuales!$H$31="Todos",'Plan mensual'!F86+'Plan mensual'!F197,0)))*parametros_manuales!$I$31*parametros_manuales!$J$31</f>
        <v>355.2392037753</v>
      </c>
      <c r="E203" s="9" t="n">
        <f aca="false">(parametros_manuales!$D$31*('Plan mensual'!G79+'Plan mensual'!G190+IF(parametros_manuales!$H$31="Todos",'Plan mensual'!G83+'Plan mensual'!G194,0))+parametros_manuales!$E$31*('Plan mensual'!G80+'Plan mensual'!G191+IF(parametros_manuales!$H$31="Todos",'Plan mensual'!G84+'Plan mensual'!G195,0))+parametros_manuales!$F$31*('Plan mensual'!G81+'Plan mensual'!G192+IF(parametros_manuales!$H$31="Todos",'Plan mensual'!G85+'Plan mensual'!G196,0))+parametros_manuales!$G$31*('Plan mensual'!G82+'Plan mensual'!G193+IF(parametros_manuales!$H$31="Todos",'Plan mensual'!G86+'Plan mensual'!G197,0)))*parametros_manuales!$I$31*parametros_manuales!$J$31</f>
        <v>339.6258959273</v>
      </c>
      <c r="F203" s="9" t="n">
        <f aca="false">(parametros_manuales!$D$31*('Plan mensual'!H79+'Plan mensual'!H190+IF(parametros_manuales!$H$31="Todos",'Plan mensual'!H83+'Plan mensual'!H194,0))+parametros_manuales!$E$31*('Plan mensual'!H80+'Plan mensual'!H191+IF(parametros_manuales!$H$31="Todos",'Plan mensual'!H84+'Plan mensual'!H195,0))+parametros_manuales!$F$31*('Plan mensual'!H81+'Plan mensual'!H192+IF(parametros_manuales!$H$31="Todos",'Plan mensual'!H85+'Plan mensual'!H196,0))+parametros_manuales!$G$31*('Plan mensual'!H82+'Plan mensual'!H193+IF(parametros_manuales!$H$31="Todos",'Plan mensual'!H86+'Plan mensual'!H197,0)))*parametros_manuales!$I$31*parametros_manuales!$J$31</f>
        <v>317.8110423024</v>
      </c>
      <c r="G203" s="9" t="n">
        <f aca="false">(parametros_manuales!$D$31*('Plan mensual'!I79+'Plan mensual'!I190+IF(parametros_manuales!$H$31="Todos",'Plan mensual'!I83+'Plan mensual'!I194,0))+parametros_manuales!$E$31*('Plan mensual'!I80+'Plan mensual'!I191+IF(parametros_manuales!$H$31="Todos",'Plan mensual'!I84+'Plan mensual'!I195,0))+parametros_manuales!$F$31*('Plan mensual'!I81+'Plan mensual'!I192+IF(parametros_manuales!$H$31="Todos",'Plan mensual'!I85+'Plan mensual'!I196,0))+parametros_manuales!$G$31*('Plan mensual'!I82+'Plan mensual'!I193+IF(parametros_manuales!$H$31="Todos",'Plan mensual'!I86+'Plan mensual'!I197,0)))*parametros_manuales!$I$31*parametros_manuales!$J$31</f>
        <v>311.6094965255</v>
      </c>
      <c r="H203" s="9" t="n">
        <f aca="false">(parametros_manuales!$D$31*('Plan mensual'!J79+'Plan mensual'!J190+IF(parametros_manuales!$H$31="Todos",'Plan mensual'!J83+'Plan mensual'!J194,0))+parametros_manuales!$E$31*('Plan mensual'!J80+'Plan mensual'!J191+IF(parametros_manuales!$H$31="Todos",'Plan mensual'!J84+'Plan mensual'!J195,0))+parametros_manuales!$F$31*('Plan mensual'!J81+'Plan mensual'!J192+IF(parametros_manuales!$H$31="Todos",'Plan mensual'!J85+'Plan mensual'!J196,0))+parametros_manuales!$G$31*('Plan mensual'!J82+'Plan mensual'!J193+IF(parametros_manuales!$H$31="Todos",'Plan mensual'!J86+'Plan mensual'!J197,0)))*parametros_manuales!$I$31*parametros_manuales!$J$31</f>
        <v>333.4243501504</v>
      </c>
      <c r="I203" s="9" t="n">
        <f aca="false">(parametros_manuales!$D$31*('Plan mensual'!K79+'Plan mensual'!K190+IF(parametros_manuales!$H$31="Todos",'Plan mensual'!K83+'Plan mensual'!K194,0))+parametros_manuales!$E$31*('Plan mensual'!K80+'Plan mensual'!K191+IF(parametros_manuales!$H$31="Todos",'Plan mensual'!K84+'Plan mensual'!K195,0))+parametros_manuales!$F$31*('Plan mensual'!K81+'Plan mensual'!K192+IF(parametros_manuales!$H$31="Todos",'Plan mensual'!K85+'Plan mensual'!K196,0))+parametros_manuales!$G$31*('Plan mensual'!K82+'Plan mensual'!K193+IF(parametros_manuales!$H$31="Todos",'Plan mensual'!K86+'Plan mensual'!K197,0)))*parametros_manuales!$I$31*parametros_manuales!$J$31</f>
        <v>333.4243501504</v>
      </c>
      <c r="J203" s="9" t="n">
        <f aca="false">(parametros_manuales!$D$31*('Plan mensual'!L79+'Plan mensual'!L190+IF(parametros_manuales!$H$31="Todos",'Plan mensual'!L83+'Plan mensual'!L194,0))+parametros_manuales!$E$31*('Plan mensual'!L80+'Plan mensual'!L191+IF(parametros_manuales!$H$31="Todos",'Plan mensual'!L84+'Plan mensual'!L195,0))+parametros_manuales!$F$31*('Plan mensual'!L81+'Plan mensual'!L192+IF(parametros_manuales!$H$31="Todos",'Plan mensual'!L85+'Plan mensual'!L196,0))+parametros_manuales!$G$31*('Plan mensual'!L82+'Plan mensual'!L193+IF(parametros_manuales!$H$31="Todos",'Plan mensual'!L86+'Plan mensual'!L197,0)))*parametros_manuales!$I$31*parametros_manuales!$J$31</f>
        <v>333.4243501504</v>
      </c>
      <c r="K203" s="9" t="n">
        <f aca="false">(parametros_manuales!$D$31*('Plan mensual'!M79+'Plan mensual'!M190+IF(parametros_manuales!$H$31="Todos",'Plan mensual'!M83+'Plan mensual'!M194,0))+parametros_manuales!$E$31*('Plan mensual'!M80+'Plan mensual'!M191+IF(parametros_manuales!$H$31="Todos",'Plan mensual'!M84+'Plan mensual'!M195,0))+parametros_manuales!$F$31*('Plan mensual'!M81+'Plan mensual'!M192+IF(parametros_manuales!$H$31="Todos",'Plan mensual'!M85+'Plan mensual'!M196,0))+parametros_manuales!$G$31*('Plan mensual'!M82+'Plan mensual'!M193+IF(parametros_manuales!$H$31="Todos",'Plan mensual'!M86+'Plan mensual'!M197,0)))*parametros_manuales!$I$31*parametros_manuales!$J$31</f>
        <v>327.2228043735</v>
      </c>
      <c r="L203" s="9" t="n">
        <f aca="false">(parametros_manuales!$D$31*('Plan mensual'!N79+'Plan mensual'!N190+IF(parametros_manuales!$H$31="Todos",'Plan mensual'!N83+'Plan mensual'!N194,0))+parametros_manuales!$E$31*('Plan mensual'!N80+'Plan mensual'!N191+IF(parametros_manuales!$H$31="Todos",'Plan mensual'!N84+'Plan mensual'!N195,0))+parametros_manuales!$F$31*('Plan mensual'!N81+'Plan mensual'!N192+IF(parametros_manuales!$H$31="Todos",'Plan mensual'!N85+'Plan mensual'!N196,0))+parametros_manuales!$G$31*('Plan mensual'!N82+'Plan mensual'!N193+IF(parametros_manuales!$H$31="Todos",'Plan mensual'!N86+'Plan mensual'!N197,0)))*parametros_manuales!$I$31*parametros_manuales!$J$31</f>
        <v>321.0212585966</v>
      </c>
      <c r="M203" s="9" t="n">
        <f aca="false">(parametros_manuales!$D$31*('Plan mensual'!O79+'Plan mensual'!O190+IF(parametros_manuales!$H$31="Todos",'Plan mensual'!O83+'Plan mensual'!O194,0))+parametros_manuales!$E$31*('Plan mensual'!O80+'Plan mensual'!O191+IF(parametros_manuales!$H$31="Todos",'Plan mensual'!O84+'Plan mensual'!O195,0))+parametros_manuales!$F$31*('Plan mensual'!O81+'Plan mensual'!O192+IF(parametros_manuales!$H$31="Todos",'Plan mensual'!O85+'Plan mensual'!O196,0))+parametros_manuales!$G$31*('Plan mensual'!O82+'Plan mensual'!O193+IF(parametros_manuales!$H$31="Todos",'Plan mensual'!O86+'Plan mensual'!O197,0)))*parametros_manuales!$I$31*parametros_manuales!$J$31</f>
        <v>511.1533954438</v>
      </c>
      <c r="N203" s="9" t="n">
        <f aca="false">SUM(B203:M203)</f>
        <v>4362.97072498</v>
      </c>
      <c r="O203" s="9" t="n">
        <f aca="false">MAX(B203:M203)</f>
        <v>511.1533954438</v>
      </c>
      <c r="P203" s="44" t="n">
        <f aca="false">O203/(parametros_manuales!$B$7)</f>
        <v>3.40768930295867</v>
      </c>
      <c r="Q203" s="8" t="str">
        <f aca="false">IF(O203=0,"-",INDEX($B$190:$M$190,MATCH(O203,B203:M203,0)))</f>
        <v>Dic</v>
      </c>
    </row>
    <row r="204" customFormat="false" ht="14.25" hidden="false" customHeight="true" outlineLevel="0" collapsed="false">
      <c r="A204" s="8" t="str">
        <f aca="false">parametros_manuales!$B$32</f>
        <v>Prueba hidráulica</v>
      </c>
      <c r="B204" s="9" t="n">
        <f aca="false">(parametros_manuales!$D$32*('Plan mensual'!D79+'Plan mensual'!D190+IF(parametros_manuales!$H$32="Todos",'Plan mensual'!D83+'Plan mensual'!D194,0))+parametros_manuales!$E$32*('Plan mensual'!D80+'Plan mensual'!D191+IF(parametros_manuales!$H$32="Todos",'Plan mensual'!D84+'Plan mensual'!D195,0))+parametros_manuales!$F$32*('Plan mensual'!D81+'Plan mensual'!D192+IF(parametros_manuales!$H$32="Todos",'Plan mensual'!D85+'Plan mensual'!D196,0))+parametros_manuales!$G$32*('Plan mensual'!D82+'Plan mensual'!D193+IF(parametros_manuales!$H$32="Todos",'Plan mensual'!D86+'Plan mensual'!D197,0)))*parametros_manuales!$I$32*parametros_manuales!$J$32</f>
        <v>24937.5151945</v>
      </c>
      <c r="C204" s="9" t="n">
        <f aca="false">(parametros_manuales!$D$32*('Plan mensual'!E79+'Plan mensual'!E190+IF(parametros_manuales!$H$32="Todos",'Plan mensual'!E83+'Plan mensual'!E194,0))+parametros_manuales!$E$32*('Plan mensual'!E80+'Plan mensual'!E191+IF(parametros_manuales!$H$32="Todos",'Plan mensual'!E84+'Plan mensual'!E195,0))+parametros_manuales!$F$32*('Plan mensual'!E81+'Plan mensual'!E192+IF(parametros_manuales!$H$32="Todos",'Plan mensual'!E85+'Plan mensual'!E196,0))+parametros_manuales!$G$32*('Plan mensual'!E82+'Plan mensual'!E193+IF(parametros_manuales!$H$32="Todos",'Plan mensual'!E86+'Plan mensual'!E197,0)))*parametros_manuales!$I$32*parametros_manuales!$J$32</f>
        <v>19013.21368472</v>
      </c>
      <c r="D204" s="9" t="n">
        <f aca="false">(parametros_manuales!$D$32*('Plan mensual'!F79+'Plan mensual'!F190+IF(parametros_manuales!$H$32="Todos",'Plan mensual'!F83+'Plan mensual'!F194,0))+parametros_manuales!$E$32*('Plan mensual'!F80+'Plan mensual'!F191+IF(parametros_manuales!$H$32="Todos",'Plan mensual'!F84+'Plan mensual'!F195,0))+parametros_manuales!$F$32*('Plan mensual'!F81+'Plan mensual'!F192+IF(parametros_manuales!$H$32="Todos",'Plan mensual'!F85+'Plan mensual'!F196,0))+parametros_manuales!$G$32*('Plan mensual'!F82+'Plan mensual'!F193+IF(parametros_manuales!$H$32="Todos",'Plan mensual'!F86+'Plan mensual'!F197,0)))*parametros_manuales!$I$32*parametros_manuales!$J$32</f>
        <v>17761.960188765</v>
      </c>
      <c r="E204" s="9" t="n">
        <f aca="false">(parametros_manuales!$D$32*('Plan mensual'!G79+'Plan mensual'!G190+IF(parametros_manuales!$H$32="Todos",'Plan mensual'!G83+'Plan mensual'!G194,0))+parametros_manuales!$E$32*('Plan mensual'!G80+'Plan mensual'!G191+IF(parametros_manuales!$H$32="Todos",'Plan mensual'!G84+'Plan mensual'!G195,0))+parametros_manuales!$F$32*('Plan mensual'!G81+'Plan mensual'!G192+IF(parametros_manuales!$H$32="Todos",'Plan mensual'!G85+'Plan mensual'!G196,0))+parametros_manuales!$G$32*('Plan mensual'!G82+'Plan mensual'!G193+IF(parametros_manuales!$H$32="Todos",'Plan mensual'!G86+'Plan mensual'!G197,0)))*parametros_manuales!$I$32*parametros_manuales!$J$32</f>
        <v>16981.294796365</v>
      </c>
      <c r="F204" s="9" t="n">
        <f aca="false">(parametros_manuales!$D$32*('Plan mensual'!H79+'Plan mensual'!H190+IF(parametros_manuales!$H$32="Todos",'Plan mensual'!H83+'Plan mensual'!H194,0))+parametros_manuales!$E$32*('Plan mensual'!H80+'Plan mensual'!H191+IF(parametros_manuales!$H$32="Todos",'Plan mensual'!H84+'Plan mensual'!H195,0))+parametros_manuales!$F$32*('Plan mensual'!H81+'Plan mensual'!H192+IF(parametros_manuales!$H$32="Todos",'Plan mensual'!H85+'Plan mensual'!H196,0))+parametros_manuales!$G$32*('Plan mensual'!H82+'Plan mensual'!H193+IF(parametros_manuales!$H$32="Todos",'Plan mensual'!H86+'Plan mensual'!H197,0)))*parametros_manuales!$I$32*parametros_manuales!$J$32</f>
        <v>15890.55211512</v>
      </c>
      <c r="G204" s="9" t="n">
        <f aca="false">(parametros_manuales!$D$32*('Plan mensual'!I79+'Plan mensual'!I190+IF(parametros_manuales!$H$32="Todos",'Plan mensual'!I83+'Plan mensual'!I194,0))+parametros_manuales!$E$32*('Plan mensual'!I80+'Plan mensual'!I191+IF(parametros_manuales!$H$32="Todos",'Plan mensual'!I84+'Plan mensual'!I195,0))+parametros_manuales!$F$32*('Plan mensual'!I81+'Plan mensual'!I192+IF(parametros_manuales!$H$32="Todos",'Plan mensual'!I85+'Plan mensual'!I196,0))+parametros_manuales!$G$32*('Plan mensual'!I82+'Plan mensual'!I193+IF(parametros_manuales!$H$32="Todos",'Plan mensual'!I86+'Plan mensual'!I197,0)))*parametros_manuales!$I$32*parametros_manuales!$J$32</f>
        <v>15580.474826275</v>
      </c>
      <c r="H204" s="9" t="n">
        <f aca="false">(parametros_manuales!$D$32*('Plan mensual'!J79+'Plan mensual'!J190+IF(parametros_manuales!$H$32="Todos",'Plan mensual'!J83+'Plan mensual'!J194,0))+parametros_manuales!$E$32*('Plan mensual'!J80+'Plan mensual'!J191+IF(parametros_manuales!$H$32="Todos",'Plan mensual'!J84+'Plan mensual'!J195,0))+parametros_manuales!$F$32*('Plan mensual'!J81+'Plan mensual'!J192+IF(parametros_manuales!$H$32="Todos",'Plan mensual'!J85+'Plan mensual'!J196,0))+parametros_manuales!$G$32*('Plan mensual'!J82+'Plan mensual'!J193+IF(parametros_manuales!$H$32="Todos",'Plan mensual'!J86+'Plan mensual'!J197,0)))*parametros_manuales!$I$32*parametros_manuales!$J$32</f>
        <v>16671.21750752</v>
      </c>
      <c r="I204" s="9" t="n">
        <f aca="false">(parametros_manuales!$D$32*('Plan mensual'!K79+'Plan mensual'!K190+IF(parametros_manuales!$H$32="Todos",'Plan mensual'!K83+'Plan mensual'!K194,0))+parametros_manuales!$E$32*('Plan mensual'!K80+'Plan mensual'!K191+IF(parametros_manuales!$H$32="Todos",'Plan mensual'!K84+'Plan mensual'!K195,0))+parametros_manuales!$F$32*('Plan mensual'!K81+'Plan mensual'!K192+IF(parametros_manuales!$H$32="Todos",'Plan mensual'!K85+'Plan mensual'!K196,0))+parametros_manuales!$G$32*('Plan mensual'!K82+'Plan mensual'!K193+IF(parametros_manuales!$H$32="Todos",'Plan mensual'!K86+'Plan mensual'!K197,0)))*parametros_manuales!$I$32*parametros_manuales!$J$32</f>
        <v>16671.21750752</v>
      </c>
      <c r="J204" s="9" t="n">
        <f aca="false">(parametros_manuales!$D$32*('Plan mensual'!L79+'Plan mensual'!L190+IF(parametros_manuales!$H$32="Todos",'Plan mensual'!L83+'Plan mensual'!L194,0))+parametros_manuales!$E$32*('Plan mensual'!L80+'Plan mensual'!L191+IF(parametros_manuales!$H$32="Todos",'Plan mensual'!L84+'Plan mensual'!L195,0))+parametros_manuales!$F$32*('Plan mensual'!L81+'Plan mensual'!L192+IF(parametros_manuales!$H$32="Todos",'Plan mensual'!L85+'Plan mensual'!L196,0))+parametros_manuales!$G$32*('Plan mensual'!L82+'Plan mensual'!L193+IF(parametros_manuales!$H$32="Todos",'Plan mensual'!L86+'Plan mensual'!L197,0)))*parametros_manuales!$I$32*parametros_manuales!$J$32</f>
        <v>16671.21750752</v>
      </c>
      <c r="K204" s="9" t="n">
        <f aca="false">(parametros_manuales!$D$32*('Plan mensual'!M79+'Plan mensual'!M190+IF(parametros_manuales!$H$32="Todos",'Plan mensual'!M83+'Plan mensual'!M194,0))+parametros_manuales!$E$32*('Plan mensual'!M80+'Plan mensual'!M191+IF(parametros_manuales!$H$32="Todos",'Plan mensual'!M84+'Plan mensual'!M195,0))+parametros_manuales!$F$32*('Plan mensual'!M81+'Plan mensual'!M192+IF(parametros_manuales!$H$32="Todos",'Plan mensual'!M85+'Plan mensual'!M196,0))+parametros_manuales!$G$32*('Plan mensual'!M82+'Plan mensual'!M193+IF(parametros_manuales!$H$32="Todos",'Plan mensual'!M86+'Plan mensual'!M197,0)))*parametros_manuales!$I$32*parametros_manuales!$J$32</f>
        <v>16361.140218675</v>
      </c>
      <c r="L204" s="9" t="n">
        <f aca="false">(parametros_manuales!$D$32*('Plan mensual'!N79+'Plan mensual'!N190+IF(parametros_manuales!$H$32="Todos",'Plan mensual'!N83+'Plan mensual'!N194,0))+parametros_manuales!$E$32*('Plan mensual'!N80+'Plan mensual'!N191+IF(parametros_manuales!$H$32="Todos",'Plan mensual'!N84+'Plan mensual'!N195,0))+parametros_manuales!$F$32*('Plan mensual'!N81+'Plan mensual'!N192+IF(parametros_manuales!$H$32="Todos",'Plan mensual'!N85+'Plan mensual'!N196,0))+parametros_manuales!$G$32*('Plan mensual'!N82+'Plan mensual'!N193+IF(parametros_manuales!$H$32="Todos",'Plan mensual'!N86+'Plan mensual'!N197,0)))*parametros_manuales!$I$32*parametros_manuales!$J$32</f>
        <v>16051.06292983</v>
      </c>
      <c r="M204" s="9" t="n">
        <f aca="false">(parametros_manuales!$D$32*('Plan mensual'!O79+'Plan mensual'!O190+IF(parametros_manuales!$H$32="Todos",'Plan mensual'!O83+'Plan mensual'!O194,0))+parametros_manuales!$E$32*('Plan mensual'!O80+'Plan mensual'!O191+IF(parametros_manuales!$H$32="Todos",'Plan mensual'!O84+'Plan mensual'!O195,0))+parametros_manuales!$F$32*('Plan mensual'!O81+'Plan mensual'!O192+IF(parametros_manuales!$H$32="Todos",'Plan mensual'!O85+'Plan mensual'!O196,0))+parametros_manuales!$G$32*('Plan mensual'!O82+'Plan mensual'!O193+IF(parametros_manuales!$H$32="Todos",'Plan mensual'!O86+'Plan mensual'!O197,0)))*parametros_manuales!$I$32*parametros_manuales!$J$32</f>
        <v>25557.66977219</v>
      </c>
      <c r="N204" s="9" t="n">
        <f aca="false">SUM(B204:M204)</f>
        <v>218148.536249</v>
      </c>
      <c r="O204" s="9" t="n">
        <f aca="false">MAX(B204:M204)</f>
        <v>25557.66977219</v>
      </c>
      <c r="P204" s="44" t="n">
        <f aca="false">O204/(parametros_manuales!$B$7)</f>
        <v>170.384465147933</v>
      </c>
      <c r="Q204" s="8" t="str">
        <f aca="false">IF(O204=0,"-",INDEX($B$190:$M$190,MATCH(O204,B204:M204,0)))</f>
        <v>Dic</v>
      </c>
    </row>
    <row r="205" customFormat="false" ht="14.25" hidden="false" customHeight="true" outlineLevel="0" collapsed="false">
      <c r="A205" s="8" t="str">
        <f aca="false">parametros_manuales!$B$33</f>
        <v>Secado</v>
      </c>
      <c r="B205" s="9" t="n">
        <f aca="false">(parametros_manuales!$D$33*('Plan mensual'!D79+'Plan mensual'!D190+IF(parametros_manuales!$H$33="Todos",'Plan mensual'!D83+'Plan mensual'!D194,0))+parametros_manuales!$E$33*('Plan mensual'!D80+'Plan mensual'!D191+IF(parametros_manuales!$H$33="Todos",'Plan mensual'!D84+'Plan mensual'!D195,0))+parametros_manuales!$F$33*('Plan mensual'!D81+'Plan mensual'!D192+IF(parametros_manuales!$H$33="Todos",'Plan mensual'!D85+'Plan mensual'!D196,0))+parametros_manuales!$G$33*('Plan mensual'!D82+'Plan mensual'!D193+IF(parametros_manuales!$H$33="Todos",'Plan mensual'!D86+'Plan mensual'!D197,0)))*parametros_manuales!$I$33*parametros_manuales!$J$33</f>
        <v>24937.5151945</v>
      </c>
      <c r="C205" s="9" t="n">
        <f aca="false">(parametros_manuales!$D$33*('Plan mensual'!E79+'Plan mensual'!E190+IF(parametros_manuales!$H$33="Todos",'Plan mensual'!E83+'Plan mensual'!E194,0))+parametros_manuales!$E$33*('Plan mensual'!E80+'Plan mensual'!E191+IF(parametros_manuales!$H$33="Todos",'Plan mensual'!E84+'Plan mensual'!E195,0))+parametros_manuales!$F$33*('Plan mensual'!E81+'Plan mensual'!E192+IF(parametros_manuales!$H$33="Todos",'Plan mensual'!E85+'Plan mensual'!E196,0))+parametros_manuales!$G$33*('Plan mensual'!E82+'Plan mensual'!E193+IF(parametros_manuales!$H$33="Todos",'Plan mensual'!E86+'Plan mensual'!E197,0)))*parametros_manuales!$I$33*parametros_manuales!$J$33</f>
        <v>19013.21368472</v>
      </c>
      <c r="D205" s="9" t="n">
        <f aca="false">(parametros_manuales!$D$33*('Plan mensual'!F79+'Plan mensual'!F190+IF(parametros_manuales!$H$33="Todos",'Plan mensual'!F83+'Plan mensual'!F194,0))+parametros_manuales!$E$33*('Plan mensual'!F80+'Plan mensual'!F191+IF(parametros_manuales!$H$33="Todos",'Plan mensual'!F84+'Plan mensual'!F195,0))+parametros_manuales!$F$33*('Plan mensual'!F81+'Plan mensual'!F192+IF(parametros_manuales!$H$33="Todos",'Plan mensual'!F85+'Plan mensual'!F196,0))+parametros_manuales!$G$33*('Plan mensual'!F82+'Plan mensual'!F193+IF(parametros_manuales!$H$33="Todos",'Plan mensual'!F86+'Plan mensual'!F197,0)))*parametros_manuales!$I$33*parametros_manuales!$J$33</f>
        <v>17761.960188765</v>
      </c>
      <c r="E205" s="9" t="n">
        <f aca="false">(parametros_manuales!$D$33*('Plan mensual'!G79+'Plan mensual'!G190+IF(parametros_manuales!$H$33="Todos",'Plan mensual'!G83+'Plan mensual'!G194,0))+parametros_manuales!$E$33*('Plan mensual'!G80+'Plan mensual'!G191+IF(parametros_manuales!$H$33="Todos",'Plan mensual'!G84+'Plan mensual'!G195,0))+parametros_manuales!$F$33*('Plan mensual'!G81+'Plan mensual'!G192+IF(parametros_manuales!$H$33="Todos",'Plan mensual'!G85+'Plan mensual'!G196,0))+parametros_manuales!$G$33*('Plan mensual'!G82+'Plan mensual'!G193+IF(parametros_manuales!$H$33="Todos",'Plan mensual'!G86+'Plan mensual'!G197,0)))*parametros_manuales!$I$33*parametros_manuales!$J$33</f>
        <v>16981.294796365</v>
      </c>
      <c r="F205" s="9" t="n">
        <f aca="false">(parametros_manuales!$D$33*('Plan mensual'!H79+'Plan mensual'!H190+IF(parametros_manuales!$H$33="Todos",'Plan mensual'!H83+'Plan mensual'!H194,0))+parametros_manuales!$E$33*('Plan mensual'!H80+'Plan mensual'!H191+IF(parametros_manuales!$H$33="Todos",'Plan mensual'!H84+'Plan mensual'!H195,0))+parametros_manuales!$F$33*('Plan mensual'!H81+'Plan mensual'!H192+IF(parametros_manuales!$H$33="Todos",'Plan mensual'!H85+'Plan mensual'!H196,0))+parametros_manuales!$G$33*('Plan mensual'!H82+'Plan mensual'!H193+IF(parametros_manuales!$H$33="Todos",'Plan mensual'!H86+'Plan mensual'!H197,0)))*parametros_manuales!$I$33*parametros_manuales!$J$33</f>
        <v>15890.55211512</v>
      </c>
      <c r="G205" s="9" t="n">
        <f aca="false">(parametros_manuales!$D$33*('Plan mensual'!I79+'Plan mensual'!I190+IF(parametros_manuales!$H$33="Todos",'Plan mensual'!I83+'Plan mensual'!I194,0))+parametros_manuales!$E$33*('Plan mensual'!I80+'Plan mensual'!I191+IF(parametros_manuales!$H$33="Todos",'Plan mensual'!I84+'Plan mensual'!I195,0))+parametros_manuales!$F$33*('Plan mensual'!I81+'Plan mensual'!I192+IF(parametros_manuales!$H$33="Todos",'Plan mensual'!I85+'Plan mensual'!I196,0))+parametros_manuales!$G$33*('Plan mensual'!I82+'Plan mensual'!I193+IF(parametros_manuales!$H$33="Todos",'Plan mensual'!I86+'Plan mensual'!I197,0)))*parametros_manuales!$I$33*parametros_manuales!$J$33</f>
        <v>15580.474826275</v>
      </c>
      <c r="H205" s="9" t="n">
        <f aca="false">(parametros_manuales!$D$33*('Plan mensual'!J79+'Plan mensual'!J190+IF(parametros_manuales!$H$33="Todos",'Plan mensual'!J83+'Plan mensual'!J194,0))+parametros_manuales!$E$33*('Plan mensual'!J80+'Plan mensual'!J191+IF(parametros_manuales!$H$33="Todos",'Plan mensual'!J84+'Plan mensual'!J195,0))+parametros_manuales!$F$33*('Plan mensual'!J81+'Plan mensual'!J192+IF(parametros_manuales!$H$33="Todos",'Plan mensual'!J85+'Plan mensual'!J196,0))+parametros_manuales!$G$33*('Plan mensual'!J82+'Plan mensual'!J193+IF(parametros_manuales!$H$33="Todos",'Plan mensual'!J86+'Plan mensual'!J197,0)))*parametros_manuales!$I$33*parametros_manuales!$J$33</f>
        <v>16671.21750752</v>
      </c>
      <c r="I205" s="9" t="n">
        <f aca="false">(parametros_manuales!$D$33*('Plan mensual'!K79+'Plan mensual'!K190+IF(parametros_manuales!$H$33="Todos",'Plan mensual'!K83+'Plan mensual'!K194,0))+parametros_manuales!$E$33*('Plan mensual'!K80+'Plan mensual'!K191+IF(parametros_manuales!$H$33="Todos",'Plan mensual'!K84+'Plan mensual'!K195,0))+parametros_manuales!$F$33*('Plan mensual'!K81+'Plan mensual'!K192+IF(parametros_manuales!$H$33="Todos",'Plan mensual'!K85+'Plan mensual'!K196,0))+parametros_manuales!$G$33*('Plan mensual'!K82+'Plan mensual'!K193+IF(parametros_manuales!$H$33="Todos",'Plan mensual'!K86+'Plan mensual'!K197,0)))*parametros_manuales!$I$33*parametros_manuales!$J$33</f>
        <v>16671.21750752</v>
      </c>
      <c r="J205" s="9" t="n">
        <f aca="false">(parametros_manuales!$D$33*('Plan mensual'!L79+'Plan mensual'!L190+IF(parametros_manuales!$H$33="Todos",'Plan mensual'!L83+'Plan mensual'!L194,0))+parametros_manuales!$E$33*('Plan mensual'!L80+'Plan mensual'!L191+IF(parametros_manuales!$H$33="Todos",'Plan mensual'!L84+'Plan mensual'!L195,0))+parametros_manuales!$F$33*('Plan mensual'!L81+'Plan mensual'!L192+IF(parametros_manuales!$H$33="Todos",'Plan mensual'!L85+'Plan mensual'!L196,0))+parametros_manuales!$G$33*('Plan mensual'!L82+'Plan mensual'!L193+IF(parametros_manuales!$H$33="Todos",'Plan mensual'!L86+'Plan mensual'!L197,0)))*parametros_manuales!$I$33*parametros_manuales!$J$33</f>
        <v>16671.21750752</v>
      </c>
      <c r="K205" s="9" t="n">
        <f aca="false">(parametros_manuales!$D$33*('Plan mensual'!M79+'Plan mensual'!M190+IF(parametros_manuales!$H$33="Todos",'Plan mensual'!M83+'Plan mensual'!M194,0))+parametros_manuales!$E$33*('Plan mensual'!M80+'Plan mensual'!M191+IF(parametros_manuales!$H$33="Todos",'Plan mensual'!M84+'Plan mensual'!M195,0))+parametros_manuales!$F$33*('Plan mensual'!M81+'Plan mensual'!M192+IF(parametros_manuales!$H$33="Todos",'Plan mensual'!M85+'Plan mensual'!M196,0))+parametros_manuales!$G$33*('Plan mensual'!M82+'Plan mensual'!M193+IF(parametros_manuales!$H$33="Todos",'Plan mensual'!M86+'Plan mensual'!M197,0)))*parametros_manuales!$I$33*parametros_manuales!$J$33</f>
        <v>16361.140218675</v>
      </c>
      <c r="L205" s="9" t="n">
        <f aca="false">(parametros_manuales!$D$33*('Plan mensual'!N79+'Plan mensual'!N190+IF(parametros_manuales!$H$33="Todos",'Plan mensual'!N83+'Plan mensual'!N194,0))+parametros_manuales!$E$33*('Plan mensual'!N80+'Plan mensual'!N191+IF(parametros_manuales!$H$33="Todos",'Plan mensual'!N84+'Plan mensual'!N195,0))+parametros_manuales!$F$33*('Plan mensual'!N81+'Plan mensual'!N192+IF(parametros_manuales!$H$33="Todos",'Plan mensual'!N85+'Plan mensual'!N196,0))+parametros_manuales!$G$33*('Plan mensual'!N82+'Plan mensual'!N193+IF(parametros_manuales!$H$33="Todos",'Plan mensual'!N86+'Plan mensual'!N197,0)))*parametros_manuales!$I$33*parametros_manuales!$J$33</f>
        <v>16051.06292983</v>
      </c>
      <c r="M205" s="9" t="n">
        <f aca="false">(parametros_manuales!$D$33*('Plan mensual'!O79+'Plan mensual'!O190+IF(parametros_manuales!$H$33="Todos",'Plan mensual'!O83+'Plan mensual'!O194,0))+parametros_manuales!$E$33*('Plan mensual'!O80+'Plan mensual'!O191+IF(parametros_manuales!$H$33="Todos",'Plan mensual'!O84+'Plan mensual'!O195,0))+parametros_manuales!$F$33*('Plan mensual'!O81+'Plan mensual'!O192+IF(parametros_manuales!$H$33="Todos",'Plan mensual'!O85+'Plan mensual'!O196,0))+parametros_manuales!$G$33*('Plan mensual'!O82+'Plan mensual'!O193+IF(parametros_manuales!$H$33="Todos",'Plan mensual'!O86+'Plan mensual'!O197,0)))*parametros_manuales!$I$33*parametros_manuales!$J$33</f>
        <v>25557.66977219</v>
      </c>
      <c r="N205" s="9" t="n">
        <f aca="false">SUM(B205:M205)</f>
        <v>218148.536249</v>
      </c>
      <c r="O205" s="9" t="n">
        <f aca="false">MAX(B205:M205)</f>
        <v>25557.66977219</v>
      </c>
      <c r="P205" s="44" t="n">
        <f aca="false">O205/(parametros_manuales!$B$7)</f>
        <v>170.384465147933</v>
      </c>
      <c r="Q205" s="8" t="str">
        <f aca="false">IF(O205=0,"-",INDEX($B$190:$M$190,MATCH(O205,B205:M205,0)))</f>
        <v>Dic</v>
      </c>
    </row>
    <row r="206" customFormat="false" ht="14.25" hidden="false" customHeight="true" outlineLevel="0" collapsed="false">
      <c r="A206" s="8" t="str">
        <f aca="false">parametros_manuales!$B$34</f>
        <v>Granallado</v>
      </c>
      <c r="B206" s="9" t="n">
        <f aca="false">(parametros_manuales!$D$34*('Plan mensual'!D79+'Plan mensual'!D190+IF(parametros_manuales!$H$34="Todos",'Plan mensual'!D83+'Plan mensual'!D194,0))+parametros_manuales!$E$34*('Plan mensual'!D80+'Plan mensual'!D191+IF(parametros_manuales!$H$34="Todos",'Plan mensual'!D84+'Plan mensual'!D195,0))+parametros_manuales!$F$34*('Plan mensual'!D81+'Plan mensual'!D192+IF(parametros_manuales!$H$34="Todos",'Plan mensual'!D85+'Plan mensual'!D196,0))+parametros_manuales!$G$34*('Plan mensual'!D82+'Plan mensual'!D193+IF(parametros_manuales!$H$34="Todos",'Plan mensual'!D86+'Plan mensual'!D197,0)))*parametros_manuales!$I$34*parametros_manuales!$J$34</f>
        <v>24937.5151945</v>
      </c>
      <c r="C206" s="9" t="n">
        <f aca="false">(parametros_manuales!$D$34*('Plan mensual'!E79+'Plan mensual'!E190+IF(parametros_manuales!$H$34="Todos",'Plan mensual'!E83+'Plan mensual'!E194,0))+parametros_manuales!$E$34*('Plan mensual'!E80+'Plan mensual'!E191+IF(parametros_manuales!$H$34="Todos",'Plan mensual'!E84+'Plan mensual'!E195,0))+parametros_manuales!$F$34*('Plan mensual'!E81+'Plan mensual'!E192+IF(parametros_manuales!$H$34="Todos",'Plan mensual'!E85+'Plan mensual'!E196,0))+parametros_manuales!$G$34*('Plan mensual'!E82+'Plan mensual'!E193+IF(parametros_manuales!$H$34="Todos",'Plan mensual'!E86+'Plan mensual'!E197,0)))*parametros_manuales!$I$34*parametros_manuales!$J$34</f>
        <v>19013.21368472</v>
      </c>
      <c r="D206" s="9" t="n">
        <f aca="false">(parametros_manuales!$D$34*('Plan mensual'!F79+'Plan mensual'!F190+IF(parametros_manuales!$H$34="Todos",'Plan mensual'!F83+'Plan mensual'!F194,0))+parametros_manuales!$E$34*('Plan mensual'!F80+'Plan mensual'!F191+IF(parametros_manuales!$H$34="Todos",'Plan mensual'!F84+'Plan mensual'!F195,0))+parametros_manuales!$F$34*('Plan mensual'!F81+'Plan mensual'!F192+IF(parametros_manuales!$H$34="Todos",'Plan mensual'!F85+'Plan mensual'!F196,0))+parametros_manuales!$G$34*('Plan mensual'!F82+'Plan mensual'!F193+IF(parametros_manuales!$H$34="Todos",'Plan mensual'!F86+'Plan mensual'!F197,0)))*parametros_manuales!$I$34*parametros_manuales!$J$34</f>
        <v>17761.960188765</v>
      </c>
      <c r="E206" s="9" t="n">
        <f aca="false">(parametros_manuales!$D$34*('Plan mensual'!G79+'Plan mensual'!G190+IF(parametros_manuales!$H$34="Todos",'Plan mensual'!G83+'Plan mensual'!G194,0))+parametros_manuales!$E$34*('Plan mensual'!G80+'Plan mensual'!G191+IF(parametros_manuales!$H$34="Todos",'Plan mensual'!G84+'Plan mensual'!G195,0))+parametros_manuales!$F$34*('Plan mensual'!G81+'Plan mensual'!G192+IF(parametros_manuales!$H$34="Todos",'Plan mensual'!G85+'Plan mensual'!G196,0))+parametros_manuales!$G$34*('Plan mensual'!G82+'Plan mensual'!G193+IF(parametros_manuales!$H$34="Todos",'Plan mensual'!G86+'Plan mensual'!G197,0)))*parametros_manuales!$I$34*parametros_manuales!$J$34</f>
        <v>16981.294796365</v>
      </c>
      <c r="F206" s="9" t="n">
        <f aca="false">(parametros_manuales!$D$34*('Plan mensual'!H79+'Plan mensual'!H190+IF(parametros_manuales!$H$34="Todos",'Plan mensual'!H83+'Plan mensual'!H194,0))+parametros_manuales!$E$34*('Plan mensual'!H80+'Plan mensual'!H191+IF(parametros_manuales!$H$34="Todos",'Plan mensual'!H84+'Plan mensual'!H195,0))+parametros_manuales!$F$34*('Plan mensual'!H81+'Plan mensual'!H192+IF(parametros_manuales!$H$34="Todos",'Plan mensual'!H85+'Plan mensual'!H196,0))+parametros_manuales!$G$34*('Plan mensual'!H82+'Plan mensual'!H193+IF(parametros_manuales!$H$34="Todos",'Plan mensual'!H86+'Plan mensual'!H197,0)))*parametros_manuales!$I$34*parametros_manuales!$J$34</f>
        <v>15890.55211512</v>
      </c>
      <c r="G206" s="9" t="n">
        <f aca="false">(parametros_manuales!$D$34*('Plan mensual'!I79+'Plan mensual'!I190+IF(parametros_manuales!$H$34="Todos",'Plan mensual'!I83+'Plan mensual'!I194,0))+parametros_manuales!$E$34*('Plan mensual'!I80+'Plan mensual'!I191+IF(parametros_manuales!$H$34="Todos",'Plan mensual'!I84+'Plan mensual'!I195,0))+parametros_manuales!$F$34*('Plan mensual'!I81+'Plan mensual'!I192+IF(parametros_manuales!$H$34="Todos",'Plan mensual'!I85+'Plan mensual'!I196,0))+parametros_manuales!$G$34*('Plan mensual'!I82+'Plan mensual'!I193+IF(parametros_manuales!$H$34="Todos",'Plan mensual'!I86+'Plan mensual'!I197,0)))*parametros_manuales!$I$34*parametros_manuales!$J$34</f>
        <v>15580.474826275</v>
      </c>
      <c r="H206" s="9" t="n">
        <f aca="false">(parametros_manuales!$D$34*('Plan mensual'!J79+'Plan mensual'!J190+IF(parametros_manuales!$H$34="Todos",'Plan mensual'!J83+'Plan mensual'!J194,0))+parametros_manuales!$E$34*('Plan mensual'!J80+'Plan mensual'!J191+IF(parametros_manuales!$H$34="Todos",'Plan mensual'!J84+'Plan mensual'!J195,0))+parametros_manuales!$F$34*('Plan mensual'!J81+'Plan mensual'!J192+IF(parametros_manuales!$H$34="Todos",'Plan mensual'!J85+'Plan mensual'!J196,0))+parametros_manuales!$G$34*('Plan mensual'!J82+'Plan mensual'!J193+IF(parametros_manuales!$H$34="Todos",'Plan mensual'!J86+'Plan mensual'!J197,0)))*parametros_manuales!$I$34*parametros_manuales!$J$34</f>
        <v>16671.21750752</v>
      </c>
      <c r="I206" s="9" t="n">
        <f aca="false">(parametros_manuales!$D$34*('Plan mensual'!K79+'Plan mensual'!K190+IF(parametros_manuales!$H$34="Todos",'Plan mensual'!K83+'Plan mensual'!K194,0))+parametros_manuales!$E$34*('Plan mensual'!K80+'Plan mensual'!K191+IF(parametros_manuales!$H$34="Todos",'Plan mensual'!K84+'Plan mensual'!K195,0))+parametros_manuales!$F$34*('Plan mensual'!K81+'Plan mensual'!K192+IF(parametros_manuales!$H$34="Todos",'Plan mensual'!K85+'Plan mensual'!K196,0))+parametros_manuales!$G$34*('Plan mensual'!K82+'Plan mensual'!K193+IF(parametros_manuales!$H$34="Todos",'Plan mensual'!K86+'Plan mensual'!K197,0)))*parametros_manuales!$I$34*parametros_manuales!$J$34</f>
        <v>16671.21750752</v>
      </c>
      <c r="J206" s="9" t="n">
        <f aca="false">(parametros_manuales!$D$34*('Plan mensual'!L79+'Plan mensual'!L190+IF(parametros_manuales!$H$34="Todos",'Plan mensual'!L83+'Plan mensual'!L194,0))+parametros_manuales!$E$34*('Plan mensual'!L80+'Plan mensual'!L191+IF(parametros_manuales!$H$34="Todos",'Plan mensual'!L84+'Plan mensual'!L195,0))+parametros_manuales!$F$34*('Plan mensual'!L81+'Plan mensual'!L192+IF(parametros_manuales!$H$34="Todos",'Plan mensual'!L85+'Plan mensual'!L196,0))+parametros_manuales!$G$34*('Plan mensual'!L82+'Plan mensual'!L193+IF(parametros_manuales!$H$34="Todos",'Plan mensual'!L86+'Plan mensual'!L197,0)))*parametros_manuales!$I$34*parametros_manuales!$J$34</f>
        <v>16671.21750752</v>
      </c>
      <c r="K206" s="9" t="n">
        <f aca="false">(parametros_manuales!$D$34*('Plan mensual'!M79+'Plan mensual'!M190+IF(parametros_manuales!$H$34="Todos",'Plan mensual'!M83+'Plan mensual'!M194,0))+parametros_manuales!$E$34*('Plan mensual'!M80+'Plan mensual'!M191+IF(parametros_manuales!$H$34="Todos",'Plan mensual'!M84+'Plan mensual'!M195,0))+parametros_manuales!$F$34*('Plan mensual'!M81+'Plan mensual'!M192+IF(parametros_manuales!$H$34="Todos",'Plan mensual'!M85+'Plan mensual'!M196,0))+parametros_manuales!$G$34*('Plan mensual'!M82+'Plan mensual'!M193+IF(parametros_manuales!$H$34="Todos",'Plan mensual'!M86+'Plan mensual'!M197,0)))*parametros_manuales!$I$34*parametros_manuales!$J$34</f>
        <v>16361.140218675</v>
      </c>
      <c r="L206" s="9" t="n">
        <f aca="false">(parametros_manuales!$D$34*('Plan mensual'!N79+'Plan mensual'!N190+IF(parametros_manuales!$H$34="Todos",'Plan mensual'!N83+'Plan mensual'!N194,0))+parametros_manuales!$E$34*('Plan mensual'!N80+'Plan mensual'!N191+IF(parametros_manuales!$H$34="Todos",'Plan mensual'!N84+'Plan mensual'!N195,0))+parametros_manuales!$F$34*('Plan mensual'!N81+'Plan mensual'!N192+IF(parametros_manuales!$H$34="Todos",'Plan mensual'!N85+'Plan mensual'!N196,0))+parametros_manuales!$G$34*('Plan mensual'!N82+'Plan mensual'!N193+IF(parametros_manuales!$H$34="Todos",'Plan mensual'!N86+'Plan mensual'!N197,0)))*parametros_manuales!$I$34*parametros_manuales!$J$34</f>
        <v>16051.06292983</v>
      </c>
      <c r="M206" s="9" t="n">
        <f aca="false">(parametros_manuales!$D$34*('Plan mensual'!O79+'Plan mensual'!O190+IF(parametros_manuales!$H$34="Todos",'Plan mensual'!O83+'Plan mensual'!O194,0))+parametros_manuales!$E$34*('Plan mensual'!O80+'Plan mensual'!O191+IF(parametros_manuales!$H$34="Todos",'Plan mensual'!O84+'Plan mensual'!O195,0))+parametros_manuales!$F$34*('Plan mensual'!O81+'Plan mensual'!O192+IF(parametros_manuales!$H$34="Todos",'Plan mensual'!O85+'Plan mensual'!O196,0))+parametros_manuales!$G$34*('Plan mensual'!O82+'Plan mensual'!O193+IF(parametros_manuales!$H$34="Todos",'Plan mensual'!O86+'Plan mensual'!O197,0)))*parametros_manuales!$I$34*parametros_manuales!$J$34</f>
        <v>25557.66977219</v>
      </c>
      <c r="N206" s="9" t="n">
        <f aca="false">SUM(B206:M206)</f>
        <v>218148.536249</v>
      </c>
      <c r="O206" s="9" t="n">
        <f aca="false">MAX(B206:M206)</f>
        <v>25557.66977219</v>
      </c>
      <c r="P206" s="44" t="n">
        <f aca="false">O206/(parametros_manuales!$B$7)</f>
        <v>170.384465147933</v>
      </c>
      <c r="Q206" s="8" t="str">
        <f aca="false">IF(O206=0,"-",INDEX($B$190:$M$190,MATCH(O206,B206:M206,0)))</f>
        <v>Dic</v>
      </c>
    </row>
    <row r="207" customFormat="false" ht="14.25" hidden="false" customHeight="true" outlineLevel="0" collapsed="false">
      <c r="A207" s="8" t="str">
        <f aca="false">parametros_manuales!$B$35</f>
        <v>Detección de defectos</v>
      </c>
      <c r="B207" s="9" t="n">
        <f aca="false">(parametros_manuales!$D$35*('Plan mensual'!D79+'Plan mensual'!D190+IF(parametros_manuales!$H$35="Todos",'Plan mensual'!D83+'Plan mensual'!D194,0))+parametros_manuales!$E$35*('Plan mensual'!D80+'Plan mensual'!D191+IF(parametros_manuales!$H$35="Todos",'Plan mensual'!D84+'Plan mensual'!D195,0))+parametros_manuales!$F$35*('Plan mensual'!D81+'Plan mensual'!D192+IF(parametros_manuales!$H$35="Todos",'Plan mensual'!D85+'Plan mensual'!D196,0))+parametros_manuales!$G$35*('Plan mensual'!D82+'Plan mensual'!D193+IF(parametros_manuales!$H$35="Todos",'Plan mensual'!D86+'Plan mensual'!D197,0)))*parametros_manuales!$I$35*parametros_manuales!$J$35</f>
        <v>24937.5151945</v>
      </c>
      <c r="C207" s="9" t="n">
        <f aca="false">(parametros_manuales!$D$35*('Plan mensual'!E79+'Plan mensual'!E190+IF(parametros_manuales!$H$35="Todos",'Plan mensual'!E83+'Plan mensual'!E194,0))+parametros_manuales!$E$35*('Plan mensual'!E80+'Plan mensual'!E191+IF(parametros_manuales!$H$35="Todos",'Plan mensual'!E84+'Plan mensual'!E195,0))+parametros_manuales!$F$35*('Plan mensual'!E81+'Plan mensual'!E192+IF(parametros_manuales!$H$35="Todos",'Plan mensual'!E85+'Plan mensual'!E196,0))+parametros_manuales!$G$35*('Plan mensual'!E82+'Plan mensual'!E193+IF(parametros_manuales!$H$35="Todos",'Plan mensual'!E86+'Plan mensual'!E197,0)))*parametros_manuales!$I$35*parametros_manuales!$J$35</f>
        <v>19013.21368472</v>
      </c>
      <c r="D207" s="9" t="n">
        <f aca="false">(parametros_manuales!$D$35*('Plan mensual'!F79+'Plan mensual'!F190+IF(parametros_manuales!$H$35="Todos",'Plan mensual'!F83+'Plan mensual'!F194,0))+parametros_manuales!$E$35*('Plan mensual'!F80+'Plan mensual'!F191+IF(parametros_manuales!$H$35="Todos",'Plan mensual'!F84+'Plan mensual'!F195,0))+parametros_manuales!$F$35*('Plan mensual'!F81+'Plan mensual'!F192+IF(parametros_manuales!$H$35="Todos",'Plan mensual'!F85+'Plan mensual'!F196,0))+parametros_manuales!$G$35*('Plan mensual'!F82+'Plan mensual'!F193+IF(parametros_manuales!$H$35="Todos",'Plan mensual'!F86+'Plan mensual'!F197,0)))*parametros_manuales!$I$35*parametros_manuales!$J$35</f>
        <v>17761.960188765</v>
      </c>
      <c r="E207" s="9" t="n">
        <f aca="false">(parametros_manuales!$D$35*('Plan mensual'!G79+'Plan mensual'!G190+IF(parametros_manuales!$H$35="Todos",'Plan mensual'!G83+'Plan mensual'!G194,0))+parametros_manuales!$E$35*('Plan mensual'!G80+'Plan mensual'!G191+IF(parametros_manuales!$H$35="Todos",'Plan mensual'!G84+'Plan mensual'!G195,0))+parametros_manuales!$F$35*('Plan mensual'!G81+'Plan mensual'!G192+IF(parametros_manuales!$H$35="Todos",'Plan mensual'!G85+'Plan mensual'!G196,0))+parametros_manuales!$G$35*('Plan mensual'!G82+'Plan mensual'!G193+IF(parametros_manuales!$H$35="Todos",'Plan mensual'!G86+'Plan mensual'!G197,0)))*parametros_manuales!$I$35*parametros_manuales!$J$35</f>
        <v>16981.294796365</v>
      </c>
      <c r="F207" s="9" t="n">
        <f aca="false">(parametros_manuales!$D$35*('Plan mensual'!H79+'Plan mensual'!H190+IF(parametros_manuales!$H$35="Todos",'Plan mensual'!H83+'Plan mensual'!H194,0))+parametros_manuales!$E$35*('Plan mensual'!H80+'Plan mensual'!H191+IF(parametros_manuales!$H$35="Todos",'Plan mensual'!H84+'Plan mensual'!H195,0))+parametros_manuales!$F$35*('Plan mensual'!H81+'Plan mensual'!H192+IF(parametros_manuales!$H$35="Todos",'Plan mensual'!H85+'Plan mensual'!H196,0))+parametros_manuales!$G$35*('Plan mensual'!H82+'Plan mensual'!H193+IF(parametros_manuales!$H$35="Todos",'Plan mensual'!H86+'Plan mensual'!H197,0)))*parametros_manuales!$I$35*parametros_manuales!$J$35</f>
        <v>15890.55211512</v>
      </c>
      <c r="G207" s="9" t="n">
        <f aca="false">(parametros_manuales!$D$35*('Plan mensual'!I79+'Plan mensual'!I190+IF(parametros_manuales!$H$35="Todos",'Plan mensual'!I83+'Plan mensual'!I194,0))+parametros_manuales!$E$35*('Plan mensual'!I80+'Plan mensual'!I191+IF(parametros_manuales!$H$35="Todos",'Plan mensual'!I84+'Plan mensual'!I195,0))+parametros_manuales!$F$35*('Plan mensual'!I81+'Plan mensual'!I192+IF(parametros_manuales!$H$35="Todos",'Plan mensual'!I85+'Plan mensual'!I196,0))+parametros_manuales!$G$35*('Plan mensual'!I82+'Plan mensual'!I193+IF(parametros_manuales!$H$35="Todos",'Plan mensual'!I86+'Plan mensual'!I197,0)))*parametros_manuales!$I$35*parametros_manuales!$J$35</f>
        <v>15580.474826275</v>
      </c>
      <c r="H207" s="9" t="n">
        <f aca="false">(parametros_manuales!$D$35*('Plan mensual'!J79+'Plan mensual'!J190+IF(parametros_manuales!$H$35="Todos",'Plan mensual'!J83+'Plan mensual'!J194,0))+parametros_manuales!$E$35*('Plan mensual'!J80+'Plan mensual'!J191+IF(parametros_manuales!$H$35="Todos",'Plan mensual'!J84+'Plan mensual'!J195,0))+parametros_manuales!$F$35*('Plan mensual'!J81+'Plan mensual'!J192+IF(parametros_manuales!$H$35="Todos",'Plan mensual'!J85+'Plan mensual'!J196,0))+parametros_manuales!$G$35*('Plan mensual'!J82+'Plan mensual'!J193+IF(parametros_manuales!$H$35="Todos",'Plan mensual'!J86+'Plan mensual'!J197,0)))*parametros_manuales!$I$35*parametros_manuales!$J$35</f>
        <v>16671.21750752</v>
      </c>
      <c r="I207" s="9" t="n">
        <f aca="false">(parametros_manuales!$D$35*('Plan mensual'!K79+'Plan mensual'!K190+IF(parametros_manuales!$H$35="Todos",'Plan mensual'!K83+'Plan mensual'!K194,0))+parametros_manuales!$E$35*('Plan mensual'!K80+'Plan mensual'!K191+IF(parametros_manuales!$H$35="Todos",'Plan mensual'!K84+'Plan mensual'!K195,0))+parametros_manuales!$F$35*('Plan mensual'!K81+'Plan mensual'!K192+IF(parametros_manuales!$H$35="Todos",'Plan mensual'!K85+'Plan mensual'!K196,0))+parametros_manuales!$G$35*('Plan mensual'!K82+'Plan mensual'!K193+IF(parametros_manuales!$H$35="Todos",'Plan mensual'!K86+'Plan mensual'!K197,0)))*parametros_manuales!$I$35*parametros_manuales!$J$35</f>
        <v>16671.21750752</v>
      </c>
      <c r="J207" s="9" t="n">
        <f aca="false">(parametros_manuales!$D$35*('Plan mensual'!L79+'Plan mensual'!L190+IF(parametros_manuales!$H$35="Todos",'Plan mensual'!L83+'Plan mensual'!L194,0))+parametros_manuales!$E$35*('Plan mensual'!L80+'Plan mensual'!L191+IF(parametros_manuales!$H$35="Todos",'Plan mensual'!L84+'Plan mensual'!L195,0))+parametros_manuales!$F$35*('Plan mensual'!L81+'Plan mensual'!L192+IF(parametros_manuales!$H$35="Todos",'Plan mensual'!L85+'Plan mensual'!L196,0))+parametros_manuales!$G$35*('Plan mensual'!L82+'Plan mensual'!L193+IF(parametros_manuales!$H$35="Todos",'Plan mensual'!L86+'Plan mensual'!L197,0)))*parametros_manuales!$I$35*parametros_manuales!$J$35</f>
        <v>16671.21750752</v>
      </c>
      <c r="K207" s="9" t="n">
        <f aca="false">(parametros_manuales!$D$35*('Plan mensual'!M79+'Plan mensual'!M190+IF(parametros_manuales!$H$35="Todos",'Plan mensual'!M83+'Plan mensual'!M194,0))+parametros_manuales!$E$35*('Plan mensual'!M80+'Plan mensual'!M191+IF(parametros_manuales!$H$35="Todos",'Plan mensual'!M84+'Plan mensual'!M195,0))+parametros_manuales!$F$35*('Plan mensual'!M81+'Plan mensual'!M192+IF(parametros_manuales!$H$35="Todos",'Plan mensual'!M85+'Plan mensual'!M196,0))+parametros_manuales!$G$35*('Plan mensual'!M82+'Plan mensual'!M193+IF(parametros_manuales!$H$35="Todos",'Plan mensual'!M86+'Plan mensual'!M197,0)))*parametros_manuales!$I$35*parametros_manuales!$J$35</f>
        <v>16361.140218675</v>
      </c>
      <c r="L207" s="9" t="n">
        <f aca="false">(parametros_manuales!$D$35*('Plan mensual'!N79+'Plan mensual'!N190+IF(parametros_manuales!$H$35="Todos",'Plan mensual'!N83+'Plan mensual'!N194,0))+parametros_manuales!$E$35*('Plan mensual'!N80+'Plan mensual'!N191+IF(parametros_manuales!$H$35="Todos",'Plan mensual'!N84+'Plan mensual'!N195,0))+parametros_manuales!$F$35*('Plan mensual'!N81+'Plan mensual'!N192+IF(parametros_manuales!$H$35="Todos",'Plan mensual'!N85+'Plan mensual'!N196,0))+parametros_manuales!$G$35*('Plan mensual'!N82+'Plan mensual'!N193+IF(parametros_manuales!$H$35="Todos",'Plan mensual'!N86+'Plan mensual'!N197,0)))*parametros_manuales!$I$35*parametros_manuales!$J$35</f>
        <v>16051.06292983</v>
      </c>
      <c r="M207" s="9" t="n">
        <f aca="false">(parametros_manuales!$D$35*('Plan mensual'!O79+'Plan mensual'!O190+IF(parametros_manuales!$H$35="Todos",'Plan mensual'!O83+'Plan mensual'!O194,0))+parametros_manuales!$E$35*('Plan mensual'!O80+'Plan mensual'!O191+IF(parametros_manuales!$H$35="Todos",'Plan mensual'!O84+'Plan mensual'!O195,0))+parametros_manuales!$F$35*('Plan mensual'!O81+'Plan mensual'!O192+IF(parametros_manuales!$H$35="Todos",'Plan mensual'!O85+'Plan mensual'!O196,0))+parametros_manuales!$G$35*('Plan mensual'!O82+'Plan mensual'!O193+IF(parametros_manuales!$H$35="Todos",'Plan mensual'!O86+'Plan mensual'!O197,0)))*parametros_manuales!$I$35*parametros_manuales!$J$35</f>
        <v>25557.66977219</v>
      </c>
      <c r="N207" s="9" t="n">
        <f aca="false">SUM(B207:M207)</f>
        <v>218148.536249</v>
      </c>
      <c r="O207" s="9" t="n">
        <f aca="false">MAX(B207:M207)</f>
        <v>25557.66977219</v>
      </c>
      <c r="P207" s="44" t="n">
        <f aca="false">O207/(parametros_manuales!$B$7)</f>
        <v>170.384465147933</v>
      </c>
      <c r="Q207" s="8" t="str">
        <f aca="false">IF(O207=0,"-",INDEX($B$190:$M$190,MATCH(O207,B207:M207,0)))</f>
        <v>Dic</v>
      </c>
    </row>
    <row r="208" customFormat="false" ht="14.25" hidden="false" customHeight="true" outlineLevel="0" collapsed="false">
      <c r="A208" s="8" t="str">
        <f aca="false">parametros_manuales!$B$36</f>
        <v>Corrección de defectos</v>
      </c>
      <c r="B208" s="9" t="n">
        <f aca="false">(parametros_manuales!$D$36*('Plan mensual'!D79+'Plan mensual'!D190+IF(parametros_manuales!$H$36="Todos",'Plan mensual'!D83+'Plan mensual'!D194,0))+parametros_manuales!$E$36*('Plan mensual'!D80+'Plan mensual'!D191+IF(parametros_manuales!$H$36="Todos",'Plan mensual'!D84+'Plan mensual'!D195,0))+parametros_manuales!$F$36*('Plan mensual'!D81+'Plan mensual'!D192+IF(parametros_manuales!$H$36="Todos",'Plan mensual'!D85+'Plan mensual'!D196,0))+parametros_manuales!$G$36*('Plan mensual'!D82+'Plan mensual'!D193+IF(parametros_manuales!$H$36="Todos",'Plan mensual'!D86+'Plan mensual'!D197,0)))*parametros_manuales!$I$36*parametros_manuales!$J$36</f>
        <v>1246.875759725</v>
      </c>
      <c r="C208" s="9" t="n">
        <f aca="false">(parametros_manuales!$D$36*('Plan mensual'!E79+'Plan mensual'!E190+IF(parametros_manuales!$H$36="Todos",'Plan mensual'!E83+'Plan mensual'!E194,0))+parametros_manuales!$E$36*('Plan mensual'!E80+'Plan mensual'!E191+IF(parametros_manuales!$H$36="Todos",'Plan mensual'!E84+'Plan mensual'!E195,0))+parametros_manuales!$F$36*('Plan mensual'!E81+'Plan mensual'!E192+IF(parametros_manuales!$H$36="Todos",'Plan mensual'!E85+'Plan mensual'!E196,0))+parametros_manuales!$G$36*('Plan mensual'!E82+'Plan mensual'!E193+IF(parametros_manuales!$H$36="Todos",'Plan mensual'!E86+'Plan mensual'!E197,0)))*parametros_manuales!$I$36*parametros_manuales!$J$36</f>
        <v>950.660684236</v>
      </c>
      <c r="D208" s="9" t="n">
        <f aca="false">(parametros_manuales!$D$36*('Plan mensual'!F79+'Plan mensual'!F190+IF(parametros_manuales!$H$36="Todos",'Plan mensual'!F83+'Plan mensual'!F194,0))+parametros_manuales!$E$36*('Plan mensual'!F80+'Plan mensual'!F191+IF(parametros_manuales!$H$36="Todos",'Plan mensual'!F84+'Plan mensual'!F195,0))+parametros_manuales!$F$36*('Plan mensual'!F81+'Plan mensual'!F192+IF(parametros_manuales!$H$36="Todos",'Plan mensual'!F85+'Plan mensual'!F196,0))+parametros_manuales!$G$36*('Plan mensual'!F82+'Plan mensual'!F193+IF(parametros_manuales!$H$36="Todos",'Plan mensual'!F86+'Plan mensual'!F197,0)))*parametros_manuales!$I$36*parametros_manuales!$J$36</f>
        <v>888.09800943825</v>
      </c>
      <c r="E208" s="9" t="n">
        <f aca="false">(parametros_manuales!$D$36*('Plan mensual'!G79+'Plan mensual'!G190+IF(parametros_manuales!$H$36="Todos",'Plan mensual'!G83+'Plan mensual'!G194,0))+parametros_manuales!$E$36*('Plan mensual'!G80+'Plan mensual'!G191+IF(parametros_manuales!$H$36="Todos",'Plan mensual'!G84+'Plan mensual'!G195,0))+parametros_manuales!$F$36*('Plan mensual'!G81+'Plan mensual'!G192+IF(parametros_manuales!$H$36="Todos",'Plan mensual'!G85+'Plan mensual'!G196,0))+parametros_manuales!$G$36*('Plan mensual'!G82+'Plan mensual'!G193+IF(parametros_manuales!$H$36="Todos",'Plan mensual'!G86+'Plan mensual'!G197,0)))*parametros_manuales!$I$36*parametros_manuales!$J$36</f>
        <v>849.06473981825</v>
      </c>
      <c r="F208" s="9" t="n">
        <f aca="false">(parametros_manuales!$D$36*('Plan mensual'!H79+'Plan mensual'!H190+IF(parametros_manuales!$H$36="Todos",'Plan mensual'!H83+'Plan mensual'!H194,0))+parametros_manuales!$E$36*('Plan mensual'!H80+'Plan mensual'!H191+IF(parametros_manuales!$H$36="Todos",'Plan mensual'!H84+'Plan mensual'!H195,0))+parametros_manuales!$F$36*('Plan mensual'!H81+'Plan mensual'!H192+IF(parametros_manuales!$H$36="Todos",'Plan mensual'!H85+'Plan mensual'!H196,0))+parametros_manuales!$G$36*('Plan mensual'!H82+'Plan mensual'!H193+IF(parametros_manuales!$H$36="Todos",'Plan mensual'!H86+'Plan mensual'!H197,0)))*parametros_manuales!$I$36*parametros_manuales!$J$36</f>
        <v>794.527605756</v>
      </c>
      <c r="G208" s="9" t="n">
        <f aca="false">(parametros_manuales!$D$36*('Plan mensual'!I79+'Plan mensual'!I190+IF(parametros_manuales!$H$36="Todos",'Plan mensual'!I83+'Plan mensual'!I194,0))+parametros_manuales!$E$36*('Plan mensual'!I80+'Plan mensual'!I191+IF(parametros_manuales!$H$36="Todos",'Plan mensual'!I84+'Plan mensual'!I195,0))+parametros_manuales!$F$36*('Plan mensual'!I81+'Plan mensual'!I192+IF(parametros_manuales!$H$36="Todos",'Plan mensual'!I85+'Plan mensual'!I196,0))+parametros_manuales!$G$36*('Plan mensual'!I82+'Plan mensual'!I193+IF(parametros_manuales!$H$36="Todos",'Plan mensual'!I86+'Plan mensual'!I197,0)))*parametros_manuales!$I$36*parametros_manuales!$J$36</f>
        <v>779.02374131375</v>
      </c>
      <c r="H208" s="9" t="n">
        <f aca="false">(parametros_manuales!$D$36*('Plan mensual'!J79+'Plan mensual'!J190+IF(parametros_manuales!$H$36="Todos",'Plan mensual'!J83+'Plan mensual'!J194,0))+parametros_manuales!$E$36*('Plan mensual'!J80+'Plan mensual'!J191+IF(parametros_manuales!$H$36="Todos",'Plan mensual'!J84+'Plan mensual'!J195,0))+parametros_manuales!$F$36*('Plan mensual'!J81+'Plan mensual'!J192+IF(parametros_manuales!$H$36="Todos",'Plan mensual'!J85+'Plan mensual'!J196,0))+parametros_manuales!$G$36*('Plan mensual'!J82+'Plan mensual'!J193+IF(parametros_manuales!$H$36="Todos",'Plan mensual'!J86+'Plan mensual'!J197,0)))*parametros_manuales!$I$36*parametros_manuales!$J$36</f>
        <v>833.560875376</v>
      </c>
      <c r="I208" s="9" t="n">
        <f aca="false">(parametros_manuales!$D$36*('Plan mensual'!K79+'Plan mensual'!K190+IF(parametros_manuales!$H$36="Todos",'Plan mensual'!K83+'Plan mensual'!K194,0))+parametros_manuales!$E$36*('Plan mensual'!K80+'Plan mensual'!K191+IF(parametros_manuales!$H$36="Todos",'Plan mensual'!K84+'Plan mensual'!K195,0))+parametros_manuales!$F$36*('Plan mensual'!K81+'Plan mensual'!K192+IF(parametros_manuales!$H$36="Todos",'Plan mensual'!K85+'Plan mensual'!K196,0))+parametros_manuales!$G$36*('Plan mensual'!K82+'Plan mensual'!K193+IF(parametros_manuales!$H$36="Todos",'Plan mensual'!K86+'Plan mensual'!K197,0)))*parametros_manuales!$I$36*parametros_manuales!$J$36</f>
        <v>833.560875376</v>
      </c>
      <c r="J208" s="9" t="n">
        <f aca="false">(parametros_manuales!$D$36*('Plan mensual'!L79+'Plan mensual'!L190+IF(parametros_manuales!$H$36="Todos",'Plan mensual'!L83+'Plan mensual'!L194,0))+parametros_manuales!$E$36*('Plan mensual'!L80+'Plan mensual'!L191+IF(parametros_manuales!$H$36="Todos",'Plan mensual'!L84+'Plan mensual'!L195,0))+parametros_manuales!$F$36*('Plan mensual'!L81+'Plan mensual'!L192+IF(parametros_manuales!$H$36="Todos",'Plan mensual'!L85+'Plan mensual'!L196,0))+parametros_manuales!$G$36*('Plan mensual'!L82+'Plan mensual'!L193+IF(parametros_manuales!$H$36="Todos",'Plan mensual'!L86+'Plan mensual'!L197,0)))*parametros_manuales!$I$36*parametros_manuales!$J$36</f>
        <v>833.560875376</v>
      </c>
      <c r="K208" s="9" t="n">
        <f aca="false">(parametros_manuales!$D$36*('Plan mensual'!M79+'Plan mensual'!M190+IF(parametros_manuales!$H$36="Todos",'Plan mensual'!M83+'Plan mensual'!M194,0))+parametros_manuales!$E$36*('Plan mensual'!M80+'Plan mensual'!M191+IF(parametros_manuales!$H$36="Todos",'Plan mensual'!M84+'Plan mensual'!M195,0))+parametros_manuales!$F$36*('Plan mensual'!M81+'Plan mensual'!M192+IF(parametros_manuales!$H$36="Todos",'Plan mensual'!M85+'Plan mensual'!M196,0))+parametros_manuales!$G$36*('Plan mensual'!M82+'Plan mensual'!M193+IF(parametros_manuales!$H$36="Todos",'Plan mensual'!M86+'Plan mensual'!M197,0)))*parametros_manuales!$I$36*parametros_manuales!$J$36</f>
        <v>818.05701093375</v>
      </c>
      <c r="L208" s="9" t="n">
        <f aca="false">(parametros_manuales!$D$36*('Plan mensual'!N79+'Plan mensual'!N190+IF(parametros_manuales!$H$36="Todos",'Plan mensual'!N83+'Plan mensual'!N194,0))+parametros_manuales!$E$36*('Plan mensual'!N80+'Plan mensual'!N191+IF(parametros_manuales!$H$36="Todos",'Plan mensual'!N84+'Plan mensual'!N195,0))+parametros_manuales!$F$36*('Plan mensual'!N81+'Plan mensual'!N192+IF(parametros_manuales!$H$36="Todos",'Plan mensual'!N85+'Plan mensual'!N196,0))+parametros_manuales!$G$36*('Plan mensual'!N82+'Plan mensual'!N193+IF(parametros_manuales!$H$36="Todos",'Plan mensual'!N86+'Plan mensual'!N197,0)))*parametros_manuales!$I$36*parametros_manuales!$J$36</f>
        <v>802.5531464915</v>
      </c>
      <c r="M208" s="9" t="n">
        <f aca="false">(parametros_manuales!$D$36*('Plan mensual'!O79+'Plan mensual'!O190+IF(parametros_manuales!$H$36="Todos",'Plan mensual'!O83+'Plan mensual'!O194,0))+parametros_manuales!$E$36*('Plan mensual'!O80+'Plan mensual'!O191+IF(parametros_manuales!$H$36="Todos",'Plan mensual'!O84+'Plan mensual'!O195,0))+parametros_manuales!$F$36*('Plan mensual'!O81+'Plan mensual'!O192+IF(parametros_manuales!$H$36="Todos",'Plan mensual'!O85+'Plan mensual'!O196,0))+parametros_manuales!$G$36*('Plan mensual'!O82+'Plan mensual'!O193+IF(parametros_manuales!$H$36="Todos",'Plan mensual'!O86+'Plan mensual'!O197,0)))*parametros_manuales!$I$36*parametros_manuales!$J$36</f>
        <v>1277.8834886095</v>
      </c>
      <c r="N208" s="9" t="n">
        <f aca="false">SUM(B208:M208)</f>
        <v>10907.42681245</v>
      </c>
      <c r="O208" s="9" t="n">
        <f aca="false">MAX(B208:M208)</f>
        <v>1277.8834886095</v>
      </c>
      <c r="P208" s="44" t="n">
        <f aca="false">O208/(parametros_manuales!$B$7)</f>
        <v>8.51922325739667</v>
      </c>
      <c r="Q208" s="8" t="str">
        <f aca="false">IF(O208=0,"-",INDEX($B$190:$M$190,MATCH(O208,B208:M208,0)))</f>
        <v>Dic</v>
      </c>
    </row>
    <row r="209" customFormat="false" ht="14.25" hidden="false" customHeight="true" outlineLevel="0" collapsed="false">
      <c r="A209" s="8" t="str">
        <f aca="false">parametros_manuales!$B$37</f>
        <v>Pintura en polvo + horno</v>
      </c>
      <c r="B209" s="9" t="n">
        <f aca="false">(parametros_manuales!$D$37*('Plan mensual'!D79+'Plan mensual'!D190+IF(parametros_manuales!$H$37="Todos",'Plan mensual'!D83+'Plan mensual'!D194,0))+parametros_manuales!$E$37*('Plan mensual'!D80+'Plan mensual'!D191+IF(parametros_manuales!$H$37="Todos",'Plan mensual'!D84+'Plan mensual'!D195,0))+parametros_manuales!$F$37*('Plan mensual'!D81+'Plan mensual'!D192+IF(parametros_manuales!$H$37="Todos",'Plan mensual'!D85+'Plan mensual'!D196,0))+parametros_manuales!$G$37*('Plan mensual'!D82+'Plan mensual'!D193+IF(parametros_manuales!$H$37="Todos",'Plan mensual'!D86+'Plan mensual'!D197,0)))*parametros_manuales!$I$37*parametros_manuales!$J$37</f>
        <v>24937.5151945</v>
      </c>
      <c r="C209" s="9" t="n">
        <f aca="false">(parametros_manuales!$D$37*('Plan mensual'!E79+'Plan mensual'!E190+IF(parametros_manuales!$H$37="Todos",'Plan mensual'!E83+'Plan mensual'!E194,0))+parametros_manuales!$E$37*('Plan mensual'!E80+'Plan mensual'!E191+IF(parametros_manuales!$H$37="Todos",'Plan mensual'!E84+'Plan mensual'!E195,0))+parametros_manuales!$F$37*('Plan mensual'!E81+'Plan mensual'!E192+IF(parametros_manuales!$H$37="Todos",'Plan mensual'!E85+'Plan mensual'!E196,0))+parametros_manuales!$G$37*('Plan mensual'!E82+'Plan mensual'!E193+IF(parametros_manuales!$H$37="Todos",'Plan mensual'!E86+'Plan mensual'!E197,0)))*parametros_manuales!$I$37*parametros_manuales!$J$37</f>
        <v>19013.21368472</v>
      </c>
      <c r="D209" s="9" t="n">
        <f aca="false">(parametros_manuales!$D$37*('Plan mensual'!F79+'Plan mensual'!F190+IF(parametros_manuales!$H$37="Todos",'Plan mensual'!F83+'Plan mensual'!F194,0))+parametros_manuales!$E$37*('Plan mensual'!F80+'Plan mensual'!F191+IF(parametros_manuales!$H$37="Todos",'Plan mensual'!F84+'Plan mensual'!F195,0))+parametros_manuales!$F$37*('Plan mensual'!F81+'Plan mensual'!F192+IF(parametros_manuales!$H$37="Todos",'Plan mensual'!F85+'Plan mensual'!F196,0))+parametros_manuales!$G$37*('Plan mensual'!F82+'Plan mensual'!F193+IF(parametros_manuales!$H$37="Todos",'Plan mensual'!F86+'Plan mensual'!F197,0)))*parametros_manuales!$I$37*parametros_manuales!$J$37</f>
        <v>17761.960188765</v>
      </c>
      <c r="E209" s="9" t="n">
        <f aca="false">(parametros_manuales!$D$37*('Plan mensual'!G79+'Plan mensual'!G190+IF(parametros_manuales!$H$37="Todos",'Plan mensual'!G83+'Plan mensual'!G194,0))+parametros_manuales!$E$37*('Plan mensual'!G80+'Plan mensual'!G191+IF(parametros_manuales!$H$37="Todos",'Plan mensual'!G84+'Plan mensual'!G195,0))+parametros_manuales!$F$37*('Plan mensual'!G81+'Plan mensual'!G192+IF(parametros_manuales!$H$37="Todos",'Plan mensual'!G85+'Plan mensual'!G196,0))+parametros_manuales!$G$37*('Plan mensual'!G82+'Plan mensual'!G193+IF(parametros_manuales!$H$37="Todos",'Plan mensual'!G86+'Plan mensual'!G197,0)))*parametros_manuales!$I$37*parametros_manuales!$J$37</f>
        <v>16981.294796365</v>
      </c>
      <c r="F209" s="9" t="n">
        <f aca="false">(parametros_manuales!$D$37*('Plan mensual'!H79+'Plan mensual'!H190+IF(parametros_manuales!$H$37="Todos",'Plan mensual'!H83+'Plan mensual'!H194,0))+parametros_manuales!$E$37*('Plan mensual'!H80+'Plan mensual'!H191+IF(parametros_manuales!$H$37="Todos",'Plan mensual'!H84+'Plan mensual'!H195,0))+parametros_manuales!$F$37*('Plan mensual'!H81+'Plan mensual'!H192+IF(parametros_manuales!$H$37="Todos",'Plan mensual'!H85+'Plan mensual'!H196,0))+parametros_manuales!$G$37*('Plan mensual'!H82+'Plan mensual'!H193+IF(parametros_manuales!$H$37="Todos",'Plan mensual'!H86+'Plan mensual'!H197,0)))*parametros_manuales!$I$37*parametros_manuales!$J$37</f>
        <v>15890.55211512</v>
      </c>
      <c r="G209" s="9" t="n">
        <f aca="false">(parametros_manuales!$D$37*('Plan mensual'!I79+'Plan mensual'!I190+IF(parametros_manuales!$H$37="Todos",'Plan mensual'!I83+'Plan mensual'!I194,0))+parametros_manuales!$E$37*('Plan mensual'!I80+'Plan mensual'!I191+IF(parametros_manuales!$H$37="Todos",'Plan mensual'!I84+'Plan mensual'!I195,0))+parametros_manuales!$F$37*('Plan mensual'!I81+'Plan mensual'!I192+IF(parametros_manuales!$H$37="Todos",'Plan mensual'!I85+'Plan mensual'!I196,0))+parametros_manuales!$G$37*('Plan mensual'!I82+'Plan mensual'!I193+IF(parametros_manuales!$H$37="Todos",'Plan mensual'!I86+'Plan mensual'!I197,0)))*parametros_manuales!$I$37*parametros_manuales!$J$37</f>
        <v>15580.474826275</v>
      </c>
      <c r="H209" s="9" t="n">
        <f aca="false">(parametros_manuales!$D$37*('Plan mensual'!J79+'Plan mensual'!J190+IF(parametros_manuales!$H$37="Todos",'Plan mensual'!J83+'Plan mensual'!J194,0))+parametros_manuales!$E$37*('Plan mensual'!J80+'Plan mensual'!J191+IF(parametros_manuales!$H$37="Todos",'Plan mensual'!J84+'Plan mensual'!J195,0))+parametros_manuales!$F$37*('Plan mensual'!J81+'Plan mensual'!J192+IF(parametros_manuales!$H$37="Todos",'Plan mensual'!J85+'Plan mensual'!J196,0))+parametros_manuales!$G$37*('Plan mensual'!J82+'Plan mensual'!J193+IF(parametros_manuales!$H$37="Todos",'Plan mensual'!J86+'Plan mensual'!J197,0)))*parametros_manuales!$I$37*parametros_manuales!$J$37</f>
        <v>16671.21750752</v>
      </c>
      <c r="I209" s="9" t="n">
        <f aca="false">(parametros_manuales!$D$37*('Plan mensual'!K79+'Plan mensual'!K190+IF(parametros_manuales!$H$37="Todos",'Plan mensual'!K83+'Plan mensual'!K194,0))+parametros_manuales!$E$37*('Plan mensual'!K80+'Plan mensual'!K191+IF(parametros_manuales!$H$37="Todos",'Plan mensual'!K84+'Plan mensual'!K195,0))+parametros_manuales!$F$37*('Plan mensual'!K81+'Plan mensual'!K192+IF(parametros_manuales!$H$37="Todos",'Plan mensual'!K85+'Plan mensual'!K196,0))+parametros_manuales!$G$37*('Plan mensual'!K82+'Plan mensual'!K193+IF(parametros_manuales!$H$37="Todos",'Plan mensual'!K86+'Plan mensual'!K197,0)))*parametros_manuales!$I$37*parametros_manuales!$J$37</f>
        <v>16671.21750752</v>
      </c>
      <c r="J209" s="9" t="n">
        <f aca="false">(parametros_manuales!$D$37*('Plan mensual'!L79+'Plan mensual'!L190+IF(parametros_manuales!$H$37="Todos",'Plan mensual'!L83+'Plan mensual'!L194,0))+parametros_manuales!$E$37*('Plan mensual'!L80+'Plan mensual'!L191+IF(parametros_manuales!$H$37="Todos",'Plan mensual'!L84+'Plan mensual'!L195,0))+parametros_manuales!$F$37*('Plan mensual'!L81+'Plan mensual'!L192+IF(parametros_manuales!$H$37="Todos",'Plan mensual'!L85+'Plan mensual'!L196,0))+parametros_manuales!$G$37*('Plan mensual'!L82+'Plan mensual'!L193+IF(parametros_manuales!$H$37="Todos",'Plan mensual'!L86+'Plan mensual'!L197,0)))*parametros_manuales!$I$37*parametros_manuales!$J$37</f>
        <v>16671.21750752</v>
      </c>
      <c r="K209" s="9" t="n">
        <f aca="false">(parametros_manuales!$D$37*('Plan mensual'!M79+'Plan mensual'!M190+IF(parametros_manuales!$H$37="Todos",'Plan mensual'!M83+'Plan mensual'!M194,0))+parametros_manuales!$E$37*('Plan mensual'!M80+'Plan mensual'!M191+IF(parametros_manuales!$H$37="Todos",'Plan mensual'!M84+'Plan mensual'!M195,0))+parametros_manuales!$F$37*('Plan mensual'!M81+'Plan mensual'!M192+IF(parametros_manuales!$H$37="Todos",'Plan mensual'!M85+'Plan mensual'!M196,0))+parametros_manuales!$G$37*('Plan mensual'!M82+'Plan mensual'!M193+IF(parametros_manuales!$H$37="Todos",'Plan mensual'!M86+'Plan mensual'!M197,0)))*parametros_manuales!$I$37*parametros_manuales!$J$37</f>
        <v>16361.140218675</v>
      </c>
      <c r="L209" s="9" t="n">
        <f aca="false">(parametros_manuales!$D$37*('Plan mensual'!N79+'Plan mensual'!N190+IF(parametros_manuales!$H$37="Todos",'Plan mensual'!N83+'Plan mensual'!N194,0))+parametros_manuales!$E$37*('Plan mensual'!N80+'Plan mensual'!N191+IF(parametros_manuales!$H$37="Todos",'Plan mensual'!N84+'Plan mensual'!N195,0))+parametros_manuales!$F$37*('Plan mensual'!N81+'Plan mensual'!N192+IF(parametros_manuales!$H$37="Todos",'Plan mensual'!N85+'Plan mensual'!N196,0))+parametros_manuales!$G$37*('Plan mensual'!N82+'Plan mensual'!N193+IF(parametros_manuales!$H$37="Todos",'Plan mensual'!N86+'Plan mensual'!N197,0)))*parametros_manuales!$I$37*parametros_manuales!$J$37</f>
        <v>16051.06292983</v>
      </c>
      <c r="M209" s="9" t="n">
        <f aca="false">(parametros_manuales!$D$37*('Plan mensual'!O79+'Plan mensual'!O190+IF(parametros_manuales!$H$37="Todos",'Plan mensual'!O83+'Plan mensual'!O194,0))+parametros_manuales!$E$37*('Plan mensual'!O80+'Plan mensual'!O191+IF(parametros_manuales!$H$37="Todos",'Plan mensual'!O84+'Plan mensual'!O195,0))+parametros_manuales!$F$37*('Plan mensual'!O81+'Plan mensual'!O192+IF(parametros_manuales!$H$37="Todos",'Plan mensual'!O85+'Plan mensual'!O196,0))+parametros_manuales!$G$37*('Plan mensual'!O82+'Plan mensual'!O193+IF(parametros_manuales!$H$37="Todos",'Plan mensual'!O86+'Plan mensual'!O197,0)))*parametros_manuales!$I$37*parametros_manuales!$J$37</f>
        <v>25557.66977219</v>
      </c>
      <c r="N209" s="9" t="n">
        <f aca="false">SUM(B209:M209)</f>
        <v>218148.536249</v>
      </c>
      <c r="O209" s="9" t="n">
        <f aca="false">MAX(B209:M209)</f>
        <v>25557.66977219</v>
      </c>
      <c r="P209" s="44" t="n">
        <f aca="false">O209/(parametros_manuales!$B$7)</f>
        <v>170.384465147933</v>
      </c>
      <c r="Q209" s="8" t="str">
        <f aca="false">IF(O209=0,"-",INDEX($B$190:$M$190,MATCH(O209,B209:M209,0)))</f>
        <v>Dic</v>
      </c>
    </row>
    <row r="210" customFormat="false" ht="14.25" hidden="false" customHeight="true" outlineLevel="0" collapsed="false">
      <c r="A210" s="8" t="str">
        <f aca="false">parametros_manuales!$B$38</f>
        <v>Carga de polvo</v>
      </c>
      <c r="B210" s="9" t="n">
        <f aca="false">(parametros_manuales!$D$38*('Plan mensual'!D79+'Plan mensual'!D190+IF(parametros_manuales!$H$38="Todos",'Plan mensual'!D83+'Plan mensual'!D194,0))+parametros_manuales!$E$38*('Plan mensual'!D80+'Plan mensual'!D191+IF(parametros_manuales!$H$38="Todos",'Plan mensual'!D84+'Plan mensual'!D195,0))+parametros_manuales!$F$38*('Plan mensual'!D81+'Plan mensual'!D192+IF(parametros_manuales!$H$38="Todos",'Plan mensual'!D85+'Plan mensual'!D196,0))+parametros_manuales!$G$38*('Plan mensual'!D82+'Plan mensual'!D193+IF(parametros_manuales!$H$38="Todos",'Plan mensual'!D86+'Plan mensual'!D197,0)))*parametros_manuales!$I$38*parametros_manuales!$J$38</f>
        <v>6009.3911945</v>
      </c>
      <c r="C210" s="9" t="n">
        <f aca="false">(parametros_manuales!$D$38*('Plan mensual'!E79+'Plan mensual'!E190+IF(parametros_manuales!$H$38="Todos",'Plan mensual'!E83+'Plan mensual'!E194,0))+parametros_manuales!$E$38*('Plan mensual'!E80+'Plan mensual'!E191+IF(parametros_manuales!$H$38="Todos",'Plan mensual'!E84+'Plan mensual'!E195,0))+parametros_manuales!$F$38*('Plan mensual'!E81+'Plan mensual'!E192+IF(parametros_manuales!$H$38="Todos",'Plan mensual'!E85+'Plan mensual'!E196,0))+parametros_manuales!$G$38*('Plan mensual'!E82+'Plan mensual'!E193+IF(parametros_manuales!$H$38="Todos",'Plan mensual'!E86+'Plan mensual'!E197,0)))*parametros_manuales!$I$38*parametros_manuales!$J$38</f>
        <v>4656.72048472</v>
      </c>
      <c r="D210" s="9" t="n">
        <f aca="false">(parametros_manuales!$D$38*('Plan mensual'!F79+'Plan mensual'!F190+IF(parametros_manuales!$H$38="Todos",'Plan mensual'!F83+'Plan mensual'!F194,0))+parametros_manuales!$E$38*('Plan mensual'!F80+'Plan mensual'!F191+IF(parametros_manuales!$H$38="Todos",'Plan mensual'!F84+'Plan mensual'!F195,0))+parametros_manuales!$F$38*('Plan mensual'!F81+'Plan mensual'!F192+IF(parametros_manuales!$H$38="Todos",'Plan mensual'!F85+'Plan mensual'!F196,0))+parametros_manuales!$G$38*('Plan mensual'!F82+'Plan mensual'!F193+IF(parametros_manuales!$H$38="Todos",'Plan mensual'!F86+'Plan mensual'!F197,0)))*parametros_manuales!$I$38*parametros_manuales!$J$38</f>
        <v>4555.076788765</v>
      </c>
      <c r="E210" s="9" t="n">
        <f aca="false">(parametros_manuales!$D$38*('Plan mensual'!G79+'Plan mensual'!G190+IF(parametros_manuales!$H$38="Todos",'Plan mensual'!G83+'Plan mensual'!G194,0))+parametros_manuales!$E$38*('Plan mensual'!G80+'Plan mensual'!G191+IF(parametros_manuales!$H$38="Todos",'Plan mensual'!G84+'Plan mensual'!G195,0))+parametros_manuales!$F$38*('Plan mensual'!G81+'Plan mensual'!G192+IF(parametros_manuales!$H$38="Todos",'Plan mensual'!G85+'Plan mensual'!G196,0))+parametros_manuales!$G$38*('Plan mensual'!G82+'Plan mensual'!G193+IF(parametros_manuales!$H$38="Todos",'Plan mensual'!G86+'Plan mensual'!G197,0)))*parametros_manuales!$I$38*parametros_manuales!$J$38</f>
        <v>4429.416396365</v>
      </c>
      <c r="F210" s="9" t="n">
        <f aca="false">(parametros_manuales!$D$38*('Plan mensual'!H79+'Plan mensual'!H190+IF(parametros_manuales!$H$38="Todos",'Plan mensual'!H83+'Plan mensual'!H194,0))+parametros_manuales!$E$38*('Plan mensual'!H80+'Plan mensual'!H191+IF(parametros_manuales!$H$38="Todos",'Plan mensual'!H84+'Plan mensual'!H195,0))+parametros_manuales!$F$38*('Plan mensual'!H81+'Plan mensual'!H192+IF(parametros_manuales!$H$38="Todos",'Plan mensual'!H85+'Plan mensual'!H196,0))+parametros_manuales!$G$38*('Plan mensual'!H82+'Plan mensual'!H193+IF(parametros_manuales!$H$38="Todos",'Plan mensual'!H86+'Plan mensual'!H197,0)))*parametros_manuales!$I$38*parametros_manuales!$J$38</f>
        <v>4154.07891512</v>
      </c>
      <c r="G210" s="9" t="n">
        <f aca="false">(parametros_manuales!$D$38*('Plan mensual'!I79+'Plan mensual'!I190+IF(parametros_manuales!$H$38="Todos",'Plan mensual'!I83+'Plan mensual'!I194,0))+parametros_manuales!$E$38*('Plan mensual'!I80+'Plan mensual'!I191+IF(parametros_manuales!$H$38="Todos",'Plan mensual'!I84+'Plan mensual'!I195,0))+parametros_manuales!$F$38*('Plan mensual'!I81+'Plan mensual'!I192+IF(parametros_manuales!$H$38="Todos",'Plan mensual'!I85+'Plan mensual'!I196,0))+parametros_manuales!$G$38*('Plan mensual'!I82+'Plan mensual'!I193+IF(parametros_manuales!$H$38="Todos",'Plan mensual'!I86+'Plan mensual'!I197,0)))*parametros_manuales!$I$38*parametros_manuales!$J$38</f>
        <v>4004.401826275</v>
      </c>
      <c r="H210" s="9" t="n">
        <f aca="false">(parametros_manuales!$D$38*('Plan mensual'!J79+'Plan mensual'!J190+IF(parametros_manuales!$H$38="Todos",'Plan mensual'!J83+'Plan mensual'!J194,0))+parametros_manuales!$E$38*('Plan mensual'!J80+'Plan mensual'!J191+IF(parametros_manuales!$H$38="Todos",'Plan mensual'!J84+'Plan mensual'!J195,0))+parametros_manuales!$F$38*('Plan mensual'!J81+'Plan mensual'!J192+IF(parametros_manuales!$H$38="Todos",'Plan mensual'!J85+'Plan mensual'!J196,0))+parametros_manuales!$G$38*('Plan mensual'!J82+'Plan mensual'!J193+IF(parametros_manuales!$H$38="Todos",'Plan mensual'!J86+'Plan mensual'!J197,0)))*parametros_manuales!$I$38*parametros_manuales!$J$38</f>
        <v>4279.73930752</v>
      </c>
      <c r="I210" s="9" t="n">
        <f aca="false">(parametros_manuales!$D$38*('Plan mensual'!K79+'Plan mensual'!K190+IF(parametros_manuales!$H$38="Todos",'Plan mensual'!K83+'Plan mensual'!K194,0))+parametros_manuales!$E$38*('Plan mensual'!K80+'Plan mensual'!K191+IF(parametros_manuales!$H$38="Todos",'Plan mensual'!K84+'Plan mensual'!K195,0))+parametros_manuales!$F$38*('Plan mensual'!K81+'Plan mensual'!K192+IF(parametros_manuales!$H$38="Todos",'Plan mensual'!K85+'Plan mensual'!K196,0))+parametros_manuales!$G$38*('Plan mensual'!K82+'Plan mensual'!K193+IF(parametros_manuales!$H$38="Todos",'Plan mensual'!K86+'Plan mensual'!K197,0)))*parametros_manuales!$I$38*parametros_manuales!$J$38</f>
        <v>4279.73930752</v>
      </c>
      <c r="J210" s="9" t="n">
        <f aca="false">(parametros_manuales!$D$38*('Plan mensual'!L79+'Plan mensual'!L190+IF(parametros_manuales!$H$38="Todos",'Plan mensual'!L83+'Plan mensual'!L194,0))+parametros_manuales!$E$38*('Plan mensual'!L80+'Plan mensual'!L191+IF(parametros_manuales!$H$38="Todos",'Plan mensual'!L84+'Plan mensual'!L195,0))+parametros_manuales!$F$38*('Plan mensual'!L81+'Plan mensual'!L192+IF(parametros_manuales!$H$38="Todos",'Plan mensual'!L85+'Plan mensual'!L196,0))+parametros_manuales!$G$38*('Plan mensual'!L82+'Plan mensual'!L193+IF(parametros_manuales!$H$38="Todos",'Plan mensual'!L86+'Plan mensual'!L197,0)))*parametros_manuales!$I$38*parametros_manuales!$J$38</f>
        <v>4279.73930752</v>
      </c>
      <c r="K210" s="9" t="n">
        <f aca="false">(parametros_manuales!$D$38*('Plan mensual'!M79+'Plan mensual'!M190+IF(parametros_manuales!$H$38="Todos",'Plan mensual'!M83+'Plan mensual'!M194,0))+parametros_manuales!$E$38*('Plan mensual'!M80+'Plan mensual'!M191+IF(parametros_manuales!$H$38="Todos",'Plan mensual'!M84+'Plan mensual'!M195,0))+parametros_manuales!$F$38*('Plan mensual'!M81+'Plan mensual'!M192+IF(parametros_manuales!$H$38="Todos",'Plan mensual'!M85+'Plan mensual'!M196,0))+parametros_manuales!$G$38*('Plan mensual'!M82+'Plan mensual'!M193+IF(parametros_manuales!$H$38="Todos",'Plan mensual'!M86+'Plan mensual'!M197,0)))*parametros_manuales!$I$38*parametros_manuales!$J$38</f>
        <v>4130.062218675</v>
      </c>
      <c r="L210" s="9" t="n">
        <f aca="false">(parametros_manuales!$D$38*('Plan mensual'!N79+'Plan mensual'!N190+IF(parametros_manuales!$H$38="Todos",'Plan mensual'!N83+'Plan mensual'!N194,0))+parametros_manuales!$E$38*('Plan mensual'!N80+'Plan mensual'!N191+IF(parametros_manuales!$H$38="Todos",'Plan mensual'!N84+'Plan mensual'!N195,0))+parametros_manuales!$F$38*('Plan mensual'!N81+'Plan mensual'!N192+IF(parametros_manuales!$H$38="Todos",'Plan mensual'!N85+'Plan mensual'!N196,0))+parametros_manuales!$G$38*('Plan mensual'!N82+'Plan mensual'!N193+IF(parametros_manuales!$H$38="Todos",'Plan mensual'!N86+'Plan mensual'!N197,0)))*parametros_manuales!$I$38*parametros_manuales!$J$38</f>
        <v>3980.38512983</v>
      </c>
      <c r="M210" s="9" t="n">
        <f aca="false">(parametros_manuales!$D$38*('Plan mensual'!O79+'Plan mensual'!O190+IF(parametros_manuales!$H$38="Todos",'Plan mensual'!O83+'Plan mensual'!O194,0))+parametros_manuales!$E$38*('Plan mensual'!O80+'Plan mensual'!O191+IF(parametros_manuales!$H$38="Todos",'Plan mensual'!O84+'Plan mensual'!O195,0))+parametros_manuales!$F$38*('Plan mensual'!O81+'Plan mensual'!O192+IF(parametros_manuales!$H$38="Todos",'Plan mensual'!O85+'Plan mensual'!O196,0))+parametros_manuales!$G$38*('Plan mensual'!O82+'Plan mensual'!O193+IF(parametros_manuales!$H$38="Todos",'Plan mensual'!O86+'Plan mensual'!O197,0)))*parametros_manuales!$I$38*parametros_manuales!$J$38</f>
        <v>6308.74537219</v>
      </c>
      <c r="N210" s="9" t="n">
        <f aca="false">SUM(B210:M210)</f>
        <v>55067.496249</v>
      </c>
      <c r="O210" s="9" t="n">
        <f aca="false">MAX(B210:M210)</f>
        <v>6308.74537219</v>
      </c>
      <c r="P210" s="44" t="n">
        <f aca="false">O210/(parametros_manuales!$B$7)</f>
        <v>42.0583024812667</v>
      </c>
      <c r="Q210" s="8" t="str">
        <f aca="false">IF(O210=0,"-",INDEX($B$190:$M$190,MATCH(O210,B210:M210,0)))</f>
        <v>Dic</v>
      </c>
    </row>
    <row r="211" customFormat="false" ht="14.25" hidden="false" customHeight="true" outlineLevel="0" collapsed="false">
      <c r="A211" s="8" t="str">
        <f aca="false">parametros_manuales!$B$39</f>
        <v>Ensamblaje</v>
      </c>
      <c r="B211" s="9" t="n">
        <f aca="false">(parametros_manuales!$D$39*('Plan mensual'!D79+'Plan mensual'!D190+IF(parametros_manuales!$H$39="Todos",'Plan mensual'!D83+'Plan mensual'!D194,0))+parametros_manuales!$E$39*('Plan mensual'!D80+'Plan mensual'!D191+IF(parametros_manuales!$H$39="Todos",'Plan mensual'!D84+'Plan mensual'!D195,0))+parametros_manuales!$F$39*('Plan mensual'!D81+'Plan mensual'!D192+IF(parametros_manuales!$H$39="Todos",'Plan mensual'!D85+'Plan mensual'!D196,0))+parametros_manuales!$G$39*('Plan mensual'!D82+'Plan mensual'!D193+IF(parametros_manuales!$H$39="Todos",'Plan mensual'!D86+'Plan mensual'!D197,0)))*parametros_manuales!$I$39*parametros_manuales!$J$39</f>
        <v>6009.3911945</v>
      </c>
      <c r="C211" s="9" t="n">
        <f aca="false">(parametros_manuales!$D$39*('Plan mensual'!E79+'Plan mensual'!E190+IF(parametros_manuales!$H$39="Todos",'Plan mensual'!E83+'Plan mensual'!E194,0))+parametros_manuales!$E$39*('Plan mensual'!E80+'Plan mensual'!E191+IF(parametros_manuales!$H$39="Todos",'Plan mensual'!E84+'Plan mensual'!E195,0))+parametros_manuales!$F$39*('Plan mensual'!E81+'Plan mensual'!E192+IF(parametros_manuales!$H$39="Todos",'Plan mensual'!E85+'Plan mensual'!E196,0))+parametros_manuales!$G$39*('Plan mensual'!E82+'Plan mensual'!E193+IF(parametros_manuales!$H$39="Todos",'Plan mensual'!E86+'Plan mensual'!E197,0)))*parametros_manuales!$I$39*parametros_manuales!$J$39</f>
        <v>4656.72048472</v>
      </c>
      <c r="D211" s="9" t="n">
        <f aca="false">(parametros_manuales!$D$39*('Plan mensual'!F79+'Plan mensual'!F190+IF(parametros_manuales!$H$39="Todos",'Plan mensual'!F83+'Plan mensual'!F194,0))+parametros_manuales!$E$39*('Plan mensual'!F80+'Plan mensual'!F191+IF(parametros_manuales!$H$39="Todos",'Plan mensual'!F84+'Plan mensual'!F195,0))+parametros_manuales!$F$39*('Plan mensual'!F81+'Plan mensual'!F192+IF(parametros_manuales!$H$39="Todos",'Plan mensual'!F85+'Plan mensual'!F196,0))+parametros_manuales!$G$39*('Plan mensual'!F82+'Plan mensual'!F193+IF(parametros_manuales!$H$39="Todos",'Plan mensual'!F86+'Plan mensual'!F197,0)))*parametros_manuales!$I$39*parametros_manuales!$J$39</f>
        <v>4555.076788765</v>
      </c>
      <c r="E211" s="9" t="n">
        <f aca="false">(parametros_manuales!$D$39*('Plan mensual'!G79+'Plan mensual'!G190+IF(parametros_manuales!$H$39="Todos",'Plan mensual'!G83+'Plan mensual'!G194,0))+parametros_manuales!$E$39*('Plan mensual'!G80+'Plan mensual'!G191+IF(parametros_manuales!$H$39="Todos",'Plan mensual'!G84+'Plan mensual'!G195,0))+parametros_manuales!$F$39*('Plan mensual'!G81+'Plan mensual'!G192+IF(parametros_manuales!$H$39="Todos",'Plan mensual'!G85+'Plan mensual'!G196,0))+parametros_manuales!$G$39*('Plan mensual'!G82+'Plan mensual'!G193+IF(parametros_manuales!$H$39="Todos",'Plan mensual'!G86+'Plan mensual'!G197,0)))*parametros_manuales!$I$39*parametros_manuales!$J$39</f>
        <v>4429.416396365</v>
      </c>
      <c r="F211" s="9" t="n">
        <f aca="false">(parametros_manuales!$D$39*('Plan mensual'!H79+'Plan mensual'!H190+IF(parametros_manuales!$H$39="Todos",'Plan mensual'!H83+'Plan mensual'!H194,0))+parametros_manuales!$E$39*('Plan mensual'!H80+'Plan mensual'!H191+IF(parametros_manuales!$H$39="Todos",'Plan mensual'!H84+'Plan mensual'!H195,0))+parametros_manuales!$F$39*('Plan mensual'!H81+'Plan mensual'!H192+IF(parametros_manuales!$H$39="Todos",'Plan mensual'!H85+'Plan mensual'!H196,0))+parametros_manuales!$G$39*('Plan mensual'!H82+'Plan mensual'!H193+IF(parametros_manuales!$H$39="Todos",'Plan mensual'!H86+'Plan mensual'!H197,0)))*parametros_manuales!$I$39*parametros_manuales!$J$39</f>
        <v>4154.07891512</v>
      </c>
      <c r="G211" s="9" t="n">
        <f aca="false">(parametros_manuales!$D$39*('Plan mensual'!I79+'Plan mensual'!I190+IF(parametros_manuales!$H$39="Todos",'Plan mensual'!I83+'Plan mensual'!I194,0))+parametros_manuales!$E$39*('Plan mensual'!I80+'Plan mensual'!I191+IF(parametros_manuales!$H$39="Todos",'Plan mensual'!I84+'Plan mensual'!I195,0))+parametros_manuales!$F$39*('Plan mensual'!I81+'Plan mensual'!I192+IF(parametros_manuales!$H$39="Todos",'Plan mensual'!I85+'Plan mensual'!I196,0))+parametros_manuales!$G$39*('Plan mensual'!I82+'Plan mensual'!I193+IF(parametros_manuales!$H$39="Todos",'Plan mensual'!I86+'Plan mensual'!I197,0)))*parametros_manuales!$I$39*parametros_manuales!$J$39</f>
        <v>4004.401826275</v>
      </c>
      <c r="H211" s="9" t="n">
        <f aca="false">(parametros_manuales!$D$39*('Plan mensual'!J79+'Plan mensual'!J190+IF(parametros_manuales!$H$39="Todos",'Plan mensual'!J83+'Plan mensual'!J194,0))+parametros_manuales!$E$39*('Plan mensual'!J80+'Plan mensual'!J191+IF(parametros_manuales!$H$39="Todos",'Plan mensual'!J84+'Plan mensual'!J195,0))+parametros_manuales!$F$39*('Plan mensual'!J81+'Plan mensual'!J192+IF(parametros_manuales!$H$39="Todos",'Plan mensual'!J85+'Plan mensual'!J196,0))+parametros_manuales!$G$39*('Plan mensual'!J82+'Plan mensual'!J193+IF(parametros_manuales!$H$39="Todos",'Plan mensual'!J86+'Plan mensual'!J197,0)))*parametros_manuales!$I$39*parametros_manuales!$J$39</f>
        <v>4279.73930752</v>
      </c>
      <c r="I211" s="9" t="n">
        <f aca="false">(parametros_manuales!$D$39*('Plan mensual'!K79+'Plan mensual'!K190+IF(parametros_manuales!$H$39="Todos",'Plan mensual'!K83+'Plan mensual'!K194,0))+parametros_manuales!$E$39*('Plan mensual'!K80+'Plan mensual'!K191+IF(parametros_manuales!$H$39="Todos",'Plan mensual'!K84+'Plan mensual'!K195,0))+parametros_manuales!$F$39*('Plan mensual'!K81+'Plan mensual'!K192+IF(parametros_manuales!$H$39="Todos",'Plan mensual'!K85+'Plan mensual'!K196,0))+parametros_manuales!$G$39*('Plan mensual'!K82+'Plan mensual'!K193+IF(parametros_manuales!$H$39="Todos",'Plan mensual'!K86+'Plan mensual'!K197,0)))*parametros_manuales!$I$39*parametros_manuales!$J$39</f>
        <v>4279.73930752</v>
      </c>
      <c r="J211" s="9" t="n">
        <f aca="false">(parametros_manuales!$D$39*('Plan mensual'!L79+'Plan mensual'!L190+IF(parametros_manuales!$H$39="Todos",'Plan mensual'!L83+'Plan mensual'!L194,0))+parametros_manuales!$E$39*('Plan mensual'!L80+'Plan mensual'!L191+IF(parametros_manuales!$H$39="Todos",'Plan mensual'!L84+'Plan mensual'!L195,0))+parametros_manuales!$F$39*('Plan mensual'!L81+'Plan mensual'!L192+IF(parametros_manuales!$H$39="Todos",'Plan mensual'!L85+'Plan mensual'!L196,0))+parametros_manuales!$G$39*('Plan mensual'!L82+'Plan mensual'!L193+IF(parametros_manuales!$H$39="Todos",'Plan mensual'!L86+'Plan mensual'!L197,0)))*parametros_manuales!$I$39*parametros_manuales!$J$39</f>
        <v>4279.73930752</v>
      </c>
      <c r="K211" s="9" t="n">
        <f aca="false">(parametros_manuales!$D$39*('Plan mensual'!M79+'Plan mensual'!M190+IF(parametros_manuales!$H$39="Todos",'Plan mensual'!M83+'Plan mensual'!M194,0))+parametros_manuales!$E$39*('Plan mensual'!M80+'Plan mensual'!M191+IF(parametros_manuales!$H$39="Todos",'Plan mensual'!M84+'Plan mensual'!M195,0))+parametros_manuales!$F$39*('Plan mensual'!M81+'Plan mensual'!M192+IF(parametros_manuales!$H$39="Todos",'Plan mensual'!M85+'Plan mensual'!M196,0))+parametros_manuales!$G$39*('Plan mensual'!M82+'Plan mensual'!M193+IF(parametros_manuales!$H$39="Todos",'Plan mensual'!M86+'Plan mensual'!M197,0)))*parametros_manuales!$I$39*parametros_manuales!$J$39</f>
        <v>4130.062218675</v>
      </c>
      <c r="L211" s="9" t="n">
        <f aca="false">(parametros_manuales!$D$39*('Plan mensual'!N79+'Plan mensual'!N190+IF(parametros_manuales!$H$39="Todos",'Plan mensual'!N83+'Plan mensual'!N194,0))+parametros_manuales!$E$39*('Plan mensual'!N80+'Plan mensual'!N191+IF(parametros_manuales!$H$39="Todos",'Plan mensual'!N84+'Plan mensual'!N195,0))+parametros_manuales!$F$39*('Plan mensual'!N81+'Plan mensual'!N192+IF(parametros_manuales!$H$39="Todos",'Plan mensual'!N85+'Plan mensual'!N196,0))+parametros_manuales!$G$39*('Plan mensual'!N82+'Plan mensual'!N193+IF(parametros_manuales!$H$39="Todos",'Plan mensual'!N86+'Plan mensual'!N197,0)))*parametros_manuales!$I$39*parametros_manuales!$J$39</f>
        <v>3980.38512983</v>
      </c>
      <c r="M211" s="9" t="n">
        <f aca="false">(parametros_manuales!$D$39*('Plan mensual'!O79+'Plan mensual'!O190+IF(parametros_manuales!$H$39="Todos",'Plan mensual'!O83+'Plan mensual'!O194,0))+parametros_manuales!$E$39*('Plan mensual'!O80+'Plan mensual'!O191+IF(parametros_manuales!$H$39="Todos",'Plan mensual'!O84+'Plan mensual'!O195,0))+parametros_manuales!$F$39*('Plan mensual'!O81+'Plan mensual'!O192+IF(parametros_manuales!$H$39="Todos",'Plan mensual'!O85+'Plan mensual'!O196,0))+parametros_manuales!$G$39*('Plan mensual'!O82+'Plan mensual'!O193+IF(parametros_manuales!$H$39="Todos",'Plan mensual'!O86+'Plan mensual'!O197,0)))*parametros_manuales!$I$39*parametros_manuales!$J$39</f>
        <v>6308.74537219</v>
      </c>
      <c r="N211" s="9" t="n">
        <f aca="false">SUM(B211:M211)</f>
        <v>55067.496249</v>
      </c>
      <c r="O211" s="9" t="n">
        <f aca="false">MAX(B211:M211)</f>
        <v>6308.74537219</v>
      </c>
      <c r="P211" s="44" t="n">
        <f aca="false">O211/(parametros_manuales!$B$7)</f>
        <v>42.0583024812667</v>
      </c>
      <c r="Q211" s="8" t="str">
        <f aca="false">IF(O211=0,"-",INDEX($B$190:$M$190,MATCH(O211,B211:M211,0)))</f>
        <v>Dic</v>
      </c>
    </row>
    <row r="212" customFormat="false" ht="14.25" hidden="false" customHeight="true" outlineLevel="0" collapsed="false">
      <c r="A212" s="8" t="str">
        <f aca="false">parametros_manuales!$B$40</f>
        <v>Presurización</v>
      </c>
      <c r="B212" s="9" t="n">
        <f aca="false">(parametros_manuales!$D$40*('Plan mensual'!D79+'Plan mensual'!D190+IF(parametros_manuales!$H$40="Todos",'Plan mensual'!D83+'Plan mensual'!D194,0))+parametros_manuales!$E$40*('Plan mensual'!D80+'Plan mensual'!D191+IF(parametros_manuales!$H$40="Todos",'Plan mensual'!D84+'Plan mensual'!D195,0))+parametros_manuales!$F$40*('Plan mensual'!D81+'Plan mensual'!D192+IF(parametros_manuales!$H$40="Todos",'Plan mensual'!D85+'Plan mensual'!D196,0))+parametros_manuales!$G$40*('Plan mensual'!D82+'Plan mensual'!D193+IF(parametros_manuales!$H$40="Todos",'Plan mensual'!D86+'Plan mensual'!D197,0)))*parametros_manuales!$I$40*parametros_manuales!$J$40</f>
        <v>6009.3911945</v>
      </c>
      <c r="C212" s="9" t="n">
        <f aca="false">(parametros_manuales!$D$40*('Plan mensual'!E79+'Plan mensual'!E190+IF(parametros_manuales!$H$40="Todos",'Plan mensual'!E83+'Plan mensual'!E194,0))+parametros_manuales!$E$40*('Plan mensual'!E80+'Plan mensual'!E191+IF(parametros_manuales!$H$40="Todos",'Plan mensual'!E84+'Plan mensual'!E195,0))+parametros_manuales!$F$40*('Plan mensual'!E81+'Plan mensual'!E192+IF(parametros_manuales!$H$40="Todos",'Plan mensual'!E85+'Plan mensual'!E196,0))+parametros_manuales!$G$40*('Plan mensual'!E82+'Plan mensual'!E193+IF(parametros_manuales!$H$40="Todos",'Plan mensual'!E86+'Plan mensual'!E197,0)))*parametros_manuales!$I$40*parametros_manuales!$J$40</f>
        <v>4656.72048472</v>
      </c>
      <c r="D212" s="9" t="n">
        <f aca="false">(parametros_manuales!$D$40*('Plan mensual'!F79+'Plan mensual'!F190+IF(parametros_manuales!$H$40="Todos",'Plan mensual'!F83+'Plan mensual'!F194,0))+parametros_manuales!$E$40*('Plan mensual'!F80+'Plan mensual'!F191+IF(parametros_manuales!$H$40="Todos",'Plan mensual'!F84+'Plan mensual'!F195,0))+parametros_manuales!$F$40*('Plan mensual'!F81+'Plan mensual'!F192+IF(parametros_manuales!$H$40="Todos",'Plan mensual'!F85+'Plan mensual'!F196,0))+parametros_manuales!$G$40*('Plan mensual'!F82+'Plan mensual'!F193+IF(parametros_manuales!$H$40="Todos",'Plan mensual'!F86+'Plan mensual'!F197,0)))*parametros_manuales!$I$40*parametros_manuales!$J$40</f>
        <v>4555.076788765</v>
      </c>
      <c r="E212" s="9" t="n">
        <f aca="false">(parametros_manuales!$D$40*('Plan mensual'!G79+'Plan mensual'!G190+IF(parametros_manuales!$H$40="Todos",'Plan mensual'!G83+'Plan mensual'!G194,0))+parametros_manuales!$E$40*('Plan mensual'!G80+'Plan mensual'!G191+IF(parametros_manuales!$H$40="Todos",'Plan mensual'!G84+'Plan mensual'!G195,0))+parametros_manuales!$F$40*('Plan mensual'!G81+'Plan mensual'!G192+IF(parametros_manuales!$H$40="Todos",'Plan mensual'!G85+'Plan mensual'!G196,0))+parametros_manuales!$G$40*('Plan mensual'!G82+'Plan mensual'!G193+IF(parametros_manuales!$H$40="Todos",'Plan mensual'!G86+'Plan mensual'!G197,0)))*parametros_manuales!$I$40*parametros_manuales!$J$40</f>
        <v>4429.416396365</v>
      </c>
      <c r="F212" s="9" t="n">
        <f aca="false">(parametros_manuales!$D$40*('Plan mensual'!H79+'Plan mensual'!H190+IF(parametros_manuales!$H$40="Todos",'Plan mensual'!H83+'Plan mensual'!H194,0))+parametros_manuales!$E$40*('Plan mensual'!H80+'Plan mensual'!H191+IF(parametros_manuales!$H$40="Todos",'Plan mensual'!H84+'Plan mensual'!H195,0))+parametros_manuales!$F$40*('Plan mensual'!H81+'Plan mensual'!H192+IF(parametros_manuales!$H$40="Todos",'Plan mensual'!H85+'Plan mensual'!H196,0))+parametros_manuales!$G$40*('Plan mensual'!H82+'Plan mensual'!H193+IF(parametros_manuales!$H$40="Todos",'Plan mensual'!H86+'Plan mensual'!H197,0)))*parametros_manuales!$I$40*parametros_manuales!$J$40</f>
        <v>4154.07891512</v>
      </c>
      <c r="G212" s="9" t="n">
        <f aca="false">(parametros_manuales!$D$40*('Plan mensual'!I79+'Plan mensual'!I190+IF(parametros_manuales!$H$40="Todos",'Plan mensual'!I83+'Plan mensual'!I194,0))+parametros_manuales!$E$40*('Plan mensual'!I80+'Plan mensual'!I191+IF(parametros_manuales!$H$40="Todos",'Plan mensual'!I84+'Plan mensual'!I195,0))+parametros_manuales!$F$40*('Plan mensual'!I81+'Plan mensual'!I192+IF(parametros_manuales!$H$40="Todos",'Plan mensual'!I85+'Plan mensual'!I196,0))+parametros_manuales!$G$40*('Plan mensual'!I82+'Plan mensual'!I193+IF(parametros_manuales!$H$40="Todos",'Plan mensual'!I86+'Plan mensual'!I197,0)))*parametros_manuales!$I$40*parametros_manuales!$J$40</f>
        <v>4004.401826275</v>
      </c>
      <c r="H212" s="9" t="n">
        <f aca="false">(parametros_manuales!$D$40*('Plan mensual'!J79+'Plan mensual'!J190+IF(parametros_manuales!$H$40="Todos",'Plan mensual'!J83+'Plan mensual'!J194,0))+parametros_manuales!$E$40*('Plan mensual'!J80+'Plan mensual'!J191+IF(parametros_manuales!$H$40="Todos",'Plan mensual'!J84+'Plan mensual'!J195,0))+parametros_manuales!$F$40*('Plan mensual'!J81+'Plan mensual'!J192+IF(parametros_manuales!$H$40="Todos",'Plan mensual'!J85+'Plan mensual'!J196,0))+parametros_manuales!$G$40*('Plan mensual'!J82+'Plan mensual'!J193+IF(parametros_manuales!$H$40="Todos",'Plan mensual'!J86+'Plan mensual'!J197,0)))*parametros_manuales!$I$40*parametros_manuales!$J$40</f>
        <v>4279.73930752</v>
      </c>
      <c r="I212" s="9" t="n">
        <f aca="false">(parametros_manuales!$D$40*('Plan mensual'!K79+'Plan mensual'!K190+IF(parametros_manuales!$H$40="Todos",'Plan mensual'!K83+'Plan mensual'!K194,0))+parametros_manuales!$E$40*('Plan mensual'!K80+'Plan mensual'!K191+IF(parametros_manuales!$H$40="Todos",'Plan mensual'!K84+'Plan mensual'!K195,0))+parametros_manuales!$F$40*('Plan mensual'!K81+'Plan mensual'!K192+IF(parametros_manuales!$H$40="Todos",'Plan mensual'!K85+'Plan mensual'!K196,0))+parametros_manuales!$G$40*('Plan mensual'!K82+'Plan mensual'!K193+IF(parametros_manuales!$H$40="Todos",'Plan mensual'!K86+'Plan mensual'!K197,0)))*parametros_manuales!$I$40*parametros_manuales!$J$40</f>
        <v>4279.73930752</v>
      </c>
      <c r="J212" s="9" t="n">
        <f aca="false">(parametros_manuales!$D$40*('Plan mensual'!L79+'Plan mensual'!L190+IF(parametros_manuales!$H$40="Todos",'Plan mensual'!L83+'Plan mensual'!L194,0))+parametros_manuales!$E$40*('Plan mensual'!L80+'Plan mensual'!L191+IF(parametros_manuales!$H$40="Todos",'Plan mensual'!L84+'Plan mensual'!L195,0))+parametros_manuales!$F$40*('Plan mensual'!L81+'Plan mensual'!L192+IF(parametros_manuales!$H$40="Todos",'Plan mensual'!L85+'Plan mensual'!L196,0))+parametros_manuales!$G$40*('Plan mensual'!L82+'Plan mensual'!L193+IF(parametros_manuales!$H$40="Todos",'Plan mensual'!L86+'Plan mensual'!L197,0)))*parametros_manuales!$I$40*parametros_manuales!$J$40</f>
        <v>4279.73930752</v>
      </c>
      <c r="K212" s="9" t="n">
        <f aca="false">(parametros_manuales!$D$40*('Plan mensual'!M79+'Plan mensual'!M190+IF(parametros_manuales!$H$40="Todos",'Plan mensual'!M83+'Plan mensual'!M194,0))+parametros_manuales!$E$40*('Plan mensual'!M80+'Plan mensual'!M191+IF(parametros_manuales!$H$40="Todos",'Plan mensual'!M84+'Plan mensual'!M195,0))+parametros_manuales!$F$40*('Plan mensual'!M81+'Plan mensual'!M192+IF(parametros_manuales!$H$40="Todos",'Plan mensual'!M85+'Plan mensual'!M196,0))+parametros_manuales!$G$40*('Plan mensual'!M82+'Plan mensual'!M193+IF(parametros_manuales!$H$40="Todos",'Plan mensual'!M86+'Plan mensual'!M197,0)))*parametros_manuales!$I$40*parametros_manuales!$J$40</f>
        <v>4130.062218675</v>
      </c>
      <c r="L212" s="9" t="n">
        <f aca="false">(parametros_manuales!$D$40*('Plan mensual'!N79+'Plan mensual'!N190+IF(parametros_manuales!$H$40="Todos",'Plan mensual'!N83+'Plan mensual'!N194,0))+parametros_manuales!$E$40*('Plan mensual'!N80+'Plan mensual'!N191+IF(parametros_manuales!$H$40="Todos",'Plan mensual'!N84+'Plan mensual'!N195,0))+parametros_manuales!$F$40*('Plan mensual'!N81+'Plan mensual'!N192+IF(parametros_manuales!$H$40="Todos",'Plan mensual'!N85+'Plan mensual'!N196,0))+parametros_manuales!$G$40*('Plan mensual'!N82+'Plan mensual'!N193+IF(parametros_manuales!$H$40="Todos",'Plan mensual'!N86+'Plan mensual'!N197,0)))*parametros_manuales!$I$40*parametros_manuales!$J$40</f>
        <v>3980.38512983</v>
      </c>
      <c r="M212" s="9" t="n">
        <f aca="false">(parametros_manuales!$D$40*('Plan mensual'!O79+'Plan mensual'!O190+IF(parametros_manuales!$H$40="Todos",'Plan mensual'!O83+'Plan mensual'!O194,0))+parametros_manuales!$E$40*('Plan mensual'!O80+'Plan mensual'!O191+IF(parametros_manuales!$H$40="Todos",'Plan mensual'!O84+'Plan mensual'!O195,0))+parametros_manuales!$F$40*('Plan mensual'!O81+'Plan mensual'!O192+IF(parametros_manuales!$H$40="Todos",'Plan mensual'!O85+'Plan mensual'!O196,0))+parametros_manuales!$G$40*('Plan mensual'!O82+'Plan mensual'!O193+IF(parametros_manuales!$H$40="Todos",'Plan mensual'!O86+'Plan mensual'!O197,0)))*parametros_manuales!$I$40*parametros_manuales!$J$40</f>
        <v>6308.74537219</v>
      </c>
      <c r="N212" s="9" t="n">
        <f aca="false">SUM(B212:M212)</f>
        <v>55067.496249</v>
      </c>
      <c r="O212" s="9" t="n">
        <f aca="false">MAX(B212:M212)</f>
        <v>6308.74537219</v>
      </c>
      <c r="P212" s="44" t="n">
        <f aca="false">O212/(parametros_manuales!$B$7)</f>
        <v>42.0583024812667</v>
      </c>
      <c r="Q212" s="8" t="str">
        <f aca="false">IF(O212=0,"-",INDEX($B$190:$M$190,MATCH(O212,B212:M212,0)))</f>
        <v>Dic</v>
      </c>
    </row>
    <row r="213" customFormat="false" ht="14.25" hidden="false" customHeight="true" outlineLevel="0" collapsed="false">
      <c r="A213" s="8" t="str">
        <f aca="false">parametros_manuales!$B$41</f>
        <v>Control de calidad — Ensayo de pérdidas</v>
      </c>
      <c r="B213" s="9" t="n">
        <f aca="false">(parametros_manuales!$D$41*('Plan mensual'!D79+'Plan mensual'!D190+IF(parametros_manuales!$H$41="Todos",'Plan mensual'!D83+'Plan mensual'!D194,0))+parametros_manuales!$E$41*('Plan mensual'!D80+'Plan mensual'!D191+IF(parametros_manuales!$H$41="Todos",'Plan mensual'!D84+'Plan mensual'!D195,0))+parametros_manuales!$F$41*('Plan mensual'!D81+'Plan mensual'!D192+IF(parametros_manuales!$H$41="Todos",'Plan mensual'!D85+'Plan mensual'!D196,0))+parametros_manuales!$G$41*('Plan mensual'!D82+'Plan mensual'!D193+IF(parametros_manuales!$H$41="Todos",'Plan mensual'!D86+'Plan mensual'!D197,0)))*parametros_manuales!$I$41*parametros_manuales!$J$41</f>
        <v>6009.3911945</v>
      </c>
      <c r="C213" s="9" t="n">
        <f aca="false">(parametros_manuales!$D$41*('Plan mensual'!E79+'Plan mensual'!E190+IF(parametros_manuales!$H$41="Todos",'Plan mensual'!E83+'Plan mensual'!E194,0))+parametros_manuales!$E$41*('Plan mensual'!E80+'Plan mensual'!E191+IF(parametros_manuales!$H$41="Todos",'Plan mensual'!E84+'Plan mensual'!E195,0))+parametros_manuales!$F$41*('Plan mensual'!E81+'Plan mensual'!E192+IF(parametros_manuales!$H$41="Todos",'Plan mensual'!E85+'Plan mensual'!E196,0))+parametros_manuales!$G$41*('Plan mensual'!E82+'Plan mensual'!E193+IF(parametros_manuales!$H$41="Todos",'Plan mensual'!E86+'Plan mensual'!E197,0)))*parametros_manuales!$I$41*parametros_manuales!$J$41</f>
        <v>4656.72048472</v>
      </c>
      <c r="D213" s="9" t="n">
        <f aca="false">(parametros_manuales!$D$41*('Plan mensual'!F79+'Plan mensual'!F190+IF(parametros_manuales!$H$41="Todos",'Plan mensual'!F83+'Plan mensual'!F194,0))+parametros_manuales!$E$41*('Plan mensual'!F80+'Plan mensual'!F191+IF(parametros_manuales!$H$41="Todos",'Plan mensual'!F84+'Plan mensual'!F195,0))+parametros_manuales!$F$41*('Plan mensual'!F81+'Plan mensual'!F192+IF(parametros_manuales!$H$41="Todos",'Plan mensual'!F85+'Plan mensual'!F196,0))+parametros_manuales!$G$41*('Plan mensual'!F82+'Plan mensual'!F193+IF(parametros_manuales!$H$41="Todos",'Plan mensual'!F86+'Plan mensual'!F197,0)))*parametros_manuales!$I$41*parametros_manuales!$J$41</f>
        <v>4555.076788765</v>
      </c>
      <c r="E213" s="9" t="n">
        <f aca="false">(parametros_manuales!$D$41*('Plan mensual'!G79+'Plan mensual'!G190+IF(parametros_manuales!$H$41="Todos",'Plan mensual'!G83+'Plan mensual'!G194,0))+parametros_manuales!$E$41*('Plan mensual'!G80+'Plan mensual'!G191+IF(parametros_manuales!$H$41="Todos",'Plan mensual'!G84+'Plan mensual'!G195,0))+parametros_manuales!$F$41*('Plan mensual'!G81+'Plan mensual'!G192+IF(parametros_manuales!$H$41="Todos",'Plan mensual'!G85+'Plan mensual'!G196,0))+parametros_manuales!$G$41*('Plan mensual'!G82+'Plan mensual'!G193+IF(parametros_manuales!$H$41="Todos",'Plan mensual'!G86+'Plan mensual'!G197,0)))*parametros_manuales!$I$41*parametros_manuales!$J$41</f>
        <v>4429.416396365</v>
      </c>
      <c r="F213" s="9" t="n">
        <f aca="false">(parametros_manuales!$D$41*('Plan mensual'!H79+'Plan mensual'!H190+IF(parametros_manuales!$H$41="Todos",'Plan mensual'!H83+'Plan mensual'!H194,0))+parametros_manuales!$E$41*('Plan mensual'!H80+'Plan mensual'!H191+IF(parametros_manuales!$H$41="Todos",'Plan mensual'!H84+'Plan mensual'!H195,0))+parametros_manuales!$F$41*('Plan mensual'!H81+'Plan mensual'!H192+IF(parametros_manuales!$H$41="Todos",'Plan mensual'!H85+'Plan mensual'!H196,0))+parametros_manuales!$G$41*('Plan mensual'!H82+'Plan mensual'!H193+IF(parametros_manuales!$H$41="Todos",'Plan mensual'!H86+'Plan mensual'!H197,0)))*parametros_manuales!$I$41*parametros_manuales!$J$41</f>
        <v>4154.07891512</v>
      </c>
      <c r="G213" s="9" t="n">
        <f aca="false">(parametros_manuales!$D$41*('Plan mensual'!I79+'Plan mensual'!I190+IF(parametros_manuales!$H$41="Todos",'Plan mensual'!I83+'Plan mensual'!I194,0))+parametros_manuales!$E$41*('Plan mensual'!I80+'Plan mensual'!I191+IF(parametros_manuales!$H$41="Todos",'Plan mensual'!I84+'Plan mensual'!I195,0))+parametros_manuales!$F$41*('Plan mensual'!I81+'Plan mensual'!I192+IF(parametros_manuales!$H$41="Todos",'Plan mensual'!I85+'Plan mensual'!I196,0))+parametros_manuales!$G$41*('Plan mensual'!I82+'Plan mensual'!I193+IF(parametros_manuales!$H$41="Todos",'Plan mensual'!I86+'Plan mensual'!I197,0)))*parametros_manuales!$I$41*parametros_manuales!$J$41</f>
        <v>4004.401826275</v>
      </c>
      <c r="H213" s="9" t="n">
        <f aca="false">(parametros_manuales!$D$41*('Plan mensual'!J79+'Plan mensual'!J190+IF(parametros_manuales!$H$41="Todos",'Plan mensual'!J83+'Plan mensual'!J194,0))+parametros_manuales!$E$41*('Plan mensual'!J80+'Plan mensual'!J191+IF(parametros_manuales!$H$41="Todos",'Plan mensual'!J84+'Plan mensual'!J195,0))+parametros_manuales!$F$41*('Plan mensual'!J81+'Plan mensual'!J192+IF(parametros_manuales!$H$41="Todos",'Plan mensual'!J85+'Plan mensual'!J196,0))+parametros_manuales!$G$41*('Plan mensual'!J82+'Plan mensual'!J193+IF(parametros_manuales!$H$41="Todos",'Plan mensual'!J86+'Plan mensual'!J197,0)))*parametros_manuales!$I$41*parametros_manuales!$J$41</f>
        <v>4279.73930752</v>
      </c>
      <c r="I213" s="9" t="n">
        <f aca="false">(parametros_manuales!$D$41*('Plan mensual'!K79+'Plan mensual'!K190+IF(parametros_manuales!$H$41="Todos",'Plan mensual'!K83+'Plan mensual'!K194,0))+parametros_manuales!$E$41*('Plan mensual'!K80+'Plan mensual'!K191+IF(parametros_manuales!$H$41="Todos",'Plan mensual'!K84+'Plan mensual'!K195,0))+parametros_manuales!$F$41*('Plan mensual'!K81+'Plan mensual'!K192+IF(parametros_manuales!$H$41="Todos",'Plan mensual'!K85+'Plan mensual'!K196,0))+parametros_manuales!$G$41*('Plan mensual'!K82+'Plan mensual'!K193+IF(parametros_manuales!$H$41="Todos",'Plan mensual'!K86+'Plan mensual'!K197,0)))*parametros_manuales!$I$41*parametros_manuales!$J$41</f>
        <v>4279.73930752</v>
      </c>
      <c r="J213" s="9" t="n">
        <f aca="false">(parametros_manuales!$D$41*('Plan mensual'!L79+'Plan mensual'!L190+IF(parametros_manuales!$H$41="Todos",'Plan mensual'!L83+'Plan mensual'!L194,0))+parametros_manuales!$E$41*('Plan mensual'!L80+'Plan mensual'!L191+IF(parametros_manuales!$H$41="Todos",'Plan mensual'!L84+'Plan mensual'!L195,0))+parametros_manuales!$F$41*('Plan mensual'!L81+'Plan mensual'!L192+IF(parametros_manuales!$H$41="Todos",'Plan mensual'!L85+'Plan mensual'!L196,0))+parametros_manuales!$G$41*('Plan mensual'!L82+'Plan mensual'!L193+IF(parametros_manuales!$H$41="Todos",'Plan mensual'!L86+'Plan mensual'!L197,0)))*parametros_manuales!$I$41*parametros_manuales!$J$41</f>
        <v>4279.73930752</v>
      </c>
      <c r="K213" s="9" t="n">
        <f aca="false">(parametros_manuales!$D$41*('Plan mensual'!M79+'Plan mensual'!M190+IF(parametros_manuales!$H$41="Todos",'Plan mensual'!M83+'Plan mensual'!M194,0))+parametros_manuales!$E$41*('Plan mensual'!M80+'Plan mensual'!M191+IF(parametros_manuales!$H$41="Todos",'Plan mensual'!M84+'Plan mensual'!M195,0))+parametros_manuales!$F$41*('Plan mensual'!M81+'Plan mensual'!M192+IF(parametros_manuales!$H$41="Todos",'Plan mensual'!M85+'Plan mensual'!M196,0))+parametros_manuales!$G$41*('Plan mensual'!M82+'Plan mensual'!M193+IF(parametros_manuales!$H$41="Todos",'Plan mensual'!M86+'Plan mensual'!M197,0)))*parametros_manuales!$I$41*parametros_manuales!$J$41</f>
        <v>4130.062218675</v>
      </c>
      <c r="L213" s="9" t="n">
        <f aca="false">(parametros_manuales!$D$41*('Plan mensual'!N79+'Plan mensual'!N190+IF(parametros_manuales!$H$41="Todos",'Plan mensual'!N83+'Plan mensual'!N194,0))+parametros_manuales!$E$41*('Plan mensual'!N80+'Plan mensual'!N191+IF(parametros_manuales!$H$41="Todos",'Plan mensual'!N84+'Plan mensual'!N195,0))+parametros_manuales!$F$41*('Plan mensual'!N81+'Plan mensual'!N192+IF(parametros_manuales!$H$41="Todos",'Plan mensual'!N85+'Plan mensual'!N196,0))+parametros_manuales!$G$41*('Plan mensual'!N82+'Plan mensual'!N193+IF(parametros_manuales!$H$41="Todos",'Plan mensual'!N86+'Plan mensual'!N197,0)))*parametros_manuales!$I$41*parametros_manuales!$J$41</f>
        <v>3980.38512983</v>
      </c>
      <c r="M213" s="9" t="n">
        <f aca="false">(parametros_manuales!$D$41*('Plan mensual'!O79+'Plan mensual'!O190+IF(parametros_manuales!$H$41="Todos",'Plan mensual'!O83+'Plan mensual'!O194,0))+parametros_manuales!$E$41*('Plan mensual'!O80+'Plan mensual'!O191+IF(parametros_manuales!$H$41="Todos",'Plan mensual'!O84+'Plan mensual'!O195,0))+parametros_manuales!$F$41*('Plan mensual'!O81+'Plan mensual'!O192+IF(parametros_manuales!$H$41="Todos",'Plan mensual'!O85+'Plan mensual'!O196,0))+parametros_manuales!$G$41*('Plan mensual'!O82+'Plan mensual'!O193+IF(parametros_manuales!$H$41="Todos",'Plan mensual'!O86+'Plan mensual'!O197,0)))*parametros_manuales!$I$41*parametros_manuales!$J$41</f>
        <v>6308.74537219</v>
      </c>
      <c r="N213" s="9" t="n">
        <f aca="false">SUM(B213:M213)</f>
        <v>55067.496249</v>
      </c>
      <c r="O213" s="9" t="n">
        <f aca="false">MAX(B213:M213)</f>
        <v>6308.74537219</v>
      </c>
      <c r="P213" s="44" t="n">
        <f aca="false">O213/(parametros_manuales!$B$7)</f>
        <v>42.0583024812667</v>
      </c>
      <c r="Q213" s="8" t="str">
        <f aca="false">IF(O213=0,"-",INDEX($B$190:$M$190,MATCH(O213,B213:M213,0)))</f>
        <v>Dic</v>
      </c>
    </row>
    <row r="214" customFormat="false" ht="14.25" hidden="false" customHeight="true" outlineLevel="0" collapsed="false">
      <c r="A214" s="8" t="str">
        <f aca="false">parametros_manuales!$B$42</f>
        <v>Etiquetado</v>
      </c>
      <c r="B214" s="9" t="n">
        <f aca="false">(parametros_manuales!$D$42*('Plan mensual'!D79+'Plan mensual'!D190+IF(parametros_manuales!$H$42="Todos",'Plan mensual'!D83+'Plan mensual'!D194,0))+parametros_manuales!$E$42*('Plan mensual'!D80+'Plan mensual'!D191+IF(parametros_manuales!$H$42="Todos",'Plan mensual'!D84+'Plan mensual'!D195,0))+parametros_manuales!$F$42*('Plan mensual'!D81+'Plan mensual'!D192+IF(parametros_manuales!$H$42="Todos",'Plan mensual'!D85+'Plan mensual'!D196,0))+parametros_manuales!$G$42*('Plan mensual'!D82+'Plan mensual'!D193+IF(parametros_manuales!$H$42="Todos",'Plan mensual'!D86+'Plan mensual'!D197,0)))*parametros_manuales!$I$42*parametros_manuales!$J$42</f>
        <v>6009.3911945</v>
      </c>
      <c r="C214" s="9" t="n">
        <f aca="false">(parametros_manuales!$D$42*('Plan mensual'!E79+'Plan mensual'!E190+IF(parametros_manuales!$H$42="Todos",'Plan mensual'!E83+'Plan mensual'!E194,0))+parametros_manuales!$E$42*('Plan mensual'!E80+'Plan mensual'!E191+IF(parametros_manuales!$H$42="Todos",'Plan mensual'!E84+'Plan mensual'!E195,0))+parametros_manuales!$F$42*('Plan mensual'!E81+'Plan mensual'!E192+IF(parametros_manuales!$H$42="Todos",'Plan mensual'!E85+'Plan mensual'!E196,0))+parametros_manuales!$G$42*('Plan mensual'!E82+'Plan mensual'!E193+IF(parametros_manuales!$H$42="Todos",'Plan mensual'!E86+'Plan mensual'!E197,0)))*parametros_manuales!$I$42*parametros_manuales!$J$42</f>
        <v>4656.72048472</v>
      </c>
      <c r="D214" s="9" t="n">
        <f aca="false">(parametros_manuales!$D$42*('Plan mensual'!F79+'Plan mensual'!F190+IF(parametros_manuales!$H$42="Todos",'Plan mensual'!F83+'Plan mensual'!F194,0))+parametros_manuales!$E$42*('Plan mensual'!F80+'Plan mensual'!F191+IF(parametros_manuales!$H$42="Todos",'Plan mensual'!F84+'Plan mensual'!F195,0))+parametros_manuales!$F$42*('Plan mensual'!F81+'Plan mensual'!F192+IF(parametros_manuales!$H$42="Todos",'Plan mensual'!F85+'Plan mensual'!F196,0))+parametros_manuales!$G$42*('Plan mensual'!F82+'Plan mensual'!F193+IF(parametros_manuales!$H$42="Todos",'Plan mensual'!F86+'Plan mensual'!F197,0)))*parametros_manuales!$I$42*parametros_manuales!$J$42</f>
        <v>4555.076788765</v>
      </c>
      <c r="E214" s="9" t="n">
        <f aca="false">(parametros_manuales!$D$42*('Plan mensual'!G79+'Plan mensual'!G190+IF(parametros_manuales!$H$42="Todos",'Plan mensual'!G83+'Plan mensual'!G194,0))+parametros_manuales!$E$42*('Plan mensual'!G80+'Plan mensual'!G191+IF(parametros_manuales!$H$42="Todos",'Plan mensual'!G84+'Plan mensual'!G195,0))+parametros_manuales!$F$42*('Plan mensual'!G81+'Plan mensual'!G192+IF(parametros_manuales!$H$42="Todos",'Plan mensual'!G85+'Plan mensual'!G196,0))+parametros_manuales!$G$42*('Plan mensual'!G82+'Plan mensual'!G193+IF(parametros_manuales!$H$42="Todos",'Plan mensual'!G86+'Plan mensual'!G197,0)))*parametros_manuales!$I$42*parametros_manuales!$J$42</f>
        <v>4429.416396365</v>
      </c>
      <c r="F214" s="9" t="n">
        <f aca="false">(parametros_manuales!$D$42*('Plan mensual'!H79+'Plan mensual'!H190+IF(parametros_manuales!$H$42="Todos",'Plan mensual'!H83+'Plan mensual'!H194,0))+parametros_manuales!$E$42*('Plan mensual'!H80+'Plan mensual'!H191+IF(parametros_manuales!$H$42="Todos",'Plan mensual'!H84+'Plan mensual'!H195,0))+parametros_manuales!$F$42*('Plan mensual'!H81+'Plan mensual'!H192+IF(parametros_manuales!$H$42="Todos",'Plan mensual'!H85+'Plan mensual'!H196,0))+parametros_manuales!$G$42*('Plan mensual'!H82+'Plan mensual'!H193+IF(parametros_manuales!$H$42="Todos",'Plan mensual'!H86+'Plan mensual'!H197,0)))*parametros_manuales!$I$42*parametros_manuales!$J$42</f>
        <v>4154.07891512</v>
      </c>
      <c r="G214" s="9" t="n">
        <f aca="false">(parametros_manuales!$D$42*('Plan mensual'!I79+'Plan mensual'!I190+IF(parametros_manuales!$H$42="Todos",'Plan mensual'!I83+'Plan mensual'!I194,0))+parametros_manuales!$E$42*('Plan mensual'!I80+'Plan mensual'!I191+IF(parametros_manuales!$H$42="Todos",'Plan mensual'!I84+'Plan mensual'!I195,0))+parametros_manuales!$F$42*('Plan mensual'!I81+'Plan mensual'!I192+IF(parametros_manuales!$H$42="Todos",'Plan mensual'!I85+'Plan mensual'!I196,0))+parametros_manuales!$G$42*('Plan mensual'!I82+'Plan mensual'!I193+IF(parametros_manuales!$H$42="Todos",'Plan mensual'!I86+'Plan mensual'!I197,0)))*parametros_manuales!$I$42*parametros_manuales!$J$42</f>
        <v>4004.401826275</v>
      </c>
      <c r="H214" s="9" t="n">
        <f aca="false">(parametros_manuales!$D$42*('Plan mensual'!J79+'Plan mensual'!J190+IF(parametros_manuales!$H$42="Todos",'Plan mensual'!J83+'Plan mensual'!J194,0))+parametros_manuales!$E$42*('Plan mensual'!J80+'Plan mensual'!J191+IF(parametros_manuales!$H$42="Todos",'Plan mensual'!J84+'Plan mensual'!J195,0))+parametros_manuales!$F$42*('Plan mensual'!J81+'Plan mensual'!J192+IF(parametros_manuales!$H$42="Todos",'Plan mensual'!J85+'Plan mensual'!J196,0))+parametros_manuales!$G$42*('Plan mensual'!J82+'Plan mensual'!J193+IF(parametros_manuales!$H$42="Todos",'Plan mensual'!J86+'Plan mensual'!J197,0)))*parametros_manuales!$I$42*parametros_manuales!$J$42</f>
        <v>4279.73930752</v>
      </c>
      <c r="I214" s="9" t="n">
        <f aca="false">(parametros_manuales!$D$42*('Plan mensual'!K79+'Plan mensual'!K190+IF(parametros_manuales!$H$42="Todos",'Plan mensual'!K83+'Plan mensual'!K194,0))+parametros_manuales!$E$42*('Plan mensual'!K80+'Plan mensual'!K191+IF(parametros_manuales!$H$42="Todos",'Plan mensual'!K84+'Plan mensual'!K195,0))+parametros_manuales!$F$42*('Plan mensual'!K81+'Plan mensual'!K192+IF(parametros_manuales!$H$42="Todos",'Plan mensual'!K85+'Plan mensual'!K196,0))+parametros_manuales!$G$42*('Plan mensual'!K82+'Plan mensual'!K193+IF(parametros_manuales!$H$42="Todos",'Plan mensual'!K86+'Plan mensual'!K197,0)))*parametros_manuales!$I$42*parametros_manuales!$J$42</f>
        <v>4279.73930752</v>
      </c>
      <c r="J214" s="9" t="n">
        <f aca="false">(parametros_manuales!$D$42*('Plan mensual'!L79+'Plan mensual'!L190+IF(parametros_manuales!$H$42="Todos",'Plan mensual'!L83+'Plan mensual'!L194,0))+parametros_manuales!$E$42*('Plan mensual'!L80+'Plan mensual'!L191+IF(parametros_manuales!$H$42="Todos",'Plan mensual'!L84+'Plan mensual'!L195,0))+parametros_manuales!$F$42*('Plan mensual'!L81+'Plan mensual'!L192+IF(parametros_manuales!$H$42="Todos",'Plan mensual'!L85+'Plan mensual'!L196,0))+parametros_manuales!$G$42*('Plan mensual'!L82+'Plan mensual'!L193+IF(parametros_manuales!$H$42="Todos",'Plan mensual'!L86+'Plan mensual'!L197,0)))*parametros_manuales!$I$42*parametros_manuales!$J$42</f>
        <v>4279.73930752</v>
      </c>
      <c r="K214" s="9" t="n">
        <f aca="false">(parametros_manuales!$D$42*('Plan mensual'!M79+'Plan mensual'!M190+IF(parametros_manuales!$H$42="Todos",'Plan mensual'!M83+'Plan mensual'!M194,0))+parametros_manuales!$E$42*('Plan mensual'!M80+'Plan mensual'!M191+IF(parametros_manuales!$H$42="Todos",'Plan mensual'!M84+'Plan mensual'!M195,0))+parametros_manuales!$F$42*('Plan mensual'!M81+'Plan mensual'!M192+IF(parametros_manuales!$H$42="Todos",'Plan mensual'!M85+'Plan mensual'!M196,0))+parametros_manuales!$G$42*('Plan mensual'!M82+'Plan mensual'!M193+IF(parametros_manuales!$H$42="Todos",'Plan mensual'!M86+'Plan mensual'!M197,0)))*parametros_manuales!$I$42*parametros_manuales!$J$42</f>
        <v>4130.062218675</v>
      </c>
      <c r="L214" s="9" t="n">
        <f aca="false">(parametros_manuales!$D$42*('Plan mensual'!N79+'Plan mensual'!N190+IF(parametros_manuales!$H$42="Todos",'Plan mensual'!N83+'Plan mensual'!N194,0))+parametros_manuales!$E$42*('Plan mensual'!N80+'Plan mensual'!N191+IF(parametros_manuales!$H$42="Todos",'Plan mensual'!N84+'Plan mensual'!N195,0))+parametros_manuales!$F$42*('Plan mensual'!N81+'Plan mensual'!N192+IF(parametros_manuales!$H$42="Todos",'Plan mensual'!N85+'Plan mensual'!N196,0))+parametros_manuales!$G$42*('Plan mensual'!N82+'Plan mensual'!N193+IF(parametros_manuales!$H$42="Todos",'Plan mensual'!N86+'Plan mensual'!N197,0)))*parametros_manuales!$I$42*parametros_manuales!$J$42</f>
        <v>3980.38512983</v>
      </c>
      <c r="M214" s="9" t="n">
        <f aca="false">(parametros_manuales!$D$42*('Plan mensual'!O79+'Plan mensual'!O190+IF(parametros_manuales!$H$42="Todos",'Plan mensual'!O83+'Plan mensual'!O194,0))+parametros_manuales!$E$42*('Plan mensual'!O80+'Plan mensual'!O191+IF(parametros_manuales!$H$42="Todos",'Plan mensual'!O84+'Plan mensual'!O195,0))+parametros_manuales!$F$42*('Plan mensual'!O81+'Plan mensual'!O192+IF(parametros_manuales!$H$42="Todos",'Plan mensual'!O85+'Plan mensual'!O196,0))+parametros_manuales!$G$42*('Plan mensual'!O82+'Plan mensual'!O193+IF(parametros_manuales!$H$42="Todos",'Plan mensual'!O86+'Plan mensual'!O197,0)))*parametros_manuales!$I$42*parametros_manuales!$J$42</f>
        <v>6308.74537219</v>
      </c>
      <c r="N214" s="9" t="n">
        <f aca="false">SUM(B214:M214)</f>
        <v>55067.496249</v>
      </c>
      <c r="O214" s="9" t="n">
        <f aca="false">MAX(B214:M214)</f>
        <v>6308.74537219</v>
      </c>
      <c r="P214" s="44" t="n">
        <f aca="false">O214/(parametros_manuales!$B$7)</f>
        <v>42.0583024812667</v>
      </c>
      <c r="Q214" s="8" t="str">
        <f aca="false">IF(O214=0,"-",INDEX($B$190:$M$190,MATCH(O214,B214:M214,0)))</f>
        <v>Dic</v>
      </c>
    </row>
    <row r="215" customFormat="false" ht="14.25" hidden="false" customHeight="true" outlineLevel="0" collapsed="false">
      <c r="A215" s="8" t="str">
        <f aca="false">parametros_manuales!$B$43</f>
        <v>Embalaje y paletizado</v>
      </c>
      <c r="B215" s="9" t="n">
        <f aca="false">(parametros_manuales!$D$43*('Plan mensual'!D79+'Plan mensual'!D190+IF(parametros_manuales!$H$43="Todos",'Plan mensual'!D83+'Plan mensual'!D194,0))+parametros_manuales!$E$43*('Plan mensual'!D80+'Plan mensual'!D191+IF(parametros_manuales!$H$43="Todos",'Plan mensual'!D84+'Plan mensual'!D195,0))+parametros_manuales!$F$43*('Plan mensual'!D81+'Plan mensual'!D192+IF(parametros_manuales!$H$43="Todos",'Plan mensual'!D85+'Plan mensual'!D196,0))+parametros_manuales!$G$43*('Plan mensual'!D82+'Plan mensual'!D193+IF(parametros_manuales!$H$43="Todos",'Plan mensual'!D86+'Plan mensual'!D197,0)))*parametros_manuales!$I$43*parametros_manuales!$J$43</f>
        <v>24937.5151945</v>
      </c>
      <c r="C215" s="9" t="n">
        <f aca="false">(parametros_manuales!$D$43*('Plan mensual'!E79+'Plan mensual'!E190+IF(parametros_manuales!$H$43="Todos",'Plan mensual'!E83+'Plan mensual'!E194,0))+parametros_manuales!$E$43*('Plan mensual'!E80+'Plan mensual'!E191+IF(parametros_manuales!$H$43="Todos",'Plan mensual'!E84+'Plan mensual'!E195,0))+parametros_manuales!$F$43*('Plan mensual'!E81+'Plan mensual'!E192+IF(parametros_manuales!$H$43="Todos",'Plan mensual'!E85+'Plan mensual'!E196,0))+parametros_manuales!$G$43*('Plan mensual'!E82+'Plan mensual'!E193+IF(parametros_manuales!$H$43="Todos",'Plan mensual'!E86+'Plan mensual'!E197,0)))*parametros_manuales!$I$43*parametros_manuales!$J$43</f>
        <v>19013.21368472</v>
      </c>
      <c r="D215" s="9" t="n">
        <f aca="false">(parametros_manuales!$D$43*('Plan mensual'!F79+'Plan mensual'!F190+IF(parametros_manuales!$H$43="Todos",'Plan mensual'!F83+'Plan mensual'!F194,0))+parametros_manuales!$E$43*('Plan mensual'!F80+'Plan mensual'!F191+IF(parametros_manuales!$H$43="Todos",'Plan mensual'!F84+'Plan mensual'!F195,0))+parametros_manuales!$F$43*('Plan mensual'!F81+'Plan mensual'!F192+IF(parametros_manuales!$H$43="Todos",'Plan mensual'!F85+'Plan mensual'!F196,0))+parametros_manuales!$G$43*('Plan mensual'!F82+'Plan mensual'!F193+IF(parametros_manuales!$H$43="Todos",'Plan mensual'!F86+'Plan mensual'!F197,0)))*parametros_manuales!$I$43*parametros_manuales!$J$43</f>
        <v>17761.960188765</v>
      </c>
      <c r="E215" s="9" t="n">
        <f aca="false">(parametros_manuales!$D$43*('Plan mensual'!G79+'Plan mensual'!G190+IF(parametros_manuales!$H$43="Todos",'Plan mensual'!G83+'Plan mensual'!G194,0))+parametros_manuales!$E$43*('Plan mensual'!G80+'Plan mensual'!G191+IF(parametros_manuales!$H$43="Todos",'Plan mensual'!G84+'Plan mensual'!G195,0))+parametros_manuales!$F$43*('Plan mensual'!G81+'Plan mensual'!G192+IF(parametros_manuales!$H$43="Todos",'Plan mensual'!G85+'Plan mensual'!G196,0))+parametros_manuales!$G$43*('Plan mensual'!G82+'Plan mensual'!G193+IF(parametros_manuales!$H$43="Todos",'Plan mensual'!G86+'Plan mensual'!G197,0)))*parametros_manuales!$I$43*parametros_manuales!$J$43</f>
        <v>16981.294796365</v>
      </c>
      <c r="F215" s="9" t="n">
        <f aca="false">(parametros_manuales!$D$43*('Plan mensual'!H79+'Plan mensual'!H190+IF(parametros_manuales!$H$43="Todos",'Plan mensual'!H83+'Plan mensual'!H194,0))+parametros_manuales!$E$43*('Plan mensual'!H80+'Plan mensual'!H191+IF(parametros_manuales!$H$43="Todos",'Plan mensual'!H84+'Plan mensual'!H195,0))+parametros_manuales!$F$43*('Plan mensual'!H81+'Plan mensual'!H192+IF(parametros_manuales!$H$43="Todos",'Plan mensual'!H85+'Plan mensual'!H196,0))+parametros_manuales!$G$43*('Plan mensual'!H82+'Plan mensual'!H193+IF(parametros_manuales!$H$43="Todos",'Plan mensual'!H86+'Plan mensual'!H197,0)))*parametros_manuales!$I$43*parametros_manuales!$J$43</f>
        <v>15890.55211512</v>
      </c>
      <c r="G215" s="9" t="n">
        <f aca="false">(parametros_manuales!$D$43*('Plan mensual'!I79+'Plan mensual'!I190+IF(parametros_manuales!$H$43="Todos",'Plan mensual'!I83+'Plan mensual'!I194,0))+parametros_manuales!$E$43*('Plan mensual'!I80+'Plan mensual'!I191+IF(parametros_manuales!$H$43="Todos",'Plan mensual'!I84+'Plan mensual'!I195,0))+parametros_manuales!$F$43*('Plan mensual'!I81+'Plan mensual'!I192+IF(parametros_manuales!$H$43="Todos",'Plan mensual'!I85+'Plan mensual'!I196,0))+parametros_manuales!$G$43*('Plan mensual'!I82+'Plan mensual'!I193+IF(parametros_manuales!$H$43="Todos",'Plan mensual'!I86+'Plan mensual'!I197,0)))*parametros_manuales!$I$43*parametros_manuales!$J$43</f>
        <v>15580.474826275</v>
      </c>
      <c r="H215" s="9" t="n">
        <f aca="false">(parametros_manuales!$D$43*('Plan mensual'!J79+'Plan mensual'!J190+IF(parametros_manuales!$H$43="Todos",'Plan mensual'!J83+'Plan mensual'!J194,0))+parametros_manuales!$E$43*('Plan mensual'!J80+'Plan mensual'!J191+IF(parametros_manuales!$H$43="Todos",'Plan mensual'!J84+'Plan mensual'!J195,0))+parametros_manuales!$F$43*('Plan mensual'!J81+'Plan mensual'!J192+IF(parametros_manuales!$H$43="Todos",'Plan mensual'!J85+'Plan mensual'!J196,0))+parametros_manuales!$G$43*('Plan mensual'!J82+'Plan mensual'!J193+IF(parametros_manuales!$H$43="Todos",'Plan mensual'!J86+'Plan mensual'!J197,0)))*parametros_manuales!$I$43*parametros_manuales!$J$43</f>
        <v>16671.21750752</v>
      </c>
      <c r="I215" s="9" t="n">
        <f aca="false">(parametros_manuales!$D$43*('Plan mensual'!K79+'Plan mensual'!K190+IF(parametros_manuales!$H$43="Todos",'Plan mensual'!K83+'Plan mensual'!K194,0))+parametros_manuales!$E$43*('Plan mensual'!K80+'Plan mensual'!K191+IF(parametros_manuales!$H$43="Todos",'Plan mensual'!K84+'Plan mensual'!K195,0))+parametros_manuales!$F$43*('Plan mensual'!K81+'Plan mensual'!K192+IF(parametros_manuales!$H$43="Todos",'Plan mensual'!K85+'Plan mensual'!K196,0))+parametros_manuales!$G$43*('Plan mensual'!K82+'Plan mensual'!K193+IF(parametros_manuales!$H$43="Todos",'Plan mensual'!K86+'Plan mensual'!K197,0)))*parametros_manuales!$I$43*parametros_manuales!$J$43</f>
        <v>16671.21750752</v>
      </c>
      <c r="J215" s="9" t="n">
        <f aca="false">(parametros_manuales!$D$43*('Plan mensual'!L79+'Plan mensual'!L190+IF(parametros_manuales!$H$43="Todos",'Plan mensual'!L83+'Plan mensual'!L194,0))+parametros_manuales!$E$43*('Plan mensual'!L80+'Plan mensual'!L191+IF(parametros_manuales!$H$43="Todos",'Plan mensual'!L84+'Plan mensual'!L195,0))+parametros_manuales!$F$43*('Plan mensual'!L81+'Plan mensual'!L192+IF(parametros_manuales!$H$43="Todos",'Plan mensual'!L85+'Plan mensual'!L196,0))+parametros_manuales!$G$43*('Plan mensual'!L82+'Plan mensual'!L193+IF(parametros_manuales!$H$43="Todos",'Plan mensual'!L86+'Plan mensual'!L197,0)))*parametros_manuales!$I$43*parametros_manuales!$J$43</f>
        <v>16671.21750752</v>
      </c>
      <c r="K215" s="9" t="n">
        <f aca="false">(parametros_manuales!$D$43*('Plan mensual'!M79+'Plan mensual'!M190+IF(parametros_manuales!$H$43="Todos",'Plan mensual'!M83+'Plan mensual'!M194,0))+parametros_manuales!$E$43*('Plan mensual'!M80+'Plan mensual'!M191+IF(parametros_manuales!$H$43="Todos",'Plan mensual'!M84+'Plan mensual'!M195,0))+parametros_manuales!$F$43*('Plan mensual'!M81+'Plan mensual'!M192+IF(parametros_manuales!$H$43="Todos",'Plan mensual'!M85+'Plan mensual'!M196,0))+parametros_manuales!$G$43*('Plan mensual'!M82+'Plan mensual'!M193+IF(parametros_manuales!$H$43="Todos",'Plan mensual'!M86+'Plan mensual'!M197,0)))*parametros_manuales!$I$43*parametros_manuales!$J$43</f>
        <v>16361.140218675</v>
      </c>
      <c r="L215" s="9" t="n">
        <f aca="false">(parametros_manuales!$D$43*('Plan mensual'!N79+'Plan mensual'!N190+IF(parametros_manuales!$H$43="Todos",'Plan mensual'!N83+'Plan mensual'!N194,0))+parametros_manuales!$E$43*('Plan mensual'!N80+'Plan mensual'!N191+IF(parametros_manuales!$H$43="Todos",'Plan mensual'!N84+'Plan mensual'!N195,0))+parametros_manuales!$F$43*('Plan mensual'!N81+'Plan mensual'!N192+IF(parametros_manuales!$H$43="Todos",'Plan mensual'!N85+'Plan mensual'!N196,0))+parametros_manuales!$G$43*('Plan mensual'!N82+'Plan mensual'!N193+IF(parametros_manuales!$H$43="Todos",'Plan mensual'!N86+'Plan mensual'!N197,0)))*parametros_manuales!$I$43*parametros_manuales!$J$43</f>
        <v>16051.06292983</v>
      </c>
      <c r="M215" s="9" t="n">
        <f aca="false">(parametros_manuales!$D$43*('Plan mensual'!O79+'Plan mensual'!O190+IF(parametros_manuales!$H$43="Todos",'Plan mensual'!O83+'Plan mensual'!O194,0))+parametros_manuales!$E$43*('Plan mensual'!O80+'Plan mensual'!O191+IF(parametros_manuales!$H$43="Todos",'Plan mensual'!O84+'Plan mensual'!O195,0))+parametros_manuales!$F$43*('Plan mensual'!O81+'Plan mensual'!O192+IF(parametros_manuales!$H$43="Todos",'Plan mensual'!O85+'Plan mensual'!O196,0))+parametros_manuales!$G$43*('Plan mensual'!O82+'Plan mensual'!O193+IF(parametros_manuales!$H$43="Todos",'Plan mensual'!O86+'Plan mensual'!O197,0)))*parametros_manuales!$I$43*parametros_manuales!$J$43</f>
        <v>25557.66977219</v>
      </c>
      <c r="N215" s="9" t="n">
        <f aca="false">SUM(B215:M215)</f>
        <v>218148.536249</v>
      </c>
      <c r="O215" s="9" t="n">
        <f aca="false">MAX(B215:M215)</f>
        <v>25557.66977219</v>
      </c>
      <c r="P215" s="44" t="n">
        <f aca="false">O215/(parametros_manuales!$B$7)</f>
        <v>170.384465147933</v>
      </c>
      <c r="Q215" s="8" t="str">
        <f aca="false">IF(O215=0,"-",INDEX($B$190:$M$190,MATCH(O215,B215:M215,0)))</f>
        <v>Dic</v>
      </c>
    </row>
    <row r="216" customFormat="false" ht="14.25" hidden="false" customHeight="true" outlineLevel="0" collapsed="false"/>
    <row r="217" customFormat="false" ht="14.25" hidden="false" customHeight="true" outlineLevel="0" collapsed="false">
      <c r="A217" s="7" t="s">
        <v>208</v>
      </c>
      <c r="B217" s="7" t="s">
        <v>59</v>
      </c>
      <c r="C217" s="7" t="s">
        <v>60</v>
      </c>
      <c r="D217" s="7" t="s">
        <v>61</v>
      </c>
      <c r="E217" s="7" t="s">
        <v>62</v>
      </c>
      <c r="F217" s="7" t="s">
        <v>63</v>
      </c>
      <c r="G217" s="7" t="s">
        <v>64</v>
      </c>
      <c r="H217" s="7" t="s">
        <v>65</v>
      </c>
      <c r="I217" s="7" t="s">
        <v>66</v>
      </c>
      <c r="J217" s="7" t="s">
        <v>67</v>
      </c>
      <c r="K217" s="7" t="s">
        <v>68</v>
      </c>
      <c r="L217" s="7" t="s">
        <v>69</v>
      </c>
      <c r="M217" s="7" t="s">
        <v>70</v>
      </c>
      <c r="N217" s="7" t="s">
        <v>181</v>
      </c>
      <c r="O217" s="7" t="s">
        <v>198</v>
      </c>
      <c r="P217" s="7" t="s">
        <v>199</v>
      </c>
      <c r="Q217" s="7" t="s">
        <v>200</v>
      </c>
    </row>
    <row r="218" customFormat="false" ht="14.25" hidden="false" customHeight="true" outlineLevel="0" collapsed="false">
      <c r="A218" s="8" t="str">
        <f aca="false">parametros_manuales!$B$19</f>
        <v>Recepción de materia prima</v>
      </c>
      <c r="B218" s="9" t="n">
        <f aca="false">(parametros_manuales!$D$19*('Plan mensual'!D90+'Plan mensual'!D201+IF(parametros_manuales!$H$19="Todos",'Plan mensual'!D94+'Plan mensual'!D205,0))+parametros_manuales!$E$19*('Plan mensual'!D91+'Plan mensual'!D202+IF(parametros_manuales!$H$19="Todos",'Plan mensual'!D95+'Plan mensual'!D206,0))+parametros_manuales!$F$19*('Plan mensual'!D92+'Plan mensual'!D203+IF(parametros_manuales!$H$19="Todos",'Plan mensual'!D96+'Plan mensual'!D207,0))+parametros_manuales!$G$19*('Plan mensual'!D93+'Plan mensual'!D204+IF(parametros_manuales!$H$19="Todos",'Plan mensual'!D97+'Plan mensual'!D208,0)))*parametros_manuales!$I$19*parametros_manuales!$J$19</f>
        <v>28124.0184215</v>
      </c>
      <c r="C218" s="9" t="n">
        <f aca="false">(parametros_manuales!$D$19*('Plan mensual'!E90+'Plan mensual'!E201+IF(parametros_manuales!$H$19="Todos",'Plan mensual'!E94+'Plan mensual'!E205,0))+parametros_manuales!$E$19*('Plan mensual'!E91+'Plan mensual'!E202+IF(parametros_manuales!$H$19="Todos",'Plan mensual'!E95+'Plan mensual'!E206,0))+parametros_manuales!$F$19*('Plan mensual'!E92+'Plan mensual'!E203+IF(parametros_manuales!$H$19="Todos",'Plan mensual'!E96+'Plan mensual'!E207,0))+parametros_manuales!$G$19*('Plan mensual'!E93+'Plan mensual'!E204+IF(parametros_manuales!$H$19="Todos",'Plan mensual'!E97+'Plan mensual'!E208,0)))*parametros_manuales!$I$19*parametros_manuales!$J$19</f>
        <v>21446.85592036</v>
      </c>
      <c r="D218" s="9" t="n">
        <f aca="false">(parametros_manuales!$D$19*('Plan mensual'!F90+'Plan mensual'!F201+IF(parametros_manuales!$H$19="Todos",'Plan mensual'!F94+'Plan mensual'!F205,0))+parametros_manuales!$E$19*('Plan mensual'!F91+'Plan mensual'!F202+IF(parametros_manuales!$H$19="Todos",'Plan mensual'!F95+'Plan mensual'!F206,0))+parametros_manuales!$F$19*('Plan mensual'!F92+'Plan mensual'!F203+IF(parametros_manuales!$H$19="Todos",'Plan mensual'!F96+'Plan mensual'!F207,0))+parametros_manuales!$G$19*('Plan mensual'!F93+'Plan mensual'!F204+IF(parametros_manuales!$H$19="Todos",'Plan mensual'!F97+'Plan mensual'!F208,0)))*parametros_manuales!$I$19*parametros_manuales!$J$19</f>
        <v>20046.766663195</v>
      </c>
      <c r="E218" s="9" t="n">
        <f aca="false">(parametros_manuales!$D$19*('Plan mensual'!G90+'Plan mensual'!G201+IF(parametros_manuales!$H$19="Todos",'Plan mensual'!G94+'Plan mensual'!G205,0))+parametros_manuales!$E$19*('Plan mensual'!G91+'Plan mensual'!G202+IF(parametros_manuales!$H$19="Todos",'Plan mensual'!G95+'Plan mensual'!G206,0))+parametros_manuales!$F$19*('Plan mensual'!G92+'Plan mensual'!G203+IF(parametros_manuales!$H$19="Todos",'Plan mensual'!G96+'Plan mensual'!G207,0))+parametros_manuales!$G$19*('Plan mensual'!G93+'Plan mensual'!G204+IF(parametros_manuales!$H$19="Todos",'Plan mensual'!G97+'Plan mensual'!G208,0)))*parametros_manuales!$I$19*parametros_manuales!$J$19</f>
        <v>19169.800982495</v>
      </c>
      <c r="F218" s="9" t="n">
        <f aca="false">(parametros_manuales!$D$19*('Plan mensual'!H90+'Plan mensual'!H201+IF(parametros_manuales!$H$19="Todos",'Plan mensual'!H94+'Plan mensual'!H205,0))+parametros_manuales!$E$19*('Plan mensual'!H91+'Plan mensual'!H202+IF(parametros_manuales!$H$19="Todos",'Plan mensual'!H95+'Plan mensual'!H206,0))+parametros_manuales!$F$19*('Plan mensual'!H92+'Plan mensual'!H203+IF(parametros_manuales!$H$19="Todos",'Plan mensual'!H96+'Plan mensual'!H207,0))+parametros_manuales!$G$19*('Plan mensual'!H93+'Plan mensual'!H204+IF(parametros_manuales!$H$19="Todos",'Plan mensual'!H97+'Plan mensual'!H208,0)))*parametros_manuales!$I$19*parametros_manuales!$J$19</f>
        <v>17938.99319756</v>
      </c>
      <c r="G218" s="9" t="n">
        <f aca="false">(parametros_manuales!$D$19*('Plan mensual'!I90+'Plan mensual'!I201+IF(parametros_manuales!$H$19="Todos",'Plan mensual'!I94+'Plan mensual'!I205,0))+parametros_manuales!$E$19*('Plan mensual'!I91+'Plan mensual'!I202+IF(parametros_manuales!$H$19="Todos",'Plan mensual'!I95+'Plan mensual'!I206,0))+parametros_manuales!$F$19*('Plan mensual'!I92+'Plan mensual'!I203+IF(parametros_manuales!$H$19="Todos",'Plan mensual'!I96+'Plan mensual'!I207,0))+parametros_manuales!$G$19*('Plan mensual'!I93+'Plan mensual'!I204+IF(parametros_manuales!$H$19="Todos",'Plan mensual'!I97+'Plan mensual'!I208,0)))*parametros_manuales!$I$19*parametros_manuales!$J$19</f>
        <v>17585.151093325</v>
      </c>
      <c r="H218" s="9" t="n">
        <f aca="false">(parametros_manuales!$D$19*('Plan mensual'!J90+'Plan mensual'!J201+IF(parametros_manuales!$H$19="Todos",'Plan mensual'!J94+'Plan mensual'!J205,0))+parametros_manuales!$E$19*('Plan mensual'!J91+'Plan mensual'!J202+IF(parametros_manuales!$H$19="Todos",'Plan mensual'!J95+'Plan mensual'!J206,0))+parametros_manuales!$F$19*('Plan mensual'!J92+'Plan mensual'!J203+IF(parametros_manuales!$H$19="Todos",'Plan mensual'!J96+'Plan mensual'!J207,0))+parametros_manuales!$G$19*('Plan mensual'!J93+'Plan mensual'!J204+IF(parametros_manuales!$H$19="Todos",'Plan mensual'!J97+'Plan mensual'!J208,0)))*parametros_manuales!$I$19*parametros_manuales!$J$19</f>
        <v>18815.95887826</v>
      </c>
      <c r="I218" s="9" t="n">
        <f aca="false">(parametros_manuales!$D$19*('Plan mensual'!K90+'Plan mensual'!K201+IF(parametros_manuales!$H$19="Todos",'Plan mensual'!K94+'Plan mensual'!K205,0))+parametros_manuales!$E$19*('Plan mensual'!K91+'Plan mensual'!K202+IF(parametros_manuales!$H$19="Todos",'Plan mensual'!K95+'Plan mensual'!K206,0))+parametros_manuales!$F$19*('Plan mensual'!K92+'Plan mensual'!K203+IF(parametros_manuales!$H$19="Todos",'Plan mensual'!K96+'Plan mensual'!K207,0))+parametros_manuales!$G$19*('Plan mensual'!K93+'Plan mensual'!K204+IF(parametros_manuales!$H$19="Todos",'Plan mensual'!K97+'Plan mensual'!K208,0)))*parametros_manuales!$I$19*parametros_manuales!$J$19</f>
        <v>18815.95887826</v>
      </c>
      <c r="J218" s="9" t="n">
        <f aca="false">(parametros_manuales!$D$19*('Plan mensual'!L90+'Plan mensual'!L201+IF(parametros_manuales!$H$19="Todos",'Plan mensual'!L94+'Plan mensual'!L205,0))+parametros_manuales!$E$19*('Plan mensual'!L91+'Plan mensual'!L202+IF(parametros_manuales!$H$19="Todos",'Plan mensual'!L95+'Plan mensual'!L206,0))+parametros_manuales!$F$19*('Plan mensual'!L92+'Plan mensual'!L203+IF(parametros_manuales!$H$19="Todos",'Plan mensual'!L96+'Plan mensual'!L207,0))+parametros_manuales!$G$19*('Plan mensual'!L93+'Plan mensual'!L204+IF(parametros_manuales!$H$19="Todos",'Plan mensual'!L97+'Plan mensual'!L208,0)))*parametros_manuales!$I$19*parametros_manuales!$J$19</f>
        <v>18815.95887826</v>
      </c>
      <c r="K218" s="9" t="n">
        <f aca="false">(parametros_manuales!$D$19*('Plan mensual'!M90+'Plan mensual'!M201+IF(parametros_manuales!$H$19="Todos",'Plan mensual'!M94+'Plan mensual'!M205,0))+parametros_manuales!$E$19*('Plan mensual'!M91+'Plan mensual'!M202+IF(parametros_manuales!$H$19="Todos",'Plan mensual'!M95+'Plan mensual'!M206,0))+parametros_manuales!$F$19*('Plan mensual'!M92+'Plan mensual'!M203+IF(parametros_manuales!$H$19="Todos",'Plan mensual'!M96+'Plan mensual'!M207,0))+parametros_manuales!$G$19*('Plan mensual'!M93+'Plan mensual'!M204+IF(parametros_manuales!$H$19="Todos",'Plan mensual'!M97+'Plan mensual'!M208,0)))*parametros_manuales!$I$19*parametros_manuales!$J$19</f>
        <v>18462.116774025</v>
      </c>
      <c r="L218" s="9" t="n">
        <f aca="false">(parametros_manuales!$D$19*('Plan mensual'!N90+'Plan mensual'!N201+IF(parametros_manuales!$H$19="Todos",'Plan mensual'!N94+'Plan mensual'!N205,0))+parametros_manuales!$E$19*('Plan mensual'!N91+'Plan mensual'!N202+IF(parametros_manuales!$H$19="Todos",'Plan mensual'!N95+'Plan mensual'!N206,0))+parametros_manuales!$F$19*('Plan mensual'!N92+'Plan mensual'!N203+IF(parametros_manuales!$H$19="Todos",'Plan mensual'!N96+'Plan mensual'!N207,0))+parametros_manuales!$G$19*('Plan mensual'!N93+'Plan mensual'!N204+IF(parametros_manuales!$H$19="Todos",'Plan mensual'!N97+'Plan mensual'!N208,0)))*parametros_manuales!$I$19*parametros_manuales!$J$19</f>
        <v>18108.27466979</v>
      </c>
      <c r="M218" s="9" t="n">
        <f aca="false">(parametros_manuales!$D$19*('Plan mensual'!O90+'Plan mensual'!O201+IF(parametros_manuales!$H$19="Todos",'Plan mensual'!O94+'Plan mensual'!O205,0))+parametros_manuales!$E$19*('Plan mensual'!O91+'Plan mensual'!O202+IF(parametros_manuales!$H$19="Todos",'Plan mensual'!O95+'Plan mensual'!O206,0))+parametros_manuales!$F$19*('Plan mensual'!O92+'Plan mensual'!O203+IF(parametros_manuales!$H$19="Todos",'Plan mensual'!O96+'Plan mensual'!O207,0))+parametros_manuales!$G$19*('Plan mensual'!O93+'Plan mensual'!O204+IF(parametros_manuales!$H$19="Todos",'Plan mensual'!O97+'Plan mensual'!O208,0)))*parametros_manuales!$I$19*parametros_manuales!$J$19</f>
        <v>28831.70262997</v>
      </c>
      <c r="N218" s="9" t="n">
        <f aca="false">SUM(B218:M218)</f>
        <v>246161.556987</v>
      </c>
      <c r="O218" s="9" t="n">
        <f aca="false">MAX(B218:M218)</f>
        <v>28831.70262997</v>
      </c>
      <c r="P218" s="44" t="n">
        <f aca="false">O218/(parametros_manuales!$B$7)</f>
        <v>192.211350866467</v>
      </c>
      <c r="Q218" s="8" t="str">
        <f aca="false">IF(O218=0,"-",INDEX($B$217:$M$217,MATCH(O218,B218:M218,0)))</f>
        <v>Dic</v>
      </c>
    </row>
    <row r="219" customFormat="false" ht="14.25" hidden="false" customHeight="true" outlineLevel="0" collapsed="false">
      <c r="A219" s="8" t="str">
        <f aca="false">parametros_manuales!$B$20</f>
        <v>Corte de chapa (guillotina) — 2,5 a 10 kg</v>
      </c>
      <c r="B219" s="9" t="n">
        <f aca="false">(parametros_manuales!$D$20*('Plan mensual'!D90+'Plan mensual'!D201+IF(parametros_manuales!$H$20="Todos",'Plan mensual'!D94+'Plan mensual'!D205,0))+parametros_manuales!$E$20*('Plan mensual'!D91+'Plan mensual'!D202+IF(parametros_manuales!$H$20="Todos",'Plan mensual'!D95+'Plan mensual'!D206,0))+parametros_manuales!$F$20*('Plan mensual'!D92+'Plan mensual'!D203+IF(parametros_manuales!$H$20="Todos",'Plan mensual'!D96+'Plan mensual'!D207,0))+parametros_manuales!$G$20*('Plan mensual'!D93+'Plan mensual'!D204+IF(parametros_manuales!$H$20="Todos",'Plan mensual'!D97+'Plan mensual'!D208,0)))*parametros_manuales!$I$20*parametros_manuales!$J$20</f>
        <v>7076.8420847</v>
      </c>
      <c r="C219" s="9" t="n">
        <f aca="false">(parametros_manuales!$D$20*('Plan mensual'!E90+'Plan mensual'!E201+IF(parametros_manuales!$H$20="Todos",'Plan mensual'!E94+'Plan mensual'!E205,0))+parametros_manuales!$E$20*('Plan mensual'!E91+'Plan mensual'!E202+IF(parametros_manuales!$H$20="Todos",'Plan mensual'!E95+'Plan mensual'!E206,0))+parametros_manuales!$F$20*('Plan mensual'!E92+'Plan mensual'!E203+IF(parametros_manuales!$H$20="Todos",'Plan mensual'!E96+'Plan mensual'!E207,0))+parametros_manuales!$G$20*('Plan mensual'!E93+'Plan mensual'!E204+IF(parametros_manuales!$H$20="Todos",'Plan mensual'!E97+'Plan mensual'!E208,0)))*parametros_manuales!$I$20*parametros_manuales!$J$20</f>
        <v>5661.47366776</v>
      </c>
      <c r="D219" s="9" t="n">
        <f aca="false">(parametros_manuales!$D$20*('Plan mensual'!F90+'Plan mensual'!F201+IF(parametros_manuales!$H$20="Todos",'Plan mensual'!F94+'Plan mensual'!F205,0))+parametros_manuales!$E$20*('Plan mensual'!F91+'Plan mensual'!F202+IF(parametros_manuales!$H$20="Todos",'Plan mensual'!F95+'Plan mensual'!F206,0))+parametros_manuales!$F$20*('Plan mensual'!F92+'Plan mensual'!F203+IF(parametros_manuales!$H$20="Todos",'Plan mensual'!F96+'Plan mensual'!F207,0))+parametros_manuales!$G$20*('Plan mensual'!F93+'Plan mensual'!F204+IF(parametros_manuales!$H$20="Todos",'Plan mensual'!F97+'Plan mensual'!F208,0)))*parametros_manuales!$I$20*parametros_manuales!$J$20</f>
        <v>6015.315771995</v>
      </c>
      <c r="E219" s="9" t="n">
        <f aca="false">(parametros_manuales!$D$20*('Plan mensual'!G90+'Plan mensual'!G201+IF(parametros_manuales!$H$20="Todos",'Plan mensual'!G94+'Plan mensual'!G205,0))+parametros_manuales!$E$20*('Plan mensual'!G91+'Plan mensual'!G202+IF(parametros_manuales!$H$20="Todos",'Plan mensual'!G95+'Plan mensual'!G206,0))+parametros_manuales!$F$20*('Plan mensual'!G92+'Plan mensual'!G203+IF(parametros_manuales!$H$20="Todos",'Plan mensual'!G96+'Plan mensual'!G207,0))+parametros_manuales!$G$20*('Plan mensual'!G93+'Plan mensual'!G204+IF(parametros_manuales!$H$20="Todos",'Plan mensual'!G97+'Plan mensual'!G208,0)))*parametros_manuales!$I$20*parametros_manuales!$J$20</f>
        <v>6015.315771995</v>
      </c>
      <c r="F219" s="9" t="n">
        <f aca="false">(parametros_manuales!$D$20*('Plan mensual'!H90+'Plan mensual'!H201+IF(parametros_manuales!$H$20="Todos",'Plan mensual'!H94+'Plan mensual'!H205,0))+parametros_manuales!$E$20*('Plan mensual'!H91+'Plan mensual'!H202+IF(parametros_manuales!$H$20="Todos",'Plan mensual'!H95+'Plan mensual'!H206,0))+parametros_manuales!$F$20*('Plan mensual'!H92+'Plan mensual'!H203+IF(parametros_manuales!$H$20="Todos",'Plan mensual'!H96+'Plan mensual'!H207,0))+parametros_manuales!$G$20*('Plan mensual'!H93+'Plan mensual'!H204+IF(parametros_manuales!$H$20="Todos",'Plan mensual'!H97+'Plan mensual'!H208,0)))*parametros_manuales!$I$20*parametros_manuales!$J$20</f>
        <v>5661.47366776</v>
      </c>
      <c r="G219" s="9" t="n">
        <f aca="false">(parametros_manuales!$D$20*('Plan mensual'!I90+'Plan mensual'!I201+IF(parametros_manuales!$H$20="Todos",'Plan mensual'!I94+'Plan mensual'!I205,0))+parametros_manuales!$E$20*('Plan mensual'!I91+'Plan mensual'!I202+IF(parametros_manuales!$H$20="Todos",'Plan mensual'!I95+'Plan mensual'!I206,0))+parametros_manuales!$F$20*('Plan mensual'!I92+'Plan mensual'!I203+IF(parametros_manuales!$H$20="Todos",'Plan mensual'!I96+'Plan mensual'!I207,0))+parametros_manuales!$G$20*('Plan mensual'!I93+'Plan mensual'!I204+IF(parametros_manuales!$H$20="Todos",'Plan mensual'!I97+'Plan mensual'!I208,0)))*parametros_manuales!$I$20*parametros_manuales!$J$20</f>
        <v>5307.631563525</v>
      </c>
      <c r="H219" s="9" t="n">
        <f aca="false">(parametros_manuales!$D$20*('Plan mensual'!J90+'Plan mensual'!J201+IF(parametros_manuales!$H$20="Todos",'Plan mensual'!J94+'Plan mensual'!J205,0))+parametros_manuales!$E$20*('Plan mensual'!J91+'Plan mensual'!J202+IF(parametros_manuales!$H$20="Todos",'Plan mensual'!J95+'Plan mensual'!J206,0))+parametros_manuales!$F$20*('Plan mensual'!J92+'Plan mensual'!J203+IF(parametros_manuales!$H$20="Todos",'Plan mensual'!J96+'Plan mensual'!J207,0))+parametros_manuales!$G$20*('Plan mensual'!J93+'Plan mensual'!J204+IF(parametros_manuales!$H$20="Todos",'Plan mensual'!J97+'Plan mensual'!J208,0)))*parametros_manuales!$I$20*parametros_manuales!$J$20</f>
        <v>5661.47366776</v>
      </c>
      <c r="I219" s="9" t="n">
        <f aca="false">(parametros_manuales!$D$20*('Plan mensual'!K90+'Plan mensual'!K201+IF(parametros_manuales!$H$20="Todos",'Plan mensual'!K94+'Plan mensual'!K205,0))+parametros_manuales!$E$20*('Plan mensual'!K91+'Plan mensual'!K202+IF(parametros_manuales!$H$20="Todos",'Plan mensual'!K95+'Plan mensual'!K206,0))+parametros_manuales!$F$20*('Plan mensual'!K92+'Plan mensual'!K203+IF(parametros_manuales!$H$20="Todos",'Plan mensual'!K96+'Plan mensual'!K207,0))+parametros_manuales!$G$20*('Plan mensual'!K93+'Plan mensual'!K204+IF(parametros_manuales!$H$20="Todos",'Plan mensual'!K97+'Plan mensual'!K208,0)))*parametros_manuales!$I$20*parametros_manuales!$J$20</f>
        <v>5661.47366776</v>
      </c>
      <c r="J219" s="9" t="n">
        <f aca="false">(parametros_manuales!$D$20*('Plan mensual'!L90+'Plan mensual'!L201+IF(parametros_manuales!$H$20="Todos",'Plan mensual'!L94+'Plan mensual'!L205,0))+parametros_manuales!$E$20*('Plan mensual'!L91+'Plan mensual'!L202+IF(parametros_manuales!$H$20="Todos",'Plan mensual'!L95+'Plan mensual'!L206,0))+parametros_manuales!$F$20*('Plan mensual'!L92+'Plan mensual'!L203+IF(parametros_manuales!$H$20="Todos",'Plan mensual'!L96+'Plan mensual'!L207,0))+parametros_manuales!$G$20*('Plan mensual'!L93+'Plan mensual'!L204+IF(parametros_manuales!$H$20="Todos",'Plan mensual'!L97+'Plan mensual'!L208,0)))*parametros_manuales!$I$20*parametros_manuales!$J$20</f>
        <v>5661.47366776</v>
      </c>
      <c r="K219" s="9" t="n">
        <f aca="false">(parametros_manuales!$D$20*('Plan mensual'!M90+'Plan mensual'!M201+IF(parametros_manuales!$H$20="Todos",'Plan mensual'!M94+'Plan mensual'!M205,0))+parametros_manuales!$E$20*('Plan mensual'!M91+'Plan mensual'!M202+IF(parametros_manuales!$H$20="Todos",'Plan mensual'!M95+'Plan mensual'!M206,0))+parametros_manuales!$F$20*('Plan mensual'!M92+'Plan mensual'!M203+IF(parametros_manuales!$H$20="Todos",'Plan mensual'!M96+'Plan mensual'!M207,0))+parametros_manuales!$G$20*('Plan mensual'!M93+'Plan mensual'!M204+IF(parametros_manuales!$H$20="Todos",'Plan mensual'!M97+'Plan mensual'!M208,0)))*parametros_manuales!$I$20*parametros_manuales!$J$20</f>
        <v>5307.631563525</v>
      </c>
      <c r="L219" s="9" t="n">
        <f aca="false">(parametros_manuales!$D$20*('Plan mensual'!N90+'Plan mensual'!N201+IF(parametros_manuales!$H$20="Todos",'Plan mensual'!N94+'Plan mensual'!N205,0))+parametros_manuales!$E$20*('Plan mensual'!N91+'Plan mensual'!N202+IF(parametros_manuales!$H$20="Todos",'Plan mensual'!N95+'Plan mensual'!N206,0))+parametros_manuales!$F$20*('Plan mensual'!N92+'Plan mensual'!N203+IF(parametros_manuales!$H$20="Todos",'Plan mensual'!N96+'Plan mensual'!N207,0))+parametros_manuales!$G$20*('Plan mensual'!N93+'Plan mensual'!N204+IF(parametros_manuales!$H$20="Todos",'Plan mensual'!N97+'Plan mensual'!N208,0)))*parametros_manuales!$I$20*parametros_manuales!$J$20</f>
        <v>4953.78945929</v>
      </c>
      <c r="M219" s="9" t="n">
        <f aca="false">(parametros_manuales!$D$20*('Plan mensual'!O90+'Plan mensual'!O201+IF(parametros_manuales!$H$20="Todos",'Plan mensual'!O94+'Plan mensual'!O205,0))+parametros_manuales!$E$20*('Plan mensual'!O91+'Plan mensual'!O202+IF(parametros_manuales!$H$20="Todos",'Plan mensual'!O95+'Plan mensual'!O206,0))+parametros_manuales!$F$20*('Plan mensual'!O92+'Plan mensual'!O203+IF(parametros_manuales!$H$20="Todos",'Plan mensual'!O96+'Plan mensual'!O207,0))+parametros_manuales!$G$20*('Plan mensual'!O93+'Plan mensual'!O204+IF(parametros_manuales!$H$20="Todos",'Plan mensual'!O97+'Plan mensual'!O208,0)))*parametros_manuales!$I$20*parametros_manuales!$J$20</f>
        <v>7784.52629317</v>
      </c>
      <c r="N219" s="9" t="n">
        <f aca="false">SUM(B219:M219)</f>
        <v>70768.420847</v>
      </c>
      <c r="O219" s="9" t="n">
        <f aca="false">MAX(B219:M219)</f>
        <v>7784.52629317</v>
      </c>
      <c r="P219" s="44" t="n">
        <f aca="false">O219/(parametros_manuales!$B$7)</f>
        <v>51.8968419544667</v>
      </c>
      <c r="Q219" s="8" t="str">
        <f aca="false">IF(O219=0,"-",INDEX($B$217:$M$217,MATCH(O219,B219:M219,0)))</f>
        <v>Dic</v>
      </c>
    </row>
    <row r="220" customFormat="false" ht="14.25" hidden="false" customHeight="true" outlineLevel="0" collapsed="false">
      <c r="A220" s="8" t="str">
        <f aca="false">parametros_manuales!$B$21</f>
        <v>Corte de tubo — 1 kg</v>
      </c>
      <c r="B220" s="9" t="n">
        <f aca="false">(parametros_manuales!$D$21*('Plan mensual'!D90+'Plan mensual'!D201+IF(parametros_manuales!$H$21="Todos",'Plan mensual'!D94+'Plan mensual'!D205,0))+parametros_manuales!$E$21*('Plan mensual'!D91+'Plan mensual'!D202+IF(parametros_manuales!$H$21="Todos",'Plan mensual'!D95+'Plan mensual'!D206,0))+parametros_manuales!$F$21*('Plan mensual'!D92+'Plan mensual'!D203+IF(parametros_manuales!$H$21="Todos",'Plan mensual'!D96+'Plan mensual'!D207,0))+parametros_manuales!$G$21*('Plan mensual'!D93+'Plan mensual'!D204+IF(parametros_manuales!$H$21="Todos",'Plan mensual'!D97+'Plan mensual'!D208,0)))*parametros_manuales!$I$21*parametros_manuales!$J$21</f>
        <v>21047.1763368</v>
      </c>
      <c r="C220" s="9" t="n">
        <f aca="false">(parametros_manuales!$D$21*('Plan mensual'!E90+'Plan mensual'!E201+IF(parametros_manuales!$H$21="Todos",'Plan mensual'!E94+'Plan mensual'!E205,0))+parametros_manuales!$E$21*('Plan mensual'!E91+'Plan mensual'!E202+IF(parametros_manuales!$H$21="Todos",'Plan mensual'!E95+'Plan mensual'!E206,0))+parametros_manuales!$F$21*('Plan mensual'!E92+'Plan mensual'!E203+IF(parametros_manuales!$H$21="Todos",'Plan mensual'!E96+'Plan mensual'!E207,0))+parametros_manuales!$G$21*('Plan mensual'!E93+'Plan mensual'!E204+IF(parametros_manuales!$H$21="Todos",'Plan mensual'!E97+'Plan mensual'!E208,0)))*parametros_manuales!$I$21*parametros_manuales!$J$21</f>
        <v>15785.3822526</v>
      </c>
      <c r="D220" s="9" t="n">
        <f aca="false">(parametros_manuales!$D$21*('Plan mensual'!F90+'Plan mensual'!F201+IF(parametros_manuales!$H$21="Todos",'Plan mensual'!F94+'Plan mensual'!F205,0))+parametros_manuales!$E$21*('Plan mensual'!F91+'Plan mensual'!F202+IF(parametros_manuales!$H$21="Todos",'Plan mensual'!F95+'Plan mensual'!F206,0))+parametros_manuales!$F$21*('Plan mensual'!F92+'Plan mensual'!F203+IF(parametros_manuales!$H$21="Todos",'Plan mensual'!F96+'Plan mensual'!F207,0))+parametros_manuales!$G$21*('Plan mensual'!F93+'Plan mensual'!F204+IF(parametros_manuales!$H$21="Todos",'Plan mensual'!F97+'Plan mensual'!F208,0)))*parametros_manuales!$I$21*parametros_manuales!$J$21</f>
        <v>14031.4508912</v>
      </c>
      <c r="E220" s="9" t="n">
        <f aca="false">(parametros_manuales!$D$21*('Plan mensual'!G90+'Plan mensual'!G201+IF(parametros_manuales!$H$21="Todos",'Plan mensual'!G94+'Plan mensual'!G205,0))+parametros_manuales!$E$21*('Plan mensual'!G91+'Plan mensual'!G202+IF(parametros_manuales!$H$21="Todos",'Plan mensual'!G95+'Plan mensual'!G206,0))+parametros_manuales!$F$21*('Plan mensual'!G92+'Plan mensual'!G203+IF(parametros_manuales!$H$21="Todos",'Plan mensual'!G96+'Plan mensual'!G207,0))+parametros_manuales!$G$21*('Plan mensual'!G93+'Plan mensual'!G204+IF(parametros_manuales!$H$21="Todos",'Plan mensual'!G97+'Plan mensual'!G208,0)))*parametros_manuales!$I$21*parametros_manuales!$J$21</f>
        <v>13154.4852105</v>
      </c>
      <c r="F220" s="9" t="n">
        <f aca="false">(parametros_manuales!$D$21*('Plan mensual'!H90+'Plan mensual'!H201+IF(parametros_manuales!$H$21="Todos",'Plan mensual'!H94+'Plan mensual'!H205,0))+parametros_manuales!$E$21*('Plan mensual'!H91+'Plan mensual'!H202+IF(parametros_manuales!$H$21="Todos",'Plan mensual'!H95+'Plan mensual'!H206,0))+parametros_manuales!$F$21*('Plan mensual'!H92+'Plan mensual'!H203+IF(parametros_manuales!$H$21="Todos",'Plan mensual'!H96+'Plan mensual'!H207,0))+parametros_manuales!$G$21*('Plan mensual'!H93+'Plan mensual'!H204+IF(parametros_manuales!$H$21="Todos",'Plan mensual'!H97+'Plan mensual'!H208,0)))*parametros_manuales!$I$21*parametros_manuales!$J$21</f>
        <v>12277.5195298</v>
      </c>
      <c r="G220" s="9" t="n">
        <f aca="false">(parametros_manuales!$D$21*('Plan mensual'!I90+'Plan mensual'!I201+IF(parametros_manuales!$H$21="Todos",'Plan mensual'!I94+'Plan mensual'!I205,0))+parametros_manuales!$E$21*('Plan mensual'!I91+'Plan mensual'!I202+IF(parametros_manuales!$H$21="Todos",'Plan mensual'!I95+'Plan mensual'!I206,0))+parametros_manuales!$F$21*('Plan mensual'!I92+'Plan mensual'!I203+IF(parametros_manuales!$H$21="Todos",'Plan mensual'!I96+'Plan mensual'!I207,0))+parametros_manuales!$G$21*('Plan mensual'!I93+'Plan mensual'!I204+IF(parametros_manuales!$H$21="Todos",'Plan mensual'!I97+'Plan mensual'!I208,0)))*parametros_manuales!$I$21*parametros_manuales!$J$21</f>
        <v>12277.5195298</v>
      </c>
      <c r="H220" s="9" t="n">
        <f aca="false">(parametros_manuales!$D$21*('Plan mensual'!J90+'Plan mensual'!J201+IF(parametros_manuales!$H$21="Todos",'Plan mensual'!J94+'Plan mensual'!J205,0))+parametros_manuales!$E$21*('Plan mensual'!J91+'Plan mensual'!J202+IF(parametros_manuales!$H$21="Todos",'Plan mensual'!J95+'Plan mensual'!J206,0))+parametros_manuales!$F$21*('Plan mensual'!J92+'Plan mensual'!J203+IF(parametros_manuales!$H$21="Todos",'Plan mensual'!J96+'Plan mensual'!J207,0))+parametros_manuales!$G$21*('Plan mensual'!J93+'Plan mensual'!J204+IF(parametros_manuales!$H$21="Todos",'Plan mensual'!J97+'Plan mensual'!J208,0)))*parametros_manuales!$I$21*parametros_manuales!$J$21</f>
        <v>13154.4852105</v>
      </c>
      <c r="I220" s="9" t="n">
        <f aca="false">(parametros_manuales!$D$21*('Plan mensual'!K90+'Plan mensual'!K201+IF(parametros_manuales!$H$21="Todos",'Plan mensual'!K94+'Plan mensual'!K205,0))+parametros_manuales!$E$21*('Plan mensual'!K91+'Plan mensual'!K202+IF(parametros_manuales!$H$21="Todos",'Plan mensual'!K95+'Plan mensual'!K206,0))+parametros_manuales!$F$21*('Plan mensual'!K92+'Plan mensual'!K203+IF(parametros_manuales!$H$21="Todos",'Plan mensual'!K96+'Plan mensual'!K207,0))+parametros_manuales!$G$21*('Plan mensual'!K93+'Plan mensual'!K204+IF(parametros_manuales!$H$21="Todos",'Plan mensual'!K97+'Plan mensual'!K208,0)))*parametros_manuales!$I$21*parametros_manuales!$J$21</f>
        <v>13154.4852105</v>
      </c>
      <c r="J220" s="9" t="n">
        <f aca="false">(parametros_manuales!$D$21*('Plan mensual'!L90+'Plan mensual'!L201+IF(parametros_manuales!$H$21="Todos",'Plan mensual'!L94+'Plan mensual'!L205,0))+parametros_manuales!$E$21*('Plan mensual'!L91+'Plan mensual'!L202+IF(parametros_manuales!$H$21="Todos",'Plan mensual'!L95+'Plan mensual'!L206,0))+parametros_manuales!$F$21*('Plan mensual'!L92+'Plan mensual'!L203+IF(parametros_manuales!$H$21="Todos",'Plan mensual'!L96+'Plan mensual'!L207,0))+parametros_manuales!$G$21*('Plan mensual'!L93+'Plan mensual'!L204+IF(parametros_manuales!$H$21="Todos",'Plan mensual'!L97+'Plan mensual'!L208,0)))*parametros_manuales!$I$21*parametros_manuales!$J$21</f>
        <v>13154.4852105</v>
      </c>
      <c r="K220" s="9" t="n">
        <f aca="false">(parametros_manuales!$D$21*('Plan mensual'!M90+'Plan mensual'!M201+IF(parametros_manuales!$H$21="Todos",'Plan mensual'!M94+'Plan mensual'!M205,0))+parametros_manuales!$E$21*('Plan mensual'!M91+'Plan mensual'!M202+IF(parametros_manuales!$H$21="Todos",'Plan mensual'!M95+'Plan mensual'!M206,0))+parametros_manuales!$F$21*('Plan mensual'!M92+'Plan mensual'!M203+IF(parametros_manuales!$H$21="Todos",'Plan mensual'!M96+'Plan mensual'!M207,0))+parametros_manuales!$G$21*('Plan mensual'!M93+'Plan mensual'!M204+IF(parametros_manuales!$H$21="Todos",'Plan mensual'!M97+'Plan mensual'!M208,0)))*parametros_manuales!$I$21*parametros_manuales!$J$21</f>
        <v>13154.4852105</v>
      </c>
      <c r="L220" s="9" t="n">
        <f aca="false">(parametros_manuales!$D$21*('Plan mensual'!N90+'Plan mensual'!N201+IF(parametros_manuales!$H$21="Todos",'Plan mensual'!N94+'Plan mensual'!N205,0))+parametros_manuales!$E$21*('Plan mensual'!N91+'Plan mensual'!N202+IF(parametros_manuales!$H$21="Todos",'Plan mensual'!N95+'Plan mensual'!N206,0))+parametros_manuales!$F$21*('Plan mensual'!N92+'Plan mensual'!N203+IF(parametros_manuales!$H$21="Todos",'Plan mensual'!N96+'Plan mensual'!N207,0))+parametros_manuales!$G$21*('Plan mensual'!N93+'Plan mensual'!N204+IF(parametros_manuales!$H$21="Todos",'Plan mensual'!N97+'Plan mensual'!N208,0)))*parametros_manuales!$I$21*parametros_manuales!$J$21</f>
        <v>13154.4852105</v>
      </c>
      <c r="M220" s="9" t="n">
        <f aca="false">(parametros_manuales!$D$21*('Plan mensual'!O90+'Plan mensual'!O201+IF(parametros_manuales!$H$21="Todos",'Plan mensual'!O94+'Plan mensual'!O205,0))+parametros_manuales!$E$21*('Plan mensual'!O91+'Plan mensual'!O202+IF(parametros_manuales!$H$21="Todos",'Plan mensual'!O95+'Plan mensual'!O206,0))+parametros_manuales!$F$21*('Plan mensual'!O92+'Plan mensual'!O203+IF(parametros_manuales!$H$21="Todos",'Plan mensual'!O96+'Plan mensual'!O207,0))+parametros_manuales!$G$21*('Plan mensual'!O93+'Plan mensual'!O204+IF(parametros_manuales!$H$21="Todos",'Plan mensual'!O97+'Plan mensual'!O208,0)))*parametros_manuales!$I$21*parametros_manuales!$J$21</f>
        <v>21047.1763368</v>
      </c>
      <c r="N220" s="9" t="n">
        <f aca="false">SUM(B220:M220)</f>
        <v>175393.13614</v>
      </c>
      <c r="O220" s="9" t="n">
        <f aca="false">MAX(B220:M220)</f>
        <v>21047.1763368</v>
      </c>
      <c r="P220" s="44" t="n">
        <f aca="false">O220/(parametros_manuales!$B$7)</f>
        <v>140.314508912</v>
      </c>
      <c r="Q220" s="8" t="str">
        <f aca="false">IF(O220=0,"-",INDEX($B$217:$M$217,MATCH(O220,B220:M220,0)))</f>
        <v>Ene</v>
      </c>
    </row>
    <row r="221" customFormat="false" ht="14.25" hidden="false" customHeight="true" outlineLevel="0" collapsed="false">
      <c r="A221" s="8" t="str">
        <f aca="false">parametros_manuales!$B$22</f>
        <v>Corte de disco y embutido (cúpula y fondo)</v>
      </c>
      <c r="B221" s="9" t="n">
        <f aca="false">(parametros_manuales!$D$22*('Plan mensual'!D90+'Plan mensual'!D201+IF(parametros_manuales!$H$22="Todos",'Plan mensual'!D94+'Plan mensual'!D205,0))+parametros_manuales!$E$22*('Plan mensual'!D91+'Plan mensual'!D202+IF(parametros_manuales!$H$22="Todos",'Plan mensual'!D95+'Plan mensual'!D206,0))+parametros_manuales!$F$22*('Plan mensual'!D92+'Plan mensual'!D203+IF(parametros_manuales!$H$22="Todos",'Plan mensual'!D96+'Plan mensual'!D207,0))+parametros_manuales!$G$22*('Plan mensual'!D93+'Plan mensual'!D204+IF(parametros_manuales!$H$22="Todos",'Plan mensual'!D97+'Plan mensual'!D208,0)))*parametros_manuales!$I$22*parametros_manuales!$J$22</f>
        <v>56248.036843</v>
      </c>
      <c r="C221" s="9" t="n">
        <f aca="false">(parametros_manuales!$D$22*('Plan mensual'!E90+'Plan mensual'!E201+IF(parametros_manuales!$H$22="Todos",'Plan mensual'!E94+'Plan mensual'!E205,0))+parametros_manuales!$E$22*('Plan mensual'!E91+'Plan mensual'!E202+IF(parametros_manuales!$H$22="Todos",'Plan mensual'!E95+'Plan mensual'!E206,0))+parametros_manuales!$F$22*('Plan mensual'!E92+'Plan mensual'!E203+IF(parametros_manuales!$H$22="Todos",'Plan mensual'!E96+'Plan mensual'!E207,0))+parametros_manuales!$G$22*('Plan mensual'!E93+'Plan mensual'!E204+IF(parametros_manuales!$H$22="Todos",'Plan mensual'!E97+'Plan mensual'!E208,0)))*parametros_manuales!$I$22*parametros_manuales!$J$22</f>
        <v>42893.71184072</v>
      </c>
      <c r="D221" s="9" t="n">
        <f aca="false">(parametros_manuales!$D$22*('Plan mensual'!F90+'Plan mensual'!F201+IF(parametros_manuales!$H$22="Todos",'Plan mensual'!F94+'Plan mensual'!F205,0))+parametros_manuales!$E$22*('Plan mensual'!F91+'Plan mensual'!F202+IF(parametros_manuales!$H$22="Todos",'Plan mensual'!F95+'Plan mensual'!F206,0))+parametros_manuales!$F$22*('Plan mensual'!F92+'Plan mensual'!F203+IF(parametros_manuales!$H$22="Todos",'Plan mensual'!F96+'Plan mensual'!F207,0))+parametros_manuales!$G$22*('Plan mensual'!F93+'Plan mensual'!F204+IF(parametros_manuales!$H$22="Todos",'Plan mensual'!F97+'Plan mensual'!F208,0)))*parametros_manuales!$I$22*parametros_manuales!$J$22</f>
        <v>40093.53332639</v>
      </c>
      <c r="E221" s="9" t="n">
        <f aca="false">(parametros_manuales!$D$22*('Plan mensual'!G90+'Plan mensual'!G201+IF(parametros_manuales!$H$22="Todos",'Plan mensual'!G94+'Plan mensual'!G205,0))+parametros_manuales!$E$22*('Plan mensual'!G91+'Plan mensual'!G202+IF(parametros_manuales!$H$22="Todos",'Plan mensual'!G95+'Plan mensual'!G206,0))+parametros_manuales!$F$22*('Plan mensual'!G92+'Plan mensual'!G203+IF(parametros_manuales!$H$22="Todos",'Plan mensual'!G96+'Plan mensual'!G207,0))+parametros_manuales!$G$22*('Plan mensual'!G93+'Plan mensual'!G204+IF(parametros_manuales!$H$22="Todos",'Plan mensual'!G97+'Plan mensual'!G208,0)))*parametros_manuales!$I$22*parametros_manuales!$J$22</f>
        <v>38339.60196499</v>
      </c>
      <c r="F221" s="9" t="n">
        <f aca="false">(parametros_manuales!$D$22*('Plan mensual'!H90+'Plan mensual'!H201+IF(parametros_manuales!$H$22="Todos",'Plan mensual'!H94+'Plan mensual'!H205,0))+parametros_manuales!$E$22*('Plan mensual'!H91+'Plan mensual'!H202+IF(parametros_manuales!$H$22="Todos",'Plan mensual'!H95+'Plan mensual'!H206,0))+parametros_manuales!$F$22*('Plan mensual'!H92+'Plan mensual'!H203+IF(parametros_manuales!$H$22="Todos",'Plan mensual'!H96+'Plan mensual'!H207,0))+parametros_manuales!$G$22*('Plan mensual'!H93+'Plan mensual'!H204+IF(parametros_manuales!$H$22="Todos",'Plan mensual'!H97+'Plan mensual'!H208,0)))*parametros_manuales!$I$22*parametros_manuales!$J$22</f>
        <v>35877.98639512</v>
      </c>
      <c r="G221" s="9" t="n">
        <f aca="false">(parametros_manuales!$D$22*('Plan mensual'!I90+'Plan mensual'!I201+IF(parametros_manuales!$H$22="Todos",'Plan mensual'!I94+'Plan mensual'!I205,0))+parametros_manuales!$E$22*('Plan mensual'!I91+'Plan mensual'!I202+IF(parametros_manuales!$H$22="Todos",'Plan mensual'!I95+'Plan mensual'!I206,0))+parametros_manuales!$F$22*('Plan mensual'!I92+'Plan mensual'!I203+IF(parametros_manuales!$H$22="Todos",'Plan mensual'!I96+'Plan mensual'!I207,0))+parametros_manuales!$G$22*('Plan mensual'!I93+'Plan mensual'!I204+IF(parametros_manuales!$H$22="Todos",'Plan mensual'!I97+'Plan mensual'!I208,0)))*parametros_manuales!$I$22*parametros_manuales!$J$22</f>
        <v>35170.30218665</v>
      </c>
      <c r="H221" s="9" t="n">
        <f aca="false">(parametros_manuales!$D$22*('Plan mensual'!J90+'Plan mensual'!J201+IF(parametros_manuales!$H$22="Todos",'Plan mensual'!J94+'Plan mensual'!J205,0))+parametros_manuales!$E$22*('Plan mensual'!J91+'Plan mensual'!J202+IF(parametros_manuales!$H$22="Todos",'Plan mensual'!J95+'Plan mensual'!J206,0))+parametros_manuales!$F$22*('Plan mensual'!J92+'Plan mensual'!J203+IF(parametros_manuales!$H$22="Todos",'Plan mensual'!J96+'Plan mensual'!J207,0))+parametros_manuales!$G$22*('Plan mensual'!J93+'Plan mensual'!J204+IF(parametros_manuales!$H$22="Todos",'Plan mensual'!J97+'Plan mensual'!J208,0)))*parametros_manuales!$I$22*parametros_manuales!$J$22</f>
        <v>37631.91775652</v>
      </c>
      <c r="I221" s="9" t="n">
        <f aca="false">(parametros_manuales!$D$22*('Plan mensual'!K90+'Plan mensual'!K201+IF(parametros_manuales!$H$22="Todos",'Plan mensual'!K94+'Plan mensual'!K205,0))+parametros_manuales!$E$22*('Plan mensual'!K91+'Plan mensual'!K202+IF(parametros_manuales!$H$22="Todos",'Plan mensual'!K95+'Plan mensual'!K206,0))+parametros_manuales!$F$22*('Plan mensual'!K92+'Plan mensual'!K203+IF(parametros_manuales!$H$22="Todos",'Plan mensual'!K96+'Plan mensual'!K207,0))+parametros_manuales!$G$22*('Plan mensual'!K93+'Plan mensual'!K204+IF(parametros_manuales!$H$22="Todos",'Plan mensual'!K97+'Plan mensual'!K208,0)))*parametros_manuales!$I$22*parametros_manuales!$J$22</f>
        <v>37631.91775652</v>
      </c>
      <c r="J221" s="9" t="n">
        <f aca="false">(parametros_manuales!$D$22*('Plan mensual'!L90+'Plan mensual'!L201+IF(parametros_manuales!$H$22="Todos",'Plan mensual'!L94+'Plan mensual'!L205,0))+parametros_manuales!$E$22*('Plan mensual'!L91+'Plan mensual'!L202+IF(parametros_manuales!$H$22="Todos",'Plan mensual'!L95+'Plan mensual'!L206,0))+parametros_manuales!$F$22*('Plan mensual'!L92+'Plan mensual'!L203+IF(parametros_manuales!$H$22="Todos",'Plan mensual'!L96+'Plan mensual'!L207,0))+parametros_manuales!$G$22*('Plan mensual'!L93+'Plan mensual'!L204+IF(parametros_manuales!$H$22="Todos",'Plan mensual'!L97+'Plan mensual'!L208,0)))*parametros_manuales!$I$22*parametros_manuales!$J$22</f>
        <v>37631.91775652</v>
      </c>
      <c r="K221" s="9" t="n">
        <f aca="false">(parametros_manuales!$D$22*('Plan mensual'!M90+'Plan mensual'!M201+IF(parametros_manuales!$H$22="Todos",'Plan mensual'!M94+'Plan mensual'!M205,0))+parametros_manuales!$E$22*('Plan mensual'!M91+'Plan mensual'!M202+IF(parametros_manuales!$H$22="Todos",'Plan mensual'!M95+'Plan mensual'!M206,0))+parametros_manuales!$F$22*('Plan mensual'!M92+'Plan mensual'!M203+IF(parametros_manuales!$H$22="Todos",'Plan mensual'!M96+'Plan mensual'!M207,0))+parametros_manuales!$G$22*('Plan mensual'!M93+'Plan mensual'!M204+IF(parametros_manuales!$H$22="Todos",'Plan mensual'!M97+'Plan mensual'!M208,0)))*parametros_manuales!$I$22*parametros_manuales!$J$22</f>
        <v>36924.23354805</v>
      </c>
      <c r="L221" s="9" t="n">
        <f aca="false">(parametros_manuales!$D$22*('Plan mensual'!N90+'Plan mensual'!N201+IF(parametros_manuales!$H$22="Todos",'Plan mensual'!N94+'Plan mensual'!N205,0))+parametros_manuales!$E$22*('Plan mensual'!N91+'Plan mensual'!N202+IF(parametros_manuales!$H$22="Todos",'Plan mensual'!N95+'Plan mensual'!N206,0))+parametros_manuales!$F$22*('Plan mensual'!N92+'Plan mensual'!N203+IF(parametros_manuales!$H$22="Todos",'Plan mensual'!N96+'Plan mensual'!N207,0))+parametros_manuales!$G$22*('Plan mensual'!N93+'Plan mensual'!N204+IF(parametros_manuales!$H$22="Todos",'Plan mensual'!N97+'Plan mensual'!N208,0)))*parametros_manuales!$I$22*parametros_manuales!$J$22</f>
        <v>36216.54933958</v>
      </c>
      <c r="M221" s="9" t="n">
        <f aca="false">(parametros_manuales!$D$22*('Plan mensual'!O90+'Plan mensual'!O201+IF(parametros_manuales!$H$22="Todos",'Plan mensual'!O94+'Plan mensual'!O205,0))+parametros_manuales!$E$22*('Plan mensual'!O91+'Plan mensual'!O202+IF(parametros_manuales!$H$22="Todos",'Plan mensual'!O95+'Plan mensual'!O206,0))+parametros_manuales!$F$22*('Plan mensual'!O92+'Plan mensual'!O203+IF(parametros_manuales!$H$22="Todos",'Plan mensual'!O96+'Plan mensual'!O207,0))+parametros_manuales!$G$22*('Plan mensual'!O93+'Plan mensual'!O204+IF(parametros_manuales!$H$22="Todos",'Plan mensual'!O97+'Plan mensual'!O208,0)))*parametros_manuales!$I$22*parametros_manuales!$J$22</f>
        <v>57663.40525994</v>
      </c>
      <c r="N221" s="9" t="n">
        <f aca="false">SUM(B221:M221)</f>
        <v>492323.113974</v>
      </c>
      <c r="O221" s="9" t="n">
        <f aca="false">MAX(B221:M221)</f>
        <v>57663.40525994</v>
      </c>
      <c r="P221" s="44" t="n">
        <f aca="false">O221/(parametros_manuales!$B$7)</f>
        <v>384.422701732933</v>
      </c>
      <c r="Q221" s="8" t="str">
        <f aca="false">IF(O221=0,"-",INDEX($B$217:$M$217,MATCH(O221,B221:M221,0)))</f>
        <v>Dic</v>
      </c>
    </row>
    <row r="222" customFormat="false" ht="14.25" hidden="false" customHeight="true" outlineLevel="0" collapsed="false">
      <c r="A222" s="8" t="str">
        <f aca="false">parametros_manuales!$B$23</f>
        <v>Preparación de cuello</v>
      </c>
      <c r="B222" s="9" t="n">
        <f aca="false">(parametros_manuales!$D$23*('Plan mensual'!D90+'Plan mensual'!D201+IF(parametros_manuales!$H$23="Todos",'Plan mensual'!D94+'Plan mensual'!D205,0))+parametros_manuales!$E$23*('Plan mensual'!D91+'Plan mensual'!D202+IF(parametros_manuales!$H$23="Todos",'Plan mensual'!D95+'Plan mensual'!D206,0))+parametros_manuales!$F$23*('Plan mensual'!D92+'Plan mensual'!D203+IF(parametros_manuales!$H$23="Todos",'Plan mensual'!D96+'Plan mensual'!D207,0))+parametros_manuales!$G$23*('Plan mensual'!D93+'Plan mensual'!D204+IF(parametros_manuales!$H$23="Todos",'Plan mensual'!D97+'Plan mensual'!D208,0)))*parametros_manuales!$I$23*parametros_manuales!$J$23</f>
        <v>28124.0184215</v>
      </c>
      <c r="C222" s="9" t="n">
        <f aca="false">(parametros_manuales!$D$23*('Plan mensual'!E90+'Plan mensual'!E201+IF(parametros_manuales!$H$23="Todos",'Plan mensual'!E94+'Plan mensual'!E205,0))+parametros_manuales!$E$23*('Plan mensual'!E91+'Plan mensual'!E202+IF(parametros_manuales!$H$23="Todos",'Plan mensual'!E95+'Plan mensual'!E206,0))+parametros_manuales!$F$23*('Plan mensual'!E92+'Plan mensual'!E203+IF(parametros_manuales!$H$23="Todos",'Plan mensual'!E96+'Plan mensual'!E207,0))+parametros_manuales!$G$23*('Plan mensual'!E93+'Plan mensual'!E204+IF(parametros_manuales!$H$23="Todos",'Plan mensual'!E97+'Plan mensual'!E208,0)))*parametros_manuales!$I$23*parametros_manuales!$J$23</f>
        <v>21446.85592036</v>
      </c>
      <c r="D222" s="9" t="n">
        <f aca="false">(parametros_manuales!$D$23*('Plan mensual'!F90+'Plan mensual'!F201+IF(parametros_manuales!$H$23="Todos",'Plan mensual'!F94+'Plan mensual'!F205,0))+parametros_manuales!$E$23*('Plan mensual'!F91+'Plan mensual'!F202+IF(parametros_manuales!$H$23="Todos",'Plan mensual'!F95+'Plan mensual'!F206,0))+parametros_manuales!$F$23*('Plan mensual'!F92+'Plan mensual'!F203+IF(parametros_manuales!$H$23="Todos",'Plan mensual'!F96+'Plan mensual'!F207,0))+parametros_manuales!$G$23*('Plan mensual'!F93+'Plan mensual'!F204+IF(parametros_manuales!$H$23="Todos",'Plan mensual'!F97+'Plan mensual'!F208,0)))*parametros_manuales!$I$23*parametros_manuales!$J$23</f>
        <v>20046.766663195</v>
      </c>
      <c r="E222" s="9" t="n">
        <f aca="false">(parametros_manuales!$D$23*('Plan mensual'!G90+'Plan mensual'!G201+IF(parametros_manuales!$H$23="Todos",'Plan mensual'!G94+'Plan mensual'!G205,0))+parametros_manuales!$E$23*('Plan mensual'!G91+'Plan mensual'!G202+IF(parametros_manuales!$H$23="Todos",'Plan mensual'!G95+'Plan mensual'!G206,0))+parametros_manuales!$F$23*('Plan mensual'!G92+'Plan mensual'!G203+IF(parametros_manuales!$H$23="Todos",'Plan mensual'!G96+'Plan mensual'!G207,0))+parametros_manuales!$G$23*('Plan mensual'!G93+'Plan mensual'!G204+IF(parametros_manuales!$H$23="Todos",'Plan mensual'!G97+'Plan mensual'!G208,0)))*parametros_manuales!$I$23*parametros_manuales!$J$23</f>
        <v>19169.800982495</v>
      </c>
      <c r="F222" s="9" t="n">
        <f aca="false">(parametros_manuales!$D$23*('Plan mensual'!H90+'Plan mensual'!H201+IF(parametros_manuales!$H$23="Todos",'Plan mensual'!H94+'Plan mensual'!H205,0))+parametros_manuales!$E$23*('Plan mensual'!H91+'Plan mensual'!H202+IF(parametros_manuales!$H$23="Todos",'Plan mensual'!H95+'Plan mensual'!H206,0))+parametros_manuales!$F$23*('Plan mensual'!H92+'Plan mensual'!H203+IF(parametros_manuales!$H$23="Todos",'Plan mensual'!H96+'Plan mensual'!H207,0))+parametros_manuales!$G$23*('Plan mensual'!H93+'Plan mensual'!H204+IF(parametros_manuales!$H$23="Todos",'Plan mensual'!H97+'Plan mensual'!H208,0)))*parametros_manuales!$I$23*parametros_manuales!$J$23</f>
        <v>17938.99319756</v>
      </c>
      <c r="G222" s="9" t="n">
        <f aca="false">(parametros_manuales!$D$23*('Plan mensual'!I90+'Plan mensual'!I201+IF(parametros_manuales!$H$23="Todos",'Plan mensual'!I94+'Plan mensual'!I205,0))+parametros_manuales!$E$23*('Plan mensual'!I91+'Plan mensual'!I202+IF(parametros_manuales!$H$23="Todos",'Plan mensual'!I95+'Plan mensual'!I206,0))+parametros_manuales!$F$23*('Plan mensual'!I92+'Plan mensual'!I203+IF(parametros_manuales!$H$23="Todos",'Plan mensual'!I96+'Plan mensual'!I207,0))+parametros_manuales!$G$23*('Plan mensual'!I93+'Plan mensual'!I204+IF(parametros_manuales!$H$23="Todos",'Plan mensual'!I97+'Plan mensual'!I208,0)))*parametros_manuales!$I$23*parametros_manuales!$J$23</f>
        <v>17585.151093325</v>
      </c>
      <c r="H222" s="9" t="n">
        <f aca="false">(parametros_manuales!$D$23*('Plan mensual'!J90+'Plan mensual'!J201+IF(parametros_manuales!$H$23="Todos",'Plan mensual'!J94+'Plan mensual'!J205,0))+parametros_manuales!$E$23*('Plan mensual'!J91+'Plan mensual'!J202+IF(parametros_manuales!$H$23="Todos",'Plan mensual'!J95+'Plan mensual'!J206,0))+parametros_manuales!$F$23*('Plan mensual'!J92+'Plan mensual'!J203+IF(parametros_manuales!$H$23="Todos",'Plan mensual'!J96+'Plan mensual'!J207,0))+parametros_manuales!$G$23*('Plan mensual'!J93+'Plan mensual'!J204+IF(parametros_manuales!$H$23="Todos",'Plan mensual'!J97+'Plan mensual'!J208,0)))*parametros_manuales!$I$23*parametros_manuales!$J$23</f>
        <v>18815.95887826</v>
      </c>
      <c r="I222" s="9" t="n">
        <f aca="false">(parametros_manuales!$D$23*('Plan mensual'!K90+'Plan mensual'!K201+IF(parametros_manuales!$H$23="Todos",'Plan mensual'!K94+'Plan mensual'!K205,0))+parametros_manuales!$E$23*('Plan mensual'!K91+'Plan mensual'!K202+IF(parametros_manuales!$H$23="Todos",'Plan mensual'!K95+'Plan mensual'!K206,0))+parametros_manuales!$F$23*('Plan mensual'!K92+'Plan mensual'!K203+IF(parametros_manuales!$H$23="Todos",'Plan mensual'!K96+'Plan mensual'!K207,0))+parametros_manuales!$G$23*('Plan mensual'!K93+'Plan mensual'!K204+IF(parametros_manuales!$H$23="Todos",'Plan mensual'!K97+'Plan mensual'!K208,0)))*parametros_manuales!$I$23*parametros_manuales!$J$23</f>
        <v>18815.95887826</v>
      </c>
      <c r="J222" s="9" t="n">
        <f aca="false">(parametros_manuales!$D$23*('Plan mensual'!L90+'Plan mensual'!L201+IF(parametros_manuales!$H$23="Todos",'Plan mensual'!L94+'Plan mensual'!L205,0))+parametros_manuales!$E$23*('Plan mensual'!L91+'Plan mensual'!L202+IF(parametros_manuales!$H$23="Todos",'Plan mensual'!L95+'Plan mensual'!L206,0))+parametros_manuales!$F$23*('Plan mensual'!L92+'Plan mensual'!L203+IF(parametros_manuales!$H$23="Todos",'Plan mensual'!L96+'Plan mensual'!L207,0))+parametros_manuales!$G$23*('Plan mensual'!L93+'Plan mensual'!L204+IF(parametros_manuales!$H$23="Todos",'Plan mensual'!L97+'Plan mensual'!L208,0)))*parametros_manuales!$I$23*parametros_manuales!$J$23</f>
        <v>18815.95887826</v>
      </c>
      <c r="K222" s="9" t="n">
        <f aca="false">(parametros_manuales!$D$23*('Plan mensual'!M90+'Plan mensual'!M201+IF(parametros_manuales!$H$23="Todos",'Plan mensual'!M94+'Plan mensual'!M205,0))+parametros_manuales!$E$23*('Plan mensual'!M91+'Plan mensual'!M202+IF(parametros_manuales!$H$23="Todos",'Plan mensual'!M95+'Plan mensual'!M206,0))+parametros_manuales!$F$23*('Plan mensual'!M92+'Plan mensual'!M203+IF(parametros_manuales!$H$23="Todos",'Plan mensual'!M96+'Plan mensual'!M207,0))+parametros_manuales!$G$23*('Plan mensual'!M93+'Plan mensual'!M204+IF(parametros_manuales!$H$23="Todos",'Plan mensual'!M97+'Plan mensual'!M208,0)))*parametros_manuales!$I$23*parametros_manuales!$J$23</f>
        <v>18462.116774025</v>
      </c>
      <c r="L222" s="9" t="n">
        <f aca="false">(parametros_manuales!$D$23*('Plan mensual'!N90+'Plan mensual'!N201+IF(parametros_manuales!$H$23="Todos",'Plan mensual'!N94+'Plan mensual'!N205,0))+parametros_manuales!$E$23*('Plan mensual'!N91+'Plan mensual'!N202+IF(parametros_manuales!$H$23="Todos",'Plan mensual'!N95+'Plan mensual'!N206,0))+parametros_manuales!$F$23*('Plan mensual'!N92+'Plan mensual'!N203+IF(parametros_manuales!$H$23="Todos",'Plan mensual'!N96+'Plan mensual'!N207,0))+parametros_manuales!$G$23*('Plan mensual'!N93+'Plan mensual'!N204+IF(parametros_manuales!$H$23="Todos",'Plan mensual'!N97+'Plan mensual'!N208,0)))*parametros_manuales!$I$23*parametros_manuales!$J$23</f>
        <v>18108.27466979</v>
      </c>
      <c r="M222" s="9" t="n">
        <f aca="false">(parametros_manuales!$D$23*('Plan mensual'!O90+'Plan mensual'!O201+IF(parametros_manuales!$H$23="Todos",'Plan mensual'!O94+'Plan mensual'!O205,0))+parametros_manuales!$E$23*('Plan mensual'!O91+'Plan mensual'!O202+IF(parametros_manuales!$H$23="Todos",'Plan mensual'!O95+'Plan mensual'!O206,0))+parametros_manuales!$F$23*('Plan mensual'!O92+'Plan mensual'!O203+IF(parametros_manuales!$H$23="Todos",'Plan mensual'!O96+'Plan mensual'!O207,0))+parametros_manuales!$G$23*('Plan mensual'!O93+'Plan mensual'!O204+IF(parametros_manuales!$H$23="Todos",'Plan mensual'!O97+'Plan mensual'!O208,0)))*parametros_manuales!$I$23*parametros_manuales!$J$23</f>
        <v>28831.70262997</v>
      </c>
      <c r="N222" s="9" t="n">
        <f aca="false">SUM(B222:M222)</f>
        <v>246161.556987</v>
      </c>
      <c r="O222" s="9" t="n">
        <f aca="false">MAX(B222:M222)</f>
        <v>28831.70262997</v>
      </c>
      <c r="P222" s="44" t="n">
        <f aca="false">O222/(parametros_manuales!$B$7)</f>
        <v>192.211350866467</v>
      </c>
      <c r="Q222" s="8" t="str">
        <f aca="false">IF(O222=0,"-",INDEX($B$217:$M$217,MATCH(O222,B222:M222,0)))</f>
        <v>Dic</v>
      </c>
    </row>
    <row r="223" customFormat="false" ht="14.25" hidden="false" customHeight="true" outlineLevel="0" collapsed="false">
      <c r="A223" s="8" t="str">
        <f aca="false">parametros_manuales!$B$24</f>
        <v>Numerado de cúpula</v>
      </c>
      <c r="B223" s="9" t="n">
        <f aca="false">(parametros_manuales!$D$24*('Plan mensual'!D90+'Plan mensual'!D201+IF(parametros_manuales!$H$24="Todos",'Plan mensual'!D94+'Plan mensual'!D205,0))+parametros_manuales!$E$24*('Plan mensual'!D91+'Plan mensual'!D202+IF(parametros_manuales!$H$24="Todos",'Plan mensual'!D95+'Plan mensual'!D206,0))+parametros_manuales!$F$24*('Plan mensual'!D92+'Plan mensual'!D203+IF(parametros_manuales!$H$24="Todos",'Plan mensual'!D96+'Plan mensual'!D207,0))+parametros_manuales!$G$24*('Plan mensual'!D93+'Plan mensual'!D204+IF(parametros_manuales!$H$24="Todos",'Plan mensual'!D97+'Plan mensual'!D208,0)))*parametros_manuales!$I$24*parametros_manuales!$J$24</f>
        <v>28124.0184215</v>
      </c>
      <c r="C223" s="9" t="n">
        <f aca="false">(parametros_manuales!$D$24*('Plan mensual'!E90+'Plan mensual'!E201+IF(parametros_manuales!$H$24="Todos",'Plan mensual'!E94+'Plan mensual'!E205,0))+parametros_manuales!$E$24*('Plan mensual'!E91+'Plan mensual'!E202+IF(parametros_manuales!$H$24="Todos",'Plan mensual'!E95+'Plan mensual'!E206,0))+parametros_manuales!$F$24*('Plan mensual'!E92+'Plan mensual'!E203+IF(parametros_manuales!$H$24="Todos",'Plan mensual'!E96+'Plan mensual'!E207,0))+parametros_manuales!$G$24*('Plan mensual'!E93+'Plan mensual'!E204+IF(parametros_manuales!$H$24="Todos",'Plan mensual'!E97+'Plan mensual'!E208,0)))*parametros_manuales!$I$24*parametros_manuales!$J$24</f>
        <v>21446.85592036</v>
      </c>
      <c r="D223" s="9" t="n">
        <f aca="false">(parametros_manuales!$D$24*('Plan mensual'!F90+'Plan mensual'!F201+IF(parametros_manuales!$H$24="Todos",'Plan mensual'!F94+'Plan mensual'!F205,0))+parametros_manuales!$E$24*('Plan mensual'!F91+'Plan mensual'!F202+IF(parametros_manuales!$H$24="Todos",'Plan mensual'!F95+'Plan mensual'!F206,0))+parametros_manuales!$F$24*('Plan mensual'!F92+'Plan mensual'!F203+IF(parametros_manuales!$H$24="Todos",'Plan mensual'!F96+'Plan mensual'!F207,0))+parametros_manuales!$G$24*('Plan mensual'!F93+'Plan mensual'!F204+IF(parametros_manuales!$H$24="Todos",'Plan mensual'!F97+'Plan mensual'!F208,0)))*parametros_manuales!$I$24*parametros_manuales!$J$24</f>
        <v>20046.766663195</v>
      </c>
      <c r="E223" s="9" t="n">
        <f aca="false">(parametros_manuales!$D$24*('Plan mensual'!G90+'Plan mensual'!G201+IF(parametros_manuales!$H$24="Todos",'Plan mensual'!G94+'Plan mensual'!G205,0))+parametros_manuales!$E$24*('Plan mensual'!G91+'Plan mensual'!G202+IF(parametros_manuales!$H$24="Todos",'Plan mensual'!G95+'Plan mensual'!G206,0))+parametros_manuales!$F$24*('Plan mensual'!G92+'Plan mensual'!G203+IF(parametros_manuales!$H$24="Todos",'Plan mensual'!G96+'Plan mensual'!G207,0))+parametros_manuales!$G$24*('Plan mensual'!G93+'Plan mensual'!G204+IF(parametros_manuales!$H$24="Todos",'Plan mensual'!G97+'Plan mensual'!G208,0)))*parametros_manuales!$I$24*parametros_manuales!$J$24</f>
        <v>19169.800982495</v>
      </c>
      <c r="F223" s="9" t="n">
        <f aca="false">(parametros_manuales!$D$24*('Plan mensual'!H90+'Plan mensual'!H201+IF(parametros_manuales!$H$24="Todos",'Plan mensual'!H94+'Plan mensual'!H205,0))+parametros_manuales!$E$24*('Plan mensual'!H91+'Plan mensual'!H202+IF(parametros_manuales!$H$24="Todos",'Plan mensual'!H95+'Plan mensual'!H206,0))+parametros_manuales!$F$24*('Plan mensual'!H92+'Plan mensual'!H203+IF(parametros_manuales!$H$24="Todos",'Plan mensual'!H96+'Plan mensual'!H207,0))+parametros_manuales!$G$24*('Plan mensual'!H93+'Plan mensual'!H204+IF(parametros_manuales!$H$24="Todos",'Plan mensual'!H97+'Plan mensual'!H208,0)))*parametros_manuales!$I$24*parametros_manuales!$J$24</f>
        <v>17938.99319756</v>
      </c>
      <c r="G223" s="9" t="n">
        <f aca="false">(parametros_manuales!$D$24*('Plan mensual'!I90+'Plan mensual'!I201+IF(parametros_manuales!$H$24="Todos",'Plan mensual'!I94+'Plan mensual'!I205,0))+parametros_manuales!$E$24*('Plan mensual'!I91+'Plan mensual'!I202+IF(parametros_manuales!$H$24="Todos",'Plan mensual'!I95+'Plan mensual'!I206,0))+parametros_manuales!$F$24*('Plan mensual'!I92+'Plan mensual'!I203+IF(parametros_manuales!$H$24="Todos",'Plan mensual'!I96+'Plan mensual'!I207,0))+parametros_manuales!$G$24*('Plan mensual'!I93+'Plan mensual'!I204+IF(parametros_manuales!$H$24="Todos",'Plan mensual'!I97+'Plan mensual'!I208,0)))*parametros_manuales!$I$24*parametros_manuales!$J$24</f>
        <v>17585.151093325</v>
      </c>
      <c r="H223" s="9" t="n">
        <f aca="false">(parametros_manuales!$D$24*('Plan mensual'!J90+'Plan mensual'!J201+IF(parametros_manuales!$H$24="Todos",'Plan mensual'!J94+'Plan mensual'!J205,0))+parametros_manuales!$E$24*('Plan mensual'!J91+'Plan mensual'!J202+IF(parametros_manuales!$H$24="Todos",'Plan mensual'!J95+'Plan mensual'!J206,0))+parametros_manuales!$F$24*('Plan mensual'!J92+'Plan mensual'!J203+IF(parametros_manuales!$H$24="Todos",'Plan mensual'!J96+'Plan mensual'!J207,0))+parametros_manuales!$G$24*('Plan mensual'!J93+'Plan mensual'!J204+IF(parametros_manuales!$H$24="Todos",'Plan mensual'!J97+'Plan mensual'!J208,0)))*parametros_manuales!$I$24*parametros_manuales!$J$24</f>
        <v>18815.95887826</v>
      </c>
      <c r="I223" s="9" t="n">
        <f aca="false">(parametros_manuales!$D$24*('Plan mensual'!K90+'Plan mensual'!K201+IF(parametros_manuales!$H$24="Todos",'Plan mensual'!K94+'Plan mensual'!K205,0))+parametros_manuales!$E$24*('Plan mensual'!K91+'Plan mensual'!K202+IF(parametros_manuales!$H$24="Todos",'Plan mensual'!K95+'Plan mensual'!K206,0))+parametros_manuales!$F$24*('Plan mensual'!K92+'Plan mensual'!K203+IF(parametros_manuales!$H$24="Todos",'Plan mensual'!K96+'Plan mensual'!K207,0))+parametros_manuales!$G$24*('Plan mensual'!K93+'Plan mensual'!K204+IF(parametros_manuales!$H$24="Todos",'Plan mensual'!K97+'Plan mensual'!K208,0)))*parametros_manuales!$I$24*parametros_manuales!$J$24</f>
        <v>18815.95887826</v>
      </c>
      <c r="J223" s="9" t="n">
        <f aca="false">(parametros_manuales!$D$24*('Plan mensual'!L90+'Plan mensual'!L201+IF(parametros_manuales!$H$24="Todos",'Plan mensual'!L94+'Plan mensual'!L205,0))+parametros_manuales!$E$24*('Plan mensual'!L91+'Plan mensual'!L202+IF(parametros_manuales!$H$24="Todos",'Plan mensual'!L95+'Plan mensual'!L206,0))+parametros_manuales!$F$24*('Plan mensual'!L92+'Plan mensual'!L203+IF(parametros_manuales!$H$24="Todos",'Plan mensual'!L96+'Plan mensual'!L207,0))+parametros_manuales!$G$24*('Plan mensual'!L93+'Plan mensual'!L204+IF(parametros_manuales!$H$24="Todos",'Plan mensual'!L97+'Plan mensual'!L208,0)))*parametros_manuales!$I$24*parametros_manuales!$J$24</f>
        <v>18815.95887826</v>
      </c>
      <c r="K223" s="9" t="n">
        <f aca="false">(parametros_manuales!$D$24*('Plan mensual'!M90+'Plan mensual'!M201+IF(parametros_manuales!$H$24="Todos",'Plan mensual'!M94+'Plan mensual'!M205,0))+parametros_manuales!$E$24*('Plan mensual'!M91+'Plan mensual'!M202+IF(parametros_manuales!$H$24="Todos",'Plan mensual'!M95+'Plan mensual'!M206,0))+parametros_manuales!$F$24*('Plan mensual'!M92+'Plan mensual'!M203+IF(parametros_manuales!$H$24="Todos",'Plan mensual'!M96+'Plan mensual'!M207,0))+parametros_manuales!$G$24*('Plan mensual'!M93+'Plan mensual'!M204+IF(parametros_manuales!$H$24="Todos",'Plan mensual'!M97+'Plan mensual'!M208,0)))*parametros_manuales!$I$24*parametros_manuales!$J$24</f>
        <v>18462.116774025</v>
      </c>
      <c r="L223" s="9" t="n">
        <f aca="false">(parametros_manuales!$D$24*('Plan mensual'!N90+'Plan mensual'!N201+IF(parametros_manuales!$H$24="Todos",'Plan mensual'!N94+'Plan mensual'!N205,0))+parametros_manuales!$E$24*('Plan mensual'!N91+'Plan mensual'!N202+IF(parametros_manuales!$H$24="Todos",'Plan mensual'!N95+'Plan mensual'!N206,0))+parametros_manuales!$F$24*('Plan mensual'!N92+'Plan mensual'!N203+IF(parametros_manuales!$H$24="Todos",'Plan mensual'!N96+'Plan mensual'!N207,0))+parametros_manuales!$G$24*('Plan mensual'!N93+'Plan mensual'!N204+IF(parametros_manuales!$H$24="Todos",'Plan mensual'!N97+'Plan mensual'!N208,0)))*parametros_manuales!$I$24*parametros_manuales!$J$24</f>
        <v>18108.27466979</v>
      </c>
      <c r="M223" s="9" t="n">
        <f aca="false">(parametros_manuales!$D$24*('Plan mensual'!O90+'Plan mensual'!O201+IF(parametros_manuales!$H$24="Todos",'Plan mensual'!O94+'Plan mensual'!O205,0))+parametros_manuales!$E$24*('Plan mensual'!O91+'Plan mensual'!O202+IF(parametros_manuales!$H$24="Todos",'Plan mensual'!O95+'Plan mensual'!O206,0))+parametros_manuales!$F$24*('Plan mensual'!O92+'Plan mensual'!O203+IF(parametros_manuales!$H$24="Todos",'Plan mensual'!O96+'Plan mensual'!O207,0))+parametros_manuales!$G$24*('Plan mensual'!O93+'Plan mensual'!O204+IF(parametros_manuales!$H$24="Todos",'Plan mensual'!O97+'Plan mensual'!O208,0)))*parametros_manuales!$I$24*parametros_manuales!$J$24</f>
        <v>28831.70262997</v>
      </c>
      <c r="N223" s="9" t="n">
        <f aca="false">SUM(B223:M223)</f>
        <v>246161.556987</v>
      </c>
      <c r="O223" s="9" t="n">
        <f aca="false">MAX(B223:M223)</f>
        <v>28831.70262997</v>
      </c>
      <c r="P223" s="44" t="n">
        <f aca="false">O223/(parametros_manuales!$B$7)</f>
        <v>192.211350866467</v>
      </c>
      <c r="Q223" s="8" t="str">
        <f aca="false">IF(O223=0,"-",INDEX($B$217:$M$217,MATCH(O223,B223:M223,0)))</f>
        <v>Dic</v>
      </c>
    </row>
    <row r="224" customFormat="false" ht="14.25" hidden="false" customHeight="true" outlineLevel="0" collapsed="false">
      <c r="A224" s="8" t="str">
        <f aca="false">parametros_manuales!$B$25</f>
        <v>Soldadura del cuello a la cúpula</v>
      </c>
      <c r="B224" s="9" t="n">
        <f aca="false">(parametros_manuales!$D$25*('Plan mensual'!D90+'Plan mensual'!D201+IF(parametros_manuales!$H$25="Todos",'Plan mensual'!D94+'Plan mensual'!D205,0))+parametros_manuales!$E$25*('Plan mensual'!D91+'Plan mensual'!D202+IF(parametros_manuales!$H$25="Todos",'Plan mensual'!D95+'Plan mensual'!D206,0))+parametros_manuales!$F$25*('Plan mensual'!D92+'Plan mensual'!D203+IF(parametros_manuales!$H$25="Todos",'Plan mensual'!D96+'Plan mensual'!D207,0))+parametros_manuales!$G$25*('Plan mensual'!D93+'Plan mensual'!D204+IF(parametros_manuales!$H$25="Todos",'Plan mensual'!D97+'Plan mensual'!D208,0)))*parametros_manuales!$I$25*parametros_manuales!$J$25</f>
        <v>28124.0184215</v>
      </c>
      <c r="C224" s="9" t="n">
        <f aca="false">(parametros_manuales!$D$25*('Plan mensual'!E90+'Plan mensual'!E201+IF(parametros_manuales!$H$25="Todos",'Plan mensual'!E94+'Plan mensual'!E205,0))+parametros_manuales!$E$25*('Plan mensual'!E91+'Plan mensual'!E202+IF(parametros_manuales!$H$25="Todos",'Plan mensual'!E95+'Plan mensual'!E206,0))+parametros_manuales!$F$25*('Plan mensual'!E92+'Plan mensual'!E203+IF(parametros_manuales!$H$25="Todos",'Plan mensual'!E96+'Plan mensual'!E207,0))+parametros_manuales!$G$25*('Plan mensual'!E93+'Plan mensual'!E204+IF(parametros_manuales!$H$25="Todos",'Plan mensual'!E97+'Plan mensual'!E208,0)))*parametros_manuales!$I$25*parametros_manuales!$J$25</f>
        <v>21446.85592036</v>
      </c>
      <c r="D224" s="9" t="n">
        <f aca="false">(parametros_manuales!$D$25*('Plan mensual'!F90+'Plan mensual'!F201+IF(parametros_manuales!$H$25="Todos",'Plan mensual'!F94+'Plan mensual'!F205,0))+parametros_manuales!$E$25*('Plan mensual'!F91+'Plan mensual'!F202+IF(parametros_manuales!$H$25="Todos",'Plan mensual'!F95+'Plan mensual'!F206,0))+parametros_manuales!$F$25*('Plan mensual'!F92+'Plan mensual'!F203+IF(parametros_manuales!$H$25="Todos",'Plan mensual'!F96+'Plan mensual'!F207,0))+parametros_manuales!$G$25*('Plan mensual'!F93+'Plan mensual'!F204+IF(parametros_manuales!$H$25="Todos",'Plan mensual'!F97+'Plan mensual'!F208,0)))*parametros_manuales!$I$25*parametros_manuales!$J$25</f>
        <v>20046.766663195</v>
      </c>
      <c r="E224" s="9" t="n">
        <f aca="false">(parametros_manuales!$D$25*('Plan mensual'!G90+'Plan mensual'!G201+IF(parametros_manuales!$H$25="Todos",'Plan mensual'!G94+'Plan mensual'!G205,0))+parametros_manuales!$E$25*('Plan mensual'!G91+'Plan mensual'!G202+IF(parametros_manuales!$H$25="Todos",'Plan mensual'!G95+'Plan mensual'!G206,0))+parametros_manuales!$F$25*('Plan mensual'!G92+'Plan mensual'!G203+IF(parametros_manuales!$H$25="Todos",'Plan mensual'!G96+'Plan mensual'!G207,0))+parametros_manuales!$G$25*('Plan mensual'!G93+'Plan mensual'!G204+IF(parametros_manuales!$H$25="Todos",'Plan mensual'!G97+'Plan mensual'!G208,0)))*parametros_manuales!$I$25*parametros_manuales!$J$25</f>
        <v>19169.800982495</v>
      </c>
      <c r="F224" s="9" t="n">
        <f aca="false">(parametros_manuales!$D$25*('Plan mensual'!H90+'Plan mensual'!H201+IF(parametros_manuales!$H$25="Todos",'Plan mensual'!H94+'Plan mensual'!H205,0))+parametros_manuales!$E$25*('Plan mensual'!H91+'Plan mensual'!H202+IF(parametros_manuales!$H$25="Todos",'Plan mensual'!H95+'Plan mensual'!H206,0))+parametros_manuales!$F$25*('Plan mensual'!H92+'Plan mensual'!H203+IF(parametros_manuales!$H$25="Todos",'Plan mensual'!H96+'Plan mensual'!H207,0))+parametros_manuales!$G$25*('Plan mensual'!H93+'Plan mensual'!H204+IF(parametros_manuales!$H$25="Todos",'Plan mensual'!H97+'Plan mensual'!H208,0)))*parametros_manuales!$I$25*parametros_manuales!$J$25</f>
        <v>17938.99319756</v>
      </c>
      <c r="G224" s="9" t="n">
        <f aca="false">(parametros_manuales!$D$25*('Plan mensual'!I90+'Plan mensual'!I201+IF(parametros_manuales!$H$25="Todos",'Plan mensual'!I94+'Plan mensual'!I205,0))+parametros_manuales!$E$25*('Plan mensual'!I91+'Plan mensual'!I202+IF(parametros_manuales!$H$25="Todos",'Plan mensual'!I95+'Plan mensual'!I206,0))+parametros_manuales!$F$25*('Plan mensual'!I92+'Plan mensual'!I203+IF(parametros_manuales!$H$25="Todos",'Plan mensual'!I96+'Plan mensual'!I207,0))+parametros_manuales!$G$25*('Plan mensual'!I93+'Plan mensual'!I204+IF(parametros_manuales!$H$25="Todos",'Plan mensual'!I97+'Plan mensual'!I208,0)))*parametros_manuales!$I$25*parametros_manuales!$J$25</f>
        <v>17585.151093325</v>
      </c>
      <c r="H224" s="9" t="n">
        <f aca="false">(parametros_manuales!$D$25*('Plan mensual'!J90+'Plan mensual'!J201+IF(parametros_manuales!$H$25="Todos",'Plan mensual'!J94+'Plan mensual'!J205,0))+parametros_manuales!$E$25*('Plan mensual'!J91+'Plan mensual'!J202+IF(parametros_manuales!$H$25="Todos",'Plan mensual'!J95+'Plan mensual'!J206,0))+parametros_manuales!$F$25*('Plan mensual'!J92+'Plan mensual'!J203+IF(parametros_manuales!$H$25="Todos",'Plan mensual'!J96+'Plan mensual'!J207,0))+parametros_manuales!$G$25*('Plan mensual'!J93+'Plan mensual'!J204+IF(parametros_manuales!$H$25="Todos",'Plan mensual'!J97+'Plan mensual'!J208,0)))*parametros_manuales!$I$25*parametros_manuales!$J$25</f>
        <v>18815.95887826</v>
      </c>
      <c r="I224" s="9" t="n">
        <f aca="false">(parametros_manuales!$D$25*('Plan mensual'!K90+'Plan mensual'!K201+IF(parametros_manuales!$H$25="Todos",'Plan mensual'!K94+'Plan mensual'!K205,0))+parametros_manuales!$E$25*('Plan mensual'!K91+'Plan mensual'!K202+IF(parametros_manuales!$H$25="Todos",'Plan mensual'!K95+'Plan mensual'!K206,0))+parametros_manuales!$F$25*('Plan mensual'!K92+'Plan mensual'!K203+IF(parametros_manuales!$H$25="Todos",'Plan mensual'!K96+'Plan mensual'!K207,0))+parametros_manuales!$G$25*('Plan mensual'!K93+'Plan mensual'!K204+IF(parametros_manuales!$H$25="Todos",'Plan mensual'!K97+'Plan mensual'!K208,0)))*parametros_manuales!$I$25*parametros_manuales!$J$25</f>
        <v>18815.95887826</v>
      </c>
      <c r="J224" s="9" t="n">
        <f aca="false">(parametros_manuales!$D$25*('Plan mensual'!L90+'Plan mensual'!L201+IF(parametros_manuales!$H$25="Todos",'Plan mensual'!L94+'Plan mensual'!L205,0))+parametros_manuales!$E$25*('Plan mensual'!L91+'Plan mensual'!L202+IF(parametros_manuales!$H$25="Todos",'Plan mensual'!L95+'Plan mensual'!L206,0))+parametros_manuales!$F$25*('Plan mensual'!L92+'Plan mensual'!L203+IF(parametros_manuales!$H$25="Todos",'Plan mensual'!L96+'Plan mensual'!L207,0))+parametros_manuales!$G$25*('Plan mensual'!L93+'Plan mensual'!L204+IF(parametros_manuales!$H$25="Todos",'Plan mensual'!L97+'Plan mensual'!L208,0)))*parametros_manuales!$I$25*parametros_manuales!$J$25</f>
        <v>18815.95887826</v>
      </c>
      <c r="K224" s="9" t="n">
        <f aca="false">(parametros_manuales!$D$25*('Plan mensual'!M90+'Plan mensual'!M201+IF(parametros_manuales!$H$25="Todos",'Plan mensual'!M94+'Plan mensual'!M205,0))+parametros_manuales!$E$25*('Plan mensual'!M91+'Plan mensual'!M202+IF(parametros_manuales!$H$25="Todos",'Plan mensual'!M95+'Plan mensual'!M206,0))+parametros_manuales!$F$25*('Plan mensual'!M92+'Plan mensual'!M203+IF(parametros_manuales!$H$25="Todos",'Plan mensual'!M96+'Plan mensual'!M207,0))+parametros_manuales!$G$25*('Plan mensual'!M93+'Plan mensual'!M204+IF(parametros_manuales!$H$25="Todos",'Plan mensual'!M97+'Plan mensual'!M208,0)))*parametros_manuales!$I$25*parametros_manuales!$J$25</f>
        <v>18462.116774025</v>
      </c>
      <c r="L224" s="9" t="n">
        <f aca="false">(parametros_manuales!$D$25*('Plan mensual'!N90+'Plan mensual'!N201+IF(parametros_manuales!$H$25="Todos",'Plan mensual'!N94+'Plan mensual'!N205,0))+parametros_manuales!$E$25*('Plan mensual'!N91+'Plan mensual'!N202+IF(parametros_manuales!$H$25="Todos",'Plan mensual'!N95+'Plan mensual'!N206,0))+parametros_manuales!$F$25*('Plan mensual'!N92+'Plan mensual'!N203+IF(parametros_manuales!$H$25="Todos",'Plan mensual'!N96+'Plan mensual'!N207,0))+parametros_manuales!$G$25*('Plan mensual'!N93+'Plan mensual'!N204+IF(parametros_manuales!$H$25="Todos",'Plan mensual'!N97+'Plan mensual'!N208,0)))*parametros_manuales!$I$25*parametros_manuales!$J$25</f>
        <v>18108.27466979</v>
      </c>
      <c r="M224" s="9" t="n">
        <f aca="false">(parametros_manuales!$D$25*('Plan mensual'!O90+'Plan mensual'!O201+IF(parametros_manuales!$H$25="Todos",'Plan mensual'!O94+'Plan mensual'!O205,0))+parametros_manuales!$E$25*('Plan mensual'!O91+'Plan mensual'!O202+IF(parametros_manuales!$H$25="Todos",'Plan mensual'!O95+'Plan mensual'!O206,0))+parametros_manuales!$F$25*('Plan mensual'!O92+'Plan mensual'!O203+IF(parametros_manuales!$H$25="Todos",'Plan mensual'!O96+'Plan mensual'!O207,0))+parametros_manuales!$G$25*('Plan mensual'!O93+'Plan mensual'!O204+IF(parametros_manuales!$H$25="Todos",'Plan mensual'!O97+'Plan mensual'!O208,0)))*parametros_manuales!$I$25*parametros_manuales!$J$25</f>
        <v>28831.70262997</v>
      </c>
      <c r="N224" s="9" t="n">
        <f aca="false">SUM(B224:M224)</f>
        <v>246161.556987</v>
      </c>
      <c r="O224" s="9" t="n">
        <f aca="false">MAX(B224:M224)</f>
        <v>28831.70262997</v>
      </c>
      <c r="P224" s="44" t="n">
        <f aca="false">O224/(parametros_manuales!$B$7)</f>
        <v>192.211350866467</v>
      </c>
      <c r="Q224" s="8" t="str">
        <f aca="false">IF(O224=0,"-",INDEX($B$217:$M$217,MATCH(O224,B224:M224,0)))</f>
        <v>Dic</v>
      </c>
    </row>
    <row r="225" customFormat="false" ht="14.25" hidden="false" customHeight="true" outlineLevel="0" collapsed="false">
      <c r="A225" s="8" t="str">
        <f aca="false">parametros_manuales!$B$26</f>
        <v>Cilindrado</v>
      </c>
      <c r="B225" s="9" t="n">
        <f aca="false">(parametros_manuales!$D$26*('Plan mensual'!D90+'Plan mensual'!D201+IF(parametros_manuales!$H$26="Todos",'Plan mensual'!D94+'Plan mensual'!D205,0))+parametros_manuales!$E$26*('Plan mensual'!D91+'Plan mensual'!D202+IF(parametros_manuales!$H$26="Todos",'Plan mensual'!D95+'Plan mensual'!D206,0))+parametros_manuales!$F$26*('Plan mensual'!D92+'Plan mensual'!D203+IF(parametros_manuales!$H$26="Todos",'Plan mensual'!D96+'Plan mensual'!D207,0))+parametros_manuales!$G$26*('Plan mensual'!D93+'Plan mensual'!D204+IF(parametros_manuales!$H$26="Todos",'Plan mensual'!D97+'Plan mensual'!D208,0)))*parametros_manuales!$I$26*parametros_manuales!$J$26</f>
        <v>7076.8420847</v>
      </c>
      <c r="C225" s="9" t="n">
        <f aca="false">(parametros_manuales!$D$26*('Plan mensual'!E90+'Plan mensual'!E201+IF(parametros_manuales!$H$26="Todos",'Plan mensual'!E94+'Plan mensual'!E205,0))+parametros_manuales!$E$26*('Plan mensual'!E91+'Plan mensual'!E202+IF(parametros_manuales!$H$26="Todos",'Plan mensual'!E95+'Plan mensual'!E206,0))+parametros_manuales!$F$26*('Plan mensual'!E92+'Plan mensual'!E203+IF(parametros_manuales!$H$26="Todos",'Plan mensual'!E96+'Plan mensual'!E207,0))+parametros_manuales!$G$26*('Plan mensual'!E93+'Plan mensual'!E204+IF(parametros_manuales!$H$26="Todos",'Plan mensual'!E97+'Plan mensual'!E208,0)))*parametros_manuales!$I$26*parametros_manuales!$J$26</f>
        <v>5661.47366776</v>
      </c>
      <c r="D225" s="9" t="n">
        <f aca="false">(parametros_manuales!$D$26*('Plan mensual'!F90+'Plan mensual'!F201+IF(parametros_manuales!$H$26="Todos",'Plan mensual'!F94+'Plan mensual'!F205,0))+parametros_manuales!$E$26*('Plan mensual'!F91+'Plan mensual'!F202+IF(parametros_manuales!$H$26="Todos",'Plan mensual'!F95+'Plan mensual'!F206,0))+parametros_manuales!$F$26*('Plan mensual'!F92+'Plan mensual'!F203+IF(parametros_manuales!$H$26="Todos",'Plan mensual'!F96+'Plan mensual'!F207,0))+parametros_manuales!$G$26*('Plan mensual'!F93+'Plan mensual'!F204+IF(parametros_manuales!$H$26="Todos",'Plan mensual'!F97+'Plan mensual'!F208,0)))*parametros_manuales!$I$26*parametros_manuales!$J$26</f>
        <v>6015.315771995</v>
      </c>
      <c r="E225" s="9" t="n">
        <f aca="false">(parametros_manuales!$D$26*('Plan mensual'!G90+'Plan mensual'!G201+IF(parametros_manuales!$H$26="Todos",'Plan mensual'!G94+'Plan mensual'!G205,0))+parametros_manuales!$E$26*('Plan mensual'!G91+'Plan mensual'!G202+IF(parametros_manuales!$H$26="Todos",'Plan mensual'!G95+'Plan mensual'!G206,0))+parametros_manuales!$F$26*('Plan mensual'!G92+'Plan mensual'!G203+IF(parametros_manuales!$H$26="Todos",'Plan mensual'!G96+'Plan mensual'!G207,0))+parametros_manuales!$G$26*('Plan mensual'!G93+'Plan mensual'!G204+IF(parametros_manuales!$H$26="Todos",'Plan mensual'!G97+'Plan mensual'!G208,0)))*parametros_manuales!$I$26*parametros_manuales!$J$26</f>
        <v>6015.315771995</v>
      </c>
      <c r="F225" s="9" t="n">
        <f aca="false">(parametros_manuales!$D$26*('Plan mensual'!H90+'Plan mensual'!H201+IF(parametros_manuales!$H$26="Todos",'Plan mensual'!H94+'Plan mensual'!H205,0))+parametros_manuales!$E$26*('Plan mensual'!H91+'Plan mensual'!H202+IF(parametros_manuales!$H$26="Todos",'Plan mensual'!H95+'Plan mensual'!H206,0))+parametros_manuales!$F$26*('Plan mensual'!H92+'Plan mensual'!H203+IF(parametros_manuales!$H$26="Todos",'Plan mensual'!H96+'Plan mensual'!H207,0))+parametros_manuales!$G$26*('Plan mensual'!H93+'Plan mensual'!H204+IF(parametros_manuales!$H$26="Todos",'Plan mensual'!H97+'Plan mensual'!H208,0)))*parametros_manuales!$I$26*parametros_manuales!$J$26</f>
        <v>5661.47366776</v>
      </c>
      <c r="G225" s="9" t="n">
        <f aca="false">(parametros_manuales!$D$26*('Plan mensual'!I90+'Plan mensual'!I201+IF(parametros_manuales!$H$26="Todos",'Plan mensual'!I94+'Plan mensual'!I205,0))+parametros_manuales!$E$26*('Plan mensual'!I91+'Plan mensual'!I202+IF(parametros_manuales!$H$26="Todos",'Plan mensual'!I95+'Plan mensual'!I206,0))+parametros_manuales!$F$26*('Plan mensual'!I92+'Plan mensual'!I203+IF(parametros_manuales!$H$26="Todos",'Plan mensual'!I96+'Plan mensual'!I207,0))+parametros_manuales!$G$26*('Plan mensual'!I93+'Plan mensual'!I204+IF(parametros_manuales!$H$26="Todos",'Plan mensual'!I97+'Plan mensual'!I208,0)))*parametros_manuales!$I$26*parametros_manuales!$J$26</f>
        <v>5307.631563525</v>
      </c>
      <c r="H225" s="9" t="n">
        <f aca="false">(parametros_manuales!$D$26*('Plan mensual'!J90+'Plan mensual'!J201+IF(parametros_manuales!$H$26="Todos",'Plan mensual'!J94+'Plan mensual'!J205,0))+parametros_manuales!$E$26*('Plan mensual'!J91+'Plan mensual'!J202+IF(parametros_manuales!$H$26="Todos",'Plan mensual'!J95+'Plan mensual'!J206,0))+parametros_manuales!$F$26*('Plan mensual'!J92+'Plan mensual'!J203+IF(parametros_manuales!$H$26="Todos",'Plan mensual'!J96+'Plan mensual'!J207,0))+parametros_manuales!$G$26*('Plan mensual'!J93+'Plan mensual'!J204+IF(parametros_manuales!$H$26="Todos",'Plan mensual'!J97+'Plan mensual'!J208,0)))*parametros_manuales!$I$26*parametros_manuales!$J$26</f>
        <v>5661.47366776</v>
      </c>
      <c r="I225" s="9" t="n">
        <f aca="false">(parametros_manuales!$D$26*('Plan mensual'!K90+'Plan mensual'!K201+IF(parametros_manuales!$H$26="Todos",'Plan mensual'!K94+'Plan mensual'!K205,0))+parametros_manuales!$E$26*('Plan mensual'!K91+'Plan mensual'!K202+IF(parametros_manuales!$H$26="Todos",'Plan mensual'!K95+'Plan mensual'!K206,0))+parametros_manuales!$F$26*('Plan mensual'!K92+'Plan mensual'!K203+IF(parametros_manuales!$H$26="Todos",'Plan mensual'!K96+'Plan mensual'!K207,0))+parametros_manuales!$G$26*('Plan mensual'!K93+'Plan mensual'!K204+IF(parametros_manuales!$H$26="Todos",'Plan mensual'!K97+'Plan mensual'!K208,0)))*parametros_manuales!$I$26*parametros_manuales!$J$26</f>
        <v>5661.47366776</v>
      </c>
      <c r="J225" s="9" t="n">
        <f aca="false">(parametros_manuales!$D$26*('Plan mensual'!L90+'Plan mensual'!L201+IF(parametros_manuales!$H$26="Todos",'Plan mensual'!L94+'Plan mensual'!L205,0))+parametros_manuales!$E$26*('Plan mensual'!L91+'Plan mensual'!L202+IF(parametros_manuales!$H$26="Todos",'Plan mensual'!L95+'Plan mensual'!L206,0))+parametros_manuales!$F$26*('Plan mensual'!L92+'Plan mensual'!L203+IF(parametros_manuales!$H$26="Todos",'Plan mensual'!L96+'Plan mensual'!L207,0))+parametros_manuales!$G$26*('Plan mensual'!L93+'Plan mensual'!L204+IF(parametros_manuales!$H$26="Todos",'Plan mensual'!L97+'Plan mensual'!L208,0)))*parametros_manuales!$I$26*parametros_manuales!$J$26</f>
        <v>5661.47366776</v>
      </c>
      <c r="K225" s="9" t="n">
        <f aca="false">(parametros_manuales!$D$26*('Plan mensual'!M90+'Plan mensual'!M201+IF(parametros_manuales!$H$26="Todos",'Plan mensual'!M94+'Plan mensual'!M205,0))+parametros_manuales!$E$26*('Plan mensual'!M91+'Plan mensual'!M202+IF(parametros_manuales!$H$26="Todos",'Plan mensual'!M95+'Plan mensual'!M206,0))+parametros_manuales!$F$26*('Plan mensual'!M92+'Plan mensual'!M203+IF(parametros_manuales!$H$26="Todos",'Plan mensual'!M96+'Plan mensual'!M207,0))+parametros_manuales!$G$26*('Plan mensual'!M93+'Plan mensual'!M204+IF(parametros_manuales!$H$26="Todos",'Plan mensual'!M97+'Plan mensual'!M208,0)))*parametros_manuales!$I$26*parametros_manuales!$J$26</f>
        <v>5307.631563525</v>
      </c>
      <c r="L225" s="9" t="n">
        <f aca="false">(parametros_manuales!$D$26*('Plan mensual'!N90+'Plan mensual'!N201+IF(parametros_manuales!$H$26="Todos",'Plan mensual'!N94+'Plan mensual'!N205,0))+parametros_manuales!$E$26*('Plan mensual'!N91+'Plan mensual'!N202+IF(parametros_manuales!$H$26="Todos",'Plan mensual'!N95+'Plan mensual'!N206,0))+parametros_manuales!$F$26*('Plan mensual'!N92+'Plan mensual'!N203+IF(parametros_manuales!$H$26="Todos",'Plan mensual'!N96+'Plan mensual'!N207,0))+parametros_manuales!$G$26*('Plan mensual'!N93+'Plan mensual'!N204+IF(parametros_manuales!$H$26="Todos",'Plan mensual'!N97+'Plan mensual'!N208,0)))*parametros_manuales!$I$26*parametros_manuales!$J$26</f>
        <v>4953.78945929</v>
      </c>
      <c r="M225" s="9" t="n">
        <f aca="false">(parametros_manuales!$D$26*('Plan mensual'!O90+'Plan mensual'!O201+IF(parametros_manuales!$H$26="Todos",'Plan mensual'!O94+'Plan mensual'!O205,0))+parametros_manuales!$E$26*('Plan mensual'!O91+'Plan mensual'!O202+IF(parametros_manuales!$H$26="Todos",'Plan mensual'!O95+'Plan mensual'!O206,0))+parametros_manuales!$F$26*('Plan mensual'!O92+'Plan mensual'!O203+IF(parametros_manuales!$H$26="Todos",'Plan mensual'!O96+'Plan mensual'!O207,0))+parametros_manuales!$G$26*('Plan mensual'!O93+'Plan mensual'!O204+IF(parametros_manuales!$H$26="Todos",'Plan mensual'!O97+'Plan mensual'!O208,0)))*parametros_manuales!$I$26*parametros_manuales!$J$26</f>
        <v>7784.52629317</v>
      </c>
      <c r="N225" s="9" t="n">
        <f aca="false">SUM(B225:M225)</f>
        <v>70768.420847</v>
      </c>
      <c r="O225" s="9" t="n">
        <f aca="false">MAX(B225:M225)</f>
        <v>7784.52629317</v>
      </c>
      <c r="P225" s="44" t="n">
        <f aca="false">O225/(parametros_manuales!$B$7)</f>
        <v>51.8968419544667</v>
      </c>
      <c r="Q225" s="8" t="str">
        <f aca="false">IF(O225=0,"-",INDEX($B$217:$M$217,MATCH(O225,B225:M225,0)))</f>
        <v>Dic</v>
      </c>
    </row>
    <row r="226" customFormat="false" ht="14.25" hidden="false" customHeight="true" outlineLevel="0" collapsed="false">
      <c r="A226" s="8" t="str">
        <f aca="false">parametros_manuales!$B$27</f>
        <v>Soldadura longitudinal</v>
      </c>
      <c r="B226" s="9" t="n">
        <f aca="false">(parametros_manuales!$D$27*('Plan mensual'!D90+'Plan mensual'!D201+IF(parametros_manuales!$H$27="Todos",'Plan mensual'!D94+'Plan mensual'!D205,0))+parametros_manuales!$E$27*('Plan mensual'!D91+'Plan mensual'!D202+IF(parametros_manuales!$H$27="Todos",'Plan mensual'!D95+'Plan mensual'!D206,0))+parametros_manuales!$F$27*('Plan mensual'!D92+'Plan mensual'!D203+IF(parametros_manuales!$H$27="Todos",'Plan mensual'!D96+'Plan mensual'!D207,0))+parametros_manuales!$G$27*('Plan mensual'!D93+'Plan mensual'!D204+IF(parametros_manuales!$H$27="Todos",'Plan mensual'!D97+'Plan mensual'!D208,0)))*parametros_manuales!$I$27*parametros_manuales!$J$27</f>
        <v>7076.8420847</v>
      </c>
      <c r="C226" s="9" t="n">
        <f aca="false">(parametros_manuales!$D$27*('Plan mensual'!E90+'Plan mensual'!E201+IF(parametros_manuales!$H$27="Todos",'Plan mensual'!E94+'Plan mensual'!E205,0))+parametros_manuales!$E$27*('Plan mensual'!E91+'Plan mensual'!E202+IF(parametros_manuales!$H$27="Todos",'Plan mensual'!E95+'Plan mensual'!E206,0))+parametros_manuales!$F$27*('Plan mensual'!E92+'Plan mensual'!E203+IF(parametros_manuales!$H$27="Todos",'Plan mensual'!E96+'Plan mensual'!E207,0))+parametros_manuales!$G$27*('Plan mensual'!E93+'Plan mensual'!E204+IF(parametros_manuales!$H$27="Todos",'Plan mensual'!E97+'Plan mensual'!E208,0)))*parametros_manuales!$I$27*parametros_manuales!$J$27</f>
        <v>5661.47366776</v>
      </c>
      <c r="D226" s="9" t="n">
        <f aca="false">(parametros_manuales!$D$27*('Plan mensual'!F90+'Plan mensual'!F201+IF(parametros_manuales!$H$27="Todos",'Plan mensual'!F94+'Plan mensual'!F205,0))+parametros_manuales!$E$27*('Plan mensual'!F91+'Plan mensual'!F202+IF(parametros_manuales!$H$27="Todos",'Plan mensual'!F95+'Plan mensual'!F206,0))+parametros_manuales!$F$27*('Plan mensual'!F92+'Plan mensual'!F203+IF(parametros_manuales!$H$27="Todos",'Plan mensual'!F96+'Plan mensual'!F207,0))+parametros_manuales!$G$27*('Plan mensual'!F93+'Plan mensual'!F204+IF(parametros_manuales!$H$27="Todos",'Plan mensual'!F97+'Plan mensual'!F208,0)))*parametros_manuales!$I$27*parametros_manuales!$J$27</f>
        <v>6015.315771995</v>
      </c>
      <c r="E226" s="9" t="n">
        <f aca="false">(parametros_manuales!$D$27*('Plan mensual'!G90+'Plan mensual'!G201+IF(parametros_manuales!$H$27="Todos",'Plan mensual'!G94+'Plan mensual'!G205,0))+parametros_manuales!$E$27*('Plan mensual'!G91+'Plan mensual'!G202+IF(parametros_manuales!$H$27="Todos",'Plan mensual'!G95+'Plan mensual'!G206,0))+parametros_manuales!$F$27*('Plan mensual'!G92+'Plan mensual'!G203+IF(parametros_manuales!$H$27="Todos",'Plan mensual'!G96+'Plan mensual'!G207,0))+parametros_manuales!$G$27*('Plan mensual'!G93+'Plan mensual'!G204+IF(parametros_manuales!$H$27="Todos",'Plan mensual'!G97+'Plan mensual'!G208,0)))*parametros_manuales!$I$27*parametros_manuales!$J$27</f>
        <v>6015.315771995</v>
      </c>
      <c r="F226" s="9" t="n">
        <f aca="false">(parametros_manuales!$D$27*('Plan mensual'!H90+'Plan mensual'!H201+IF(parametros_manuales!$H$27="Todos",'Plan mensual'!H94+'Plan mensual'!H205,0))+parametros_manuales!$E$27*('Plan mensual'!H91+'Plan mensual'!H202+IF(parametros_manuales!$H$27="Todos",'Plan mensual'!H95+'Plan mensual'!H206,0))+parametros_manuales!$F$27*('Plan mensual'!H92+'Plan mensual'!H203+IF(parametros_manuales!$H$27="Todos",'Plan mensual'!H96+'Plan mensual'!H207,0))+parametros_manuales!$G$27*('Plan mensual'!H93+'Plan mensual'!H204+IF(parametros_manuales!$H$27="Todos",'Plan mensual'!H97+'Plan mensual'!H208,0)))*parametros_manuales!$I$27*parametros_manuales!$J$27</f>
        <v>5661.47366776</v>
      </c>
      <c r="G226" s="9" t="n">
        <f aca="false">(parametros_manuales!$D$27*('Plan mensual'!I90+'Plan mensual'!I201+IF(parametros_manuales!$H$27="Todos",'Plan mensual'!I94+'Plan mensual'!I205,0))+parametros_manuales!$E$27*('Plan mensual'!I91+'Plan mensual'!I202+IF(parametros_manuales!$H$27="Todos",'Plan mensual'!I95+'Plan mensual'!I206,0))+parametros_manuales!$F$27*('Plan mensual'!I92+'Plan mensual'!I203+IF(parametros_manuales!$H$27="Todos",'Plan mensual'!I96+'Plan mensual'!I207,0))+parametros_manuales!$G$27*('Plan mensual'!I93+'Plan mensual'!I204+IF(parametros_manuales!$H$27="Todos",'Plan mensual'!I97+'Plan mensual'!I208,0)))*parametros_manuales!$I$27*parametros_manuales!$J$27</f>
        <v>5307.631563525</v>
      </c>
      <c r="H226" s="9" t="n">
        <f aca="false">(parametros_manuales!$D$27*('Plan mensual'!J90+'Plan mensual'!J201+IF(parametros_manuales!$H$27="Todos",'Plan mensual'!J94+'Plan mensual'!J205,0))+parametros_manuales!$E$27*('Plan mensual'!J91+'Plan mensual'!J202+IF(parametros_manuales!$H$27="Todos",'Plan mensual'!J95+'Plan mensual'!J206,0))+parametros_manuales!$F$27*('Plan mensual'!J92+'Plan mensual'!J203+IF(parametros_manuales!$H$27="Todos",'Plan mensual'!J96+'Plan mensual'!J207,0))+parametros_manuales!$G$27*('Plan mensual'!J93+'Plan mensual'!J204+IF(parametros_manuales!$H$27="Todos",'Plan mensual'!J97+'Plan mensual'!J208,0)))*parametros_manuales!$I$27*parametros_manuales!$J$27</f>
        <v>5661.47366776</v>
      </c>
      <c r="I226" s="9" t="n">
        <f aca="false">(parametros_manuales!$D$27*('Plan mensual'!K90+'Plan mensual'!K201+IF(parametros_manuales!$H$27="Todos",'Plan mensual'!K94+'Plan mensual'!K205,0))+parametros_manuales!$E$27*('Plan mensual'!K91+'Plan mensual'!K202+IF(parametros_manuales!$H$27="Todos",'Plan mensual'!K95+'Plan mensual'!K206,0))+parametros_manuales!$F$27*('Plan mensual'!K92+'Plan mensual'!K203+IF(parametros_manuales!$H$27="Todos",'Plan mensual'!K96+'Plan mensual'!K207,0))+parametros_manuales!$G$27*('Plan mensual'!K93+'Plan mensual'!K204+IF(parametros_manuales!$H$27="Todos",'Plan mensual'!K97+'Plan mensual'!K208,0)))*parametros_manuales!$I$27*parametros_manuales!$J$27</f>
        <v>5661.47366776</v>
      </c>
      <c r="J226" s="9" t="n">
        <f aca="false">(parametros_manuales!$D$27*('Plan mensual'!L90+'Plan mensual'!L201+IF(parametros_manuales!$H$27="Todos",'Plan mensual'!L94+'Plan mensual'!L205,0))+parametros_manuales!$E$27*('Plan mensual'!L91+'Plan mensual'!L202+IF(parametros_manuales!$H$27="Todos",'Plan mensual'!L95+'Plan mensual'!L206,0))+parametros_manuales!$F$27*('Plan mensual'!L92+'Plan mensual'!L203+IF(parametros_manuales!$H$27="Todos",'Plan mensual'!L96+'Plan mensual'!L207,0))+parametros_manuales!$G$27*('Plan mensual'!L93+'Plan mensual'!L204+IF(parametros_manuales!$H$27="Todos",'Plan mensual'!L97+'Plan mensual'!L208,0)))*parametros_manuales!$I$27*parametros_manuales!$J$27</f>
        <v>5661.47366776</v>
      </c>
      <c r="K226" s="9" t="n">
        <f aca="false">(parametros_manuales!$D$27*('Plan mensual'!M90+'Plan mensual'!M201+IF(parametros_manuales!$H$27="Todos",'Plan mensual'!M94+'Plan mensual'!M205,0))+parametros_manuales!$E$27*('Plan mensual'!M91+'Plan mensual'!M202+IF(parametros_manuales!$H$27="Todos",'Plan mensual'!M95+'Plan mensual'!M206,0))+parametros_manuales!$F$27*('Plan mensual'!M92+'Plan mensual'!M203+IF(parametros_manuales!$H$27="Todos",'Plan mensual'!M96+'Plan mensual'!M207,0))+parametros_manuales!$G$27*('Plan mensual'!M93+'Plan mensual'!M204+IF(parametros_manuales!$H$27="Todos",'Plan mensual'!M97+'Plan mensual'!M208,0)))*parametros_manuales!$I$27*parametros_manuales!$J$27</f>
        <v>5307.631563525</v>
      </c>
      <c r="L226" s="9" t="n">
        <f aca="false">(parametros_manuales!$D$27*('Plan mensual'!N90+'Plan mensual'!N201+IF(parametros_manuales!$H$27="Todos",'Plan mensual'!N94+'Plan mensual'!N205,0))+parametros_manuales!$E$27*('Plan mensual'!N91+'Plan mensual'!N202+IF(parametros_manuales!$H$27="Todos",'Plan mensual'!N95+'Plan mensual'!N206,0))+parametros_manuales!$F$27*('Plan mensual'!N92+'Plan mensual'!N203+IF(parametros_manuales!$H$27="Todos",'Plan mensual'!N96+'Plan mensual'!N207,0))+parametros_manuales!$G$27*('Plan mensual'!N93+'Plan mensual'!N204+IF(parametros_manuales!$H$27="Todos",'Plan mensual'!N97+'Plan mensual'!N208,0)))*parametros_manuales!$I$27*parametros_manuales!$J$27</f>
        <v>4953.78945929</v>
      </c>
      <c r="M226" s="9" t="n">
        <f aca="false">(parametros_manuales!$D$27*('Plan mensual'!O90+'Plan mensual'!O201+IF(parametros_manuales!$H$27="Todos",'Plan mensual'!O94+'Plan mensual'!O205,0))+parametros_manuales!$E$27*('Plan mensual'!O91+'Plan mensual'!O202+IF(parametros_manuales!$H$27="Todos",'Plan mensual'!O95+'Plan mensual'!O206,0))+parametros_manuales!$F$27*('Plan mensual'!O92+'Plan mensual'!O203+IF(parametros_manuales!$H$27="Todos",'Plan mensual'!O96+'Plan mensual'!O207,0))+parametros_manuales!$G$27*('Plan mensual'!O93+'Plan mensual'!O204+IF(parametros_manuales!$H$27="Todos",'Plan mensual'!O97+'Plan mensual'!O208,0)))*parametros_manuales!$I$27*parametros_manuales!$J$27</f>
        <v>7784.52629317</v>
      </c>
      <c r="N226" s="9" t="n">
        <f aca="false">SUM(B226:M226)</f>
        <v>70768.420847</v>
      </c>
      <c r="O226" s="9" t="n">
        <f aca="false">MAX(B226:M226)</f>
        <v>7784.52629317</v>
      </c>
      <c r="P226" s="44" t="n">
        <f aca="false">O226/(parametros_manuales!$B$7)</f>
        <v>51.8968419544667</v>
      </c>
      <c r="Q226" s="8" t="str">
        <f aca="false">IF(O226=0,"-",INDEX($B$217:$M$217,MATCH(O226,B226:M226,0)))</f>
        <v>Dic</v>
      </c>
    </row>
    <row r="227" customFormat="false" ht="14.25" hidden="false" customHeight="true" outlineLevel="0" collapsed="false">
      <c r="A227" s="8" t="str">
        <f aca="false">parametros_manuales!$B$28</f>
        <v>Encastre de fondo</v>
      </c>
      <c r="B227" s="9" t="n">
        <f aca="false">(parametros_manuales!$D$28*('Plan mensual'!D90+'Plan mensual'!D201+IF(parametros_manuales!$H$28="Todos",'Plan mensual'!D94+'Plan mensual'!D205,0))+parametros_manuales!$E$28*('Plan mensual'!D91+'Plan mensual'!D202+IF(parametros_manuales!$H$28="Todos",'Plan mensual'!D95+'Plan mensual'!D206,0))+parametros_manuales!$F$28*('Plan mensual'!D92+'Plan mensual'!D203+IF(parametros_manuales!$H$28="Todos",'Plan mensual'!D96+'Plan mensual'!D207,0))+parametros_manuales!$G$28*('Plan mensual'!D93+'Plan mensual'!D204+IF(parametros_manuales!$H$28="Todos",'Plan mensual'!D97+'Plan mensual'!D208,0)))*parametros_manuales!$I$28*parametros_manuales!$J$28</f>
        <v>28124.0184215</v>
      </c>
      <c r="C227" s="9" t="n">
        <f aca="false">(parametros_manuales!$D$28*('Plan mensual'!E90+'Plan mensual'!E201+IF(parametros_manuales!$H$28="Todos",'Plan mensual'!E94+'Plan mensual'!E205,0))+parametros_manuales!$E$28*('Plan mensual'!E91+'Plan mensual'!E202+IF(parametros_manuales!$H$28="Todos",'Plan mensual'!E95+'Plan mensual'!E206,0))+parametros_manuales!$F$28*('Plan mensual'!E92+'Plan mensual'!E203+IF(parametros_manuales!$H$28="Todos",'Plan mensual'!E96+'Plan mensual'!E207,0))+parametros_manuales!$G$28*('Plan mensual'!E93+'Plan mensual'!E204+IF(parametros_manuales!$H$28="Todos",'Plan mensual'!E97+'Plan mensual'!E208,0)))*parametros_manuales!$I$28*parametros_manuales!$J$28</f>
        <v>21446.85592036</v>
      </c>
      <c r="D227" s="9" t="n">
        <f aca="false">(parametros_manuales!$D$28*('Plan mensual'!F90+'Plan mensual'!F201+IF(parametros_manuales!$H$28="Todos",'Plan mensual'!F94+'Plan mensual'!F205,0))+parametros_manuales!$E$28*('Plan mensual'!F91+'Plan mensual'!F202+IF(parametros_manuales!$H$28="Todos",'Plan mensual'!F95+'Plan mensual'!F206,0))+parametros_manuales!$F$28*('Plan mensual'!F92+'Plan mensual'!F203+IF(parametros_manuales!$H$28="Todos",'Plan mensual'!F96+'Plan mensual'!F207,0))+parametros_manuales!$G$28*('Plan mensual'!F93+'Plan mensual'!F204+IF(parametros_manuales!$H$28="Todos",'Plan mensual'!F97+'Plan mensual'!F208,0)))*parametros_manuales!$I$28*parametros_manuales!$J$28</f>
        <v>20046.766663195</v>
      </c>
      <c r="E227" s="9" t="n">
        <f aca="false">(parametros_manuales!$D$28*('Plan mensual'!G90+'Plan mensual'!G201+IF(parametros_manuales!$H$28="Todos",'Plan mensual'!G94+'Plan mensual'!G205,0))+parametros_manuales!$E$28*('Plan mensual'!G91+'Plan mensual'!G202+IF(parametros_manuales!$H$28="Todos",'Plan mensual'!G95+'Plan mensual'!G206,0))+parametros_manuales!$F$28*('Plan mensual'!G92+'Plan mensual'!G203+IF(parametros_manuales!$H$28="Todos",'Plan mensual'!G96+'Plan mensual'!G207,0))+parametros_manuales!$G$28*('Plan mensual'!G93+'Plan mensual'!G204+IF(parametros_manuales!$H$28="Todos",'Plan mensual'!G97+'Plan mensual'!G208,0)))*parametros_manuales!$I$28*parametros_manuales!$J$28</f>
        <v>19169.800982495</v>
      </c>
      <c r="F227" s="9" t="n">
        <f aca="false">(parametros_manuales!$D$28*('Plan mensual'!H90+'Plan mensual'!H201+IF(parametros_manuales!$H$28="Todos",'Plan mensual'!H94+'Plan mensual'!H205,0))+parametros_manuales!$E$28*('Plan mensual'!H91+'Plan mensual'!H202+IF(parametros_manuales!$H$28="Todos",'Plan mensual'!H95+'Plan mensual'!H206,0))+parametros_manuales!$F$28*('Plan mensual'!H92+'Plan mensual'!H203+IF(parametros_manuales!$H$28="Todos",'Plan mensual'!H96+'Plan mensual'!H207,0))+parametros_manuales!$G$28*('Plan mensual'!H93+'Plan mensual'!H204+IF(parametros_manuales!$H$28="Todos",'Plan mensual'!H97+'Plan mensual'!H208,0)))*parametros_manuales!$I$28*parametros_manuales!$J$28</f>
        <v>17938.99319756</v>
      </c>
      <c r="G227" s="9" t="n">
        <f aca="false">(parametros_manuales!$D$28*('Plan mensual'!I90+'Plan mensual'!I201+IF(parametros_manuales!$H$28="Todos",'Plan mensual'!I94+'Plan mensual'!I205,0))+parametros_manuales!$E$28*('Plan mensual'!I91+'Plan mensual'!I202+IF(parametros_manuales!$H$28="Todos",'Plan mensual'!I95+'Plan mensual'!I206,0))+parametros_manuales!$F$28*('Plan mensual'!I92+'Plan mensual'!I203+IF(parametros_manuales!$H$28="Todos",'Plan mensual'!I96+'Plan mensual'!I207,0))+parametros_manuales!$G$28*('Plan mensual'!I93+'Plan mensual'!I204+IF(parametros_manuales!$H$28="Todos",'Plan mensual'!I97+'Plan mensual'!I208,0)))*parametros_manuales!$I$28*parametros_manuales!$J$28</f>
        <v>17585.151093325</v>
      </c>
      <c r="H227" s="9" t="n">
        <f aca="false">(parametros_manuales!$D$28*('Plan mensual'!J90+'Plan mensual'!J201+IF(parametros_manuales!$H$28="Todos",'Plan mensual'!J94+'Plan mensual'!J205,0))+parametros_manuales!$E$28*('Plan mensual'!J91+'Plan mensual'!J202+IF(parametros_manuales!$H$28="Todos",'Plan mensual'!J95+'Plan mensual'!J206,0))+parametros_manuales!$F$28*('Plan mensual'!J92+'Plan mensual'!J203+IF(parametros_manuales!$H$28="Todos",'Plan mensual'!J96+'Plan mensual'!J207,0))+parametros_manuales!$G$28*('Plan mensual'!J93+'Plan mensual'!J204+IF(parametros_manuales!$H$28="Todos",'Plan mensual'!J97+'Plan mensual'!J208,0)))*parametros_manuales!$I$28*parametros_manuales!$J$28</f>
        <v>18815.95887826</v>
      </c>
      <c r="I227" s="9" t="n">
        <f aca="false">(parametros_manuales!$D$28*('Plan mensual'!K90+'Plan mensual'!K201+IF(parametros_manuales!$H$28="Todos",'Plan mensual'!K94+'Plan mensual'!K205,0))+parametros_manuales!$E$28*('Plan mensual'!K91+'Plan mensual'!K202+IF(parametros_manuales!$H$28="Todos",'Plan mensual'!K95+'Plan mensual'!K206,0))+parametros_manuales!$F$28*('Plan mensual'!K92+'Plan mensual'!K203+IF(parametros_manuales!$H$28="Todos",'Plan mensual'!K96+'Plan mensual'!K207,0))+parametros_manuales!$G$28*('Plan mensual'!K93+'Plan mensual'!K204+IF(parametros_manuales!$H$28="Todos",'Plan mensual'!K97+'Plan mensual'!K208,0)))*parametros_manuales!$I$28*parametros_manuales!$J$28</f>
        <v>18815.95887826</v>
      </c>
      <c r="J227" s="9" t="n">
        <f aca="false">(parametros_manuales!$D$28*('Plan mensual'!L90+'Plan mensual'!L201+IF(parametros_manuales!$H$28="Todos",'Plan mensual'!L94+'Plan mensual'!L205,0))+parametros_manuales!$E$28*('Plan mensual'!L91+'Plan mensual'!L202+IF(parametros_manuales!$H$28="Todos",'Plan mensual'!L95+'Plan mensual'!L206,0))+parametros_manuales!$F$28*('Plan mensual'!L92+'Plan mensual'!L203+IF(parametros_manuales!$H$28="Todos",'Plan mensual'!L96+'Plan mensual'!L207,0))+parametros_manuales!$G$28*('Plan mensual'!L93+'Plan mensual'!L204+IF(parametros_manuales!$H$28="Todos",'Plan mensual'!L97+'Plan mensual'!L208,0)))*parametros_manuales!$I$28*parametros_manuales!$J$28</f>
        <v>18815.95887826</v>
      </c>
      <c r="K227" s="9" t="n">
        <f aca="false">(parametros_manuales!$D$28*('Plan mensual'!M90+'Plan mensual'!M201+IF(parametros_manuales!$H$28="Todos",'Plan mensual'!M94+'Plan mensual'!M205,0))+parametros_manuales!$E$28*('Plan mensual'!M91+'Plan mensual'!M202+IF(parametros_manuales!$H$28="Todos",'Plan mensual'!M95+'Plan mensual'!M206,0))+parametros_manuales!$F$28*('Plan mensual'!M92+'Plan mensual'!M203+IF(parametros_manuales!$H$28="Todos",'Plan mensual'!M96+'Plan mensual'!M207,0))+parametros_manuales!$G$28*('Plan mensual'!M93+'Plan mensual'!M204+IF(parametros_manuales!$H$28="Todos",'Plan mensual'!M97+'Plan mensual'!M208,0)))*parametros_manuales!$I$28*parametros_manuales!$J$28</f>
        <v>18462.116774025</v>
      </c>
      <c r="L227" s="9" t="n">
        <f aca="false">(parametros_manuales!$D$28*('Plan mensual'!N90+'Plan mensual'!N201+IF(parametros_manuales!$H$28="Todos",'Plan mensual'!N94+'Plan mensual'!N205,0))+parametros_manuales!$E$28*('Plan mensual'!N91+'Plan mensual'!N202+IF(parametros_manuales!$H$28="Todos",'Plan mensual'!N95+'Plan mensual'!N206,0))+parametros_manuales!$F$28*('Plan mensual'!N92+'Plan mensual'!N203+IF(parametros_manuales!$H$28="Todos",'Plan mensual'!N96+'Plan mensual'!N207,0))+parametros_manuales!$G$28*('Plan mensual'!N93+'Plan mensual'!N204+IF(parametros_manuales!$H$28="Todos",'Plan mensual'!N97+'Plan mensual'!N208,0)))*parametros_manuales!$I$28*parametros_manuales!$J$28</f>
        <v>18108.27466979</v>
      </c>
      <c r="M227" s="9" t="n">
        <f aca="false">(parametros_manuales!$D$28*('Plan mensual'!O90+'Plan mensual'!O201+IF(parametros_manuales!$H$28="Todos",'Plan mensual'!O94+'Plan mensual'!O205,0))+parametros_manuales!$E$28*('Plan mensual'!O91+'Plan mensual'!O202+IF(parametros_manuales!$H$28="Todos",'Plan mensual'!O95+'Plan mensual'!O206,0))+parametros_manuales!$F$28*('Plan mensual'!O92+'Plan mensual'!O203+IF(parametros_manuales!$H$28="Todos",'Plan mensual'!O96+'Plan mensual'!O207,0))+parametros_manuales!$G$28*('Plan mensual'!O93+'Plan mensual'!O204+IF(parametros_manuales!$H$28="Todos",'Plan mensual'!O97+'Plan mensual'!O208,0)))*parametros_manuales!$I$28*parametros_manuales!$J$28</f>
        <v>28831.70262997</v>
      </c>
      <c r="N227" s="9" t="n">
        <f aca="false">SUM(B227:M227)</f>
        <v>246161.556987</v>
      </c>
      <c r="O227" s="9" t="n">
        <f aca="false">MAX(B227:M227)</f>
        <v>28831.70262997</v>
      </c>
      <c r="P227" s="44" t="n">
        <f aca="false">O227/(parametros_manuales!$B$7)</f>
        <v>192.211350866467</v>
      </c>
      <c r="Q227" s="8" t="str">
        <f aca="false">IF(O227=0,"-",INDEX($B$217:$M$217,MATCH(O227,B227:M227,0)))</f>
        <v>Dic</v>
      </c>
    </row>
    <row r="228" customFormat="false" ht="14.25" hidden="false" customHeight="true" outlineLevel="0" collapsed="false">
      <c r="A228" s="8" t="str">
        <f aca="false">parametros_manuales!$B$29</f>
        <v>Bordoneado</v>
      </c>
      <c r="B228" s="9" t="n">
        <f aca="false">(parametros_manuales!$D$29*('Plan mensual'!D90+'Plan mensual'!D201+IF(parametros_manuales!$H$29="Todos",'Plan mensual'!D94+'Plan mensual'!D205,0))+parametros_manuales!$E$29*('Plan mensual'!D91+'Plan mensual'!D202+IF(parametros_manuales!$H$29="Todos",'Plan mensual'!D95+'Plan mensual'!D206,0))+parametros_manuales!$F$29*('Plan mensual'!D92+'Plan mensual'!D203+IF(parametros_manuales!$H$29="Todos",'Plan mensual'!D96+'Plan mensual'!D207,0))+parametros_manuales!$G$29*('Plan mensual'!D93+'Plan mensual'!D204+IF(parametros_manuales!$H$29="Todos",'Plan mensual'!D97+'Plan mensual'!D208,0)))*parametros_manuales!$I$29*parametros_manuales!$J$29</f>
        <v>28124.0184215</v>
      </c>
      <c r="C228" s="9" t="n">
        <f aca="false">(parametros_manuales!$D$29*('Plan mensual'!E90+'Plan mensual'!E201+IF(parametros_manuales!$H$29="Todos",'Plan mensual'!E94+'Plan mensual'!E205,0))+parametros_manuales!$E$29*('Plan mensual'!E91+'Plan mensual'!E202+IF(parametros_manuales!$H$29="Todos",'Plan mensual'!E95+'Plan mensual'!E206,0))+parametros_manuales!$F$29*('Plan mensual'!E92+'Plan mensual'!E203+IF(parametros_manuales!$H$29="Todos",'Plan mensual'!E96+'Plan mensual'!E207,0))+parametros_manuales!$G$29*('Plan mensual'!E93+'Plan mensual'!E204+IF(parametros_manuales!$H$29="Todos",'Plan mensual'!E97+'Plan mensual'!E208,0)))*parametros_manuales!$I$29*parametros_manuales!$J$29</f>
        <v>21446.85592036</v>
      </c>
      <c r="D228" s="9" t="n">
        <f aca="false">(parametros_manuales!$D$29*('Plan mensual'!F90+'Plan mensual'!F201+IF(parametros_manuales!$H$29="Todos",'Plan mensual'!F94+'Plan mensual'!F205,0))+parametros_manuales!$E$29*('Plan mensual'!F91+'Plan mensual'!F202+IF(parametros_manuales!$H$29="Todos",'Plan mensual'!F95+'Plan mensual'!F206,0))+parametros_manuales!$F$29*('Plan mensual'!F92+'Plan mensual'!F203+IF(parametros_manuales!$H$29="Todos",'Plan mensual'!F96+'Plan mensual'!F207,0))+parametros_manuales!$G$29*('Plan mensual'!F93+'Plan mensual'!F204+IF(parametros_manuales!$H$29="Todos",'Plan mensual'!F97+'Plan mensual'!F208,0)))*parametros_manuales!$I$29*parametros_manuales!$J$29</f>
        <v>20046.766663195</v>
      </c>
      <c r="E228" s="9" t="n">
        <f aca="false">(parametros_manuales!$D$29*('Plan mensual'!G90+'Plan mensual'!G201+IF(parametros_manuales!$H$29="Todos",'Plan mensual'!G94+'Plan mensual'!G205,0))+parametros_manuales!$E$29*('Plan mensual'!G91+'Plan mensual'!G202+IF(parametros_manuales!$H$29="Todos",'Plan mensual'!G95+'Plan mensual'!G206,0))+parametros_manuales!$F$29*('Plan mensual'!G92+'Plan mensual'!G203+IF(parametros_manuales!$H$29="Todos",'Plan mensual'!G96+'Plan mensual'!G207,0))+parametros_manuales!$G$29*('Plan mensual'!G93+'Plan mensual'!G204+IF(parametros_manuales!$H$29="Todos",'Plan mensual'!G97+'Plan mensual'!G208,0)))*parametros_manuales!$I$29*parametros_manuales!$J$29</f>
        <v>19169.800982495</v>
      </c>
      <c r="F228" s="9" t="n">
        <f aca="false">(parametros_manuales!$D$29*('Plan mensual'!H90+'Plan mensual'!H201+IF(parametros_manuales!$H$29="Todos",'Plan mensual'!H94+'Plan mensual'!H205,0))+parametros_manuales!$E$29*('Plan mensual'!H91+'Plan mensual'!H202+IF(parametros_manuales!$H$29="Todos",'Plan mensual'!H95+'Plan mensual'!H206,0))+parametros_manuales!$F$29*('Plan mensual'!H92+'Plan mensual'!H203+IF(parametros_manuales!$H$29="Todos",'Plan mensual'!H96+'Plan mensual'!H207,0))+parametros_manuales!$G$29*('Plan mensual'!H93+'Plan mensual'!H204+IF(parametros_manuales!$H$29="Todos",'Plan mensual'!H97+'Plan mensual'!H208,0)))*parametros_manuales!$I$29*parametros_manuales!$J$29</f>
        <v>17938.99319756</v>
      </c>
      <c r="G228" s="9" t="n">
        <f aca="false">(parametros_manuales!$D$29*('Plan mensual'!I90+'Plan mensual'!I201+IF(parametros_manuales!$H$29="Todos",'Plan mensual'!I94+'Plan mensual'!I205,0))+parametros_manuales!$E$29*('Plan mensual'!I91+'Plan mensual'!I202+IF(parametros_manuales!$H$29="Todos",'Plan mensual'!I95+'Plan mensual'!I206,0))+parametros_manuales!$F$29*('Plan mensual'!I92+'Plan mensual'!I203+IF(parametros_manuales!$H$29="Todos",'Plan mensual'!I96+'Plan mensual'!I207,0))+parametros_manuales!$G$29*('Plan mensual'!I93+'Plan mensual'!I204+IF(parametros_manuales!$H$29="Todos",'Plan mensual'!I97+'Plan mensual'!I208,0)))*parametros_manuales!$I$29*parametros_manuales!$J$29</f>
        <v>17585.151093325</v>
      </c>
      <c r="H228" s="9" t="n">
        <f aca="false">(parametros_manuales!$D$29*('Plan mensual'!J90+'Plan mensual'!J201+IF(parametros_manuales!$H$29="Todos",'Plan mensual'!J94+'Plan mensual'!J205,0))+parametros_manuales!$E$29*('Plan mensual'!J91+'Plan mensual'!J202+IF(parametros_manuales!$H$29="Todos",'Plan mensual'!J95+'Plan mensual'!J206,0))+parametros_manuales!$F$29*('Plan mensual'!J92+'Plan mensual'!J203+IF(parametros_manuales!$H$29="Todos",'Plan mensual'!J96+'Plan mensual'!J207,0))+parametros_manuales!$G$29*('Plan mensual'!J93+'Plan mensual'!J204+IF(parametros_manuales!$H$29="Todos",'Plan mensual'!J97+'Plan mensual'!J208,0)))*parametros_manuales!$I$29*parametros_manuales!$J$29</f>
        <v>18815.95887826</v>
      </c>
      <c r="I228" s="9" t="n">
        <f aca="false">(parametros_manuales!$D$29*('Plan mensual'!K90+'Plan mensual'!K201+IF(parametros_manuales!$H$29="Todos",'Plan mensual'!K94+'Plan mensual'!K205,0))+parametros_manuales!$E$29*('Plan mensual'!K91+'Plan mensual'!K202+IF(parametros_manuales!$H$29="Todos",'Plan mensual'!K95+'Plan mensual'!K206,0))+parametros_manuales!$F$29*('Plan mensual'!K92+'Plan mensual'!K203+IF(parametros_manuales!$H$29="Todos",'Plan mensual'!K96+'Plan mensual'!K207,0))+parametros_manuales!$G$29*('Plan mensual'!K93+'Plan mensual'!K204+IF(parametros_manuales!$H$29="Todos",'Plan mensual'!K97+'Plan mensual'!K208,0)))*parametros_manuales!$I$29*parametros_manuales!$J$29</f>
        <v>18815.95887826</v>
      </c>
      <c r="J228" s="9" t="n">
        <f aca="false">(parametros_manuales!$D$29*('Plan mensual'!L90+'Plan mensual'!L201+IF(parametros_manuales!$H$29="Todos",'Plan mensual'!L94+'Plan mensual'!L205,0))+parametros_manuales!$E$29*('Plan mensual'!L91+'Plan mensual'!L202+IF(parametros_manuales!$H$29="Todos",'Plan mensual'!L95+'Plan mensual'!L206,0))+parametros_manuales!$F$29*('Plan mensual'!L92+'Plan mensual'!L203+IF(parametros_manuales!$H$29="Todos",'Plan mensual'!L96+'Plan mensual'!L207,0))+parametros_manuales!$G$29*('Plan mensual'!L93+'Plan mensual'!L204+IF(parametros_manuales!$H$29="Todos",'Plan mensual'!L97+'Plan mensual'!L208,0)))*parametros_manuales!$I$29*parametros_manuales!$J$29</f>
        <v>18815.95887826</v>
      </c>
      <c r="K228" s="9" t="n">
        <f aca="false">(parametros_manuales!$D$29*('Plan mensual'!M90+'Plan mensual'!M201+IF(parametros_manuales!$H$29="Todos",'Plan mensual'!M94+'Plan mensual'!M205,0))+parametros_manuales!$E$29*('Plan mensual'!M91+'Plan mensual'!M202+IF(parametros_manuales!$H$29="Todos",'Plan mensual'!M95+'Plan mensual'!M206,0))+parametros_manuales!$F$29*('Plan mensual'!M92+'Plan mensual'!M203+IF(parametros_manuales!$H$29="Todos",'Plan mensual'!M96+'Plan mensual'!M207,0))+parametros_manuales!$G$29*('Plan mensual'!M93+'Plan mensual'!M204+IF(parametros_manuales!$H$29="Todos",'Plan mensual'!M97+'Plan mensual'!M208,0)))*parametros_manuales!$I$29*parametros_manuales!$J$29</f>
        <v>18462.116774025</v>
      </c>
      <c r="L228" s="9" t="n">
        <f aca="false">(parametros_manuales!$D$29*('Plan mensual'!N90+'Plan mensual'!N201+IF(parametros_manuales!$H$29="Todos",'Plan mensual'!N94+'Plan mensual'!N205,0))+parametros_manuales!$E$29*('Plan mensual'!N91+'Plan mensual'!N202+IF(parametros_manuales!$H$29="Todos",'Plan mensual'!N95+'Plan mensual'!N206,0))+parametros_manuales!$F$29*('Plan mensual'!N92+'Plan mensual'!N203+IF(parametros_manuales!$H$29="Todos",'Plan mensual'!N96+'Plan mensual'!N207,0))+parametros_manuales!$G$29*('Plan mensual'!N93+'Plan mensual'!N204+IF(parametros_manuales!$H$29="Todos",'Plan mensual'!N97+'Plan mensual'!N208,0)))*parametros_manuales!$I$29*parametros_manuales!$J$29</f>
        <v>18108.27466979</v>
      </c>
      <c r="M228" s="9" t="n">
        <f aca="false">(parametros_manuales!$D$29*('Plan mensual'!O90+'Plan mensual'!O201+IF(parametros_manuales!$H$29="Todos",'Plan mensual'!O94+'Plan mensual'!O205,0))+parametros_manuales!$E$29*('Plan mensual'!O91+'Plan mensual'!O202+IF(parametros_manuales!$H$29="Todos",'Plan mensual'!O95+'Plan mensual'!O206,0))+parametros_manuales!$F$29*('Plan mensual'!O92+'Plan mensual'!O203+IF(parametros_manuales!$H$29="Todos",'Plan mensual'!O96+'Plan mensual'!O207,0))+parametros_manuales!$G$29*('Plan mensual'!O93+'Plan mensual'!O204+IF(parametros_manuales!$H$29="Todos",'Plan mensual'!O97+'Plan mensual'!O208,0)))*parametros_manuales!$I$29*parametros_manuales!$J$29</f>
        <v>28831.70262997</v>
      </c>
      <c r="N228" s="9" t="n">
        <f aca="false">SUM(B228:M228)</f>
        <v>246161.556987</v>
      </c>
      <c r="O228" s="9" t="n">
        <f aca="false">MAX(B228:M228)</f>
        <v>28831.70262997</v>
      </c>
      <c r="P228" s="44" t="n">
        <f aca="false">O228/(parametros_manuales!$B$7)</f>
        <v>192.211350866467</v>
      </c>
      <c r="Q228" s="8" t="str">
        <f aca="false">IF(O228=0,"-",INDEX($B$217:$M$217,MATCH(O228,B228:M228,0)))</f>
        <v>Dic</v>
      </c>
    </row>
    <row r="229" customFormat="false" ht="14.25" hidden="false" customHeight="true" outlineLevel="0" collapsed="false">
      <c r="A229" s="8" t="str">
        <f aca="false">parametros_manuales!$B$30</f>
        <v>Soldadura circunferencial de cúpula y fondo</v>
      </c>
      <c r="B229" s="9" t="n">
        <f aca="false">(parametros_manuales!$D$30*('Plan mensual'!D90+'Plan mensual'!D201+IF(parametros_manuales!$H$30="Todos",'Plan mensual'!D94+'Plan mensual'!D205,0))+parametros_manuales!$E$30*('Plan mensual'!D91+'Plan mensual'!D202+IF(parametros_manuales!$H$30="Todos",'Plan mensual'!D95+'Plan mensual'!D206,0))+parametros_manuales!$F$30*('Plan mensual'!D92+'Plan mensual'!D203+IF(parametros_manuales!$H$30="Todos",'Plan mensual'!D96+'Plan mensual'!D207,0))+parametros_manuales!$G$30*('Plan mensual'!D93+'Plan mensual'!D204+IF(parametros_manuales!$H$30="Todos",'Plan mensual'!D97+'Plan mensual'!D208,0)))*parametros_manuales!$I$30*parametros_manuales!$J$30</f>
        <v>28124.0184215</v>
      </c>
      <c r="C229" s="9" t="n">
        <f aca="false">(parametros_manuales!$D$30*('Plan mensual'!E90+'Plan mensual'!E201+IF(parametros_manuales!$H$30="Todos",'Plan mensual'!E94+'Plan mensual'!E205,0))+parametros_manuales!$E$30*('Plan mensual'!E91+'Plan mensual'!E202+IF(parametros_manuales!$H$30="Todos",'Plan mensual'!E95+'Plan mensual'!E206,0))+parametros_manuales!$F$30*('Plan mensual'!E92+'Plan mensual'!E203+IF(parametros_manuales!$H$30="Todos",'Plan mensual'!E96+'Plan mensual'!E207,0))+parametros_manuales!$G$30*('Plan mensual'!E93+'Plan mensual'!E204+IF(parametros_manuales!$H$30="Todos",'Plan mensual'!E97+'Plan mensual'!E208,0)))*parametros_manuales!$I$30*parametros_manuales!$J$30</f>
        <v>21446.85592036</v>
      </c>
      <c r="D229" s="9" t="n">
        <f aca="false">(parametros_manuales!$D$30*('Plan mensual'!F90+'Plan mensual'!F201+IF(parametros_manuales!$H$30="Todos",'Plan mensual'!F94+'Plan mensual'!F205,0))+parametros_manuales!$E$30*('Plan mensual'!F91+'Plan mensual'!F202+IF(parametros_manuales!$H$30="Todos",'Plan mensual'!F95+'Plan mensual'!F206,0))+parametros_manuales!$F$30*('Plan mensual'!F92+'Plan mensual'!F203+IF(parametros_manuales!$H$30="Todos",'Plan mensual'!F96+'Plan mensual'!F207,0))+parametros_manuales!$G$30*('Plan mensual'!F93+'Plan mensual'!F204+IF(parametros_manuales!$H$30="Todos",'Plan mensual'!F97+'Plan mensual'!F208,0)))*parametros_manuales!$I$30*parametros_manuales!$J$30</f>
        <v>20046.766663195</v>
      </c>
      <c r="E229" s="9" t="n">
        <f aca="false">(parametros_manuales!$D$30*('Plan mensual'!G90+'Plan mensual'!G201+IF(parametros_manuales!$H$30="Todos",'Plan mensual'!G94+'Plan mensual'!G205,0))+parametros_manuales!$E$30*('Plan mensual'!G91+'Plan mensual'!G202+IF(parametros_manuales!$H$30="Todos",'Plan mensual'!G95+'Plan mensual'!G206,0))+parametros_manuales!$F$30*('Plan mensual'!G92+'Plan mensual'!G203+IF(parametros_manuales!$H$30="Todos",'Plan mensual'!G96+'Plan mensual'!G207,0))+parametros_manuales!$G$30*('Plan mensual'!G93+'Plan mensual'!G204+IF(parametros_manuales!$H$30="Todos",'Plan mensual'!G97+'Plan mensual'!G208,0)))*parametros_manuales!$I$30*parametros_manuales!$J$30</f>
        <v>19169.800982495</v>
      </c>
      <c r="F229" s="9" t="n">
        <f aca="false">(parametros_manuales!$D$30*('Plan mensual'!H90+'Plan mensual'!H201+IF(parametros_manuales!$H$30="Todos",'Plan mensual'!H94+'Plan mensual'!H205,0))+parametros_manuales!$E$30*('Plan mensual'!H91+'Plan mensual'!H202+IF(parametros_manuales!$H$30="Todos",'Plan mensual'!H95+'Plan mensual'!H206,0))+parametros_manuales!$F$30*('Plan mensual'!H92+'Plan mensual'!H203+IF(parametros_manuales!$H$30="Todos",'Plan mensual'!H96+'Plan mensual'!H207,0))+parametros_manuales!$G$30*('Plan mensual'!H93+'Plan mensual'!H204+IF(parametros_manuales!$H$30="Todos",'Plan mensual'!H97+'Plan mensual'!H208,0)))*parametros_manuales!$I$30*parametros_manuales!$J$30</f>
        <v>17938.99319756</v>
      </c>
      <c r="G229" s="9" t="n">
        <f aca="false">(parametros_manuales!$D$30*('Plan mensual'!I90+'Plan mensual'!I201+IF(parametros_manuales!$H$30="Todos",'Plan mensual'!I94+'Plan mensual'!I205,0))+parametros_manuales!$E$30*('Plan mensual'!I91+'Plan mensual'!I202+IF(parametros_manuales!$H$30="Todos",'Plan mensual'!I95+'Plan mensual'!I206,0))+parametros_manuales!$F$30*('Plan mensual'!I92+'Plan mensual'!I203+IF(parametros_manuales!$H$30="Todos",'Plan mensual'!I96+'Plan mensual'!I207,0))+parametros_manuales!$G$30*('Plan mensual'!I93+'Plan mensual'!I204+IF(parametros_manuales!$H$30="Todos",'Plan mensual'!I97+'Plan mensual'!I208,0)))*parametros_manuales!$I$30*parametros_manuales!$J$30</f>
        <v>17585.151093325</v>
      </c>
      <c r="H229" s="9" t="n">
        <f aca="false">(parametros_manuales!$D$30*('Plan mensual'!J90+'Plan mensual'!J201+IF(parametros_manuales!$H$30="Todos",'Plan mensual'!J94+'Plan mensual'!J205,0))+parametros_manuales!$E$30*('Plan mensual'!J91+'Plan mensual'!J202+IF(parametros_manuales!$H$30="Todos",'Plan mensual'!J95+'Plan mensual'!J206,0))+parametros_manuales!$F$30*('Plan mensual'!J92+'Plan mensual'!J203+IF(parametros_manuales!$H$30="Todos",'Plan mensual'!J96+'Plan mensual'!J207,0))+parametros_manuales!$G$30*('Plan mensual'!J93+'Plan mensual'!J204+IF(parametros_manuales!$H$30="Todos",'Plan mensual'!J97+'Plan mensual'!J208,0)))*parametros_manuales!$I$30*parametros_manuales!$J$30</f>
        <v>18815.95887826</v>
      </c>
      <c r="I229" s="9" t="n">
        <f aca="false">(parametros_manuales!$D$30*('Plan mensual'!K90+'Plan mensual'!K201+IF(parametros_manuales!$H$30="Todos",'Plan mensual'!K94+'Plan mensual'!K205,0))+parametros_manuales!$E$30*('Plan mensual'!K91+'Plan mensual'!K202+IF(parametros_manuales!$H$30="Todos",'Plan mensual'!K95+'Plan mensual'!K206,0))+parametros_manuales!$F$30*('Plan mensual'!K92+'Plan mensual'!K203+IF(parametros_manuales!$H$30="Todos",'Plan mensual'!K96+'Plan mensual'!K207,0))+parametros_manuales!$G$30*('Plan mensual'!K93+'Plan mensual'!K204+IF(parametros_manuales!$H$30="Todos",'Plan mensual'!K97+'Plan mensual'!K208,0)))*parametros_manuales!$I$30*parametros_manuales!$J$30</f>
        <v>18815.95887826</v>
      </c>
      <c r="J229" s="9" t="n">
        <f aca="false">(parametros_manuales!$D$30*('Plan mensual'!L90+'Plan mensual'!L201+IF(parametros_manuales!$H$30="Todos",'Plan mensual'!L94+'Plan mensual'!L205,0))+parametros_manuales!$E$30*('Plan mensual'!L91+'Plan mensual'!L202+IF(parametros_manuales!$H$30="Todos",'Plan mensual'!L95+'Plan mensual'!L206,0))+parametros_manuales!$F$30*('Plan mensual'!L92+'Plan mensual'!L203+IF(parametros_manuales!$H$30="Todos",'Plan mensual'!L96+'Plan mensual'!L207,0))+parametros_manuales!$G$30*('Plan mensual'!L93+'Plan mensual'!L204+IF(parametros_manuales!$H$30="Todos",'Plan mensual'!L97+'Plan mensual'!L208,0)))*parametros_manuales!$I$30*parametros_manuales!$J$30</f>
        <v>18815.95887826</v>
      </c>
      <c r="K229" s="9" t="n">
        <f aca="false">(parametros_manuales!$D$30*('Plan mensual'!M90+'Plan mensual'!M201+IF(parametros_manuales!$H$30="Todos",'Plan mensual'!M94+'Plan mensual'!M205,0))+parametros_manuales!$E$30*('Plan mensual'!M91+'Plan mensual'!M202+IF(parametros_manuales!$H$30="Todos",'Plan mensual'!M95+'Plan mensual'!M206,0))+parametros_manuales!$F$30*('Plan mensual'!M92+'Plan mensual'!M203+IF(parametros_manuales!$H$30="Todos",'Plan mensual'!M96+'Plan mensual'!M207,0))+parametros_manuales!$G$30*('Plan mensual'!M93+'Plan mensual'!M204+IF(parametros_manuales!$H$30="Todos",'Plan mensual'!M97+'Plan mensual'!M208,0)))*parametros_manuales!$I$30*parametros_manuales!$J$30</f>
        <v>18462.116774025</v>
      </c>
      <c r="L229" s="9" t="n">
        <f aca="false">(parametros_manuales!$D$30*('Plan mensual'!N90+'Plan mensual'!N201+IF(parametros_manuales!$H$30="Todos",'Plan mensual'!N94+'Plan mensual'!N205,0))+parametros_manuales!$E$30*('Plan mensual'!N91+'Plan mensual'!N202+IF(parametros_manuales!$H$30="Todos",'Plan mensual'!N95+'Plan mensual'!N206,0))+parametros_manuales!$F$30*('Plan mensual'!N92+'Plan mensual'!N203+IF(parametros_manuales!$H$30="Todos",'Plan mensual'!N96+'Plan mensual'!N207,0))+parametros_manuales!$G$30*('Plan mensual'!N93+'Plan mensual'!N204+IF(parametros_manuales!$H$30="Todos",'Plan mensual'!N97+'Plan mensual'!N208,0)))*parametros_manuales!$I$30*parametros_manuales!$J$30</f>
        <v>18108.27466979</v>
      </c>
      <c r="M229" s="9" t="n">
        <f aca="false">(parametros_manuales!$D$30*('Plan mensual'!O90+'Plan mensual'!O201+IF(parametros_manuales!$H$30="Todos",'Plan mensual'!O94+'Plan mensual'!O205,0))+parametros_manuales!$E$30*('Plan mensual'!O91+'Plan mensual'!O202+IF(parametros_manuales!$H$30="Todos",'Plan mensual'!O95+'Plan mensual'!O206,0))+parametros_manuales!$F$30*('Plan mensual'!O92+'Plan mensual'!O203+IF(parametros_manuales!$H$30="Todos",'Plan mensual'!O96+'Plan mensual'!O207,0))+parametros_manuales!$G$30*('Plan mensual'!O93+'Plan mensual'!O204+IF(parametros_manuales!$H$30="Todos",'Plan mensual'!O97+'Plan mensual'!O208,0)))*parametros_manuales!$I$30*parametros_manuales!$J$30</f>
        <v>28831.70262997</v>
      </c>
      <c r="N229" s="9" t="n">
        <f aca="false">SUM(B229:M229)</f>
        <v>246161.556987</v>
      </c>
      <c r="O229" s="9" t="n">
        <f aca="false">MAX(B229:M229)</f>
        <v>28831.70262997</v>
      </c>
      <c r="P229" s="44" t="n">
        <f aca="false">O229/(parametros_manuales!$B$7)</f>
        <v>192.211350866467</v>
      </c>
      <c r="Q229" s="8" t="str">
        <f aca="false">IF(O229=0,"-",INDEX($B$217:$M$217,MATCH(O229,B229:M229,0)))</f>
        <v>Dic</v>
      </c>
    </row>
    <row r="230" customFormat="false" ht="14.25" hidden="false" customHeight="true" outlineLevel="0" collapsed="false">
      <c r="A230" s="8" t="str">
        <f aca="false">parametros_manuales!$B$31</f>
        <v>Control de calidad — Espesor</v>
      </c>
      <c r="B230" s="9" t="n">
        <f aca="false">(parametros_manuales!$D$31*('Plan mensual'!D90+'Plan mensual'!D201+IF(parametros_manuales!$H$31="Todos",'Plan mensual'!D94+'Plan mensual'!D205,0))+parametros_manuales!$E$31*('Plan mensual'!D91+'Plan mensual'!D202+IF(parametros_manuales!$H$31="Todos",'Plan mensual'!D95+'Plan mensual'!D206,0))+parametros_manuales!$F$31*('Plan mensual'!D92+'Plan mensual'!D203+IF(parametros_manuales!$H$31="Todos",'Plan mensual'!D96+'Plan mensual'!D207,0))+parametros_manuales!$G$31*('Plan mensual'!D93+'Plan mensual'!D204+IF(parametros_manuales!$H$31="Todos",'Plan mensual'!D97+'Plan mensual'!D208,0)))*parametros_manuales!$I$31*parametros_manuales!$J$31</f>
        <v>562.48036843</v>
      </c>
      <c r="C230" s="9" t="n">
        <f aca="false">(parametros_manuales!$D$31*('Plan mensual'!E90+'Plan mensual'!E201+IF(parametros_manuales!$H$31="Todos",'Plan mensual'!E94+'Plan mensual'!E205,0))+parametros_manuales!$E$31*('Plan mensual'!E91+'Plan mensual'!E202+IF(parametros_manuales!$H$31="Todos",'Plan mensual'!E95+'Plan mensual'!E206,0))+parametros_manuales!$F$31*('Plan mensual'!E92+'Plan mensual'!E203+IF(parametros_manuales!$H$31="Todos",'Plan mensual'!E96+'Plan mensual'!E207,0))+parametros_manuales!$G$31*('Plan mensual'!E93+'Plan mensual'!E204+IF(parametros_manuales!$H$31="Todos",'Plan mensual'!E97+'Plan mensual'!E208,0)))*parametros_manuales!$I$31*parametros_manuales!$J$31</f>
        <v>428.9371184072</v>
      </c>
      <c r="D230" s="9" t="n">
        <f aca="false">(parametros_manuales!$D$31*('Plan mensual'!F90+'Plan mensual'!F201+IF(parametros_manuales!$H$31="Todos",'Plan mensual'!F94+'Plan mensual'!F205,0))+parametros_manuales!$E$31*('Plan mensual'!F91+'Plan mensual'!F202+IF(parametros_manuales!$H$31="Todos",'Plan mensual'!F95+'Plan mensual'!F206,0))+parametros_manuales!$F$31*('Plan mensual'!F92+'Plan mensual'!F203+IF(parametros_manuales!$H$31="Todos",'Plan mensual'!F96+'Plan mensual'!F207,0))+parametros_manuales!$G$31*('Plan mensual'!F93+'Plan mensual'!F204+IF(parametros_manuales!$H$31="Todos",'Plan mensual'!F97+'Plan mensual'!F208,0)))*parametros_manuales!$I$31*parametros_manuales!$J$31</f>
        <v>400.9353332639</v>
      </c>
      <c r="E230" s="9" t="n">
        <f aca="false">(parametros_manuales!$D$31*('Plan mensual'!G90+'Plan mensual'!G201+IF(parametros_manuales!$H$31="Todos",'Plan mensual'!G94+'Plan mensual'!G205,0))+parametros_manuales!$E$31*('Plan mensual'!G91+'Plan mensual'!G202+IF(parametros_manuales!$H$31="Todos",'Plan mensual'!G95+'Plan mensual'!G206,0))+parametros_manuales!$F$31*('Plan mensual'!G92+'Plan mensual'!G203+IF(parametros_manuales!$H$31="Todos",'Plan mensual'!G96+'Plan mensual'!G207,0))+parametros_manuales!$G$31*('Plan mensual'!G93+'Plan mensual'!G204+IF(parametros_manuales!$H$31="Todos",'Plan mensual'!G97+'Plan mensual'!G208,0)))*parametros_manuales!$I$31*parametros_manuales!$J$31</f>
        <v>383.3960196499</v>
      </c>
      <c r="F230" s="9" t="n">
        <f aca="false">(parametros_manuales!$D$31*('Plan mensual'!H90+'Plan mensual'!H201+IF(parametros_manuales!$H$31="Todos",'Plan mensual'!H94+'Plan mensual'!H205,0))+parametros_manuales!$E$31*('Plan mensual'!H91+'Plan mensual'!H202+IF(parametros_manuales!$H$31="Todos",'Plan mensual'!H95+'Plan mensual'!H206,0))+parametros_manuales!$F$31*('Plan mensual'!H92+'Plan mensual'!H203+IF(parametros_manuales!$H$31="Todos",'Plan mensual'!H96+'Plan mensual'!H207,0))+parametros_manuales!$G$31*('Plan mensual'!H93+'Plan mensual'!H204+IF(parametros_manuales!$H$31="Todos",'Plan mensual'!H97+'Plan mensual'!H208,0)))*parametros_manuales!$I$31*parametros_manuales!$J$31</f>
        <v>358.7798639512</v>
      </c>
      <c r="G230" s="9" t="n">
        <f aca="false">(parametros_manuales!$D$31*('Plan mensual'!I90+'Plan mensual'!I201+IF(parametros_manuales!$H$31="Todos",'Plan mensual'!I94+'Plan mensual'!I205,0))+parametros_manuales!$E$31*('Plan mensual'!I91+'Plan mensual'!I202+IF(parametros_manuales!$H$31="Todos",'Plan mensual'!I95+'Plan mensual'!I206,0))+parametros_manuales!$F$31*('Plan mensual'!I92+'Plan mensual'!I203+IF(parametros_manuales!$H$31="Todos",'Plan mensual'!I96+'Plan mensual'!I207,0))+parametros_manuales!$G$31*('Plan mensual'!I93+'Plan mensual'!I204+IF(parametros_manuales!$H$31="Todos",'Plan mensual'!I97+'Plan mensual'!I208,0)))*parametros_manuales!$I$31*parametros_manuales!$J$31</f>
        <v>351.7030218665</v>
      </c>
      <c r="H230" s="9" t="n">
        <f aca="false">(parametros_manuales!$D$31*('Plan mensual'!J90+'Plan mensual'!J201+IF(parametros_manuales!$H$31="Todos",'Plan mensual'!J94+'Plan mensual'!J205,0))+parametros_manuales!$E$31*('Plan mensual'!J91+'Plan mensual'!J202+IF(parametros_manuales!$H$31="Todos",'Plan mensual'!J95+'Plan mensual'!J206,0))+parametros_manuales!$F$31*('Plan mensual'!J92+'Plan mensual'!J203+IF(parametros_manuales!$H$31="Todos",'Plan mensual'!J96+'Plan mensual'!J207,0))+parametros_manuales!$G$31*('Plan mensual'!J93+'Plan mensual'!J204+IF(parametros_manuales!$H$31="Todos",'Plan mensual'!J97+'Plan mensual'!J208,0)))*parametros_manuales!$I$31*parametros_manuales!$J$31</f>
        <v>376.3191775652</v>
      </c>
      <c r="I230" s="9" t="n">
        <f aca="false">(parametros_manuales!$D$31*('Plan mensual'!K90+'Plan mensual'!K201+IF(parametros_manuales!$H$31="Todos",'Plan mensual'!K94+'Plan mensual'!K205,0))+parametros_manuales!$E$31*('Plan mensual'!K91+'Plan mensual'!K202+IF(parametros_manuales!$H$31="Todos",'Plan mensual'!K95+'Plan mensual'!K206,0))+parametros_manuales!$F$31*('Plan mensual'!K92+'Plan mensual'!K203+IF(parametros_manuales!$H$31="Todos",'Plan mensual'!K96+'Plan mensual'!K207,0))+parametros_manuales!$G$31*('Plan mensual'!K93+'Plan mensual'!K204+IF(parametros_manuales!$H$31="Todos",'Plan mensual'!K97+'Plan mensual'!K208,0)))*parametros_manuales!$I$31*parametros_manuales!$J$31</f>
        <v>376.3191775652</v>
      </c>
      <c r="J230" s="9" t="n">
        <f aca="false">(parametros_manuales!$D$31*('Plan mensual'!L90+'Plan mensual'!L201+IF(parametros_manuales!$H$31="Todos",'Plan mensual'!L94+'Plan mensual'!L205,0))+parametros_manuales!$E$31*('Plan mensual'!L91+'Plan mensual'!L202+IF(parametros_manuales!$H$31="Todos",'Plan mensual'!L95+'Plan mensual'!L206,0))+parametros_manuales!$F$31*('Plan mensual'!L92+'Plan mensual'!L203+IF(parametros_manuales!$H$31="Todos",'Plan mensual'!L96+'Plan mensual'!L207,0))+parametros_manuales!$G$31*('Plan mensual'!L93+'Plan mensual'!L204+IF(parametros_manuales!$H$31="Todos",'Plan mensual'!L97+'Plan mensual'!L208,0)))*parametros_manuales!$I$31*parametros_manuales!$J$31</f>
        <v>376.3191775652</v>
      </c>
      <c r="K230" s="9" t="n">
        <f aca="false">(parametros_manuales!$D$31*('Plan mensual'!M90+'Plan mensual'!M201+IF(parametros_manuales!$H$31="Todos",'Plan mensual'!M94+'Plan mensual'!M205,0))+parametros_manuales!$E$31*('Plan mensual'!M91+'Plan mensual'!M202+IF(parametros_manuales!$H$31="Todos",'Plan mensual'!M95+'Plan mensual'!M206,0))+parametros_manuales!$F$31*('Plan mensual'!M92+'Plan mensual'!M203+IF(parametros_manuales!$H$31="Todos",'Plan mensual'!M96+'Plan mensual'!M207,0))+parametros_manuales!$G$31*('Plan mensual'!M93+'Plan mensual'!M204+IF(parametros_manuales!$H$31="Todos",'Plan mensual'!M97+'Plan mensual'!M208,0)))*parametros_manuales!$I$31*parametros_manuales!$J$31</f>
        <v>369.2423354805</v>
      </c>
      <c r="L230" s="9" t="n">
        <f aca="false">(parametros_manuales!$D$31*('Plan mensual'!N90+'Plan mensual'!N201+IF(parametros_manuales!$H$31="Todos",'Plan mensual'!N94+'Plan mensual'!N205,0))+parametros_manuales!$E$31*('Plan mensual'!N91+'Plan mensual'!N202+IF(parametros_manuales!$H$31="Todos",'Plan mensual'!N95+'Plan mensual'!N206,0))+parametros_manuales!$F$31*('Plan mensual'!N92+'Plan mensual'!N203+IF(parametros_manuales!$H$31="Todos",'Plan mensual'!N96+'Plan mensual'!N207,0))+parametros_manuales!$G$31*('Plan mensual'!N93+'Plan mensual'!N204+IF(parametros_manuales!$H$31="Todos",'Plan mensual'!N97+'Plan mensual'!N208,0)))*parametros_manuales!$I$31*parametros_manuales!$J$31</f>
        <v>362.1654933958</v>
      </c>
      <c r="M230" s="9" t="n">
        <f aca="false">(parametros_manuales!$D$31*('Plan mensual'!O90+'Plan mensual'!O201+IF(parametros_manuales!$H$31="Todos",'Plan mensual'!O94+'Plan mensual'!O205,0))+parametros_manuales!$E$31*('Plan mensual'!O91+'Plan mensual'!O202+IF(parametros_manuales!$H$31="Todos",'Plan mensual'!O95+'Plan mensual'!O206,0))+parametros_manuales!$F$31*('Plan mensual'!O92+'Plan mensual'!O203+IF(parametros_manuales!$H$31="Todos",'Plan mensual'!O96+'Plan mensual'!O207,0))+parametros_manuales!$G$31*('Plan mensual'!O93+'Plan mensual'!O204+IF(parametros_manuales!$H$31="Todos",'Plan mensual'!O97+'Plan mensual'!O208,0)))*parametros_manuales!$I$31*parametros_manuales!$J$31</f>
        <v>576.6340525994</v>
      </c>
      <c r="N230" s="9" t="n">
        <f aca="false">SUM(B230:M230)</f>
        <v>4923.23113974</v>
      </c>
      <c r="O230" s="9" t="n">
        <f aca="false">MAX(B230:M230)</f>
        <v>576.6340525994</v>
      </c>
      <c r="P230" s="44" t="n">
        <f aca="false">O230/(parametros_manuales!$B$7)</f>
        <v>3.84422701732933</v>
      </c>
      <c r="Q230" s="8" t="str">
        <f aca="false">IF(O230=0,"-",INDEX($B$217:$M$217,MATCH(O230,B230:M230,0)))</f>
        <v>Dic</v>
      </c>
    </row>
    <row r="231" customFormat="false" ht="14.25" hidden="false" customHeight="true" outlineLevel="0" collapsed="false">
      <c r="A231" s="8" t="str">
        <f aca="false">parametros_manuales!$B$32</f>
        <v>Prueba hidráulica</v>
      </c>
      <c r="B231" s="9" t="n">
        <f aca="false">(parametros_manuales!$D$32*('Plan mensual'!D90+'Plan mensual'!D201+IF(parametros_manuales!$H$32="Todos",'Plan mensual'!D94+'Plan mensual'!D205,0))+parametros_manuales!$E$32*('Plan mensual'!D91+'Plan mensual'!D202+IF(parametros_manuales!$H$32="Todos",'Plan mensual'!D95+'Plan mensual'!D206,0))+parametros_manuales!$F$32*('Plan mensual'!D92+'Plan mensual'!D203+IF(parametros_manuales!$H$32="Todos",'Plan mensual'!D96+'Plan mensual'!D207,0))+parametros_manuales!$G$32*('Plan mensual'!D93+'Plan mensual'!D204+IF(parametros_manuales!$H$32="Todos",'Plan mensual'!D97+'Plan mensual'!D208,0)))*parametros_manuales!$I$32*parametros_manuales!$J$32</f>
        <v>28124.0184215</v>
      </c>
      <c r="C231" s="9" t="n">
        <f aca="false">(parametros_manuales!$D$32*('Plan mensual'!E90+'Plan mensual'!E201+IF(parametros_manuales!$H$32="Todos",'Plan mensual'!E94+'Plan mensual'!E205,0))+parametros_manuales!$E$32*('Plan mensual'!E91+'Plan mensual'!E202+IF(parametros_manuales!$H$32="Todos",'Plan mensual'!E95+'Plan mensual'!E206,0))+parametros_manuales!$F$32*('Plan mensual'!E92+'Plan mensual'!E203+IF(parametros_manuales!$H$32="Todos",'Plan mensual'!E96+'Plan mensual'!E207,0))+parametros_manuales!$G$32*('Plan mensual'!E93+'Plan mensual'!E204+IF(parametros_manuales!$H$32="Todos",'Plan mensual'!E97+'Plan mensual'!E208,0)))*parametros_manuales!$I$32*parametros_manuales!$J$32</f>
        <v>21446.85592036</v>
      </c>
      <c r="D231" s="9" t="n">
        <f aca="false">(parametros_manuales!$D$32*('Plan mensual'!F90+'Plan mensual'!F201+IF(parametros_manuales!$H$32="Todos",'Plan mensual'!F94+'Plan mensual'!F205,0))+parametros_manuales!$E$32*('Plan mensual'!F91+'Plan mensual'!F202+IF(parametros_manuales!$H$32="Todos",'Plan mensual'!F95+'Plan mensual'!F206,0))+parametros_manuales!$F$32*('Plan mensual'!F92+'Plan mensual'!F203+IF(parametros_manuales!$H$32="Todos",'Plan mensual'!F96+'Plan mensual'!F207,0))+parametros_manuales!$G$32*('Plan mensual'!F93+'Plan mensual'!F204+IF(parametros_manuales!$H$32="Todos",'Plan mensual'!F97+'Plan mensual'!F208,0)))*parametros_manuales!$I$32*parametros_manuales!$J$32</f>
        <v>20046.766663195</v>
      </c>
      <c r="E231" s="9" t="n">
        <f aca="false">(parametros_manuales!$D$32*('Plan mensual'!G90+'Plan mensual'!G201+IF(parametros_manuales!$H$32="Todos",'Plan mensual'!G94+'Plan mensual'!G205,0))+parametros_manuales!$E$32*('Plan mensual'!G91+'Plan mensual'!G202+IF(parametros_manuales!$H$32="Todos",'Plan mensual'!G95+'Plan mensual'!G206,0))+parametros_manuales!$F$32*('Plan mensual'!G92+'Plan mensual'!G203+IF(parametros_manuales!$H$32="Todos",'Plan mensual'!G96+'Plan mensual'!G207,0))+parametros_manuales!$G$32*('Plan mensual'!G93+'Plan mensual'!G204+IF(parametros_manuales!$H$32="Todos",'Plan mensual'!G97+'Plan mensual'!G208,0)))*parametros_manuales!$I$32*parametros_manuales!$J$32</f>
        <v>19169.800982495</v>
      </c>
      <c r="F231" s="9" t="n">
        <f aca="false">(parametros_manuales!$D$32*('Plan mensual'!H90+'Plan mensual'!H201+IF(parametros_manuales!$H$32="Todos",'Plan mensual'!H94+'Plan mensual'!H205,0))+parametros_manuales!$E$32*('Plan mensual'!H91+'Plan mensual'!H202+IF(parametros_manuales!$H$32="Todos",'Plan mensual'!H95+'Plan mensual'!H206,0))+parametros_manuales!$F$32*('Plan mensual'!H92+'Plan mensual'!H203+IF(parametros_manuales!$H$32="Todos",'Plan mensual'!H96+'Plan mensual'!H207,0))+parametros_manuales!$G$32*('Plan mensual'!H93+'Plan mensual'!H204+IF(parametros_manuales!$H$32="Todos",'Plan mensual'!H97+'Plan mensual'!H208,0)))*parametros_manuales!$I$32*parametros_manuales!$J$32</f>
        <v>17938.99319756</v>
      </c>
      <c r="G231" s="9" t="n">
        <f aca="false">(parametros_manuales!$D$32*('Plan mensual'!I90+'Plan mensual'!I201+IF(parametros_manuales!$H$32="Todos",'Plan mensual'!I94+'Plan mensual'!I205,0))+parametros_manuales!$E$32*('Plan mensual'!I91+'Plan mensual'!I202+IF(parametros_manuales!$H$32="Todos",'Plan mensual'!I95+'Plan mensual'!I206,0))+parametros_manuales!$F$32*('Plan mensual'!I92+'Plan mensual'!I203+IF(parametros_manuales!$H$32="Todos",'Plan mensual'!I96+'Plan mensual'!I207,0))+parametros_manuales!$G$32*('Plan mensual'!I93+'Plan mensual'!I204+IF(parametros_manuales!$H$32="Todos",'Plan mensual'!I97+'Plan mensual'!I208,0)))*parametros_manuales!$I$32*parametros_manuales!$J$32</f>
        <v>17585.151093325</v>
      </c>
      <c r="H231" s="9" t="n">
        <f aca="false">(parametros_manuales!$D$32*('Plan mensual'!J90+'Plan mensual'!J201+IF(parametros_manuales!$H$32="Todos",'Plan mensual'!J94+'Plan mensual'!J205,0))+parametros_manuales!$E$32*('Plan mensual'!J91+'Plan mensual'!J202+IF(parametros_manuales!$H$32="Todos",'Plan mensual'!J95+'Plan mensual'!J206,0))+parametros_manuales!$F$32*('Plan mensual'!J92+'Plan mensual'!J203+IF(parametros_manuales!$H$32="Todos",'Plan mensual'!J96+'Plan mensual'!J207,0))+parametros_manuales!$G$32*('Plan mensual'!J93+'Plan mensual'!J204+IF(parametros_manuales!$H$32="Todos",'Plan mensual'!J97+'Plan mensual'!J208,0)))*parametros_manuales!$I$32*parametros_manuales!$J$32</f>
        <v>18815.95887826</v>
      </c>
      <c r="I231" s="9" t="n">
        <f aca="false">(parametros_manuales!$D$32*('Plan mensual'!K90+'Plan mensual'!K201+IF(parametros_manuales!$H$32="Todos",'Plan mensual'!K94+'Plan mensual'!K205,0))+parametros_manuales!$E$32*('Plan mensual'!K91+'Plan mensual'!K202+IF(parametros_manuales!$H$32="Todos",'Plan mensual'!K95+'Plan mensual'!K206,0))+parametros_manuales!$F$32*('Plan mensual'!K92+'Plan mensual'!K203+IF(parametros_manuales!$H$32="Todos",'Plan mensual'!K96+'Plan mensual'!K207,0))+parametros_manuales!$G$32*('Plan mensual'!K93+'Plan mensual'!K204+IF(parametros_manuales!$H$32="Todos",'Plan mensual'!K97+'Plan mensual'!K208,0)))*parametros_manuales!$I$32*parametros_manuales!$J$32</f>
        <v>18815.95887826</v>
      </c>
      <c r="J231" s="9" t="n">
        <f aca="false">(parametros_manuales!$D$32*('Plan mensual'!L90+'Plan mensual'!L201+IF(parametros_manuales!$H$32="Todos",'Plan mensual'!L94+'Plan mensual'!L205,0))+parametros_manuales!$E$32*('Plan mensual'!L91+'Plan mensual'!L202+IF(parametros_manuales!$H$32="Todos",'Plan mensual'!L95+'Plan mensual'!L206,0))+parametros_manuales!$F$32*('Plan mensual'!L92+'Plan mensual'!L203+IF(parametros_manuales!$H$32="Todos",'Plan mensual'!L96+'Plan mensual'!L207,0))+parametros_manuales!$G$32*('Plan mensual'!L93+'Plan mensual'!L204+IF(parametros_manuales!$H$32="Todos",'Plan mensual'!L97+'Plan mensual'!L208,0)))*parametros_manuales!$I$32*parametros_manuales!$J$32</f>
        <v>18815.95887826</v>
      </c>
      <c r="K231" s="9" t="n">
        <f aca="false">(parametros_manuales!$D$32*('Plan mensual'!M90+'Plan mensual'!M201+IF(parametros_manuales!$H$32="Todos",'Plan mensual'!M94+'Plan mensual'!M205,0))+parametros_manuales!$E$32*('Plan mensual'!M91+'Plan mensual'!M202+IF(parametros_manuales!$H$32="Todos",'Plan mensual'!M95+'Plan mensual'!M206,0))+parametros_manuales!$F$32*('Plan mensual'!M92+'Plan mensual'!M203+IF(parametros_manuales!$H$32="Todos",'Plan mensual'!M96+'Plan mensual'!M207,0))+parametros_manuales!$G$32*('Plan mensual'!M93+'Plan mensual'!M204+IF(parametros_manuales!$H$32="Todos",'Plan mensual'!M97+'Plan mensual'!M208,0)))*parametros_manuales!$I$32*parametros_manuales!$J$32</f>
        <v>18462.116774025</v>
      </c>
      <c r="L231" s="9" t="n">
        <f aca="false">(parametros_manuales!$D$32*('Plan mensual'!N90+'Plan mensual'!N201+IF(parametros_manuales!$H$32="Todos",'Plan mensual'!N94+'Plan mensual'!N205,0))+parametros_manuales!$E$32*('Plan mensual'!N91+'Plan mensual'!N202+IF(parametros_manuales!$H$32="Todos",'Plan mensual'!N95+'Plan mensual'!N206,0))+parametros_manuales!$F$32*('Plan mensual'!N92+'Plan mensual'!N203+IF(parametros_manuales!$H$32="Todos",'Plan mensual'!N96+'Plan mensual'!N207,0))+parametros_manuales!$G$32*('Plan mensual'!N93+'Plan mensual'!N204+IF(parametros_manuales!$H$32="Todos",'Plan mensual'!N97+'Plan mensual'!N208,0)))*parametros_manuales!$I$32*parametros_manuales!$J$32</f>
        <v>18108.27466979</v>
      </c>
      <c r="M231" s="9" t="n">
        <f aca="false">(parametros_manuales!$D$32*('Plan mensual'!O90+'Plan mensual'!O201+IF(parametros_manuales!$H$32="Todos",'Plan mensual'!O94+'Plan mensual'!O205,0))+parametros_manuales!$E$32*('Plan mensual'!O91+'Plan mensual'!O202+IF(parametros_manuales!$H$32="Todos",'Plan mensual'!O95+'Plan mensual'!O206,0))+parametros_manuales!$F$32*('Plan mensual'!O92+'Plan mensual'!O203+IF(parametros_manuales!$H$32="Todos",'Plan mensual'!O96+'Plan mensual'!O207,0))+parametros_manuales!$G$32*('Plan mensual'!O93+'Plan mensual'!O204+IF(parametros_manuales!$H$32="Todos",'Plan mensual'!O97+'Plan mensual'!O208,0)))*parametros_manuales!$I$32*parametros_manuales!$J$32</f>
        <v>28831.70262997</v>
      </c>
      <c r="N231" s="9" t="n">
        <f aca="false">SUM(B231:M231)</f>
        <v>246161.556987</v>
      </c>
      <c r="O231" s="9" t="n">
        <f aca="false">MAX(B231:M231)</f>
        <v>28831.70262997</v>
      </c>
      <c r="P231" s="44" t="n">
        <f aca="false">O231/(parametros_manuales!$B$7)</f>
        <v>192.211350866467</v>
      </c>
      <c r="Q231" s="8" t="str">
        <f aca="false">IF(O231=0,"-",INDEX($B$217:$M$217,MATCH(O231,B231:M231,0)))</f>
        <v>Dic</v>
      </c>
    </row>
    <row r="232" customFormat="false" ht="14.25" hidden="false" customHeight="true" outlineLevel="0" collapsed="false">
      <c r="A232" s="8" t="str">
        <f aca="false">parametros_manuales!$B$33</f>
        <v>Secado</v>
      </c>
      <c r="B232" s="9" t="n">
        <f aca="false">(parametros_manuales!$D$33*('Plan mensual'!D90+'Plan mensual'!D201+IF(parametros_manuales!$H$33="Todos",'Plan mensual'!D94+'Plan mensual'!D205,0))+parametros_manuales!$E$33*('Plan mensual'!D91+'Plan mensual'!D202+IF(parametros_manuales!$H$33="Todos",'Plan mensual'!D95+'Plan mensual'!D206,0))+parametros_manuales!$F$33*('Plan mensual'!D92+'Plan mensual'!D203+IF(parametros_manuales!$H$33="Todos",'Plan mensual'!D96+'Plan mensual'!D207,0))+parametros_manuales!$G$33*('Plan mensual'!D93+'Plan mensual'!D204+IF(parametros_manuales!$H$33="Todos",'Plan mensual'!D97+'Plan mensual'!D208,0)))*parametros_manuales!$I$33*parametros_manuales!$J$33</f>
        <v>28124.0184215</v>
      </c>
      <c r="C232" s="9" t="n">
        <f aca="false">(parametros_manuales!$D$33*('Plan mensual'!E90+'Plan mensual'!E201+IF(parametros_manuales!$H$33="Todos",'Plan mensual'!E94+'Plan mensual'!E205,0))+parametros_manuales!$E$33*('Plan mensual'!E91+'Plan mensual'!E202+IF(parametros_manuales!$H$33="Todos",'Plan mensual'!E95+'Plan mensual'!E206,0))+parametros_manuales!$F$33*('Plan mensual'!E92+'Plan mensual'!E203+IF(parametros_manuales!$H$33="Todos",'Plan mensual'!E96+'Plan mensual'!E207,0))+parametros_manuales!$G$33*('Plan mensual'!E93+'Plan mensual'!E204+IF(parametros_manuales!$H$33="Todos",'Plan mensual'!E97+'Plan mensual'!E208,0)))*parametros_manuales!$I$33*parametros_manuales!$J$33</f>
        <v>21446.85592036</v>
      </c>
      <c r="D232" s="9" t="n">
        <f aca="false">(parametros_manuales!$D$33*('Plan mensual'!F90+'Plan mensual'!F201+IF(parametros_manuales!$H$33="Todos",'Plan mensual'!F94+'Plan mensual'!F205,0))+parametros_manuales!$E$33*('Plan mensual'!F91+'Plan mensual'!F202+IF(parametros_manuales!$H$33="Todos",'Plan mensual'!F95+'Plan mensual'!F206,0))+parametros_manuales!$F$33*('Plan mensual'!F92+'Plan mensual'!F203+IF(parametros_manuales!$H$33="Todos",'Plan mensual'!F96+'Plan mensual'!F207,0))+parametros_manuales!$G$33*('Plan mensual'!F93+'Plan mensual'!F204+IF(parametros_manuales!$H$33="Todos",'Plan mensual'!F97+'Plan mensual'!F208,0)))*parametros_manuales!$I$33*parametros_manuales!$J$33</f>
        <v>20046.766663195</v>
      </c>
      <c r="E232" s="9" t="n">
        <f aca="false">(parametros_manuales!$D$33*('Plan mensual'!G90+'Plan mensual'!G201+IF(parametros_manuales!$H$33="Todos",'Plan mensual'!G94+'Plan mensual'!G205,0))+parametros_manuales!$E$33*('Plan mensual'!G91+'Plan mensual'!G202+IF(parametros_manuales!$H$33="Todos",'Plan mensual'!G95+'Plan mensual'!G206,0))+parametros_manuales!$F$33*('Plan mensual'!G92+'Plan mensual'!G203+IF(parametros_manuales!$H$33="Todos",'Plan mensual'!G96+'Plan mensual'!G207,0))+parametros_manuales!$G$33*('Plan mensual'!G93+'Plan mensual'!G204+IF(parametros_manuales!$H$33="Todos",'Plan mensual'!G97+'Plan mensual'!G208,0)))*parametros_manuales!$I$33*parametros_manuales!$J$33</f>
        <v>19169.800982495</v>
      </c>
      <c r="F232" s="9" t="n">
        <f aca="false">(parametros_manuales!$D$33*('Plan mensual'!H90+'Plan mensual'!H201+IF(parametros_manuales!$H$33="Todos",'Plan mensual'!H94+'Plan mensual'!H205,0))+parametros_manuales!$E$33*('Plan mensual'!H91+'Plan mensual'!H202+IF(parametros_manuales!$H$33="Todos",'Plan mensual'!H95+'Plan mensual'!H206,0))+parametros_manuales!$F$33*('Plan mensual'!H92+'Plan mensual'!H203+IF(parametros_manuales!$H$33="Todos",'Plan mensual'!H96+'Plan mensual'!H207,0))+parametros_manuales!$G$33*('Plan mensual'!H93+'Plan mensual'!H204+IF(parametros_manuales!$H$33="Todos",'Plan mensual'!H97+'Plan mensual'!H208,0)))*parametros_manuales!$I$33*parametros_manuales!$J$33</f>
        <v>17938.99319756</v>
      </c>
      <c r="G232" s="9" t="n">
        <f aca="false">(parametros_manuales!$D$33*('Plan mensual'!I90+'Plan mensual'!I201+IF(parametros_manuales!$H$33="Todos",'Plan mensual'!I94+'Plan mensual'!I205,0))+parametros_manuales!$E$33*('Plan mensual'!I91+'Plan mensual'!I202+IF(parametros_manuales!$H$33="Todos",'Plan mensual'!I95+'Plan mensual'!I206,0))+parametros_manuales!$F$33*('Plan mensual'!I92+'Plan mensual'!I203+IF(parametros_manuales!$H$33="Todos",'Plan mensual'!I96+'Plan mensual'!I207,0))+parametros_manuales!$G$33*('Plan mensual'!I93+'Plan mensual'!I204+IF(parametros_manuales!$H$33="Todos",'Plan mensual'!I97+'Plan mensual'!I208,0)))*parametros_manuales!$I$33*parametros_manuales!$J$33</f>
        <v>17585.151093325</v>
      </c>
      <c r="H232" s="9" t="n">
        <f aca="false">(parametros_manuales!$D$33*('Plan mensual'!J90+'Plan mensual'!J201+IF(parametros_manuales!$H$33="Todos",'Plan mensual'!J94+'Plan mensual'!J205,0))+parametros_manuales!$E$33*('Plan mensual'!J91+'Plan mensual'!J202+IF(parametros_manuales!$H$33="Todos",'Plan mensual'!J95+'Plan mensual'!J206,0))+parametros_manuales!$F$33*('Plan mensual'!J92+'Plan mensual'!J203+IF(parametros_manuales!$H$33="Todos",'Plan mensual'!J96+'Plan mensual'!J207,0))+parametros_manuales!$G$33*('Plan mensual'!J93+'Plan mensual'!J204+IF(parametros_manuales!$H$33="Todos",'Plan mensual'!J97+'Plan mensual'!J208,0)))*parametros_manuales!$I$33*parametros_manuales!$J$33</f>
        <v>18815.95887826</v>
      </c>
      <c r="I232" s="9" t="n">
        <f aca="false">(parametros_manuales!$D$33*('Plan mensual'!K90+'Plan mensual'!K201+IF(parametros_manuales!$H$33="Todos",'Plan mensual'!K94+'Plan mensual'!K205,0))+parametros_manuales!$E$33*('Plan mensual'!K91+'Plan mensual'!K202+IF(parametros_manuales!$H$33="Todos",'Plan mensual'!K95+'Plan mensual'!K206,0))+parametros_manuales!$F$33*('Plan mensual'!K92+'Plan mensual'!K203+IF(parametros_manuales!$H$33="Todos",'Plan mensual'!K96+'Plan mensual'!K207,0))+parametros_manuales!$G$33*('Plan mensual'!K93+'Plan mensual'!K204+IF(parametros_manuales!$H$33="Todos",'Plan mensual'!K97+'Plan mensual'!K208,0)))*parametros_manuales!$I$33*parametros_manuales!$J$33</f>
        <v>18815.95887826</v>
      </c>
      <c r="J232" s="9" t="n">
        <f aca="false">(parametros_manuales!$D$33*('Plan mensual'!L90+'Plan mensual'!L201+IF(parametros_manuales!$H$33="Todos",'Plan mensual'!L94+'Plan mensual'!L205,0))+parametros_manuales!$E$33*('Plan mensual'!L91+'Plan mensual'!L202+IF(parametros_manuales!$H$33="Todos",'Plan mensual'!L95+'Plan mensual'!L206,0))+parametros_manuales!$F$33*('Plan mensual'!L92+'Plan mensual'!L203+IF(parametros_manuales!$H$33="Todos",'Plan mensual'!L96+'Plan mensual'!L207,0))+parametros_manuales!$G$33*('Plan mensual'!L93+'Plan mensual'!L204+IF(parametros_manuales!$H$33="Todos",'Plan mensual'!L97+'Plan mensual'!L208,0)))*parametros_manuales!$I$33*parametros_manuales!$J$33</f>
        <v>18815.95887826</v>
      </c>
      <c r="K232" s="9" t="n">
        <f aca="false">(parametros_manuales!$D$33*('Plan mensual'!M90+'Plan mensual'!M201+IF(parametros_manuales!$H$33="Todos",'Plan mensual'!M94+'Plan mensual'!M205,0))+parametros_manuales!$E$33*('Plan mensual'!M91+'Plan mensual'!M202+IF(parametros_manuales!$H$33="Todos",'Plan mensual'!M95+'Plan mensual'!M206,0))+parametros_manuales!$F$33*('Plan mensual'!M92+'Plan mensual'!M203+IF(parametros_manuales!$H$33="Todos",'Plan mensual'!M96+'Plan mensual'!M207,0))+parametros_manuales!$G$33*('Plan mensual'!M93+'Plan mensual'!M204+IF(parametros_manuales!$H$33="Todos",'Plan mensual'!M97+'Plan mensual'!M208,0)))*parametros_manuales!$I$33*parametros_manuales!$J$33</f>
        <v>18462.116774025</v>
      </c>
      <c r="L232" s="9" t="n">
        <f aca="false">(parametros_manuales!$D$33*('Plan mensual'!N90+'Plan mensual'!N201+IF(parametros_manuales!$H$33="Todos",'Plan mensual'!N94+'Plan mensual'!N205,0))+parametros_manuales!$E$33*('Plan mensual'!N91+'Plan mensual'!N202+IF(parametros_manuales!$H$33="Todos",'Plan mensual'!N95+'Plan mensual'!N206,0))+parametros_manuales!$F$33*('Plan mensual'!N92+'Plan mensual'!N203+IF(parametros_manuales!$H$33="Todos",'Plan mensual'!N96+'Plan mensual'!N207,0))+parametros_manuales!$G$33*('Plan mensual'!N93+'Plan mensual'!N204+IF(parametros_manuales!$H$33="Todos",'Plan mensual'!N97+'Plan mensual'!N208,0)))*parametros_manuales!$I$33*parametros_manuales!$J$33</f>
        <v>18108.27466979</v>
      </c>
      <c r="M232" s="9" t="n">
        <f aca="false">(parametros_manuales!$D$33*('Plan mensual'!O90+'Plan mensual'!O201+IF(parametros_manuales!$H$33="Todos",'Plan mensual'!O94+'Plan mensual'!O205,0))+parametros_manuales!$E$33*('Plan mensual'!O91+'Plan mensual'!O202+IF(parametros_manuales!$H$33="Todos",'Plan mensual'!O95+'Plan mensual'!O206,0))+parametros_manuales!$F$33*('Plan mensual'!O92+'Plan mensual'!O203+IF(parametros_manuales!$H$33="Todos",'Plan mensual'!O96+'Plan mensual'!O207,0))+parametros_manuales!$G$33*('Plan mensual'!O93+'Plan mensual'!O204+IF(parametros_manuales!$H$33="Todos",'Plan mensual'!O97+'Plan mensual'!O208,0)))*parametros_manuales!$I$33*parametros_manuales!$J$33</f>
        <v>28831.70262997</v>
      </c>
      <c r="N232" s="9" t="n">
        <f aca="false">SUM(B232:M232)</f>
        <v>246161.556987</v>
      </c>
      <c r="O232" s="9" t="n">
        <f aca="false">MAX(B232:M232)</f>
        <v>28831.70262997</v>
      </c>
      <c r="P232" s="44" t="n">
        <f aca="false">O232/(parametros_manuales!$B$7)</f>
        <v>192.211350866467</v>
      </c>
      <c r="Q232" s="8" t="str">
        <f aca="false">IF(O232=0,"-",INDEX($B$217:$M$217,MATCH(O232,B232:M232,0)))</f>
        <v>Dic</v>
      </c>
    </row>
    <row r="233" customFormat="false" ht="14.25" hidden="false" customHeight="true" outlineLevel="0" collapsed="false">
      <c r="A233" s="8" t="str">
        <f aca="false">parametros_manuales!$B$34</f>
        <v>Granallado</v>
      </c>
      <c r="B233" s="9" t="n">
        <f aca="false">(parametros_manuales!$D$34*('Plan mensual'!D90+'Plan mensual'!D201+IF(parametros_manuales!$H$34="Todos",'Plan mensual'!D94+'Plan mensual'!D205,0))+parametros_manuales!$E$34*('Plan mensual'!D91+'Plan mensual'!D202+IF(parametros_manuales!$H$34="Todos",'Plan mensual'!D95+'Plan mensual'!D206,0))+parametros_manuales!$F$34*('Plan mensual'!D92+'Plan mensual'!D203+IF(parametros_manuales!$H$34="Todos",'Plan mensual'!D96+'Plan mensual'!D207,0))+parametros_manuales!$G$34*('Plan mensual'!D93+'Plan mensual'!D204+IF(parametros_manuales!$H$34="Todos",'Plan mensual'!D97+'Plan mensual'!D208,0)))*parametros_manuales!$I$34*parametros_manuales!$J$34</f>
        <v>28124.0184215</v>
      </c>
      <c r="C233" s="9" t="n">
        <f aca="false">(parametros_manuales!$D$34*('Plan mensual'!E90+'Plan mensual'!E201+IF(parametros_manuales!$H$34="Todos",'Plan mensual'!E94+'Plan mensual'!E205,0))+parametros_manuales!$E$34*('Plan mensual'!E91+'Plan mensual'!E202+IF(parametros_manuales!$H$34="Todos",'Plan mensual'!E95+'Plan mensual'!E206,0))+parametros_manuales!$F$34*('Plan mensual'!E92+'Plan mensual'!E203+IF(parametros_manuales!$H$34="Todos",'Plan mensual'!E96+'Plan mensual'!E207,0))+parametros_manuales!$G$34*('Plan mensual'!E93+'Plan mensual'!E204+IF(parametros_manuales!$H$34="Todos",'Plan mensual'!E97+'Plan mensual'!E208,0)))*parametros_manuales!$I$34*parametros_manuales!$J$34</f>
        <v>21446.85592036</v>
      </c>
      <c r="D233" s="9" t="n">
        <f aca="false">(parametros_manuales!$D$34*('Plan mensual'!F90+'Plan mensual'!F201+IF(parametros_manuales!$H$34="Todos",'Plan mensual'!F94+'Plan mensual'!F205,0))+parametros_manuales!$E$34*('Plan mensual'!F91+'Plan mensual'!F202+IF(parametros_manuales!$H$34="Todos",'Plan mensual'!F95+'Plan mensual'!F206,0))+parametros_manuales!$F$34*('Plan mensual'!F92+'Plan mensual'!F203+IF(parametros_manuales!$H$34="Todos",'Plan mensual'!F96+'Plan mensual'!F207,0))+parametros_manuales!$G$34*('Plan mensual'!F93+'Plan mensual'!F204+IF(parametros_manuales!$H$34="Todos",'Plan mensual'!F97+'Plan mensual'!F208,0)))*parametros_manuales!$I$34*parametros_manuales!$J$34</f>
        <v>20046.766663195</v>
      </c>
      <c r="E233" s="9" t="n">
        <f aca="false">(parametros_manuales!$D$34*('Plan mensual'!G90+'Plan mensual'!G201+IF(parametros_manuales!$H$34="Todos",'Plan mensual'!G94+'Plan mensual'!G205,0))+parametros_manuales!$E$34*('Plan mensual'!G91+'Plan mensual'!G202+IF(parametros_manuales!$H$34="Todos",'Plan mensual'!G95+'Plan mensual'!G206,0))+parametros_manuales!$F$34*('Plan mensual'!G92+'Plan mensual'!G203+IF(parametros_manuales!$H$34="Todos",'Plan mensual'!G96+'Plan mensual'!G207,0))+parametros_manuales!$G$34*('Plan mensual'!G93+'Plan mensual'!G204+IF(parametros_manuales!$H$34="Todos",'Plan mensual'!G97+'Plan mensual'!G208,0)))*parametros_manuales!$I$34*parametros_manuales!$J$34</f>
        <v>19169.800982495</v>
      </c>
      <c r="F233" s="9" t="n">
        <f aca="false">(parametros_manuales!$D$34*('Plan mensual'!H90+'Plan mensual'!H201+IF(parametros_manuales!$H$34="Todos",'Plan mensual'!H94+'Plan mensual'!H205,0))+parametros_manuales!$E$34*('Plan mensual'!H91+'Plan mensual'!H202+IF(parametros_manuales!$H$34="Todos",'Plan mensual'!H95+'Plan mensual'!H206,0))+parametros_manuales!$F$34*('Plan mensual'!H92+'Plan mensual'!H203+IF(parametros_manuales!$H$34="Todos",'Plan mensual'!H96+'Plan mensual'!H207,0))+parametros_manuales!$G$34*('Plan mensual'!H93+'Plan mensual'!H204+IF(parametros_manuales!$H$34="Todos",'Plan mensual'!H97+'Plan mensual'!H208,0)))*parametros_manuales!$I$34*parametros_manuales!$J$34</f>
        <v>17938.99319756</v>
      </c>
      <c r="G233" s="9" t="n">
        <f aca="false">(parametros_manuales!$D$34*('Plan mensual'!I90+'Plan mensual'!I201+IF(parametros_manuales!$H$34="Todos",'Plan mensual'!I94+'Plan mensual'!I205,0))+parametros_manuales!$E$34*('Plan mensual'!I91+'Plan mensual'!I202+IF(parametros_manuales!$H$34="Todos",'Plan mensual'!I95+'Plan mensual'!I206,0))+parametros_manuales!$F$34*('Plan mensual'!I92+'Plan mensual'!I203+IF(parametros_manuales!$H$34="Todos",'Plan mensual'!I96+'Plan mensual'!I207,0))+parametros_manuales!$G$34*('Plan mensual'!I93+'Plan mensual'!I204+IF(parametros_manuales!$H$34="Todos",'Plan mensual'!I97+'Plan mensual'!I208,0)))*parametros_manuales!$I$34*parametros_manuales!$J$34</f>
        <v>17585.151093325</v>
      </c>
      <c r="H233" s="9" t="n">
        <f aca="false">(parametros_manuales!$D$34*('Plan mensual'!J90+'Plan mensual'!J201+IF(parametros_manuales!$H$34="Todos",'Plan mensual'!J94+'Plan mensual'!J205,0))+parametros_manuales!$E$34*('Plan mensual'!J91+'Plan mensual'!J202+IF(parametros_manuales!$H$34="Todos",'Plan mensual'!J95+'Plan mensual'!J206,0))+parametros_manuales!$F$34*('Plan mensual'!J92+'Plan mensual'!J203+IF(parametros_manuales!$H$34="Todos",'Plan mensual'!J96+'Plan mensual'!J207,0))+parametros_manuales!$G$34*('Plan mensual'!J93+'Plan mensual'!J204+IF(parametros_manuales!$H$34="Todos",'Plan mensual'!J97+'Plan mensual'!J208,0)))*parametros_manuales!$I$34*parametros_manuales!$J$34</f>
        <v>18815.95887826</v>
      </c>
      <c r="I233" s="9" t="n">
        <f aca="false">(parametros_manuales!$D$34*('Plan mensual'!K90+'Plan mensual'!K201+IF(parametros_manuales!$H$34="Todos",'Plan mensual'!K94+'Plan mensual'!K205,0))+parametros_manuales!$E$34*('Plan mensual'!K91+'Plan mensual'!K202+IF(parametros_manuales!$H$34="Todos",'Plan mensual'!K95+'Plan mensual'!K206,0))+parametros_manuales!$F$34*('Plan mensual'!K92+'Plan mensual'!K203+IF(parametros_manuales!$H$34="Todos",'Plan mensual'!K96+'Plan mensual'!K207,0))+parametros_manuales!$G$34*('Plan mensual'!K93+'Plan mensual'!K204+IF(parametros_manuales!$H$34="Todos",'Plan mensual'!K97+'Plan mensual'!K208,0)))*parametros_manuales!$I$34*parametros_manuales!$J$34</f>
        <v>18815.95887826</v>
      </c>
      <c r="J233" s="9" t="n">
        <f aca="false">(parametros_manuales!$D$34*('Plan mensual'!L90+'Plan mensual'!L201+IF(parametros_manuales!$H$34="Todos",'Plan mensual'!L94+'Plan mensual'!L205,0))+parametros_manuales!$E$34*('Plan mensual'!L91+'Plan mensual'!L202+IF(parametros_manuales!$H$34="Todos",'Plan mensual'!L95+'Plan mensual'!L206,0))+parametros_manuales!$F$34*('Plan mensual'!L92+'Plan mensual'!L203+IF(parametros_manuales!$H$34="Todos",'Plan mensual'!L96+'Plan mensual'!L207,0))+parametros_manuales!$G$34*('Plan mensual'!L93+'Plan mensual'!L204+IF(parametros_manuales!$H$34="Todos",'Plan mensual'!L97+'Plan mensual'!L208,0)))*parametros_manuales!$I$34*parametros_manuales!$J$34</f>
        <v>18815.95887826</v>
      </c>
      <c r="K233" s="9" t="n">
        <f aca="false">(parametros_manuales!$D$34*('Plan mensual'!M90+'Plan mensual'!M201+IF(parametros_manuales!$H$34="Todos",'Plan mensual'!M94+'Plan mensual'!M205,0))+parametros_manuales!$E$34*('Plan mensual'!M91+'Plan mensual'!M202+IF(parametros_manuales!$H$34="Todos",'Plan mensual'!M95+'Plan mensual'!M206,0))+parametros_manuales!$F$34*('Plan mensual'!M92+'Plan mensual'!M203+IF(parametros_manuales!$H$34="Todos",'Plan mensual'!M96+'Plan mensual'!M207,0))+parametros_manuales!$G$34*('Plan mensual'!M93+'Plan mensual'!M204+IF(parametros_manuales!$H$34="Todos",'Plan mensual'!M97+'Plan mensual'!M208,0)))*parametros_manuales!$I$34*parametros_manuales!$J$34</f>
        <v>18462.116774025</v>
      </c>
      <c r="L233" s="9" t="n">
        <f aca="false">(parametros_manuales!$D$34*('Plan mensual'!N90+'Plan mensual'!N201+IF(parametros_manuales!$H$34="Todos",'Plan mensual'!N94+'Plan mensual'!N205,0))+parametros_manuales!$E$34*('Plan mensual'!N91+'Plan mensual'!N202+IF(parametros_manuales!$H$34="Todos",'Plan mensual'!N95+'Plan mensual'!N206,0))+parametros_manuales!$F$34*('Plan mensual'!N92+'Plan mensual'!N203+IF(parametros_manuales!$H$34="Todos",'Plan mensual'!N96+'Plan mensual'!N207,0))+parametros_manuales!$G$34*('Plan mensual'!N93+'Plan mensual'!N204+IF(parametros_manuales!$H$34="Todos",'Plan mensual'!N97+'Plan mensual'!N208,0)))*parametros_manuales!$I$34*parametros_manuales!$J$34</f>
        <v>18108.27466979</v>
      </c>
      <c r="M233" s="9" t="n">
        <f aca="false">(parametros_manuales!$D$34*('Plan mensual'!O90+'Plan mensual'!O201+IF(parametros_manuales!$H$34="Todos",'Plan mensual'!O94+'Plan mensual'!O205,0))+parametros_manuales!$E$34*('Plan mensual'!O91+'Plan mensual'!O202+IF(parametros_manuales!$H$34="Todos",'Plan mensual'!O95+'Plan mensual'!O206,0))+parametros_manuales!$F$34*('Plan mensual'!O92+'Plan mensual'!O203+IF(parametros_manuales!$H$34="Todos",'Plan mensual'!O96+'Plan mensual'!O207,0))+parametros_manuales!$G$34*('Plan mensual'!O93+'Plan mensual'!O204+IF(parametros_manuales!$H$34="Todos",'Plan mensual'!O97+'Plan mensual'!O208,0)))*parametros_manuales!$I$34*parametros_manuales!$J$34</f>
        <v>28831.70262997</v>
      </c>
      <c r="N233" s="9" t="n">
        <f aca="false">SUM(B233:M233)</f>
        <v>246161.556987</v>
      </c>
      <c r="O233" s="9" t="n">
        <f aca="false">MAX(B233:M233)</f>
        <v>28831.70262997</v>
      </c>
      <c r="P233" s="44" t="n">
        <f aca="false">O233/(parametros_manuales!$B$7)</f>
        <v>192.211350866467</v>
      </c>
      <c r="Q233" s="8" t="str">
        <f aca="false">IF(O233=0,"-",INDEX($B$217:$M$217,MATCH(O233,B233:M233,0)))</f>
        <v>Dic</v>
      </c>
    </row>
    <row r="234" customFormat="false" ht="14.25" hidden="false" customHeight="true" outlineLevel="0" collapsed="false">
      <c r="A234" s="8" t="str">
        <f aca="false">parametros_manuales!$B$35</f>
        <v>Detección de defectos</v>
      </c>
      <c r="B234" s="9" t="n">
        <f aca="false">(parametros_manuales!$D$35*('Plan mensual'!D90+'Plan mensual'!D201+IF(parametros_manuales!$H$35="Todos",'Plan mensual'!D94+'Plan mensual'!D205,0))+parametros_manuales!$E$35*('Plan mensual'!D91+'Plan mensual'!D202+IF(parametros_manuales!$H$35="Todos",'Plan mensual'!D95+'Plan mensual'!D206,0))+parametros_manuales!$F$35*('Plan mensual'!D92+'Plan mensual'!D203+IF(parametros_manuales!$H$35="Todos",'Plan mensual'!D96+'Plan mensual'!D207,0))+parametros_manuales!$G$35*('Plan mensual'!D93+'Plan mensual'!D204+IF(parametros_manuales!$H$35="Todos",'Plan mensual'!D97+'Plan mensual'!D208,0)))*parametros_manuales!$I$35*parametros_manuales!$J$35</f>
        <v>28124.0184215</v>
      </c>
      <c r="C234" s="9" t="n">
        <f aca="false">(parametros_manuales!$D$35*('Plan mensual'!E90+'Plan mensual'!E201+IF(parametros_manuales!$H$35="Todos",'Plan mensual'!E94+'Plan mensual'!E205,0))+parametros_manuales!$E$35*('Plan mensual'!E91+'Plan mensual'!E202+IF(parametros_manuales!$H$35="Todos",'Plan mensual'!E95+'Plan mensual'!E206,0))+parametros_manuales!$F$35*('Plan mensual'!E92+'Plan mensual'!E203+IF(parametros_manuales!$H$35="Todos",'Plan mensual'!E96+'Plan mensual'!E207,0))+parametros_manuales!$G$35*('Plan mensual'!E93+'Plan mensual'!E204+IF(parametros_manuales!$H$35="Todos",'Plan mensual'!E97+'Plan mensual'!E208,0)))*parametros_manuales!$I$35*parametros_manuales!$J$35</f>
        <v>21446.85592036</v>
      </c>
      <c r="D234" s="9" t="n">
        <f aca="false">(parametros_manuales!$D$35*('Plan mensual'!F90+'Plan mensual'!F201+IF(parametros_manuales!$H$35="Todos",'Plan mensual'!F94+'Plan mensual'!F205,0))+parametros_manuales!$E$35*('Plan mensual'!F91+'Plan mensual'!F202+IF(parametros_manuales!$H$35="Todos",'Plan mensual'!F95+'Plan mensual'!F206,0))+parametros_manuales!$F$35*('Plan mensual'!F92+'Plan mensual'!F203+IF(parametros_manuales!$H$35="Todos",'Plan mensual'!F96+'Plan mensual'!F207,0))+parametros_manuales!$G$35*('Plan mensual'!F93+'Plan mensual'!F204+IF(parametros_manuales!$H$35="Todos",'Plan mensual'!F97+'Plan mensual'!F208,0)))*parametros_manuales!$I$35*parametros_manuales!$J$35</f>
        <v>20046.766663195</v>
      </c>
      <c r="E234" s="9" t="n">
        <f aca="false">(parametros_manuales!$D$35*('Plan mensual'!G90+'Plan mensual'!G201+IF(parametros_manuales!$H$35="Todos",'Plan mensual'!G94+'Plan mensual'!G205,0))+parametros_manuales!$E$35*('Plan mensual'!G91+'Plan mensual'!G202+IF(parametros_manuales!$H$35="Todos",'Plan mensual'!G95+'Plan mensual'!G206,0))+parametros_manuales!$F$35*('Plan mensual'!G92+'Plan mensual'!G203+IF(parametros_manuales!$H$35="Todos",'Plan mensual'!G96+'Plan mensual'!G207,0))+parametros_manuales!$G$35*('Plan mensual'!G93+'Plan mensual'!G204+IF(parametros_manuales!$H$35="Todos",'Plan mensual'!G97+'Plan mensual'!G208,0)))*parametros_manuales!$I$35*parametros_manuales!$J$35</f>
        <v>19169.800982495</v>
      </c>
      <c r="F234" s="9" t="n">
        <f aca="false">(parametros_manuales!$D$35*('Plan mensual'!H90+'Plan mensual'!H201+IF(parametros_manuales!$H$35="Todos",'Plan mensual'!H94+'Plan mensual'!H205,0))+parametros_manuales!$E$35*('Plan mensual'!H91+'Plan mensual'!H202+IF(parametros_manuales!$H$35="Todos",'Plan mensual'!H95+'Plan mensual'!H206,0))+parametros_manuales!$F$35*('Plan mensual'!H92+'Plan mensual'!H203+IF(parametros_manuales!$H$35="Todos",'Plan mensual'!H96+'Plan mensual'!H207,0))+parametros_manuales!$G$35*('Plan mensual'!H93+'Plan mensual'!H204+IF(parametros_manuales!$H$35="Todos",'Plan mensual'!H97+'Plan mensual'!H208,0)))*parametros_manuales!$I$35*parametros_manuales!$J$35</f>
        <v>17938.99319756</v>
      </c>
      <c r="G234" s="9" t="n">
        <f aca="false">(parametros_manuales!$D$35*('Plan mensual'!I90+'Plan mensual'!I201+IF(parametros_manuales!$H$35="Todos",'Plan mensual'!I94+'Plan mensual'!I205,0))+parametros_manuales!$E$35*('Plan mensual'!I91+'Plan mensual'!I202+IF(parametros_manuales!$H$35="Todos",'Plan mensual'!I95+'Plan mensual'!I206,0))+parametros_manuales!$F$35*('Plan mensual'!I92+'Plan mensual'!I203+IF(parametros_manuales!$H$35="Todos",'Plan mensual'!I96+'Plan mensual'!I207,0))+parametros_manuales!$G$35*('Plan mensual'!I93+'Plan mensual'!I204+IF(parametros_manuales!$H$35="Todos",'Plan mensual'!I97+'Plan mensual'!I208,0)))*parametros_manuales!$I$35*parametros_manuales!$J$35</f>
        <v>17585.151093325</v>
      </c>
      <c r="H234" s="9" t="n">
        <f aca="false">(parametros_manuales!$D$35*('Plan mensual'!J90+'Plan mensual'!J201+IF(parametros_manuales!$H$35="Todos",'Plan mensual'!J94+'Plan mensual'!J205,0))+parametros_manuales!$E$35*('Plan mensual'!J91+'Plan mensual'!J202+IF(parametros_manuales!$H$35="Todos",'Plan mensual'!J95+'Plan mensual'!J206,0))+parametros_manuales!$F$35*('Plan mensual'!J92+'Plan mensual'!J203+IF(parametros_manuales!$H$35="Todos",'Plan mensual'!J96+'Plan mensual'!J207,0))+parametros_manuales!$G$35*('Plan mensual'!J93+'Plan mensual'!J204+IF(parametros_manuales!$H$35="Todos",'Plan mensual'!J97+'Plan mensual'!J208,0)))*parametros_manuales!$I$35*parametros_manuales!$J$35</f>
        <v>18815.95887826</v>
      </c>
      <c r="I234" s="9" t="n">
        <f aca="false">(parametros_manuales!$D$35*('Plan mensual'!K90+'Plan mensual'!K201+IF(parametros_manuales!$H$35="Todos",'Plan mensual'!K94+'Plan mensual'!K205,0))+parametros_manuales!$E$35*('Plan mensual'!K91+'Plan mensual'!K202+IF(parametros_manuales!$H$35="Todos",'Plan mensual'!K95+'Plan mensual'!K206,0))+parametros_manuales!$F$35*('Plan mensual'!K92+'Plan mensual'!K203+IF(parametros_manuales!$H$35="Todos",'Plan mensual'!K96+'Plan mensual'!K207,0))+parametros_manuales!$G$35*('Plan mensual'!K93+'Plan mensual'!K204+IF(parametros_manuales!$H$35="Todos",'Plan mensual'!K97+'Plan mensual'!K208,0)))*parametros_manuales!$I$35*parametros_manuales!$J$35</f>
        <v>18815.95887826</v>
      </c>
      <c r="J234" s="9" t="n">
        <f aca="false">(parametros_manuales!$D$35*('Plan mensual'!L90+'Plan mensual'!L201+IF(parametros_manuales!$H$35="Todos",'Plan mensual'!L94+'Plan mensual'!L205,0))+parametros_manuales!$E$35*('Plan mensual'!L91+'Plan mensual'!L202+IF(parametros_manuales!$H$35="Todos",'Plan mensual'!L95+'Plan mensual'!L206,0))+parametros_manuales!$F$35*('Plan mensual'!L92+'Plan mensual'!L203+IF(parametros_manuales!$H$35="Todos",'Plan mensual'!L96+'Plan mensual'!L207,0))+parametros_manuales!$G$35*('Plan mensual'!L93+'Plan mensual'!L204+IF(parametros_manuales!$H$35="Todos",'Plan mensual'!L97+'Plan mensual'!L208,0)))*parametros_manuales!$I$35*parametros_manuales!$J$35</f>
        <v>18815.95887826</v>
      </c>
      <c r="K234" s="9" t="n">
        <f aca="false">(parametros_manuales!$D$35*('Plan mensual'!M90+'Plan mensual'!M201+IF(parametros_manuales!$H$35="Todos",'Plan mensual'!M94+'Plan mensual'!M205,0))+parametros_manuales!$E$35*('Plan mensual'!M91+'Plan mensual'!M202+IF(parametros_manuales!$H$35="Todos",'Plan mensual'!M95+'Plan mensual'!M206,0))+parametros_manuales!$F$35*('Plan mensual'!M92+'Plan mensual'!M203+IF(parametros_manuales!$H$35="Todos",'Plan mensual'!M96+'Plan mensual'!M207,0))+parametros_manuales!$G$35*('Plan mensual'!M93+'Plan mensual'!M204+IF(parametros_manuales!$H$35="Todos",'Plan mensual'!M97+'Plan mensual'!M208,0)))*parametros_manuales!$I$35*parametros_manuales!$J$35</f>
        <v>18462.116774025</v>
      </c>
      <c r="L234" s="9" t="n">
        <f aca="false">(parametros_manuales!$D$35*('Plan mensual'!N90+'Plan mensual'!N201+IF(parametros_manuales!$H$35="Todos",'Plan mensual'!N94+'Plan mensual'!N205,0))+parametros_manuales!$E$35*('Plan mensual'!N91+'Plan mensual'!N202+IF(parametros_manuales!$H$35="Todos",'Plan mensual'!N95+'Plan mensual'!N206,0))+parametros_manuales!$F$35*('Plan mensual'!N92+'Plan mensual'!N203+IF(parametros_manuales!$H$35="Todos",'Plan mensual'!N96+'Plan mensual'!N207,0))+parametros_manuales!$G$35*('Plan mensual'!N93+'Plan mensual'!N204+IF(parametros_manuales!$H$35="Todos",'Plan mensual'!N97+'Plan mensual'!N208,0)))*parametros_manuales!$I$35*parametros_manuales!$J$35</f>
        <v>18108.27466979</v>
      </c>
      <c r="M234" s="9" t="n">
        <f aca="false">(parametros_manuales!$D$35*('Plan mensual'!O90+'Plan mensual'!O201+IF(parametros_manuales!$H$35="Todos",'Plan mensual'!O94+'Plan mensual'!O205,0))+parametros_manuales!$E$35*('Plan mensual'!O91+'Plan mensual'!O202+IF(parametros_manuales!$H$35="Todos",'Plan mensual'!O95+'Plan mensual'!O206,0))+parametros_manuales!$F$35*('Plan mensual'!O92+'Plan mensual'!O203+IF(parametros_manuales!$H$35="Todos",'Plan mensual'!O96+'Plan mensual'!O207,0))+parametros_manuales!$G$35*('Plan mensual'!O93+'Plan mensual'!O204+IF(parametros_manuales!$H$35="Todos",'Plan mensual'!O97+'Plan mensual'!O208,0)))*parametros_manuales!$I$35*parametros_manuales!$J$35</f>
        <v>28831.70262997</v>
      </c>
      <c r="N234" s="9" t="n">
        <f aca="false">SUM(B234:M234)</f>
        <v>246161.556987</v>
      </c>
      <c r="O234" s="9" t="n">
        <f aca="false">MAX(B234:M234)</f>
        <v>28831.70262997</v>
      </c>
      <c r="P234" s="44" t="n">
        <f aca="false">O234/(parametros_manuales!$B$7)</f>
        <v>192.211350866467</v>
      </c>
      <c r="Q234" s="8" t="str">
        <f aca="false">IF(O234=0,"-",INDEX($B$217:$M$217,MATCH(O234,B234:M234,0)))</f>
        <v>Dic</v>
      </c>
    </row>
    <row r="235" customFormat="false" ht="14.25" hidden="false" customHeight="true" outlineLevel="0" collapsed="false">
      <c r="A235" s="8" t="str">
        <f aca="false">parametros_manuales!$B$36</f>
        <v>Corrección de defectos</v>
      </c>
      <c r="B235" s="9" t="n">
        <f aca="false">(parametros_manuales!$D$36*('Plan mensual'!D90+'Plan mensual'!D201+IF(parametros_manuales!$H$36="Todos",'Plan mensual'!D94+'Plan mensual'!D205,0))+parametros_manuales!$E$36*('Plan mensual'!D91+'Plan mensual'!D202+IF(parametros_manuales!$H$36="Todos",'Plan mensual'!D95+'Plan mensual'!D206,0))+parametros_manuales!$F$36*('Plan mensual'!D92+'Plan mensual'!D203+IF(parametros_manuales!$H$36="Todos",'Plan mensual'!D96+'Plan mensual'!D207,0))+parametros_manuales!$G$36*('Plan mensual'!D93+'Plan mensual'!D204+IF(parametros_manuales!$H$36="Todos",'Plan mensual'!D97+'Plan mensual'!D208,0)))*parametros_manuales!$I$36*parametros_manuales!$J$36</f>
        <v>1406.200921075</v>
      </c>
      <c r="C235" s="9" t="n">
        <f aca="false">(parametros_manuales!$D$36*('Plan mensual'!E90+'Plan mensual'!E201+IF(parametros_manuales!$H$36="Todos",'Plan mensual'!E94+'Plan mensual'!E205,0))+parametros_manuales!$E$36*('Plan mensual'!E91+'Plan mensual'!E202+IF(parametros_manuales!$H$36="Todos",'Plan mensual'!E95+'Plan mensual'!E206,0))+parametros_manuales!$F$36*('Plan mensual'!E92+'Plan mensual'!E203+IF(parametros_manuales!$H$36="Todos",'Plan mensual'!E96+'Plan mensual'!E207,0))+parametros_manuales!$G$36*('Plan mensual'!E93+'Plan mensual'!E204+IF(parametros_manuales!$H$36="Todos",'Plan mensual'!E97+'Plan mensual'!E208,0)))*parametros_manuales!$I$36*parametros_manuales!$J$36</f>
        <v>1072.342796018</v>
      </c>
      <c r="D235" s="9" t="n">
        <f aca="false">(parametros_manuales!$D$36*('Plan mensual'!F90+'Plan mensual'!F201+IF(parametros_manuales!$H$36="Todos",'Plan mensual'!F94+'Plan mensual'!F205,0))+parametros_manuales!$E$36*('Plan mensual'!F91+'Plan mensual'!F202+IF(parametros_manuales!$H$36="Todos",'Plan mensual'!F95+'Plan mensual'!F206,0))+parametros_manuales!$F$36*('Plan mensual'!F92+'Plan mensual'!F203+IF(parametros_manuales!$H$36="Todos",'Plan mensual'!F96+'Plan mensual'!F207,0))+parametros_manuales!$G$36*('Plan mensual'!F93+'Plan mensual'!F204+IF(parametros_manuales!$H$36="Todos",'Plan mensual'!F97+'Plan mensual'!F208,0)))*parametros_manuales!$I$36*parametros_manuales!$J$36</f>
        <v>1002.33833315975</v>
      </c>
      <c r="E235" s="9" t="n">
        <f aca="false">(parametros_manuales!$D$36*('Plan mensual'!G90+'Plan mensual'!G201+IF(parametros_manuales!$H$36="Todos",'Plan mensual'!G94+'Plan mensual'!G205,0))+parametros_manuales!$E$36*('Plan mensual'!G91+'Plan mensual'!G202+IF(parametros_manuales!$H$36="Todos",'Plan mensual'!G95+'Plan mensual'!G206,0))+parametros_manuales!$F$36*('Plan mensual'!G92+'Plan mensual'!G203+IF(parametros_manuales!$H$36="Todos",'Plan mensual'!G96+'Plan mensual'!G207,0))+parametros_manuales!$G$36*('Plan mensual'!G93+'Plan mensual'!G204+IF(parametros_manuales!$H$36="Todos",'Plan mensual'!G97+'Plan mensual'!G208,0)))*parametros_manuales!$I$36*parametros_manuales!$J$36</f>
        <v>958.49004912475</v>
      </c>
      <c r="F235" s="9" t="n">
        <f aca="false">(parametros_manuales!$D$36*('Plan mensual'!H90+'Plan mensual'!H201+IF(parametros_manuales!$H$36="Todos",'Plan mensual'!H94+'Plan mensual'!H205,0))+parametros_manuales!$E$36*('Plan mensual'!H91+'Plan mensual'!H202+IF(parametros_manuales!$H$36="Todos",'Plan mensual'!H95+'Plan mensual'!H206,0))+parametros_manuales!$F$36*('Plan mensual'!H92+'Plan mensual'!H203+IF(parametros_manuales!$H$36="Todos",'Plan mensual'!H96+'Plan mensual'!H207,0))+parametros_manuales!$G$36*('Plan mensual'!H93+'Plan mensual'!H204+IF(parametros_manuales!$H$36="Todos",'Plan mensual'!H97+'Plan mensual'!H208,0)))*parametros_manuales!$I$36*parametros_manuales!$J$36</f>
        <v>896.949659878</v>
      </c>
      <c r="G235" s="9" t="n">
        <f aca="false">(parametros_manuales!$D$36*('Plan mensual'!I90+'Plan mensual'!I201+IF(parametros_manuales!$H$36="Todos",'Plan mensual'!I94+'Plan mensual'!I205,0))+parametros_manuales!$E$36*('Plan mensual'!I91+'Plan mensual'!I202+IF(parametros_manuales!$H$36="Todos",'Plan mensual'!I95+'Plan mensual'!I206,0))+parametros_manuales!$F$36*('Plan mensual'!I92+'Plan mensual'!I203+IF(parametros_manuales!$H$36="Todos",'Plan mensual'!I96+'Plan mensual'!I207,0))+parametros_manuales!$G$36*('Plan mensual'!I93+'Plan mensual'!I204+IF(parametros_manuales!$H$36="Todos",'Plan mensual'!I97+'Plan mensual'!I208,0)))*parametros_manuales!$I$36*parametros_manuales!$J$36</f>
        <v>879.25755466625</v>
      </c>
      <c r="H235" s="9" t="n">
        <f aca="false">(parametros_manuales!$D$36*('Plan mensual'!J90+'Plan mensual'!J201+IF(parametros_manuales!$H$36="Todos",'Plan mensual'!J94+'Plan mensual'!J205,0))+parametros_manuales!$E$36*('Plan mensual'!J91+'Plan mensual'!J202+IF(parametros_manuales!$H$36="Todos",'Plan mensual'!J95+'Plan mensual'!J206,0))+parametros_manuales!$F$36*('Plan mensual'!J92+'Plan mensual'!J203+IF(parametros_manuales!$H$36="Todos",'Plan mensual'!J96+'Plan mensual'!J207,0))+parametros_manuales!$G$36*('Plan mensual'!J93+'Plan mensual'!J204+IF(parametros_manuales!$H$36="Todos",'Plan mensual'!J97+'Plan mensual'!J208,0)))*parametros_manuales!$I$36*parametros_manuales!$J$36</f>
        <v>940.797943913</v>
      </c>
      <c r="I235" s="9" t="n">
        <f aca="false">(parametros_manuales!$D$36*('Plan mensual'!K90+'Plan mensual'!K201+IF(parametros_manuales!$H$36="Todos",'Plan mensual'!K94+'Plan mensual'!K205,0))+parametros_manuales!$E$36*('Plan mensual'!K91+'Plan mensual'!K202+IF(parametros_manuales!$H$36="Todos",'Plan mensual'!K95+'Plan mensual'!K206,0))+parametros_manuales!$F$36*('Plan mensual'!K92+'Plan mensual'!K203+IF(parametros_manuales!$H$36="Todos",'Plan mensual'!K96+'Plan mensual'!K207,0))+parametros_manuales!$G$36*('Plan mensual'!K93+'Plan mensual'!K204+IF(parametros_manuales!$H$36="Todos",'Plan mensual'!K97+'Plan mensual'!K208,0)))*parametros_manuales!$I$36*parametros_manuales!$J$36</f>
        <v>940.797943913</v>
      </c>
      <c r="J235" s="9" t="n">
        <f aca="false">(parametros_manuales!$D$36*('Plan mensual'!L90+'Plan mensual'!L201+IF(parametros_manuales!$H$36="Todos",'Plan mensual'!L94+'Plan mensual'!L205,0))+parametros_manuales!$E$36*('Plan mensual'!L91+'Plan mensual'!L202+IF(parametros_manuales!$H$36="Todos",'Plan mensual'!L95+'Plan mensual'!L206,0))+parametros_manuales!$F$36*('Plan mensual'!L92+'Plan mensual'!L203+IF(parametros_manuales!$H$36="Todos",'Plan mensual'!L96+'Plan mensual'!L207,0))+parametros_manuales!$G$36*('Plan mensual'!L93+'Plan mensual'!L204+IF(parametros_manuales!$H$36="Todos",'Plan mensual'!L97+'Plan mensual'!L208,0)))*parametros_manuales!$I$36*parametros_manuales!$J$36</f>
        <v>940.797943913</v>
      </c>
      <c r="K235" s="9" t="n">
        <f aca="false">(parametros_manuales!$D$36*('Plan mensual'!M90+'Plan mensual'!M201+IF(parametros_manuales!$H$36="Todos",'Plan mensual'!M94+'Plan mensual'!M205,0))+parametros_manuales!$E$36*('Plan mensual'!M91+'Plan mensual'!M202+IF(parametros_manuales!$H$36="Todos",'Plan mensual'!M95+'Plan mensual'!M206,0))+parametros_manuales!$F$36*('Plan mensual'!M92+'Plan mensual'!M203+IF(parametros_manuales!$H$36="Todos",'Plan mensual'!M96+'Plan mensual'!M207,0))+parametros_manuales!$G$36*('Plan mensual'!M93+'Plan mensual'!M204+IF(parametros_manuales!$H$36="Todos",'Plan mensual'!M97+'Plan mensual'!M208,0)))*parametros_manuales!$I$36*parametros_manuales!$J$36</f>
        <v>923.10583870125</v>
      </c>
      <c r="L235" s="9" t="n">
        <f aca="false">(parametros_manuales!$D$36*('Plan mensual'!N90+'Plan mensual'!N201+IF(parametros_manuales!$H$36="Todos",'Plan mensual'!N94+'Plan mensual'!N205,0))+parametros_manuales!$E$36*('Plan mensual'!N91+'Plan mensual'!N202+IF(parametros_manuales!$H$36="Todos",'Plan mensual'!N95+'Plan mensual'!N206,0))+parametros_manuales!$F$36*('Plan mensual'!N92+'Plan mensual'!N203+IF(parametros_manuales!$H$36="Todos",'Plan mensual'!N96+'Plan mensual'!N207,0))+parametros_manuales!$G$36*('Plan mensual'!N93+'Plan mensual'!N204+IF(parametros_manuales!$H$36="Todos",'Plan mensual'!N97+'Plan mensual'!N208,0)))*parametros_manuales!$I$36*parametros_manuales!$J$36</f>
        <v>905.4137334895</v>
      </c>
      <c r="M235" s="9" t="n">
        <f aca="false">(parametros_manuales!$D$36*('Plan mensual'!O90+'Plan mensual'!O201+IF(parametros_manuales!$H$36="Todos",'Plan mensual'!O94+'Plan mensual'!O205,0))+parametros_manuales!$E$36*('Plan mensual'!O91+'Plan mensual'!O202+IF(parametros_manuales!$H$36="Todos",'Plan mensual'!O95+'Plan mensual'!O206,0))+parametros_manuales!$F$36*('Plan mensual'!O92+'Plan mensual'!O203+IF(parametros_manuales!$H$36="Todos",'Plan mensual'!O96+'Plan mensual'!O207,0))+parametros_manuales!$G$36*('Plan mensual'!O93+'Plan mensual'!O204+IF(parametros_manuales!$H$36="Todos",'Plan mensual'!O97+'Plan mensual'!O208,0)))*parametros_manuales!$I$36*parametros_manuales!$J$36</f>
        <v>1441.5851314985</v>
      </c>
      <c r="N235" s="9" t="n">
        <f aca="false">SUM(B235:M235)</f>
        <v>12308.07784935</v>
      </c>
      <c r="O235" s="9" t="n">
        <f aca="false">MAX(B235:M235)</f>
        <v>1441.5851314985</v>
      </c>
      <c r="P235" s="44" t="n">
        <f aca="false">O235/(parametros_manuales!$B$7)</f>
        <v>9.61056754332333</v>
      </c>
      <c r="Q235" s="8" t="str">
        <f aca="false">IF(O235=0,"-",INDEX($B$217:$M$217,MATCH(O235,B235:M235,0)))</f>
        <v>Dic</v>
      </c>
    </row>
    <row r="236" customFormat="false" ht="14.25" hidden="false" customHeight="true" outlineLevel="0" collapsed="false">
      <c r="A236" s="8" t="str">
        <f aca="false">parametros_manuales!$B$37</f>
        <v>Pintura en polvo + horno</v>
      </c>
      <c r="B236" s="9" t="n">
        <f aca="false">(parametros_manuales!$D$37*('Plan mensual'!D90+'Plan mensual'!D201+IF(parametros_manuales!$H$37="Todos",'Plan mensual'!D94+'Plan mensual'!D205,0))+parametros_manuales!$E$37*('Plan mensual'!D91+'Plan mensual'!D202+IF(parametros_manuales!$H$37="Todos",'Plan mensual'!D95+'Plan mensual'!D206,0))+parametros_manuales!$F$37*('Plan mensual'!D92+'Plan mensual'!D203+IF(parametros_manuales!$H$37="Todos",'Plan mensual'!D96+'Plan mensual'!D207,0))+parametros_manuales!$G$37*('Plan mensual'!D93+'Plan mensual'!D204+IF(parametros_manuales!$H$37="Todos",'Plan mensual'!D97+'Plan mensual'!D208,0)))*parametros_manuales!$I$37*parametros_manuales!$J$37</f>
        <v>28124.0184215</v>
      </c>
      <c r="C236" s="9" t="n">
        <f aca="false">(parametros_manuales!$D$37*('Plan mensual'!E90+'Plan mensual'!E201+IF(parametros_manuales!$H$37="Todos",'Plan mensual'!E94+'Plan mensual'!E205,0))+parametros_manuales!$E$37*('Plan mensual'!E91+'Plan mensual'!E202+IF(parametros_manuales!$H$37="Todos",'Plan mensual'!E95+'Plan mensual'!E206,0))+parametros_manuales!$F$37*('Plan mensual'!E92+'Plan mensual'!E203+IF(parametros_manuales!$H$37="Todos",'Plan mensual'!E96+'Plan mensual'!E207,0))+parametros_manuales!$G$37*('Plan mensual'!E93+'Plan mensual'!E204+IF(parametros_manuales!$H$37="Todos",'Plan mensual'!E97+'Plan mensual'!E208,0)))*parametros_manuales!$I$37*parametros_manuales!$J$37</f>
        <v>21446.85592036</v>
      </c>
      <c r="D236" s="9" t="n">
        <f aca="false">(parametros_manuales!$D$37*('Plan mensual'!F90+'Plan mensual'!F201+IF(parametros_manuales!$H$37="Todos",'Plan mensual'!F94+'Plan mensual'!F205,0))+parametros_manuales!$E$37*('Plan mensual'!F91+'Plan mensual'!F202+IF(parametros_manuales!$H$37="Todos",'Plan mensual'!F95+'Plan mensual'!F206,0))+parametros_manuales!$F$37*('Plan mensual'!F92+'Plan mensual'!F203+IF(parametros_manuales!$H$37="Todos",'Plan mensual'!F96+'Plan mensual'!F207,0))+parametros_manuales!$G$37*('Plan mensual'!F93+'Plan mensual'!F204+IF(parametros_manuales!$H$37="Todos",'Plan mensual'!F97+'Plan mensual'!F208,0)))*parametros_manuales!$I$37*parametros_manuales!$J$37</f>
        <v>20046.766663195</v>
      </c>
      <c r="E236" s="9" t="n">
        <f aca="false">(parametros_manuales!$D$37*('Plan mensual'!G90+'Plan mensual'!G201+IF(parametros_manuales!$H$37="Todos",'Plan mensual'!G94+'Plan mensual'!G205,0))+parametros_manuales!$E$37*('Plan mensual'!G91+'Plan mensual'!G202+IF(parametros_manuales!$H$37="Todos",'Plan mensual'!G95+'Plan mensual'!G206,0))+parametros_manuales!$F$37*('Plan mensual'!G92+'Plan mensual'!G203+IF(parametros_manuales!$H$37="Todos",'Plan mensual'!G96+'Plan mensual'!G207,0))+parametros_manuales!$G$37*('Plan mensual'!G93+'Plan mensual'!G204+IF(parametros_manuales!$H$37="Todos",'Plan mensual'!G97+'Plan mensual'!G208,0)))*parametros_manuales!$I$37*parametros_manuales!$J$37</f>
        <v>19169.800982495</v>
      </c>
      <c r="F236" s="9" t="n">
        <f aca="false">(parametros_manuales!$D$37*('Plan mensual'!H90+'Plan mensual'!H201+IF(parametros_manuales!$H$37="Todos",'Plan mensual'!H94+'Plan mensual'!H205,0))+parametros_manuales!$E$37*('Plan mensual'!H91+'Plan mensual'!H202+IF(parametros_manuales!$H$37="Todos",'Plan mensual'!H95+'Plan mensual'!H206,0))+parametros_manuales!$F$37*('Plan mensual'!H92+'Plan mensual'!H203+IF(parametros_manuales!$H$37="Todos",'Plan mensual'!H96+'Plan mensual'!H207,0))+parametros_manuales!$G$37*('Plan mensual'!H93+'Plan mensual'!H204+IF(parametros_manuales!$H$37="Todos",'Plan mensual'!H97+'Plan mensual'!H208,0)))*parametros_manuales!$I$37*parametros_manuales!$J$37</f>
        <v>17938.99319756</v>
      </c>
      <c r="G236" s="9" t="n">
        <f aca="false">(parametros_manuales!$D$37*('Plan mensual'!I90+'Plan mensual'!I201+IF(parametros_manuales!$H$37="Todos",'Plan mensual'!I94+'Plan mensual'!I205,0))+parametros_manuales!$E$37*('Plan mensual'!I91+'Plan mensual'!I202+IF(parametros_manuales!$H$37="Todos",'Plan mensual'!I95+'Plan mensual'!I206,0))+parametros_manuales!$F$37*('Plan mensual'!I92+'Plan mensual'!I203+IF(parametros_manuales!$H$37="Todos",'Plan mensual'!I96+'Plan mensual'!I207,0))+parametros_manuales!$G$37*('Plan mensual'!I93+'Plan mensual'!I204+IF(parametros_manuales!$H$37="Todos",'Plan mensual'!I97+'Plan mensual'!I208,0)))*parametros_manuales!$I$37*parametros_manuales!$J$37</f>
        <v>17585.151093325</v>
      </c>
      <c r="H236" s="9" t="n">
        <f aca="false">(parametros_manuales!$D$37*('Plan mensual'!J90+'Plan mensual'!J201+IF(parametros_manuales!$H$37="Todos",'Plan mensual'!J94+'Plan mensual'!J205,0))+parametros_manuales!$E$37*('Plan mensual'!J91+'Plan mensual'!J202+IF(parametros_manuales!$H$37="Todos",'Plan mensual'!J95+'Plan mensual'!J206,0))+parametros_manuales!$F$37*('Plan mensual'!J92+'Plan mensual'!J203+IF(parametros_manuales!$H$37="Todos",'Plan mensual'!J96+'Plan mensual'!J207,0))+parametros_manuales!$G$37*('Plan mensual'!J93+'Plan mensual'!J204+IF(parametros_manuales!$H$37="Todos",'Plan mensual'!J97+'Plan mensual'!J208,0)))*parametros_manuales!$I$37*parametros_manuales!$J$37</f>
        <v>18815.95887826</v>
      </c>
      <c r="I236" s="9" t="n">
        <f aca="false">(parametros_manuales!$D$37*('Plan mensual'!K90+'Plan mensual'!K201+IF(parametros_manuales!$H$37="Todos",'Plan mensual'!K94+'Plan mensual'!K205,0))+parametros_manuales!$E$37*('Plan mensual'!K91+'Plan mensual'!K202+IF(parametros_manuales!$H$37="Todos",'Plan mensual'!K95+'Plan mensual'!K206,0))+parametros_manuales!$F$37*('Plan mensual'!K92+'Plan mensual'!K203+IF(parametros_manuales!$H$37="Todos",'Plan mensual'!K96+'Plan mensual'!K207,0))+parametros_manuales!$G$37*('Plan mensual'!K93+'Plan mensual'!K204+IF(parametros_manuales!$H$37="Todos",'Plan mensual'!K97+'Plan mensual'!K208,0)))*parametros_manuales!$I$37*parametros_manuales!$J$37</f>
        <v>18815.95887826</v>
      </c>
      <c r="J236" s="9" t="n">
        <f aca="false">(parametros_manuales!$D$37*('Plan mensual'!L90+'Plan mensual'!L201+IF(parametros_manuales!$H$37="Todos",'Plan mensual'!L94+'Plan mensual'!L205,0))+parametros_manuales!$E$37*('Plan mensual'!L91+'Plan mensual'!L202+IF(parametros_manuales!$H$37="Todos",'Plan mensual'!L95+'Plan mensual'!L206,0))+parametros_manuales!$F$37*('Plan mensual'!L92+'Plan mensual'!L203+IF(parametros_manuales!$H$37="Todos",'Plan mensual'!L96+'Plan mensual'!L207,0))+parametros_manuales!$G$37*('Plan mensual'!L93+'Plan mensual'!L204+IF(parametros_manuales!$H$37="Todos",'Plan mensual'!L97+'Plan mensual'!L208,0)))*parametros_manuales!$I$37*parametros_manuales!$J$37</f>
        <v>18815.95887826</v>
      </c>
      <c r="K236" s="9" t="n">
        <f aca="false">(parametros_manuales!$D$37*('Plan mensual'!M90+'Plan mensual'!M201+IF(parametros_manuales!$H$37="Todos",'Plan mensual'!M94+'Plan mensual'!M205,0))+parametros_manuales!$E$37*('Plan mensual'!M91+'Plan mensual'!M202+IF(parametros_manuales!$H$37="Todos",'Plan mensual'!M95+'Plan mensual'!M206,0))+parametros_manuales!$F$37*('Plan mensual'!M92+'Plan mensual'!M203+IF(parametros_manuales!$H$37="Todos",'Plan mensual'!M96+'Plan mensual'!M207,0))+parametros_manuales!$G$37*('Plan mensual'!M93+'Plan mensual'!M204+IF(parametros_manuales!$H$37="Todos",'Plan mensual'!M97+'Plan mensual'!M208,0)))*parametros_manuales!$I$37*parametros_manuales!$J$37</f>
        <v>18462.116774025</v>
      </c>
      <c r="L236" s="9" t="n">
        <f aca="false">(parametros_manuales!$D$37*('Plan mensual'!N90+'Plan mensual'!N201+IF(parametros_manuales!$H$37="Todos",'Plan mensual'!N94+'Plan mensual'!N205,0))+parametros_manuales!$E$37*('Plan mensual'!N91+'Plan mensual'!N202+IF(parametros_manuales!$H$37="Todos",'Plan mensual'!N95+'Plan mensual'!N206,0))+parametros_manuales!$F$37*('Plan mensual'!N92+'Plan mensual'!N203+IF(parametros_manuales!$H$37="Todos",'Plan mensual'!N96+'Plan mensual'!N207,0))+parametros_manuales!$G$37*('Plan mensual'!N93+'Plan mensual'!N204+IF(parametros_manuales!$H$37="Todos",'Plan mensual'!N97+'Plan mensual'!N208,0)))*parametros_manuales!$I$37*parametros_manuales!$J$37</f>
        <v>18108.27466979</v>
      </c>
      <c r="M236" s="9" t="n">
        <f aca="false">(parametros_manuales!$D$37*('Plan mensual'!O90+'Plan mensual'!O201+IF(parametros_manuales!$H$37="Todos",'Plan mensual'!O94+'Plan mensual'!O205,0))+parametros_manuales!$E$37*('Plan mensual'!O91+'Plan mensual'!O202+IF(parametros_manuales!$H$37="Todos",'Plan mensual'!O95+'Plan mensual'!O206,0))+parametros_manuales!$F$37*('Plan mensual'!O92+'Plan mensual'!O203+IF(parametros_manuales!$H$37="Todos",'Plan mensual'!O96+'Plan mensual'!O207,0))+parametros_manuales!$G$37*('Plan mensual'!O93+'Plan mensual'!O204+IF(parametros_manuales!$H$37="Todos",'Plan mensual'!O97+'Plan mensual'!O208,0)))*parametros_manuales!$I$37*parametros_manuales!$J$37</f>
        <v>28831.70262997</v>
      </c>
      <c r="N236" s="9" t="n">
        <f aca="false">SUM(B236:M236)</f>
        <v>246161.556987</v>
      </c>
      <c r="O236" s="9" t="n">
        <f aca="false">MAX(B236:M236)</f>
        <v>28831.70262997</v>
      </c>
      <c r="P236" s="44" t="n">
        <f aca="false">O236/(parametros_manuales!$B$7)</f>
        <v>192.211350866467</v>
      </c>
      <c r="Q236" s="8" t="str">
        <f aca="false">IF(O236=0,"-",INDEX($B$217:$M$217,MATCH(O236,B236:M236,0)))</f>
        <v>Dic</v>
      </c>
    </row>
    <row r="237" customFormat="false" ht="14.25" hidden="false" customHeight="true" outlineLevel="0" collapsed="false">
      <c r="A237" s="8" t="str">
        <f aca="false">parametros_manuales!$B$38</f>
        <v>Carga de polvo</v>
      </c>
      <c r="B237" s="9" t="n">
        <f aca="false">(parametros_manuales!$D$38*('Plan mensual'!D90+'Plan mensual'!D201+IF(parametros_manuales!$H$38="Todos",'Plan mensual'!D94+'Plan mensual'!D205,0))+parametros_manuales!$E$38*('Plan mensual'!D91+'Plan mensual'!D202+IF(parametros_manuales!$H$38="Todos",'Plan mensual'!D95+'Plan mensual'!D206,0))+parametros_manuales!$F$38*('Plan mensual'!D92+'Plan mensual'!D203+IF(parametros_manuales!$H$38="Todos",'Plan mensual'!D96+'Plan mensual'!D207,0))+parametros_manuales!$G$38*('Plan mensual'!D93+'Plan mensual'!D204+IF(parametros_manuales!$H$38="Todos",'Plan mensual'!D97+'Plan mensual'!D208,0)))*parametros_manuales!$I$38*parametros_manuales!$J$38</f>
        <v>6912.5864215</v>
      </c>
      <c r="C237" s="9" t="n">
        <f aca="false">(parametros_manuales!$D$38*('Plan mensual'!E90+'Plan mensual'!E201+IF(parametros_manuales!$H$38="Todos",'Plan mensual'!E94+'Plan mensual'!E205,0))+parametros_manuales!$E$38*('Plan mensual'!E91+'Plan mensual'!E202+IF(parametros_manuales!$H$38="Todos",'Plan mensual'!E95+'Plan mensual'!E206,0))+parametros_manuales!$F$38*('Plan mensual'!E92+'Plan mensual'!E203+IF(parametros_manuales!$H$38="Todos",'Plan mensual'!E96+'Plan mensual'!E207,0))+parametros_manuales!$G$38*('Plan mensual'!E93+'Plan mensual'!E204+IF(parametros_manuales!$H$38="Todos",'Plan mensual'!E97+'Plan mensual'!E208,0)))*parametros_manuales!$I$38*parametros_manuales!$J$38</f>
        <v>5358.62912036</v>
      </c>
      <c r="D237" s="9" t="n">
        <f aca="false">(parametros_manuales!$D$38*('Plan mensual'!F90+'Plan mensual'!F201+IF(parametros_manuales!$H$38="Todos",'Plan mensual'!F94+'Plan mensual'!F205,0))+parametros_manuales!$E$38*('Plan mensual'!F91+'Plan mensual'!F202+IF(parametros_manuales!$H$38="Todos",'Plan mensual'!F95+'Plan mensual'!F206,0))+parametros_manuales!$F$38*('Plan mensual'!F92+'Plan mensual'!F203+IF(parametros_manuales!$H$38="Todos",'Plan mensual'!F96+'Plan mensual'!F207,0))+parametros_manuales!$G$38*('Plan mensual'!F93+'Plan mensual'!F204+IF(parametros_manuales!$H$38="Todos",'Plan mensual'!F97+'Plan mensual'!F208,0)))*parametros_manuales!$I$38*parametros_manuales!$J$38</f>
        <v>5247.085063195</v>
      </c>
      <c r="E237" s="9" t="n">
        <f aca="false">(parametros_manuales!$D$38*('Plan mensual'!G90+'Plan mensual'!G201+IF(parametros_manuales!$H$38="Todos",'Plan mensual'!G94+'Plan mensual'!G205,0))+parametros_manuales!$E$38*('Plan mensual'!G91+'Plan mensual'!G202+IF(parametros_manuales!$H$38="Todos",'Plan mensual'!G95+'Plan mensual'!G206,0))+parametros_manuales!$F$38*('Plan mensual'!G92+'Plan mensual'!G203+IF(parametros_manuales!$H$38="Todos",'Plan mensual'!G96+'Plan mensual'!G207,0))+parametros_manuales!$G$38*('Plan mensual'!G93+'Plan mensual'!G204+IF(parametros_manuales!$H$38="Todos",'Plan mensual'!G97+'Plan mensual'!G208,0)))*parametros_manuales!$I$38*parametros_manuales!$J$38</f>
        <v>5104.218382495</v>
      </c>
      <c r="F237" s="9" t="n">
        <f aca="false">(parametros_manuales!$D$38*('Plan mensual'!H90+'Plan mensual'!H201+IF(parametros_manuales!$H$38="Todos",'Plan mensual'!H94+'Plan mensual'!H205,0))+parametros_manuales!$E$38*('Plan mensual'!H91+'Plan mensual'!H202+IF(parametros_manuales!$H$38="Todos",'Plan mensual'!H95+'Plan mensual'!H206,0))+parametros_manuales!$F$38*('Plan mensual'!H92+'Plan mensual'!H203+IF(parametros_manuales!$H$38="Todos",'Plan mensual'!H96+'Plan mensual'!H207,0))+parametros_manuales!$G$38*('Plan mensual'!H93+'Plan mensual'!H204+IF(parametros_manuales!$H$38="Todos",'Plan mensual'!H97+'Plan mensual'!H208,0)))*parametros_manuales!$I$38*parametros_manuales!$J$38</f>
        <v>4787.16239756</v>
      </c>
      <c r="G237" s="9" t="n">
        <f aca="false">(parametros_manuales!$D$38*('Plan mensual'!I90+'Plan mensual'!I201+IF(parametros_manuales!$H$38="Todos",'Plan mensual'!I94+'Plan mensual'!I205,0))+parametros_manuales!$E$38*('Plan mensual'!I91+'Plan mensual'!I202+IF(parametros_manuales!$H$38="Todos",'Plan mensual'!I95+'Plan mensual'!I206,0))+parametros_manuales!$F$38*('Plan mensual'!I92+'Plan mensual'!I203+IF(parametros_manuales!$H$38="Todos",'Plan mensual'!I96+'Plan mensual'!I207,0))+parametros_manuales!$G$38*('Plan mensual'!I93+'Plan mensual'!I204+IF(parametros_manuales!$H$38="Todos",'Plan mensual'!I97+'Plan mensual'!I208,0)))*parametros_manuales!$I$38*parametros_manuales!$J$38</f>
        <v>4612.973093325</v>
      </c>
      <c r="H237" s="9" t="n">
        <f aca="false">(parametros_manuales!$D$38*('Plan mensual'!J90+'Plan mensual'!J201+IF(parametros_manuales!$H$38="Todos",'Plan mensual'!J94+'Plan mensual'!J205,0))+parametros_manuales!$E$38*('Plan mensual'!J91+'Plan mensual'!J202+IF(parametros_manuales!$H$38="Todos",'Plan mensual'!J95+'Plan mensual'!J206,0))+parametros_manuales!$F$38*('Plan mensual'!J92+'Plan mensual'!J203+IF(parametros_manuales!$H$38="Todos",'Plan mensual'!J96+'Plan mensual'!J207,0))+parametros_manuales!$G$38*('Plan mensual'!J93+'Plan mensual'!J204+IF(parametros_manuales!$H$38="Todos",'Plan mensual'!J97+'Plan mensual'!J208,0)))*parametros_manuales!$I$38*parametros_manuales!$J$38</f>
        <v>4930.02907826</v>
      </c>
      <c r="I237" s="9" t="n">
        <f aca="false">(parametros_manuales!$D$38*('Plan mensual'!K90+'Plan mensual'!K201+IF(parametros_manuales!$H$38="Todos",'Plan mensual'!K94+'Plan mensual'!K205,0))+parametros_manuales!$E$38*('Plan mensual'!K91+'Plan mensual'!K202+IF(parametros_manuales!$H$38="Todos",'Plan mensual'!K95+'Plan mensual'!K206,0))+parametros_manuales!$F$38*('Plan mensual'!K92+'Plan mensual'!K203+IF(parametros_manuales!$H$38="Todos",'Plan mensual'!K96+'Plan mensual'!K207,0))+parametros_manuales!$G$38*('Plan mensual'!K93+'Plan mensual'!K204+IF(parametros_manuales!$H$38="Todos",'Plan mensual'!K97+'Plan mensual'!K208,0)))*parametros_manuales!$I$38*parametros_manuales!$J$38</f>
        <v>4930.02907826</v>
      </c>
      <c r="J237" s="9" t="n">
        <f aca="false">(parametros_manuales!$D$38*('Plan mensual'!L90+'Plan mensual'!L201+IF(parametros_manuales!$H$38="Todos",'Plan mensual'!L94+'Plan mensual'!L205,0))+parametros_manuales!$E$38*('Plan mensual'!L91+'Plan mensual'!L202+IF(parametros_manuales!$H$38="Todos",'Plan mensual'!L95+'Plan mensual'!L206,0))+parametros_manuales!$F$38*('Plan mensual'!L92+'Plan mensual'!L203+IF(parametros_manuales!$H$38="Todos",'Plan mensual'!L96+'Plan mensual'!L207,0))+parametros_manuales!$G$38*('Plan mensual'!L93+'Plan mensual'!L204+IF(parametros_manuales!$H$38="Todos",'Plan mensual'!L97+'Plan mensual'!L208,0)))*parametros_manuales!$I$38*parametros_manuales!$J$38</f>
        <v>4930.02907826</v>
      </c>
      <c r="K237" s="9" t="n">
        <f aca="false">(parametros_manuales!$D$38*('Plan mensual'!M90+'Plan mensual'!M201+IF(parametros_manuales!$H$38="Todos",'Plan mensual'!M94+'Plan mensual'!M205,0))+parametros_manuales!$E$38*('Plan mensual'!M91+'Plan mensual'!M202+IF(parametros_manuales!$H$38="Todos",'Plan mensual'!M95+'Plan mensual'!M206,0))+parametros_manuales!$F$38*('Plan mensual'!M92+'Plan mensual'!M203+IF(parametros_manuales!$H$38="Todos",'Plan mensual'!M96+'Plan mensual'!M207,0))+parametros_manuales!$G$38*('Plan mensual'!M93+'Plan mensual'!M204+IF(parametros_manuales!$H$38="Todos",'Plan mensual'!M97+'Plan mensual'!M208,0)))*parametros_manuales!$I$38*parametros_manuales!$J$38</f>
        <v>4755.839774025</v>
      </c>
      <c r="L237" s="9" t="n">
        <f aca="false">(parametros_manuales!$D$38*('Plan mensual'!N90+'Plan mensual'!N201+IF(parametros_manuales!$H$38="Todos",'Plan mensual'!N94+'Plan mensual'!N205,0))+parametros_manuales!$E$38*('Plan mensual'!N91+'Plan mensual'!N202+IF(parametros_manuales!$H$38="Todos",'Plan mensual'!N95+'Plan mensual'!N206,0))+parametros_manuales!$F$38*('Plan mensual'!N92+'Plan mensual'!N203+IF(parametros_manuales!$H$38="Todos",'Plan mensual'!N96+'Plan mensual'!N207,0))+parametros_manuales!$G$38*('Plan mensual'!N93+'Plan mensual'!N204+IF(parametros_manuales!$H$38="Todos",'Plan mensual'!N97+'Plan mensual'!N208,0)))*parametros_manuales!$I$38*parametros_manuales!$J$38</f>
        <v>4581.65046979</v>
      </c>
      <c r="M237" s="9" t="n">
        <f aca="false">(parametros_manuales!$D$38*('Plan mensual'!O90+'Plan mensual'!O201+IF(parametros_manuales!$H$38="Todos",'Plan mensual'!O94+'Plan mensual'!O205,0))+parametros_manuales!$E$38*('Plan mensual'!O91+'Plan mensual'!O202+IF(parametros_manuales!$H$38="Todos",'Plan mensual'!O95+'Plan mensual'!O206,0))+parametros_manuales!$F$38*('Plan mensual'!O92+'Plan mensual'!O203+IF(parametros_manuales!$H$38="Todos",'Plan mensual'!O96+'Plan mensual'!O207,0))+parametros_manuales!$G$38*('Plan mensual'!O93+'Plan mensual'!O204+IF(parametros_manuales!$H$38="Todos",'Plan mensual'!O97+'Plan mensual'!O208,0)))*parametros_manuales!$I$38*parametros_manuales!$J$38</f>
        <v>7260.96502997</v>
      </c>
      <c r="N237" s="9" t="n">
        <f aca="false">SUM(B237:M237)</f>
        <v>63411.196987</v>
      </c>
      <c r="O237" s="9" t="n">
        <f aca="false">MAX(B237:M237)</f>
        <v>7260.96502997</v>
      </c>
      <c r="P237" s="44" t="n">
        <f aca="false">O237/(parametros_manuales!$B$7)</f>
        <v>48.4064335331333</v>
      </c>
      <c r="Q237" s="8" t="str">
        <f aca="false">IF(O237=0,"-",INDEX($B$217:$M$217,MATCH(O237,B237:M237,0)))</f>
        <v>Dic</v>
      </c>
    </row>
    <row r="238" customFormat="false" ht="14.25" hidden="false" customHeight="true" outlineLevel="0" collapsed="false">
      <c r="A238" s="8" t="str">
        <f aca="false">parametros_manuales!$B$39</f>
        <v>Ensamblaje</v>
      </c>
      <c r="B238" s="9" t="n">
        <f aca="false">(parametros_manuales!$D$39*('Plan mensual'!D90+'Plan mensual'!D201+IF(parametros_manuales!$H$39="Todos",'Plan mensual'!D94+'Plan mensual'!D205,0))+parametros_manuales!$E$39*('Plan mensual'!D91+'Plan mensual'!D202+IF(parametros_manuales!$H$39="Todos",'Plan mensual'!D95+'Plan mensual'!D206,0))+parametros_manuales!$F$39*('Plan mensual'!D92+'Plan mensual'!D203+IF(parametros_manuales!$H$39="Todos",'Plan mensual'!D96+'Plan mensual'!D207,0))+parametros_manuales!$G$39*('Plan mensual'!D93+'Plan mensual'!D204+IF(parametros_manuales!$H$39="Todos",'Plan mensual'!D97+'Plan mensual'!D208,0)))*parametros_manuales!$I$39*parametros_manuales!$J$39</f>
        <v>6912.5864215</v>
      </c>
      <c r="C238" s="9" t="n">
        <f aca="false">(parametros_manuales!$D$39*('Plan mensual'!E90+'Plan mensual'!E201+IF(parametros_manuales!$H$39="Todos",'Plan mensual'!E94+'Plan mensual'!E205,0))+parametros_manuales!$E$39*('Plan mensual'!E91+'Plan mensual'!E202+IF(parametros_manuales!$H$39="Todos",'Plan mensual'!E95+'Plan mensual'!E206,0))+parametros_manuales!$F$39*('Plan mensual'!E92+'Plan mensual'!E203+IF(parametros_manuales!$H$39="Todos",'Plan mensual'!E96+'Plan mensual'!E207,0))+parametros_manuales!$G$39*('Plan mensual'!E93+'Plan mensual'!E204+IF(parametros_manuales!$H$39="Todos",'Plan mensual'!E97+'Plan mensual'!E208,0)))*parametros_manuales!$I$39*parametros_manuales!$J$39</f>
        <v>5358.62912036</v>
      </c>
      <c r="D238" s="9" t="n">
        <f aca="false">(parametros_manuales!$D$39*('Plan mensual'!F90+'Plan mensual'!F201+IF(parametros_manuales!$H$39="Todos",'Plan mensual'!F94+'Plan mensual'!F205,0))+parametros_manuales!$E$39*('Plan mensual'!F91+'Plan mensual'!F202+IF(parametros_manuales!$H$39="Todos",'Plan mensual'!F95+'Plan mensual'!F206,0))+parametros_manuales!$F$39*('Plan mensual'!F92+'Plan mensual'!F203+IF(parametros_manuales!$H$39="Todos",'Plan mensual'!F96+'Plan mensual'!F207,0))+parametros_manuales!$G$39*('Plan mensual'!F93+'Plan mensual'!F204+IF(parametros_manuales!$H$39="Todos",'Plan mensual'!F97+'Plan mensual'!F208,0)))*parametros_manuales!$I$39*parametros_manuales!$J$39</f>
        <v>5247.085063195</v>
      </c>
      <c r="E238" s="9" t="n">
        <f aca="false">(parametros_manuales!$D$39*('Plan mensual'!G90+'Plan mensual'!G201+IF(parametros_manuales!$H$39="Todos",'Plan mensual'!G94+'Plan mensual'!G205,0))+parametros_manuales!$E$39*('Plan mensual'!G91+'Plan mensual'!G202+IF(parametros_manuales!$H$39="Todos",'Plan mensual'!G95+'Plan mensual'!G206,0))+parametros_manuales!$F$39*('Plan mensual'!G92+'Plan mensual'!G203+IF(parametros_manuales!$H$39="Todos",'Plan mensual'!G96+'Plan mensual'!G207,0))+parametros_manuales!$G$39*('Plan mensual'!G93+'Plan mensual'!G204+IF(parametros_manuales!$H$39="Todos",'Plan mensual'!G97+'Plan mensual'!G208,0)))*parametros_manuales!$I$39*parametros_manuales!$J$39</f>
        <v>5104.218382495</v>
      </c>
      <c r="F238" s="9" t="n">
        <f aca="false">(parametros_manuales!$D$39*('Plan mensual'!H90+'Plan mensual'!H201+IF(parametros_manuales!$H$39="Todos",'Plan mensual'!H94+'Plan mensual'!H205,0))+parametros_manuales!$E$39*('Plan mensual'!H91+'Plan mensual'!H202+IF(parametros_manuales!$H$39="Todos",'Plan mensual'!H95+'Plan mensual'!H206,0))+parametros_manuales!$F$39*('Plan mensual'!H92+'Plan mensual'!H203+IF(parametros_manuales!$H$39="Todos",'Plan mensual'!H96+'Plan mensual'!H207,0))+parametros_manuales!$G$39*('Plan mensual'!H93+'Plan mensual'!H204+IF(parametros_manuales!$H$39="Todos",'Plan mensual'!H97+'Plan mensual'!H208,0)))*parametros_manuales!$I$39*parametros_manuales!$J$39</f>
        <v>4787.16239756</v>
      </c>
      <c r="G238" s="9" t="n">
        <f aca="false">(parametros_manuales!$D$39*('Plan mensual'!I90+'Plan mensual'!I201+IF(parametros_manuales!$H$39="Todos",'Plan mensual'!I94+'Plan mensual'!I205,0))+parametros_manuales!$E$39*('Plan mensual'!I91+'Plan mensual'!I202+IF(parametros_manuales!$H$39="Todos",'Plan mensual'!I95+'Plan mensual'!I206,0))+parametros_manuales!$F$39*('Plan mensual'!I92+'Plan mensual'!I203+IF(parametros_manuales!$H$39="Todos",'Plan mensual'!I96+'Plan mensual'!I207,0))+parametros_manuales!$G$39*('Plan mensual'!I93+'Plan mensual'!I204+IF(parametros_manuales!$H$39="Todos",'Plan mensual'!I97+'Plan mensual'!I208,0)))*parametros_manuales!$I$39*parametros_manuales!$J$39</f>
        <v>4612.973093325</v>
      </c>
      <c r="H238" s="9" t="n">
        <f aca="false">(parametros_manuales!$D$39*('Plan mensual'!J90+'Plan mensual'!J201+IF(parametros_manuales!$H$39="Todos",'Plan mensual'!J94+'Plan mensual'!J205,0))+parametros_manuales!$E$39*('Plan mensual'!J91+'Plan mensual'!J202+IF(parametros_manuales!$H$39="Todos",'Plan mensual'!J95+'Plan mensual'!J206,0))+parametros_manuales!$F$39*('Plan mensual'!J92+'Plan mensual'!J203+IF(parametros_manuales!$H$39="Todos",'Plan mensual'!J96+'Plan mensual'!J207,0))+parametros_manuales!$G$39*('Plan mensual'!J93+'Plan mensual'!J204+IF(parametros_manuales!$H$39="Todos",'Plan mensual'!J97+'Plan mensual'!J208,0)))*parametros_manuales!$I$39*parametros_manuales!$J$39</f>
        <v>4930.02907826</v>
      </c>
      <c r="I238" s="9" t="n">
        <f aca="false">(parametros_manuales!$D$39*('Plan mensual'!K90+'Plan mensual'!K201+IF(parametros_manuales!$H$39="Todos",'Plan mensual'!K94+'Plan mensual'!K205,0))+parametros_manuales!$E$39*('Plan mensual'!K91+'Plan mensual'!K202+IF(parametros_manuales!$H$39="Todos",'Plan mensual'!K95+'Plan mensual'!K206,0))+parametros_manuales!$F$39*('Plan mensual'!K92+'Plan mensual'!K203+IF(parametros_manuales!$H$39="Todos",'Plan mensual'!K96+'Plan mensual'!K207,0))+parametros_manuales!$G$39*('Plan mensual'!K93+'Plan mensual'!K204+IF(parametros_manuales!$H$39="Todos",'Plan mensual'!K97+'Plan mensual'!K208,0)))*parametros_manuales!$I$39*parametros_manuales!$J$39</f>
        <v>4930.02907826</v>
      </c>
      <c r="J238" s="9" t="n">
        <f aca="false">(parametros_manuales!$D$39*('Plan mensual'!L90+'Plan mensual'!L201+IF(parametros_manuales!$H$39="Todos",'Plan mensual'!L94+'Plan mensual'!L205,0))+parametros_manuales!$E$39*('Plan mensual'!L91+'Plan mensual'!L202+IF(parametros_manuales!$H$39="Todos",'Plan mensual'!L95+'Plan mensual'!L206,0))+parametros_manuales!$F$39*('Plan mensual'!L92+'Plan mensual'!L203+IF(parametros_manuales!$H$39="Todos",'Plan mensual'!L96+'Plan mensual'!L207,0))+parametros_manuales!$G$39*('Plan mensual'!L93+'Plan mensual'!L204+IF(parametros_manuales!$H$39="Todos",'Plan mensual'!L97+'Plan mensual'!L208,0)))*parametros_manuales!$I$39*parametros_manuales!$J$39</f>
        <v>4930.02907826</v>
      </c>
      <c r="K238" s="9" t="n">
        <f aca="false">(parametros_manuales!$D$39*('Plan mensual'!M90+'Plan mensual'!M201+IF(parametros_manuales!$H$39="Todos",'Plan mensual'!M94+'Plan mensual'!M205,0))+parametros_manuales!$E$39*('Plan mensual'!M91+'Plan mensual'!M202+IF(parametros_manuales!$H$39="Todos",'Plan mensual'!M95+'Plan mensual'!M206,0))+parametros_manuales!$F$39*('Plan mensual'!M92+'Plan mensual'!M203+IF(parametros_manuales!$H$39="Todos",'Plan mensual'!M96+'Plan mensual'!M207,0))+parametros_manuales!$G$39*('Plan mensual'!M93+'Plan mensual'!M204+IF(parametros_manuales!$H$39="Todos",'Plan mensual'!M97+'Plan mensual'!M208,0)))*parametros_manuales!$I$39*parametros_manuales!$J$39</f>
        <v>4755.839774025</v>
      </c>
      <c r="L238" s="9" t="n">
        <f aca="false">(parametros_manuales!$D$39*('Plan mensual'!N90+'Plan mensual'!N201+IF(parametros_manuales!$H$39="Todos",'Plan mensual'!N94+'Plan mensual'!N205,0))+parametros_manuales!$E$39*('Plan mensual'!N91+'Plan mensual'!N202+IF(parametros_manuales!$H$39="Todos",'Plan mensual'!N95+'Plan mensual'!N206,0))+parametros_manuales!$F$39*('Plan mensual'!N92+'Plan mensual'!N203+IF(parametros_manuales!$H$39="Todos",'Plan mensual'!N96+'Plan mensual'!N207,0))+parametros_manuales!$G$39*('Plan mensual'!N93+'Plan mensual'!N204+IF(parametros_manuales!$H$39="Todos",'Plan mensual'!N97+'Plan mensual'!N208,0)))*parametros_manuales!$I$39*parametros_manuales!$J$39</f>
        <v>4581.65046979</v>
      </c>
      <c r="M238" s="9" t="n">
        <f aca="false">(parametros_manuales!$D$39*('Plan mensual'!O90+'Plan mensual'!O201+IF(parametros_manuales!$H$39="Todos",'Plan mensual'!O94+'Plan mensual'!O205,0))+parametros_manuales!$E$39*('Plan mensual'!O91+'Plan mensual'!O202+IF(parametros_manuales!$H$39="Todos",'Plan mensual'!O95+'Plan mensual'!O206,0))+parametros_manuales!$F$39*('Plan mensual'!O92+'Plan mensual'!O203+IF(parametros_manuales!$H$39="Todos",'Plan mensual'!O96+'Plan mensual'!O207,0))+parametros_manuales!$G$39*('Plan mensual'!O93+'Plan mensual'!O204+IF(parametros_manuales!$H$39="Todos",'Plan mensual'!O97+'Plan mensual'!O208,0)))*parametros_manuales!$I$39*parametros_manuales!$J$39</f>
        <v>7260.96502997</v>
      </c>
      <c r="N238" s="9" t="n">
        <f aca="false">SUM(B238:M238)</f>
        <v>63411.196987</v>
      </c>
      <c r="O238" s="9" t="n">
        <f aca="false">MAX(B238:M238)</f>
        <v>7260.96502997</v>
      </c>
      <c r="P238" s="44" t="n">
        <f aca="false">O238/(parametros_manuales!$B$7)</f>
        <v>48.4064335331333</v>
      </c>
      <c r="Q238" s="8" t="str">
        <f aca="false">IF(O238=0,"-",INDEX($B$217:$M$217,MATCH(O238,B238:M238,0)))</f>
        <v>Dic</v>
      </c>
    </row>
    <row r="239" customFormat="false" ht="14.25" hidden="false" customHeight="true" outlineLevel="0" collapsed="false">
      <c r="A239" s="8" t="str">
        <f aca="false">parametros_manuales!$B$40</f>
        <v>Presurización</v>
      </c>
      <c r="B239" s="9" t="n">
        <f aca="false">(parametros_manuales!$D$40*('Plan mensual'!D90+'Plan mensual'!D201+IF(parametros_manuales!$H$40="Todos",'Plan mensual'!D94+'Plan mensual'!D205,0))+parametros_manuales!$E$40*('Plan mensual'!D91+'Plan mensual'!D202+IF(parametros_manuales!$H$40="Todos",'Plan mensual'!D95+'Plan mensual'!D206,0))+parametros_manuales!$F$40*('Plan mensual'!D92+'Plan mensual'!D203+IF(parametros_manuales!$H$40="Todos",'Plan mensual'!D96+'Plan mensual'!D207,0))+parametros_manuales!$G$40*('Plan mensual'!D93+'Plan mensual'!D204+IF(parametros_manuales!$H$40="Todos",'Plan mensual'!D97+'Plan mensual'!D208,0)))*parametros_manuales!$I$40*parametros_manuales!$J$40</f>
        <v>6912.5864215</v>
      </c>
      <c r="C239" s="9" t="n">
        <f aca="false">(parametros_manuales!$D$40*('Plan mensual'!E90+'Plan mensual'!E201+IF(parametros_manuales!$H$40="Todos",'Plan mensual'!E94+'Plan mensual'!E205,0))+parametros_manuales!$E$40*('Plan mensual'!E91+'Plan mensual'!E202+IF(parametros_manuales!$H$40="Todos",'Plan mensual'!E95+'Plan mensual'!E206,0))+parametros_manuales!$F$40*('Plan mensual'!E92+'Plan mensual'!E203+IF(parametros_manuales!$H$40="Todos",'Plan mensual'!E96+'Plan mensual'!E207,0))+parametros_manuales!$G$40*('Plan mensual'!E93+'Plan mensual'!E204+IF(parametros_manuales!$H$40="Todos",'Plan mensual'!E97+'Plan mensual'!E208,0)))*parametros_manuales!$I$40*parametros_manuales!$J$40</f>
        <v>5358.62912036</v>
      </c>
      <c r="D239" s="9" t="n">
        <f aca="false">(parametros_manuales!$D$40*('Plan mensual'!F90+'Plan mensual'!F201+IF(parametros_manuales!$H$40="Todos",'Plan mensual'!F94+'Plan mensual'!F205,0))+parametros_manuales!$E$40*('Plan mensual'!F91+'Plan mensual'!F202+IF(parametros_manuales!$H$40="Todos",'Plan mensual'!F95+'Plan mensual'!F206,0))+parametros_manuales!$F$40*('Plan mensual'!F92+'Plan mensual'!F203+IF(parametros_manuales!$H$40="Todos",'Plan mensual'!F96+'Plan mensual'!F207,0))+parametros_manuales!$G$40*('Plan mensual'!F93+'Plan mensual'!F204+IF(parametros_manuales!$H$40="Todos",'Plan mensual'!F97+'Plan mensual'!F208,0)))*parametros_manuales!$I$40*parametros_manuales!$J$40</f>
        <v>5247.085063195</v>
      </c>
      <c r="E239" s="9" t="n">
        <f aca="false">(parametros_manuales!$D$40*('Plan mensual'!G90+'Plan mensual'!G201+IF(parametros_manuales!$H$40="Todos",'Plan mensual'!G94+'Plan mensual'!G205,0))+parametros_manuales!$E$40*('Plan mensual'!G91+'Plan mensual'!G202+IF(parametros_manuales!$H$40="Todos",'Plan mensual'!G95+'Plan mensual'!G206,0))+parametros_manuales!$F$40*('Plan mensual'!G92+'Plan mensual'!G203+IF(parametros_manuales!$H$40="Todos",'Plan mensual'!G96+'Plan mensual'!G207,0))+parametros_manuales!$G$40*('Plan mensual'!G93+'Plan mensual'!G204+IF(parametros_manuales!$H$40="Todos",'Plan mensual'!G97+'Plan mensual'!G208,0)))*parametros_manuales!$I$40*parametros_manuales!$J$40</f>
        <v>5104.218382495</v>
      </c>
      <c r="F239" s="9" t="n">
        <f aca="false">(parametros_manuales!$D$40*('Plan mensual'!H90+'Plan mensual'!H201+IF(parametros_manuales!$H$40="Todos",'Plan mensual'!H94+'Plan mensual'!H205,0))+parametros_manuales!$E$40*('Plan mensual'!H91+'Plan mensual'!H202+IF(parametros_manuales!$H$40="Todos",'Plan mensual'!H95+'Plan mensual'!H206,0))+parametros_manuales!$F$40*('Plan mensual'!H92+'Plan mensual'!H203+IF(parametros_manuales!$H$40="Todos",'Plan mensual'!H96+'Plan mensual'!H207,0))+parametros_manuales!$G$40*('Plan mensual'!H93+'Plan mensual'!H204+IF(parametros_manuales!$H$40="Todos",'Plan mensual'!H97+'Plan mensual'!H208,0)))*parametros_manuales!$I$40*parametros_manuales!$J$40</f>
        <v>4787.16239756</v>
      </c>
      <c r="G239" s="9" t="n">
        <f aca="false">(parametros_manuales!$D$40*('Plan mensual'!I90+'Plan mensual'!I201+IF(parametros_manuales!$H$40="Todos",'Plan mensual'!I94+'Plan mensual'!I205,0))+parametros_manuales!$E$40*('Plan mensual'!I91+'Plan mensual'!I202+IF(parametros_manuales!$H$40="Todos",'Plan mensual'!I95+'Plan mensual'!I206,0))+parametros_manuales!$F$40*('Plan mensual'!I92+'Plan mensual'!I203+IF(parametros_manuales!$H$40="Todos",'Plan mensual'!I96+'Plan mensual'!I207,0))+parametros_manuales!$G$40*('Plan mensual'!I93+'Plan mensual'!I204+IF(parametros_manuales!$H$40="Todos",'Plan mensual'!I97+'Plan mensual'!I208,0)))*parametros_manuales!$I$40*parametros_manuales!$J$40</f>
        <v>4612.973093325</v>
      </c>
      <c r="H239" s="9" t="n">
        <f aca="false">(parametros_manuales!$D$40*('Plan mensual'!J90+'Plan mensual'!J201+IF(parametros_manuales!$H$40="Todos",'Plan mensual'!J94+'Plan mensual'!J205,0))+parametros_manuales!$E$40*('Plan mensual'!J91+'Plan mensual'!J202+IF(parametros_manuales!$H$40="Todos",'Plan mensual'!J95+'Plan mensual'!J206,0))+parametros_manuales!$F$40*('Plan mensual'!J92+'Plan mensual'!J203+IF(parametros_manuales!$H$40="Todos",'Plan mensual'!J96+'Plan mensual'!J207,0))+parametros_manuales!$G$40*('Plan mensual'!J93+'Plan mensual'!J204+IF(parametros_manuales!$H$40="Todos",'Plan mensual'!J97+'Plan mensual'!J208,0)))*parametros_manuales!$I$40*parametros_manuales!$J$40</f>
        <v>4930.02907826</v>
      </c>
      <c r="I239" s="9" t="n">
        <f aca="false">(parametros_manuales!$D$40*('Plan mensual'!K90+'Plan mensual'!K201+IF(parametros_manuales!$H$40="Todos",'Plan mensual'!K94+'Plan mensual'!K205,0))+parametros_manuales!$E$40*('Plan mensual'!K91+'Plan mensual'!K202+IF(parametros_manuales!$H$40="Todos",'Plan mensual'!K95+'Plan mensual'!K206,0))+parametros_manuales!$F$40*('Plan mensual'!K92+'Plan mensual'!K203+IF(parametros_manuales!$H$40="Todos",'Plan mensual'!K96+'Plan mensual'!K207,0))+parametros_manuales!$G$40*('Plan mensual'!K93+'Plan mensual'!K204+IF(parametros_manuales!$H$40="Todos",'Plan mensual'!K97+'Plan mensual'!K208,0)))*parametros_manuales!$I$40*parametros_manuales!$J$40</f>
        <v>4930.02907826</v>
      </c>
      <c r="J239" s="9" t="n">
        <f aca="false">(parametros_manuales!$D$40*('Plan mensual'!L90+'Plan mensual'!L201+IF(parametros_manuales!$H$40="Todos",'Plan mensual'!L94+'Plan mensual'!L205,0))+parametros_manuales!$E$40*('Plan mensual'!L91+'Plan mensual'!L202+IF(parametros_manuales!$H$40="Todos",'Plan mensual'!L95+'Plan mensual'!L206,0))+parametros_manuales!$F$40*('Plan mensual'!L92+'Plan mensual'!L203+IF(parametros_manuales!$H$40="Todos",'Plan mensual'!L96+'Plan mensual'!L207,0))+parametros_manuales!$G$40*('Plan mensual'!L93+'Plan mensual'!L204+IF(parametros_manuales!$H$40="Todos",'Plan mensual'!L97+'Plan mensual'!L208,0)))*parametros_manuales!$I$40*parametros_manuales!$J$40</f>
        <v>4930.02907826</v>
      </c>
      <c r="K239" s="9" t="n">
        <f aca="false">(parametros_manuales!$D$40*('Plan mensual'!M90+'Plan mensual'!M201+IF(parametros_manuales!$H$40="Todos",'Plan mensual'!M94+'Plan mensual'!M205,0))+parametros_manuales!$E$40*('Plan mensual'!M91+'Plan mensual'!M202+IF(parametros_manuales!$H$40="Todos",'Plan mensual'!M95+'Plan mensual'!M206,0))+parametros_manuales!$F$40*('Plan mensual'!M92+'Plan mensual'!M203+IF(parametros_manuales!$H$40="Todos",'Plan mensual'!M96+'Plan mensual'!M207,0))+parametros_manuales!$G$40*('Plan mensual'!M93+'Plan mensual'!M204+IF(parametros_manuales!$H$40="Todos",'Plan mensual'!M97+'Plan mensual'!M208,0)))*parametros_manuales!$I$40*parametros_manuales!$J$40</f>
        <v>4755.839774025</v>
      </c>
      <c r="L239" s="9" t="n">
        <f aca="false">(parametros_manuales!$D$40*('Plan mensual'!N90+'Plan mensual'!N201+IF(parametros_manuales!$H$40="Todos",'Plan mensual'!N94+'Plan mensual'!N205,0))+parametros_manuales!$E$40*('Plan mensual'!N91+'Plan mensual'!N202+IF(parametros_manuales!$H$40="Todos",'Plan mensual'!N95+'Plan mensual'!N206,0))+parametros_manuales!$F$40*('Plan mensual'!N92+'Plan mensual'!N203+IF(parametros_manuales!$H$40="Todos",'Plan mensual'!N96+'Plan mensual'!N207,0))+parametros_manuales!$G$40*('Plan mensual'!N93+'Plan mensual'!N204+IF(parametros_manuales!$H$40="Todos",'Plan mensual'!N97+'Plan mensual'!N208,0)))*parametros_manuales!$I$40*parametros_manuales!$J$40</f>
        <v>4581.65046979</v>
      </c>
      <c r="M239" s="9" t="n">
        <f aca="false">(parametros_manuales!$D$40*('Plan mensual'!O90+'Plan mensual'!O201+IF(parametros_manuales!$H$40="Todos",'Plan mensual'!O94+'Plan mensual'!O205,0))+parametros_manuales!$E$40*('Plan mensual'!O91+'Plan mensual'!O202+IF(parametros_manuales!$H$40="Todos",'Plan mensual'!O95+'Plan mensual'!O206,0))+parametros_manuales!$F$40*('Plan mensual'!O92+'Plan mensual'!O203+IF(parametros_manuales!$H$40="Todos",'Plan mensual'!O96+'Plan mensual'!O207,0))+parametros_manuales!$G$40*('Plan mensual'!O93+'Plan mensual'!O204+IF(parametros_manuales!$H$40="Todos",'Plan mensual'!O97+'Plan mensual'!O208,0)))*parametros_manuales!$I$40*parametros_manuales!$J$40</f>
        <v>7260.96502997</v>
      </c>
      <c r="N239" s="9" t="n">
        <f aca="false">SUM(B239:M239)</f>
        <v>63411.196987</v>
      </c>
      <c r="O239" s="9" t="n">
        <f aca="false">MAX(B239:M239)</f>
        <v>7260.96502997</v>
      </c>
      <c r="P239" s="44" t="n">
        <f aca="false">O239/(parametros_manuales!$B$7)</f>
        <v>48.4064335331333</v>
      </c>
      <c r="Q239" s="8" t="str">
        <f aca="false">IF(O239=0,"-",INDEX($B$217:$M$217,MATCH(O239,B239:M239,0)))</f>
        <v>Dic</v>
      </c>
    </row>
    <row r="240" customFormat="false" ht="14.25" hidden="false" customHeight="true" outlineLevel="0" collapsed="false">
      <c r="A240" s="8" t="str">
        <f aca="false">parametros_manuales!$B$41</f>
        <v>Control de calidad — Ensayo de pérdidas</v>
      </c>
      <c r="B240" s="9" t="n">
        <f aca="false">(parametros_manuales!$D$41*('Plan mensual'!D90+'Plan mensual'!D201+IF(parametros_manuales!$H$41="Todos",'Plan mensual'!D94+'Plan mensual'!D205,0))+parametros_manuales!$E$41*('Plan mensual'!D91+'Plan mensual'!D202+IF(parametros_manuales!$H$41="Todos",'Plan mensual'!D95+'Plan mensual'!D206,0))+parametros_manuales!$F$41*('Plan mensual'!D92+'Plan mensual'!D203+IF(parametros_manuales!$H$41="Todos",'Plan mensual'!D96+'Plan mensual'!D207,0))+parametros_manuales!$G$41*('Plan mensual'!D93+'Plan mensual'!D204+IF(parametros_manuales!$H$41="Todos",'Plan mensual'!D97+'Plan mensual'!D208,0)))*parametros_manuales!$I$41*parametros_manuales!$J$41</f>
        <v>6912.5864215</v>
      </c>
      <c r="C240" s="9" t="n">
        <f aca="false">(parametros_manuales!$D$41*('Plan mensual'!E90+'Plan mensual'!E201+IF(parametros_manuales!$H$41="Todos",'Plan mensual'!E94+'Plan mensual'!E205,0))+parametros_manuales!$E$41*('Plan mensual'!E91+'Plan mensual'!E202+IF(parametros_manuales!$H$41="Todos",'Plan mensual'!E95+'Plan mensual'!E206,0))+parametros_manuales!$F$41*('Plan mensual'!E92+'Plan mensual'!E203+IF(parametros_manuales!$H$41="Todos",'Plan mensual'!E96+'Plan mensual'!E207,0))+parametros_manuales!$G$41*('Plan mensual'!E93+'Plan mensual'!E204+IF(parametros_manuales!$H$41="Todos",'Plan mensual'!E97+'Plan mensual'!E208,0)))*parametros_manuales!$I$41*parametros_manuales!$J$41</f>
        <v>5358.62912036</v>
      </c>
      <c r="D240" s="9" t="n">
        <f aca="false">(parametros_manuales!$D$41*('Plan mensual'!F90+'Plan mensual'!F201+IF(parametros_manuales!$H$41="Todos",'Plan mensual'!F94+'Plan mensual'!F205,0))+parametros_manuales!$E$41*('Plan mensual'!F91+'Plan mensual'!F202+IF(parametros_manuales!$H$41="Todos",'Plan mensual'!F95+'Plan mensual'!F206,0))+parametros_manuales!$F$41*('Plan mensual'!F92+'Plan mensual'!F203+IF(parametros_manuales!$H$41="Todos",'Plan mensual'!F96+'Plan mensual'!F207,0))+parametros_manuales!$G$41*('Plan mensual'!F93+'Plan mensual'!F204+IF(parametros_manuales!$H$41="Todos",'Plan mensual'!F97+'Plan mensual'!F208,0)))*parametros_manuales!$I$41*parametros_manuales!$J$41</f>
        <v>5247.085063195</v>
      </c>
      <c r="E240" s="9" t="n">
        <f aca="false">(parametros_manuales!$D$41*('Plan mensual'!G90+'Plan mensual'!G201+IF(parametros_manuales!$H$41="Todos",'Plan mensual'!G94+'Plan mensual'!G205,0))+parametros_manuales!$E$41*('Plan mensual'!G91+'Plan mensual'!G202+IF(parametros_manuales!$H$41="Todos",'Plan mensual'!G95+'Plan mensual'!G206,0))+parametros_manuales!$F$41*('Plan mensual'!G92+'Plan mensual'!G203+IF(parametros_manuales!$H$41="Todos",'Plan mensual'!G96+'Plan mensual'!G207,0))+parametros_manuales!$G$41*('Plan mensual'!G93+'Plan mensual'!G204+IF(parametros_manuales!$H$41="Todos",'Plan mensual'!G97+'Plan mensual'!G208,0)))*parametros_manuales!$I$41*parametros_manuales!$J$41</f>
        <v>5104.218382495</v>
      </c>
      <c r="F240" s="9" t="n">
        <f aca="false">(parametros_manuales!$D$41*('Plan mensual'!H90+'Plan mensual'!H201+IF(parametros_manuales!$H$41="Todos",'Plan mensual'!H94+'Plan mensual'!H205,0))+parametros_manuales!$E$41*('Plan mensual'!H91+'Plan mensual'!H202+IF(parametros_manuales!$H$41="Todos",'Plan mensual'!H95+'Plan mensual'!H206,0))+parametros_manuales!$F$41*('Plan mensual'!H92+'Plan mensual'!H203+IF(parametros_manuales!$H$41="Todos",'Plan mensual'!H96+'Plan mensual'!H207,0))+parametros_manuales!$G$41*('Plan mensual'!H93+'Plan mensual'!H204+IF(parametros_manuales!$H$41="Todos",'Plan mensual'!H97+'Plan mensual'!H208,0)))*parametros_manuales!$I$41*parametros_manuales!$J$41</f>
        <v>4787.16239756</v>
      </c>
      <c r="G240" s="9" t="n">
        <f aca="false">(parametros_manuales!$D$41*('Plan mensual'!I90+'Plan mensual'!I201+IF(parametros_manuales!$H$41="Todos",'Plan mensual'!I94+'Plan mensual'!I205,0))+parametros_manuales!$E$41*('Plan mensual'!I91+'Plan mensual'!I202+IF(parametros_manuales!$H$41="Todos",'Plan mensual'!I95+'Plan mensual'!I206,0))+parametros_manuales!$F$41*('Plan mensual'!I92+'Plan mensual'!I203+IF(parametros_manuales!$H$41="Todos",'Plan mensual'!I96+'Plan mensual'!I207,0))+parametros_manuales!$G$41*('Plan mensual'!I93+'Plan mensual'!I204+IF(parametros_manuales!$H$41="Todos",'Plan mensual'!I97+'Plan mensual'!I208,0)))*parametros_manuales!$I$41*parametros_manuales!$J$41</f>
        <v>4612.973093325</v>
      </c>
      <c r="H240" s="9" t="n">
        <f aca="false">(parametros_manuales!$D$41*('Plan mensual'!J90+'Plan mensual'!J201+IF(parametros_manuales!$H$41="Todos",'Plan mensual'!J94+'Plan mensual'!J205,0))+parametros_manuales!$E$41*('Plan mensual'!J91+'Plan mensual'!J202+IF(parametros_manuales!$H$41="Todos",'Plan mensual'!J95+'Plan mensual'!J206,0))+parametros_manuales!$F$41*('Plan mensual'!J92+'Plan mensual'!J203+IF(parametros_manuales!$H$41="Todos",'Plan mensual'!J96+'Plan mensual'!J207,0))+parametros_manuales!$G$41*('Plan mensual'!J93+'Plan mensual'!J204+IF(parametros_manuales!$H$41="Todos",'Plan mensual'!J97+'Plan mensual'!J208,0)))*parametros_manuales!$I$41*parametros_manuales!$J$41</f>
        <v>4930.02907826</v>
      </c>
      <c r="I240" s="9" t="n">
        <f aca="false">(parametros_manuales!$D$41*('Plan mensual'!K90+'Plan mensual'!K201+IF(parametros_manuales!$H$41="Todos",'Plan mensual'!K94+'Plan mensual'!K205,0))+parametros_manuales!$E$41*('Plan mensual'!K91+'Plan mensual'!K202+IF(parametros_manuales!$H$41="Todos",'Plan mensual'!K95+'Plan mensual'!K206,0))+parametros_manuales!$F$41*('Plan mensual'!K92+'Plan mensual'!K203+IF(parametros_manuales!$H$41="Todos",'Plan mensual'!K96+'Plan mensual'!K207,0))+parametros_manuales!$G$41*('Plan mensual'!K93+'Plan mensual'!K204+IF(parametros_manuales!$H$41="Todos",'Plan mensual'!K97+'Plan mensual'!K208,0)))*parametros_manuales!$I$41*parametros_manuales!$J$41</f>
        <v>4930.02907826</v>
      </c>
      <c r="J240" s="9" t="n">
        <f aca="false">(parametros_manuales!$D$41*('Plan mensual'!L90+'Plan mensual'!L201+IF(parametros_manuales!$H$41="Todos",'Plan mensual'!L94+'Plan mensual'!L205,0))+parametros_manuales!$E$41*('Plan mensual'!L91+'Plan mensual'!L202+IF(parametros_manuales!$H$41="Todos",'Plan mensual'!L95+'Plan mensual'!L206,0))+parametros_manuales!$F$41*('Plan mensual'!L92+'Plan mensual'!L203+IF(parametros_manuales!$H$41="Todos",'Plan mensual'!L96+'Plan mensual'!L207,0))+parametros_manuales!$G$41*('Plan mensual'!L93+'Plan mensual'!L204+IF(parametros_manuales!$H$41="Todos",'Plan mensual'!L97+'Plan mensual'!L208,0)))*parametros_manuales!$I$41*parametros_manuales!$J$41</f>
        <v>4930.02907826</v>
      </c>
      <c r="K240" s="9" t="n">
        <f aca="false">(parametros_manuales!$D$41*('Plan mensual'!M90+'Plan mensual'!M201+IF(parametros_manuales!$H$41="Todos",'Plan mensual'!M94+'Plan mensual'!M205,0))+parametros_manuales!$E$41*('Plan mensual'!M91+'Plan mensual'!M202+IF(parametros_manuales!$H$41="Todos",'Plan mensual'!M95+'Plan mensual'!M206,0))+parametros_manuales!$F$41*('Plan mensual'!M92+'Plan mensual'!M203+IF(parametros_manuales!$H$41="Todos",'Plan mensual'!M96+'Plan mensual'!M207,0))+parametros_manuales!$G$41*('Plan mensual'!M93+'Plan mensual'!M204+IF(parametros_manuales!$H$41="Todos",'Plan mensual'!M97+'Plan mensual'!M208,0)))*parametros_manuales!$I$41*parametros_manuales!$J$41</f>
        <v>4755.839774025</v>
      </c>
      <c r="L240" s="9" t="n">
        <f aca="false">(parametros_manuales!$D$41*('Plan mensual'!N90+'Plan mensual'!N201+IF(parametros_manuales!$H$41="Todos",'Plan mensual'!N94+'Plan mensual'!N205,0))+parametros_manuales!$E$41*('Plan mensual'!N91+'Plan mensual'!N202+IF(parametros_manuales!$H$41="Todos",'Plan mensual'!N95+'Plan mensual'!N206,0))+parametros_manuales!$F$41*('Plan mensual'!N92+'Plan mensual'!N203+IF(parametros_manuales!$H$41="Todos",'Plan mensual'!N96+'Plan mensual'!N207,0))+parametros_manuales!$G$41*('Plan mensual'!N93+'Plan mensual'!N204+IF(parametros_manuales!$H$41="Todos",'Plan mensual'!N97+'Plan mensual'!N208,0)))*parametros_manuales!$I$41*parametros_manuales!$J$41</f>
        <v>4581.65046979</v>
      </c>
      <c r="M240" s="9" t="n">
        <f aca="false">(parametros_manuales!$D$41*('Plan mensual'!O90+'Plan mensual'!O201+IF(parametros_manuales!$H$41="Todos",'Plan mensual'!O94+'Plan mensual'!O205,0))+parametros_manuales!$E$41*('Plan mensual'!O91+'Plan mensual'!O202+IF(parametros_manuales!$H$41="Todos",'Plan mensual'!O95+'Plan mensual'!O206,0))+parametros_manuales!$F$41*('Plan mensual'!O92+'Plan mensual'!O203+IF(parametros_manuales!$H$41="Todos",'Plan mensual'!O96+'Plan mensual'!O207,0))+parametros_manuales!$G$41*('Plan mensual'!O93+'Plan mensual'!O204+IF(parametros_manuales!$H$41="Todos",'Plan mensual'!O97+'Plan mensual'!O208,0)))*parametros_manuales!$I$41*parametros_manuales!$J$41</f>
        <v>7260.96502997</v>
      </c>
      <c r="N240" s="9" t="n">
        <f aca="false">SUM(B240:M240)</f>
        <v>63411.196987</v>
      </c>
      <c r="O240" s="9" t="n">
        <f aca="false">MAX(B240:M240)</f>
        <v>7260.96502997</v>
      </c>
      <c r="P240" s="44" t="n">
        <f aca="false">O240/(parametros_manuales!$B$7)</f>
        <v>48.4064335331333</v>
      </c>
      <c r="Q240" s="8" t="str">
        <f aca="false">IF(O240=0,"-",INDEX($B$217:$M$217,MATCH(O240,B240:M240,0)))</f>
        <v>Dic</v>
      </c>
    </row>
    <row r="241" customFormat="false" ht="14.25" hidden="false" customHeight="true" outlineLevel="0" collapsed="false">
      <c r="A241" s="8" t="str">
        <f aca="false">parametros_manuales!$B$42</f>
        <v>Etiquetado</v>
      </c>
      <c r="B241" s="9" t="n">
        <f aca="false">(parametros_manuales!$D$42*('Plan mensual'!D90+'Plan mensual'!D201+IF(parametros_manuales!$H$42="Todos",'Plan mensual'!D94+'Plan mensual'!D205,0))+parametros_manuales!$E$42*('Plan mensual'!D91+'Plan mensual'!D202+IF(parametros_manuales!$H$42="Todos",'Plan mensual'!D95+'Plan mensual'!D206,0))+parametros_manuales!$F$42*('Plan mensual'!D92+'Plan mensual'!D203+IF(parametros_manuales!$H$42="Todos",'Plan mensual'!D96+'Plan mensual'!D207,0))+parametros_manuales!$G$42*('Plan mensual'!D93+'Plan mensual'!D204+IF(parametros_manuales!$H$42="Todos",'Plan mensual'!D97+'Plan mensual'!D208,0)))*parametros_manuales!$I$42*parametros_manuales!$J$42</f>
        <v>6912.5864215</v>
      </c>
      <c r="C241" s="9" t="n">
        <f aca="false">(parametros_manuales!$D$42*('Plan mensual'!E90+'Plan mensual'!E201+IF(parametros_manuales!$H$42="Todos",'Plan mensual'!E94+'Plan mensual'!E205,0))+parametros_manuales!$E$42*('Plan mensual'!E91+'Plan mensual'!E202+IF(parametros_manuales!$H$42="Todos",'Plan mensual'!E95+'Plan mensual'!E206,0))+parametros_manuales!$F$42*('Plan mensual'!E92+'Plan mensual'!E203+IF(parametros_manuales!$H$42="Todos",'Plan mensual'!E96+'Plan mensual'!E207,0))+parametros_manuales!$G$42*('Plan mensual'!E93+'Plan mensual'!E204+IF(parametros_manuales!$H$42="Todos",'Plan mensual'!E97+'Plan mensual'!E208,0)))*parametros_manuales!$I$42*parametros_manuales!$J$42</f>
        <v>5358.62912036</v>
      </c>
      <c r="D241" s="9" t="n">
        <f aca="false">(parametros_manuales!$D$42*('Plan mensual'!F90+'Plan mensual'!F201+IF(parametros_manuales!$H$42="Todos",'Plan mensual'!F94+'Plan mensual'!F205,0))+parametros_manuales!$E$42*('Plan mensual'!F91+'Plan mensual'!F202+IF(parametros_manuales!$H$42="Todos",'Plan mensual'!F95+'Plan mensual'!F206,0))+parametros_manuales!$F$42*('Plan mensual'!F92+'Plan mensual'!F203+IF(parametros_manuales!$H$42="Todos",'Plan mensual'!F96+'Plan mensual'!F207,0))+parametros_manuales!$G$42*('Plan mensual'!F93+'Plan mensual'!F204+IF(parametros_manuales!$H$42="Todos",'Plan mensual'!F97+'Plan mensual'!F208,0)))*parametros_manuales!$I$42*parametros_manuales!$J$42</f>
        <v>5247.085063195</v>
      </c>
      <c r="E241" s="9" t="n">
        <f aca="false">(parametros_manuales!$D$42*('Plan mensual'!G90+'Plan mensual'!G201+IF(parametros_manuales!$H$42="Todos",'Plan mensual'!G94+'Plan mensual'!G205,0))+parametros_manuales!$E$42*('Plan mensual'!G91+'Plan mensual'!G202+IF(parametros_manuales!$H$42="Todos",'Plan mensual'!G95+'Plan mensual'!G206,0))+parametros_manuales!$F$42*('Plan mensual'!G92+'Plan mensual'!G203+IF(parametros_manuales!$H$42="Todos",'Plan mensual'!G96+'Plan mensual'!G207,0))+parametros_manuales!$G$42*('Plan mensual'!G93+'Plan mensual'!G204+IF(parametros_manuales!$H$42="Todos",'Plan mensual'!G97+'Plan mensual'!G208,0)))*parametros_manuales!$I$42*parametros_manuales!$J$42</f>
        <v>5104.218382495</v>
      </c>
      <c r="F241" s="9" t="n">
        <f aca="false">(parametros_manuales!$D$42*('Plan mensual'!H90+'Plan mensual'!H201+IF(parametros_manuales!$H$42="Todos",'Plan mensual'!H94+'Plan mensual'!H205,0))+parametros_manuales!$E$42*('Plan mensual'!H91+'Plan mensual'!H202+IF(parametros_manuales!$H$42="Todos",'Plan mensual'!H95+'Plan mensual'!H206,0))+parametros_manuales!$F$42*('Plan mensual'!H92+'Plan mensual'!H203+IF(parametros_manuales!$H$42="Todos",'Plan mensual'!H96+'Plan mensual'!H207,0))+parametros_manuales!$G$42*('Plan mensual'!H93+'Plan mensual'!H204+IF(parametros_manuales!$H$42="Todos",'Plan mensual'!H97+'Plan mensual'!H208,0)))*parametros_manuales!$I$42*parametros_manuales!$J$42</f>
        <v>4787.16239756</v>
      </c>
      <c r="G241" s="9" t="n">
        <f aca="false">(parametros_manuales!$D$42*('Plan mensual'!I90+'Plan mensual'!I201+IF(parametros_manuales!$H$42="Todos",'Plan mensual'!I94+'Plan mensual'!I205,0))+parametros_manuales!$E$42*('Plan mensual'!I91+'Plan mensual'!I202+IF(parametros_manuales!$H$42="Todos",'Plan mensual'!I95+'Plan mensual'!I206,0))+parametros_manuales!$F$42*('Plan mensual'!I92+'Plan mensual'!I203+IF(parametros_manuales!$H$42="Todos",'Plan mensual'!I96+'Plan mensual'!I207,0))+parametros_manuales!$G$42*('Plan mensual'!I93+'Plan mensual'!I204+IF(parametros_manuales!$H$42="Todos",'Plan mensual'!I97+'Plan mensual'!I208,0)))*parametros_manuales!$I$42*parametros_manuales!$J$42</f>
        <v>4612.973093325</v>
      </c>
      <c r="H241" s="9" t="n">
        <f aca="false">(parametros_manuales!$D$42*('Plan mensual'!J90+'Plan mensual'!J201+IF(parametros_manuales!$H$42="Todos",'Plan mensual'!J94+'Plan mensual'!J205,0))+parametros_manuales!$E$42*('Plan mensual'!J91+'Plan mensual'!J202+IF(parametros_manuales!$H$42="Todos",'Plan mensual'!J95+'Plan mensual'!J206,0))+parametros_manuales!$F$42*('Plan mensual'!J92+'Plan mensual'!J203+IF(parametros_manuales!$H$42="Todos",'Plan mensual'!J96+'Plan mensual'!J207,0))+parametros_manuales!$G$42*('Plan mensual'!J93+'Plan mensual'!J204+IF(parametros_manuales!$H$42="Todos",'Plan mensual'!J97+'Plan mensual'!J208,0)))*parametros_manuales!$I$42*parametros_manuales!$J$42</f>
        <v>4930.02907826</v>
      </c>
      <c r="I241" s="9" t="n">
        <f aca="false">(parametros_manuales!$D$42*('Plan mensual'!K90+'Plan mensual'!K201+IF(parametros_manuales!$H$42="Todos",'Plan mensual'!K94+'Plan mensual'!K205,0))+parametros_manuales!$E$42*('Plan mensual'!K91+'Plan mensual'!K202+IF(parametros_manuales!$H$42="Todos",'Plan mensual'!K95+'Plan mensual'!K206,0))+parametros_manuales!$F$42*('Plan mensual'!K92+'Plan mensual'!K203+IF(parametros_manuales!$H$42="Todos",'Plan mensual'!K96+'Plan mensual'!K207,0))+parametros_manuales!$G$42*('Plan mensual'!K93+'Plan mensual'!K204+IF(parametros_manuales!$H$42="Todos",'Plan mensual'!K97+'Plan mensual'!K208,0)))*parametros_manuales!$I$42*parametros_manuales!$J$42</f>
        <v>4930.02907826</v>
      </c>
      <c r="J241" s="9" t="n">
        <f aca="false">(parametros_manuales!$D$42*('Plan mensual'!L90+'Plan mensual'!L201+IF(parametros_manuales!$H$42="Todos",'Plan mensual'!L94+'Plan mensual'!L205,0))+parametros_manuales!$E$42*('Plan mensual'!L91+'Plan mensual'!L202+IF(parametros_manuales!$H$42="Todos",'Plan mensual'!L95+'Plan mensual'!L206,0))+parametros_manuales!$F$42*('Plan mensual'!L92+'Plan mensual'!L203+IF(parametros_manuales!$H$42="Todos",'Plan mensual'!L96+'Plan mensual'!L207,0))+parametros_manuales!$G$42*('Plan mensual'!L93+'Plan mensual'!L204+IF(parametros_manuales!$H$42="Todos",'Plan mensual'!L97+'Plan mensual'!L208,0)))*parametros_manuales!$I$42*parametros_manuales!$J$42</f>
        <v>4930.02907826</v>
      </c>
      <c r="K241" s="9" t="n">
        <f aca="false">(parametros_manuales!$D$42*('Plan mensual'!M90+'Plan mensual'!M201+IF(parametros_manuales!$H$42="Todos",'Plan mensual'!M94+'Plan mensual'!M205,0))+parametros_manuales!$E$42*('Plan mensual'!M91+'Plan mensual'!M202+IF(parametros_manuales!$H$42="Todos",'Plan mensual'!M95+'Plan mensual'!M206,0))+parametros_manuales!$F$42*('Plan mensual'!M92+'Plan mensual'!M203+IF(parametros_manuales!$H$42="Todos",'Plan mensual'!M96+'Plan mensual'!M207,0))+parametros_manuales!$G$42*('Plan mensual'!M93+'Plan mensual'!M204+IF(parametros_manuales!$H$42="Todos",'Plan mensual'!M97+'Plan mensual'!M208,0)))*parametros_manuales!$I$42*parametros_manuales!$J$42</f>
        <v>4755.839774025</v>
      </c>
      <c r="L241" s="9" t="n">
        <f aca="false">(parametros_manuales!$D$42*('Plan mensual'!N90+'Plan mensual'!N201+IF(parametros_manuales!$H$42="Todos",'Plan mensual'!N94+'Plan mensual'!N205,0))+parametros_manuales!$E$42*('Plan mensual'!N91+'Plan mensual'!N202+IF(parametros_manuales!$H$42="Todos",'Plan mensual'!N95+'Plan mensual'!N206,0))+parametros_manuales!$F$42*('Plan mensual'!N92+'Plan mensual'!N203+IF(parametros_manuales!$H$42="Todos",'Plan mensual'!N96+'Plan mensual'!N207,0))+parametros_manuales!$G$42*('Plan mensual'!N93+'Plan mensual'!N204+IF(parametros_manuales!$H$42="Todos",'Plan mensual'!N97+'Plan mensual'!N208,0)))*parametros_manuales!$I$42*parametros_manuales!$J$42</f>
        <v>4581.65046979</v>
      </c>
      <c r="M241" s="9" t="n">
        <f aca="false">(parametros_manuales!$D$42*('Plan mensual'!O90+'Plan mensual'!O201+IF(parametros_manuales!$H$42="Todos",'Plan mensual'!O94+'Plan mensual'!O205,0))+parametros_manuales!$E$42*('Plan mensual'!O91+'Plan mensual'!O202+IF(parametros_manuales!$H$42="Todos",'Plan mensual'!O95+'Plan mensual'!O206,0))+parametros_manuales!$F$42*('Plan mensual'!O92+'Plan mensual'!O203+IF(parametros_manuales!$H$42="Todos",'Plan mensual'!O96+'Plan mensual'!O207,0))+parametros_manuales!$G$42*('Plan mensual'!O93+'Plan mensual'!O204+IF(parametros_manuales!$H$42="Todos",'Plan mensual'!O97+'Plan mensual'!O208,0)))*parametros_manuales!$I$42*parametros_manuales!$J$42</f>
        <v>7260.96502997</v>
      </c>
      <c r="N241" s="9" t="n">
        <f aca="false">SUM(B241:M241)</f>
        <v>63411.196987</v>
      </c>
      <c r="O241" s="9" t="n">
        <f aca="false">MAX(B241:M241)</f>
        <v>7260.96502997</v>
      </c>
      <c r="P241" s="44" t="n">
        <f aca="false">O241/(parametros_manuales!$B$7)</f>
        <v>48.4064335331333</v>
      </c>
      <c r="Q241" s="8" t="str">
        <f aca="false">IF(O241=0,"-",INDEX($B$217:$M$217,MATCH(O241,B241:M241,0)))</f>
        <v>Dic</v>
      </c>
    </row>
    <row r="242" customFormat="false" ht="14.25" hidden="false" customHeight="true" outlineLevel="0" collapsed="false">
      <c r="A242" s="8" t="str">
        <f aca="false">parametros_manuales!$B$43</f>
        <v>Embalaje y paletizado</v>
      </c>
      <c r="B242" s="9" t="n">
        <f aca="false">(parametros_manuales!$D$43*('Plan mensual'!D90+'Plan mensual'!D201+IF(parametros_manuales!$H$43="Todos",'Plan mensual'!D94+'Plan mensual'!D205,0))+parametros_manuales!$E$43*('Plan mensual'!D91+'Plan mensual'!D202+IF(parametros_manuales!$H$43="Todos",'Plan mensual'!D95+'Plan mensual'!D206,0))+parametros_manuales!$F$43*('Plan mensual'!D92+'Plan mensual'!D203+IF(parametros_manuales!$H$43="Todos",'Plan mensual'!D96+'Plan mensual'!D207,0))+parametros_manuales!$G$43*('Plan mensual'!D93+'Plan mensual'!D204+IF(parametros_manuales!$H$43="Todos",'Plan mensual'!D97+'Plan mensual'!D208,0)))*parametros_manuales!$I$43*parametros_manuales!$J$43</f>
        <v>28124.0184215</v>
      </c>
      <c r="C242" s="9" t="n">
        <f aca="false">(parametros_manuales!$D$43*('Plan mensual'!E90+'Plan mensual'!E201+IF(parametros_manuales!$H$43="Todos",'Plan mensual'!E94+'Plan mensual'!E205,0))+parametros_manuales!$E$43*('Plan mensual'!E91+'Plan mensual'!E202+IF(parametros_manuales!$H$43="Todos",'Plan mensual'!E95+'Plan mensual'!E206,0))+parametros_manuales!$F$43*('Plan mensual'!E92+'Plan mensual'!E203+IF(parametros_manuales!$H$43="Todos",'Plan mensual'!E96+'Plan mensual'!E207,0))+parametros_manuales!$G$43*('Plan mensual'!E93+'Plan mensual'!E204+IF(parametros_manuales!$H$43="Todos",'Plan mensual'!E97+'Plan mensual'!E208,0)))*parametros_manuales!$I$43*parametros_manuales!$J$43</f>
        <v>21446.85592036</v>
      </c>
      <c r="D242" s="9" t="n">
        <f aca="false">(parametros_manuales!$D$43*('Plan mensual'!F90+'Plan mensual'!F201+IF(parametros_manuales!$H$43="Todos",'Plan mensual'!F94+'Plan mensual'!F205,0))+parametros_manuales!$E$43*('Plan mensual'!F91+'Plan mensual'!F202+IF(parametros_manuales!$H$43="Todos",'Plan mensual'!F95+'Plan mensual'!F206,0))+parametros_manuales!$F$43*('Plan mensual'!F92+'Plan mensual'!F203+IF(parametros_manuales!$H$43="Todos",'Plan mensual'!F96+'Plan mensual'!F207,0))+parametros_manuales!$G$43*('Plan mensual'!F93+'Plan mensual'!F204+IF(parametros_manuales!$H$43="Todos",'Plan mensual'!F97+'Plan mensual'!F208,0)))*parametros_manuales!$I$43*parametros_manuales!$J$43</f>
        <v>20046.766663195</v>
      </c>
      <c r="E242" s="9" t="n">
        <f aca="false">(parametros_manuales!$D$43*('Plan mensual'!G90+'Plan mensual'!G201+IF(parametros_manuales!$H$43="Todos",'Plan mensual'!G94+'Plan mensual'!G205,0))+parametros_manuales!$E$43*('Plan mensual'!G91+'Plan mensual'!G202+IF(parametros_manuales!$H$43="Todos",'Plan mensual'!G95+'Plan mensual'!G206,0))+parametros_manuales!$F$43*('Plan mensual'!G92+'Plan mensual'!G203+IF(parametros_manuales!$H$43="Todos",'Plan mensual'!G96+'Plan mensual'!G207,0))+parametros_manuales!$G$43*('Plan mensual'!G93+'Plan mensual'!G204+IF(parametros_manuales!$H$43="Todos",'Plan mensual'!G97+'Plan mensual'!G208,0)))*parametros_manuales!$I$43*parametros_manuales!$J$43</f>
        <v>19169.800982495</v>
      </c>
      <c r="F242" s="9" t="n">
        <f aca="false">(parametros_manuales!$D$43*('Plan mensual'!H90+'Plan mensual'!H201+IF(parametros_manuales!$H$43="Todos",'Plan mensual'!H94+'Plan mensual'!H205,0))+parametros_manuales!$E$43*('Plan mensual'!H91+'Plan mensual'!H202+IF(parametros_manuales!$H$43="Todos",'Plan mensual'!H95+'Plan mensual'!H206,0))+parametros_manuales!$F$43*('Plan mensual'!H92+'Plan mensual'!H203+IF(parametros_manuales!$H$43="Todos",'Plan mensual'!H96+'Plan mensual'!H207,0))+parametros_manuales!$G$43*('Plan mensual'!H93+'Plan mensual'!H204+IF(parametros_manuales!$H$43="Todos",'Plan mensual'!H97+'Plan mensual'!H208,0)))*parametros_manuales!$I$43*parametros_manuales!$J$43</f>
        <v>17938.99319756</v>
      </c>
      <c r="G242" s="9" t="n">
        <f aca="false">(parametros_manuales!$D$43*('Plan mensual'!I90+'Plan mensual'!I201+IF(parametros_manuales!$H$43="Todos",'Plan mensual'!I94+'Plan mensual'!I205,0))+parametros_manuales!$E$43*('Plan mensual'!I91+'Plan mensual'!I202+IF(parametros_manuales!$H$43="Todos",'Plan mensual'!I95+'Plan mensual'!I206,0))+parametros_manuales!$F$43*('Plan mensual'!I92+'Plan mensual'!I203+IF(parametros_manuales!$H$43="Todos",'Plan mensual'!I96+'Plan mensual'!I207,0))+parametros_manuales!$G$43*('Plan mensual'!I93+'Plan mensual'!I204+IF(parametros_manuales!$H$43="Todos",'Plan mensual'!I97+'Plan mensual'!I208,0)))*parametros_manuales!$I$43*parametros_manuales!$J$43</f>
        <v>17585.151093325</v>
      </c>
      <c r="H242" s="9" t="n">
        <f aca="false">(parametros_manuales!$D$43*('Plan mensual'!J90+'Plan mensual'!J201+IF(parametros_manuales!$H$43="Todos",'Plan mensual'!J94+'Plan mensual'!J205,0))+parametros_manuales!$E$43*('Plan mensual'!J91+'Plan mensual'!J202+IF(parametros_manuales!$H$43="Todos",'Plan mensual'!J95+'Plan mensual'!J206,0))+parametros_manuales!$F$43*('Plan mensual'!J92+'Plan mensual'!J203+IF(parametros_manuales!$H$43="Todos",'Plan mensual'!J96+'Plan mensual'!J207,0))+parametros_manuales!$G$43*('Plan mensual'!J93+'Plan mensual'!J204+IF(parametros_manuales!$H$43="Todos",'Plan mensual'!J97+'Plan mensual'!J208,0)))*parametros_manuales!$I$43*parametros_manuales!$J$43</f>
        <v>18815.95887826</v>
      </c>
      <c r="I242" s="9" t="n">
        <f aca="false">(parametros_manuales!$D$43*('Plan mensual'!K90+'Plan mensual'!K201+IF(parametros_manuales!$H$43="Todos",'Plan mensual'!K94+'Plan mensual'!K205,0))+parametros_manuales!$E$43*('Plan mensual'!K91+'Plan mensual'!K202+IF(parametros_manuales!$H$43="Todos",'Plan mensual'!K95+'Plan mensual'!K206,0))+parametros_manuales!$F$43*('Plan mensual'!K92+'Plan mensual'!K203+IF(parametros_manuales!$H$43="Todos",'Plan mensual'!K96+'Plan mensual'!K207,0))+parametros_manuales!$G$43*('Plan mensual'!K93+'Plan mensual'!K204+IF(parametros_manuales!$H$43="Todos",'Plan mensual'!K97+'Plan mensual'!K208,0)))*parametros_manuales!$I$43*parametros_manuales!$J$43</f>
        <v>18815.95887826</v>
      </c>
      <c r="J242" s="9" t="n">
        <f aca="false">(parametros_manuales!$D$43*('Plan mensual'!L90+'Plan mensual'!L201+IF(parametros_manuales!$H$43="Todos",'Plan mensual'!L94+'Plan mensual'!L205,0))+parametros_manuales!$E$43*('Plan mensual'!L91+'Plan mensual'!L202+IF(parametros_manuales!$H$43="Todos",'Plan mensual'!L95+'Plan mensual'!L206,0))+parametros_manuales!$F$43*('Plan mensual'!L92+'Plan mensual'!L203+IF(parametros_manuales!$H$43="Todos",'Plan mensual'!L96+'Plan mensual'!L207,0))+parametros_manuales!$G$43*('Plan mensual'!L93+'Plan mensual'!L204+IF(parametros_manuales!$H$43="Todos",'Plan mensual'!L97+'Plan mensual'!L208,0)))*parametros_manuales!$I$43*parametros_manuales!$J$43</f>
        <v>18815.95887826</v>
      </c>
      <c r="K242" s="9" t="n">
        <f aca="false">(parametros_manuales!$D$43*('Plan mensual'!M90+'Plan mensual'!M201+IF(parametros_manuales!$H$43="Todos",'Plan mensual'!M94+'Plan mensual'!M205,0))+parametros_manuales!$E$43*('Plan mensual'!M91+'Plan mensual'!M202+IF(parametros_manuales!$H$43="Todos",'Plan mensual'!M95+'Plan mensual'!M206,0))+parametros_manuales!$F$43*('Plan mensual'!M92+'Plan mensual'!M203+IF(parametros_manuales!$H$43="Todos",'Plan mensual'!M96+'Plan mensual'!M207,0))+parametros_manuales!$G$43*('Plan mensual'!M93+'Plan mensual'!M204+IF(parametros_manuales!$H$43="Todos",'Plan mensual'!M97+'Plan mensual'!M208,0)))*parametros_manuales!$I$43*parametros_manuales!$J$43</f>
        <v>18462.116774025</v>
      </c>
      <c r="L242" s="9" t="n">
        <f aca="false">(parametros_manuales!$D$43*('Plan mensual'!N90+'Plan mensual'!N201+IF(parametros_manuales!$H$43="Todos",'Plan mensual'!N94+'Plan mensual'!N205,0))+parametros_manuales!$E$43*('Plan mensual'!N91+'Plan mensual'!N202+IF(parametros_manuales!$H$43="Todos",'Plan mensual'!N95+'Plan mensual'!N206,0))+parametros_manuales!$F$43*('Plan mensual'!N92+'Plan mensual'!N203+IF(parametros_manuales!$H$43="Todos",'Plan mensual'!N96+'Plan mensual'!N207,0))+parametros_manuales!$G$43*('Plan mensual'!N93+'Plan mensual'!N204+IF(parametros_manuales!$H$43="Todos",'Plan mensual'!N97+'Plan mensual'!N208,0)))*parametros_manuales!$I$43*parametros_manuales!$J$43</f>
        <v>18108.27466979</v>
      </c>
      <c r="M242" s="9" t="n">
        <f aca="false">(parametros_manuales!$D$43*('Plan mensual'!O90+'Plan mensual'!O201+IF(parametros_manuales!$H$43="Todos",'Plan mensual'!O94+'Plan mensual'!O205,0))+parametros_manuales!$E$43*('Plan mensual'!O91+'Plan mensual'!O202+IF(parametros_manuales!$H$43="Todos",'Plan mensual'!O95+'Plan mensual'!O206,0))+parametros_manuales!$F$43*('Plan mensual'!O92+'Plan mensual'!O203+IF(parametros_manuales!$H$43="Todos",'Plan mensual'!O96+'Plan mensual'!O207,0))+parametros_manuales!$G$43*('Plan mensual'!O93+'Plan mensual'!O204+IF(parametros_manuales!$H$43="Todos",'Plan mensual'!O97+'Plan mensual'!O208,0)))*parametros_manuales!$I$43*parametros_manuales!$J$43</f>
        <v>28831.70262997</v>
      </c>
      <c r="N242" s="9" t="n">
        <f aca="false">SUM(B242:M242)</f>
        <v>246161.556987</v>
      </c>
      <c r="O242" s="9" t="n">
        <f aca="false">MAX(B242:M242)</f>
        <v>28831.70262997</v>
      </c>
      <c r="P242" s="44" t="n">
        <f aca="false">O242/(parametros_manuales!$B$7)</f>
        <v>192.211350866467</v>
      </c>
      <c r="Q242" s="8" t="str">
        <f aca="false">IF(O242=0,"-",INDEX($B$217:$M$217,MATCH(O242,B242:M242,0)))</f>
        <v>Dic</v>
      </c>
    </row>
    <row r="243" customFormat="false" ht="14.25" hidden="false" customHeight="true" outlineLevel="0" collapsed="false"/>
    <row r="244" customFormat="false" ht="14.25" hidden="false" customHeight="true" outlineLevel="0" collapsed="false">
      <c r="A244" s="7" t="s">
        <v>209</v>
      </c>
      <c r="B244" s="7" t="s">
        <v>59</v>
      </c>
      <c r="C244" s="7" t="s">
        <v>60</v>
      </c>
      <c r="D244" s="7" t="s">
        <v>61</v>
      </c>
      <c r="E244" s="7" t="s">
        <v>62</v>
      </c>
      <c r="F244" s="7" t="s">
        <v>63</v>
      </c>
      <c r="G244" s="7" t="s">
        <v>64</v>
      </c>
      <c r="H244" s="7" t="s">
        <v>65</v>
      </c>
      <c r="I244" s="7" t="s">
        <v>66</v>
      </c>
      <c r="J244" s="7" t="s">
        <v>67</v>
      </c>
      <c r="K244" s="7" t="s">
        <v>68</v>
      </c>
      <c r="L244" s="7" t="s">
        <v>69</v>
      </c>
      <c r="M244" s="7" t="s">
        <v>70</v>
      </c>
      <c r="N244" s="7" t="s">
        <v>181</v>
      </c>
      <c r="O244" s="7" t="s">
        <v>198</v>
      </c>
      <c r="P244" s="7" t="s">
        <v>199</v>
      </c>
      <c r="Q244" s="7" t="s">
        <v>200</v>
      </c>
    </row>
    <row r="245" customFormat="false" ht="14.25" hidden="false" customHeight="true" outlineLevel="0" collapsed="false">
      <c r="A245" s="8" t="str">
        <f aca="false">parametros_manuales!$B$19</f>
        <v>Recepción de materia prima</v>
      </c>
      <c r="B245" s="9" t="n">
        <f aca="false">(parametros_manuales!$D$19*('Plan mensual'!D101+'Plan mensual'!D212+IF(parametros_manuales!$H$19="Todos",'Plan mensual'!D105+'Plan mensual'!D216,0))+parametros_manuales!$E$19*('Plan mensual'!D102+'Plan mensual'!D213+IF(parametros_manuales!$H$19="Todos",'Plan mensual'!D106+'Plan mensual'!D217,0))+parametros_manuales!$F$19*('Plan mensual'!D103+'Plan mensual'!D214+IF(parametros_manuales!$H$19="Todos",'Plan mensual'!D107+'Plan mensual'!D218,0))+parametros_manuales!$G$19*('Plan mensual'!D104+'Plan mensual'!D215+IF(parametros_manuales!$H$19="Todos",'Plan mensual'!D108+'Plan mensual'!D219,0)))*parametros_manuales!$I$19*parametros_manuales!$J$19</f>
        <v>32494.9172199</v>
      </c>
      <c r="C245" s="9" t="n">
        <f aca="false">(parametros_manuales!$D$19*('Plan mensual'!E101+'Plan mensual'!E212+IF(parametros_manuales!$H$19="Todos",'Plan mensual'!E105+'Plan mensual'!E216,0))+parametros_manuales!$E$19*('Plan mensual'!E102+'Plan mensual'!E213+IF(parametros_manuales!$H$19="Todos",'Plan mensual'!E106+'Plan mensual'!E217,0))+parametros_manuales!$F$19*('Plan mensual'!E103+'Plan mensual'!E214+IF(parametros_manuales!$H$19="Todos",'Plan mensual'!E107+'Plan mensual'!E218,0))+parametros_manuales!$G$19*('Plan mensual'!E104+'Plan mensual'!E215+IF(parametros_manuales!$H$19="Todos",'Plan mensual'!E108+'Plan mensual'!E219,0)))*parametros_manuales!$I$19*parametros_manuales!$J$19</f>
        <v>24780.20994114</v>
      </c>
      <c r="D245" s="9" t="n">
        <f aca="false">(parametros_manuales!$D$19*('Plan mensual'!F101+'Plan mensual'!F212+IF(parametros_manuales!$H$19="Todos",'Plan mensual'!F105+'Plan mensual'!F216,0))+parametros_manuales!$E$19*('Plan mensual'!F102+'Plan mensual'!F213+IF(parametros_manuales!$H$19="Todos",'Plan mensual'!F106+'Plan mensual'!F217,0))+parametros_manuales!$F$19*('Plan mensual'!F103+'Plan mensual'!F214+IF(parametros_manuales!$H$19="Todos",'Plan mensual'!F107+'Plan mensual'!F218,0))+parametros_manuales!$G$19*('Plan mensual'!F104+'Plan mensual'!F215+IF(parametros_manuales!$H$19="Todos",'Plan mensual'!F108+'Plan mensual'!F219,0)))*parametros_manuales!$I$19*parametros_manuales!$J$19</f>
        <v>23163.025576055</v>
      </c>
      <c r="E245" s="9" t="n">
        <f aca="false">(parametros_manuales!$D$19*('Plan mensual'!G101+'Plan mensual'!G212+IF(parametros_manuales!$H$19="Todos",'Plan mensual'!G105+'Plan mensual'!G216,0))+parametros_manuales!$E$19*('Plan mensual'!G102+'Plan mensual'!G213+IF(parametros_manuales!$H$19="Todos",'Plan mensual'!G106+'Plan mensual'!G217,0))+parametros_manuales!$F$19*('Plan mensual'!G103+'Plan mensual'!G214+IF(parametros_manuales!$H$19="Todos",'Plan mensual'!G107+'Plan mensual'!G218,0))+parametros_manuales!$G$19*('Plan mensual'!G104+'Plan mensual'!G215+IF(parametros_manuales!$H$19="Todos",'Plan mensual'!G108+'Plan mensual'!G219,0)))*parametros_manuales!$I$19*parametros_manuales!$J$19</f>
        <v>22149.922380405</v>
      </c>
      <c r="F245" s="9" t="n">
        <f aca="false">(parametros_manuales!$D$19*('Plan mensual'!H101+'Plan mensual'!H212+IF(parametros_manuales!$H$19="Todos",'Plan mensual'!H105+'Plan mensual'!H216,0))+parametros_manuales!$E$19*('Plan mensual'!H102+'Plan mensual'!H213+IF(parametros_manuales!$H$19="Todos",'Plan mensual'!H106+'Plan mensual'!H217,0))+parametros_manuales!$F$19*('Plan mensual'!H103+'Plan mensual'!H214+IF(parametros_manuales!$H$19="Todos",'Plan mensual'!H107+'Plan mensual'!H218,0))+parametros_manuales!$G$19*('Plan mensual'!H104+'Plan mensual'!H215+IF(parametros_manuales!$H$19="Todos",'Plan mensual'!H108+'Plan mensual'!H219,0)))*parametros_manuales!$I$19*parametros_manuales!$J$19</f>
        <v>20727.79715854</v>
      </c>
      <c r="G245" s="9" t="n">
        <f aca="false">(parametros_manuales!$D$19*('Plan mensual'!I101+'Plan mensual'!I212+IF(parametros_manuales!$H$19="Todos",'Plan mensual'!I105+'Plan mensual'!I216,0))+parametros_manuales!$E$19*('Plan mensual'!I102+'Plan mensual'!I213+IF(parametros_manuales!$H$19="Todos",'Plan mensual'!I106+'Plan mensual'!I217,0))+parametros_manuales!$F$19*('Plan mensual'!I103+'Plan mensual'!I214+IF(parametros_manuales!$H$19="Todos",'Plan mensual'!I107+'Plan mensual'!I218,0))+parametros_manuales!$G$19*('Plan mensual'!I104+'Plan mensual'!I215+IF(parametros_manuales!$H$19="Todos",'Plan mensual'!I108+'Plan mensual'!I219,0)))*parametros_manuales!$I$19*parametros_manuales!$J$19</f>
        <v>20318.775132325</v>
      </c>
      <c r="H245" s="9" t="n">
        <f aca="false">(parametros_manuales!$D$19*('Plan mensual'!J101+'Plan mensual'!J212+IF(parametros_manuales!$H$19="Todos",'Plan mensual'!J105+'Plan mensual'!J216,0))+parametros_manuales!$E$19*('Plan mensual'!J102+'Plan mensual'!J213+IF(parametros_manuales!$H$19="Todos",'Plan mensual'!J106+'Plan mensual'!J217,0))+parametros_manuales!$F$19*('Plan mensual'!J103+'Plan mensual'!J214+IF(parametros_manuales!$H$19="Todos",'Plan mensual'!J107+'Plan mensual'!J218,0))+parametros_manuales!$G$19*('Plan mensual'!J104+'Plan mensual'!J215+IF(parametros_manuales!$H$19="Todos",'Plan mensual'!J108+'Plan mensual'!J219,0)))*parametros_manuales!$I$19*parametros_manuales!$J$19</f>
        <v>21740.90035419</v>
      </c>
      <c r="I245" s="9" t="n">
        <f aca="false">(parametros_manuales!$D$19*('Plan mensual'!K101+'Plan mensual'!K212+IF(parametros_manuales!$H$19="Todos",'Plan mensual'!K105+'Plan mensual'!K216,0))+parametros_manuales!$E$19*('Plan mensual'!K102+'Plan mensual'!K213+IF(parametros_manuales!$H$19="Todos",'Plan mensual'!K106+'Plan mensual'!K217,0))+parametros_manuales!$F$19*('Plan mensual'!K103+'Plan mensual'!K214+IF(parametros_manuales!$H$19="Todos",'Plan mensual'!K107+'Plan mensual'!K218,0))+parametros_manuales!$G$19*('Plan mensual'!K104+'Plan mensual'!K215+IF(parametros_manuales!$H$19="Todos",'Plan mensual'!K108+'Plan mensual'!K219,0)))*parametros_manuales!$I$19*parametros_manuales!$J$19</f>
        <v>21740.90035419</v>
      </c>
      <c r="J245" s="9" t="n">
        <f aca="false">(parametros_manuales!$D$19*('Plan mensual'!L101+'Plan mensual'!L212+IF(parametros_manuales!$H$19="Todos",'Plan mensual'!L105+'Plan mensual'!L216,0))+parametros_manuales!$E$19*('Plan mensual'!L102+'Plan mensual'!L213+IF(parametros_manuales!$H$19="Todos",'Plan mensual'!L106+'Plan mensual'!L217,0))+parametros_manuales!$F$19*('Plan mensual'!L103+'Plan mensual'!L214+IF(parametros_manuales!$H$19="Todos",'Plan mensual'!L107+'Plan mensual'!L218,0))+parametros_manuales!$G$19*('Plan mensual'!L104+'Plan mensual'!L215+IF(parametros_manuales!$H$19="Todos",'Plan mensual'!L108+'Plan mensual'!L219,0)))*parametros_manuales!$I$19*parametros_manuales!$J$19</f>
        <v>21740.90035419</v>
      </c>
      <c r="K245" s="9" t="n">
        <f aca="false">(parametros_manuales!$D$19*('Plan mensual'!M101+'Plan mensual'!M212+IF(parametros_manuales!$H$19="Todos",'Plan mensual'!M105+'Plan mensual'!M216,0))+parametros_manuales!$E$19*('Plan mensual'!M102+'Plan mensual'!M213+IF(parametros_manuales!$H$19="Todos",'Plan mensual'!M106+'Plan mensual'!M217,0))+parametros_manuales!$F$19*('Plan mensual'!M103+'Plan mensual'!M214+IF(parametros_manuales!$H$19="Todos",'Plan mensual'!M107+'Plan mensual'!M218,0))+parametros_manuales!$G$19*('Plan mensual'!M104+'Plan mensual'!M215+IF(parametros_manuales!$H$19="Todos",'Plan mensual'!M108+'Plan mensual'!M219,0)))*parametros_manuales!$I$19*parametros_manuales!$J$19</f>
        <v>21331.878327975</v>
      </c>
      <c r="L245" s="9" t="n">
        <f aca="false">(parametros_manuales!$D$19*('Plan mensual'!N101+'Plan mensual'!N212+IF(parametros_manuales!$H$19="Todos",'Plan mensual'!N105+'Plan mensual'!N216,0))+parametros_manuales!$E$19*('Plan mensual'!N102+'Plan mensual'!N213+IF(parametros_manuales!$H$19="Todos",'Plan mensual'!N106+'Plan mensual'!N217,0))+parametros_manuales!$F$19*('Plan mensual'!N103+'Plan mensual'!N214+IF(parametros_manuales!$H$19="Todos",'Plan mensual'!N107+'Plan mensual'!N218,0))+parametros_manuales!$G$19*('Plan mensual'!N104+'Plan mensual'!N215+IF(parametros_manuales!$H$19="Todos",'Plan mensual'!N108+'Plan mensual'!N219,0)))*parametros_manuales!$I$19*parametros_manuales!$J$19</f>
        <v>20922.85630176</v>
      </c>
      <c r="M245" s="9" t="n">
        <f aca="false">(parametros_manuales!$D$19*('Plan mensual'!O101+'Plan mensual'!O212+IF(parametros_manuales!$H$19="Todos",'Plan mensual'!O105+'Plan mensual'!O216,0))+parametros_manuales!$E$19*('Plan mensual'!O102+'Plan mensual'!O213+IF(parametros_manuales!$H$19="Todos",'Plan mensual'!O106+'Plan mensual'!O217,0))+parametros_manuales!$F$19*('Plan mensual'!O103+'Plan mensual'!O214+IF(parametros_manuales!$H$19="Todos",'Plan mensual'!O107+'Plan mensual'!O218,0))+parametros_manuales!$G$19*('Plan mensual'!O104+'Plan mensual'!O215+IF(parametros_manuales!$H$19="Todos",'Plan mensual'!O108+'Plan mensual'!O219,0)))*parametros_manuales!$I$19*parametros_manuales!$J$19</f>
        <v>33312.96127233</v>
      </c>
      <c r="N245" s="9" t="n">
        <f aca="false">SUM(B245:M245)</f>
        <v>284425.044373</v>
      </c>
      <c r="O245" s="9" t="n">
        <f aca="false">MAX(B245:M245)</f>
        <v>33312.96127233</v>
      </c>
      <c r="P245" s="44" t="n">
        <f aca="false">O245/(parametros_manuales!$B$7)</f>
        <v>222.0864084822</v>
      </c>
      <c r="Q245" s="8" t="str">
        <f aca="false">IF(O245=0,"-",INDEX($B$244:$M$244,MATCH(O245,B245:M245,0)))</f>
        <v>Dic</v>
      </c>
    </row>
    <row r="246" customFormat="false" ht="14.25" hidden="false" customHeight="true" outlineLevel="0" collapsed="false">
      <c r="A246" s="8" t="str">
        <f aca="false">parametros_manuales!$B$20</f>
        <v>Corte de chapa (guillotina) — 2,5 a 10 kg</v>
      </c>
      <c r="B246" s="9" t="n">
        <f aca="false">(parametros_manuales!$D$20*('Plan mensual'!D101+'Plan mensual'!D212+IF(parametros_manuales!$H$20="Todos",'Plan mensual'!D105+'Plan mensual'!D216,0))+parametros_manuales!$E$20*('Plan mensual'!D102+'Plan mensual'!D213+IF(parametros_manuales!$H$20="Todos",'Plan mensual'!D106+'Plan mensual'!D217,0))+parametros_manuales!$F$20*('Plan mensual'!D103+'Plan mensual'!D214+IF(parametros_manuales!$H$20="Todos",'Plan mensual'!D107+'Plan mensual'!D218,0))+parametros_manuales!$G$20*('Plan mensual'!D104+'Plan mensual'!D215+IF(parametros_manuales!$H$20="Todos",'Plan mensual'!D108+'Plan mensual'!D219,0)))*parametros_manuales!$I$20*parametros_manuales!$J$20</f>
        <v>8180.4405243</v>
      </c>
      <c r="C246" s="9" t="n">
        <f aca="false">(parametros_manuales!$D$20*('Plan mensual'!E101+'Plan mensual'!E212+IF(parametros_manuales!$H$20="Todos",'Plan mensual'!E105+'Plan mensual'!E216,0))+parametros_manuales!$E$20*('Plan mensual'!E102+'Plan mensual'!E213+IF(parametros_manuales!$H$20="Todos",'Plan mensual'!E106+'Plan mensual'!E217,0))+parametros_manuales!$F$20*('Plan mensual'!E103+'Plan mensual'!E214+IF(parametros_manuales!$H$20="Todos",'Plan mensual'!E107+'Plan mensual'!E218,0))+parametros_manuales!$G$20*('Plan mensual'!E104+'Plan mensual'!E215+IF(parametros_manuales!$H$20="Todos",'Plan mensual'!E108+'Plan mensual'!E219,0)))*parametros_manuales!$I$20*parametros_manuales!$J$20</f>
        <v>6544.35241944</v>
      </c>
      <c r="D246" s="9" t="n">
        <f aca="false">(parametros_manuales!$D$20*('Plan mensual'!F101+'Plan mensual'!F212+IF(parametros_manuales!$H$20="Todos",'Plan mensual'!F105+'Plan mensual'!F216,0))+parametros_manuales!$E$20*('Plan mensual'!F102+'Plan mensual'!F213+IF(parametros_manuales!$H$20="Todos",'Plan mensual'!F106+'Plan mensual'!F217,0))+parametros_manuales!$F$20*('Plan mensual'!F103+'Plan mensual'!F214+IF(parametros_manuales!$H$20="Todos",'Plan mensual'!F107+'Plan mensual'!F218,0))+parametros_manuales!$G$20*('Plan mensual'!F104+'Plan mensual'!F215+IF(parametros_manuales!$H$20="Todos",'Plan mensual'!F108+'Plan mensual'!F219,0)))*parametros_manuales!$I$20*parametros_manuales!$J$20</f>
        <v>6953.374445655</v>
      </c>
      <c r="E246" s="9" t="n">
        <f aca="false">(parametros_manuales!$D$20*('Plan mensual'!G101+'Plan mensual'!G212+IF(parametros_manuales!$H$20="Todos",'Plan mensual'!G105+'Plan mensual'!G216,0))+parametros_manuales!$E$20*('Plan mensual'!G102+'Plan mensual'!G213+IF(parametros_manuales!$H$20="Todos",'Plan mensual'!G106+'Plan mensual'!G217,0))+parametros_manuales!$F$20*('Plan mensual'!G103+'Plan mensual'!G214+IF(parametros_manuales!$H$20="Todos",'Plan mensual'!G107+'Plan mensual'!G218,0))+parametros_manuales!$G$20*('Plan mensual'!G104+'Plan mensual'!G215+IF(parametros_manuales!$H$20="Todos",'Plan mensual'!G108+'Plan mensual'!G219,0)))*parametros_manuales!$I$20*parametros_manuales!$J$20</f>
        <v>6953.374445655</v>
      </c>
      <c r="F246" s="9" t="n">
        <f aca="false">(parametros_manuales!$D$20*('Plan mensual'!H101+'Plan mensual'!H212+IF(parametros_manuales!$H$20="Todos",'Plan mensual'!H105+'Plan mensual'!H216,0))+parametros_manuales!$E$20*('Plan mensual'!H102+'Plan mensual'!H213+IF(parametros_manuales!$H$20="Todos",'Plan mensual'!H106+'Plan mensual'!H217,0))+parametros_manuales!$F$20*('Plan mensual'!H103+'Plan mensual'!H214+IF(parametros_manuales!$H$20="Todos",'Plan mensual'!H107+'Plan mensual'!H218,0))+parametros_manuales!$G$20*('Plan mensual'!H104+'Plan mensual'!H215+IF(parametros_manuales!$H$20="Todos",'Plan mensual'!H108+'Plan mensual'!H219,0)))*parametros_manuales!$I$20*parametros_manuales!$J$20</f>
        <v>6544.35241944</v>
      </c>
      <c r="G246" s="9" t="n">
        <f aca="false">(parametros_manuales!$D$20*('Plan mensual'!I101+'Plan mensual'!I212+IF(parametros_manuales!$H$20="Todos",'Plan mensual'!I105+'Plan mensual'!I216,0))+parametros_manuales!$E$20*('Plan mensual'!I102+'Plan mensual'!I213+IF(parametros_manuales!$H$20="Todos",'Plan mensual'!I106+'Plan mensual'!I217,0))+parametros_manuales!$F$20*('Plan mensual'!I103+'Plan mensual'!I214+IF(parametros_manuales!$H$20="Todos",'Plan mensual'!I107+'Plan mensual'!I218,0))+parametros_manuales!$G$20*('Plan mensual'!I104+'Plan mensual'!I215+IF(parametros_manuales!$H$20="Todos",'Plan mensual'!I108+'Plan mensual'!I219,0)))*parametros_manuales!$I$20*parametros_manuales!$J$20</f>
        <v>6135.330393225</v>
      </c>
      <c r="H246" s="9" t="n">
        <f aca="false">(parametros_manuales!$D$20*('Plan mensual'!J101+'Plan mensual'!J212+IF(parametros_manuales!$H$20="Todos",'Plan mensual'!J105+'Plan mensual'!J216,0))+parametros_manuales!$E$20*('Plan mensual'!J102+'Plan mensual'!J213+IF(parametros_manuales!$H$20="Todos",'Plan mensual'!J106+'Plan mensual'!J217,0))+parametros_manuales!$F$20*('Plan mensual'!J103+'Plan mensual'!J214+IF(parametros_manuales!$H$20="Todos",'Plan mensual'!J107+'Plan mensual'!J218,0))+parametros_manuales!$G$20*('Plan mensual'!J104+'Plan mensual'!J215+IF(parametros_manuales!$H$20="Todos",'Plan mensual'!J108+'Plan mensual'!J219,0)))*parametros_manuales!$I$20*parametros_manuales!$J$20</f>
        <v>6544.35241944</v>
      </c>
      <c r="I246" s="9" t="n">
        <f aca="false">(parametros_manuales!$D$20*('Plan mensual'!K101+'Plan mensual'!K212+IF(parametros_manuales!$H$20="Todos",'Plan mensual'!K105+'Plan mensual'!K216,0))+parametros_manuales!$E$20*('Plan mensual'!K102+'Plan mensual'!K213+IF(parametros_manuales!$H$20="Todos",'Plan mensual'!K106+'Plan mensual'!K217,0))+parametros_manuales!$F$20*('Plan mensual'!K103+'Plan mensual'!K214+IF(parametros_manuales!$H$20="Todos",'Plan mensual'!K107+'Plan mensual'!K218,0))+parametros_manuales!$G$20*('Plan mensual'!K104+'Plan mensual'!K215+IF(parametros_manuales!$H$20="Todos",'Plan mensual'!K108+'Plan mensual'!K219,0)))*parametros_manuales!$I$20*parametros_manuales!$J$20</f>
        <v>6544.35241944</v>
      </c>
      <c r="J246" s="9" t="n">
        <f aca="false">(parametros_manuales!$D$20*('Plan mensual'!L101+'Plan mensual'!L212+IF(parametros_manuales!$H$20="Todos",'Plan mensual'!L105+'Plan mensual'!L216,0))+parametros_manuales!$E$20*('Plan mensual'!L102+'Plan mensual'!L213+IF(parametros_manuales!$H$20="Todos",'Plan mensual'!L106+'Plan mensual'!L217,0))+parametros_manuales!$F$20*('Plan mensual'!L103+'Plan mensual'!L214+IF(parametros_manuales!$H$20="Todos",'Plan mensual'!L107+'Plan mensual'!L218,0))+parametros_manuales!$G$20*('Plan mensual'!L104+'Plan mensual'!L215+IF(parametros_manuales!$H$20="Todos",'Plan mensual'!L108+'Plan mensual'!L219,0)))*parametros_manuales!$I$20*parametros_manuales!$J$20</f>
        <v>6544.35241944</v>
      </c>
      <c r="K246" s="9" t="n">
        <f aca="false">(parametros_manuales!$D$20*('Plan mensual'!M101+'Plan mensual'!M212+IF(parametros_manuales!$H$20="Todos",'Plan mensual'!M105+'Plan mensual'!M216,0))+parametros_manuales!$E$20*('Plan mensual'!M102+'Plan mensual'!M213+IF(parametros_manuales!$H$20="Todos",'Plan mensual'!M106+'Plan mensual'!M217,0))+parametros_manuales!$F$20*('Plan mensual'!M103+'Plan mensual'!M214+IF(parametros_manuales!$H$20="Todos",'Plan mensual'!M107+'Plan mensual'!M218,0))+parametros_manuales!$G$20*('Plan mensual'!M104+'Plan mensual'!M215+IF(parametros_manuales!$H$20="Todos",'Plan mensual'!M108+'Plan mensual'!M219,0)))*parametros_manuales!$I$20*parametros_manuales!$J$20</f>
        <v>6135.330393225</v>
      </c>
      <c r="L246" s="9" t="n">
        <f aca="false">(parametros_manuales!$D$20*('Plan mensual'!N101+'Plan mensual'!N212+IF(parametros_manuales!$H$20="Todos",'Plan mensual'!N105+'Plan mensual'!N216,0))+parametros_manuales!$E$20*('Plan mensual'!N102+'Plan mensual'!N213+IF(parametros_manuales!$H$20="Todos",'Plan mensual'!N106+'Plan mensual'!N217,0))+parametros_manuales!$F$20*('Plan mensual'!N103+'Plan mensual'!N214+IF(parametros_manuales!$H$20="Todos",'Plan mensual'!N107+'Plan mensual'!N218,0))+parametros_manuales!$G$20*('Plan mensual'!N104+'Plan mensual'!N215+IF(parametros_manuales!$H$20="Todos",'Plan mensual'!N108+'Plan mensual'!N219,0)))*parametros_manuales!$I$20*parametros_manuales!$J$20</f>
        <v>5726.30836701</v>
      </c>
      <c r="M246" s="9" t="n">
        <f aca="false">(parametros_manuales!$D$20*('Plan mensual'!O101+'Plan mensual'!O212+IF(parametros_manuales!$H$20="Todos",'Plan mensual'!O105+'Plan mensual'!O216,0))+parametros_manuales!$E$20*('Plan mensual'!O102+'Plan mensual'!O213+IF(parametros_manuales!$H$20="Todos",'Plan mensual'!O106+'Plan mensual'!O217,0))+parametros_manuales!$F$20*('Plan mensual'!O103+'Plan mensual'!O214+IF(parametros_manuales!$H$20="Todos",'Plan mensual'!O107+'Plan mensual'!O218,0))+parametros_manuales!$G$20*('Plan mensual'!O104+'Plan mensual'!O215+IF(parametros_manuales!$H$20="Todos",'Plan mensual'!O108+'Plan mensual'!O219,0)))*parametros_manuales!$I$20*parametros_manuales!$J$20</f>
        <v>8998.48457673</v>
      </c>
      <c r="N246" s="9" t="n">
        <f aca="false">SUM(B246:M246)</f>
        <v>81804.405243</v>
      </c>
      <c r="O246" s="9" t="n">
        <f aca="false">MAX(B246:M246)</f>
        <v>8998.48457673</v>
      </c>
      <c r="P246" s="44" t="n">
        <f aca="false">O246/(parametros_manuales!$B$7)</f>
        <v>59.9898971782</v>
      </c>
      <c r="Q246" s="8" t="str">
        <f aca="false">IF(O246=0,"-",INDEX($B$244:$M$244,MATCH(O246,B246:M246,0)))</f>
        <v>Dic</v>
      </c>
    </row>
    <row r="247" customFormat="false" ht="14.25" hidden="false" customHeight="true" outlineLevel="0" collapsed="false">
      <c r="A247" s="8" t="str">
        <f aca="false">parametros_manuales!$B$21</f>
        <v>Corte de tubo — 1 kg</v>
      </c>
      <c r="B247" s="9" t="n">
        <f aca="false">(parametros_manuales!$D$21*('Plan mensual'!D101+'Plan mensual'!D212+IF(parametros_manuales!$H$21="Todos",'Plan mensual'!D105+'Plan mensual'!D216,0))+parametros_manuales!$E$21*('Plan mensual'!D102+'Plan mensual'!D213+IF(parametros_manuales!$H$21="Todos",'Plan mensual'!D106+'Plan mensual'!D217,0))+parametros_manuales!$F$21*('Plan mensual'!D103+'Plan mensual'!D214+IF(parametros_manuales!$H$21="Todos",'Plan mensual'!D107+'Plan mensual'!D218,0))+parametros_manuales!$G$21*('Plan mensual'!D104+'Plan mensual'!D215+IF(parametros_manuales!$H$21="Todos",'Plan mensual'!D108+'Plan mensual'!D219,0)))*parametros_manuales!$I$21*parametros_manuales!$J$21</f>
        <v>24314.4766956</v>
      </c>
      <c r="C247" s="9" t="n">
        <f aca="false">(parametros_manuales!$D$21*('Plan mensual'!E101+'Plan mensual'!E212+IF(parametros_manuales!$H$21="Todos",'Plan mensual'!E105+'Plan mensual'!E216,0))+parametros_manuales!$E$21*('Plan mensual'!E102+'Plan mensual'!E213+IF(parametros_manuales!$H$21="Todos",'Plan mensual'!E106+'Plan mensual'!E217,0))+parametros_manuales!$F$21*('Plan mensual'!E103+'Plan mensual'!E214+IF(parametros_manuales!$H$21="Todos",'Plan mensual'!E107+'Plan mensual'!E218,0))+parametros_manuales!$G$21*('Plan mensual'!E104+'Plan mensual'!E215+IF(parametros_manuales!$H$21="Todos",'Plan mensual'!E108+'Plan mensual'!E219,0)))*parametros_manuales!$I$21*parametros_manuales!$J$21</f>
        <v>18235.8575217</v>
      </c>
      <c r="D247" s="9" t="n">
        <f aca="false">(parametros_manuales!$D$21*('Plan mensual'!F101+'Plan mensual'!F212+IF(parametros_manuales!$H$21="Todos",'Plan mensual'!F105+'Plan mensual'!F216,0))+parametros_manuales!$E$21*('Plan mensual'!F102+'Plan mensual'!F213+IF(parametros_manuales!$H$21="Todos",'Plan mensual'!F106+'Plan mensual'!F217,0))+parametros_manuales!$F$21*('Plan mensual'!F103+'Plan mensual'!F214+IF(parametros_manuales!$H$21="Todos",'Plan mensual'!F107+'Plan mensual'!F218,0))+parametros_manuales!$G$21*('Plan mensual'!F104+'Plan mensual'!F215+IF(parametros_manuales!$H$21="Todos",'Plan mensual'!F108+'Plan mensual'!F219,0)))*parametros_manuales!$I$21*parametros_manuales!$J$21</f>
        <v>16209.6511304</v>
      </c>
      <c r="E247" s="9" t="n">
        <f aca="false">(parametros_manuales!$D$21*('Plan mensual'!G101+'Plan mensual'!G212+IF(parametros_manuales!$H$21="Todos",'Plan mensual'!G105+'Plan mensual'!G216,0))+parametros_manuales!$E$21*('Plan mensual'!G102+'Plan mensual'!G213+IF(parametros_manuales!$H$21="Todos",'Plan mensual'!G106+'Plan mensual'!G217,0))+parametros_manuales!$F$21*('Plan mensual'!G103+'Plan mensual'!G214+IF(parametros_manuales!$H$21="Todos",'Plan mensual'!G107+'Plan mensual'!G218,0))+parametros_manuales!$G$21*('Plan mensual'!G104+'Plan mensual'!G215+IF(parametros_manuales!$H$21="Todos",'Plan mensual'!G108+'Plan mensual'!G219,0)))*parametros_manuales!$I$21*parametros_manuales!$J$21</f>
        <v>15196.54793475</v>
      </c>
      <c r="F247" s="9" t="n">
        <f aca="false">(parametros_manuales!$D$21*('Plan mensual'!H101+'Plan mensual'!H212+IF(parametros_manuales!$H$21="Todos",'Plan mensual'!H105+'Plan mensual'!H216,0))+parametros_manuales!$E$21*('Plan mensual'!H102+'Plan mensual'!H213+IF(parametros_manuales!$H$21="Todos",'Plan mensual'!H106+'Plan mensual'!H217,0))+parametros_manuales!$F$21*('Plan mensual'!H103+'Plan mensual'!H214+IF(parametros_manuales!$H$21="Todos",'Plan mensual'!H107+'Plan mensual'!H218,0))+parametros_manuales!$G$21*('Plan mensual'!H104+'Plan mensual'!H215+IF(parametros_manuales!$H$21="Todos",'Plan mensual'!H108+'Plan mensual'!H219,0)))*parametros_manuales!$I$21*parametros_manuales!$J$21</f>
        <v>14183.4447391</v>
      </c>
      <c r="G247" s="9" t="n">
        <f aca="false">(parametros_manuales!$D$21*('Plan mensual'!I101+'Plan mensual'!I212+IF(parametros_manuales!$H$21="Todos",'Plan mensual'!I105+'Plan mensual'!I216,0))+parametros_manuales!$E$21*('Plan mensual'!I102+'Plan mensual'!I213+IF(parametros_manuales!$H$21="Todos",'Plan mensual'!I106+'Plan mensual'!I217,0))+parametros_manuales!$F$21*('Plan mensual'!I103+'Plan mensual'!I214+IF(parametros_manuales!$H$21="Todos",'Plan mensual'!I107+'Plan mensual'!I218,0))+parametros_manuales!$G$21*('Plan mensual'!I104+'Plan mensual'!I215+IF(parametros_manuales!$H$21="Todos",'Plan mensual'!I108+'Plan mensual'!I219,0)))*parametros_manuales!$I$21*parametros_manuales!$J$21</f>
        <v>14183.4447391</v>
      </c>
      <c r="H247" s="9" t="n">
        <f aca="false">(parametros_manuales!$D$21*('Plan mensual'!J101+'Plan mensual'!J212+IF(parametros_manuales!$H$21="Todos",'Plan mensual'!J105+'Plan mensual'!J216,0))+parametros_manuales!$E$21*('Plan mensual'!J102+'Plan mensual'!J213+IF(parametros_manuales!$H$21="Todos",'Plan mensual'!J106+'Plan mensual'!J217,0))+parametros_manuales!$F$21*('Plan mensual'!J103+'Plan mensual'!J214+IF(parametros_manuales!$H$21="Todos",'Plan mensual'!J107+'Plan mensual'!J218,0))+parametros_manuales!$G$21*('Plan mensual'!J104+'Plan mensual'!J215+IF(parametros_manuales!$H$21="Todos",'Plan mensual'!J108+'Plan mensual'!J219,0)))*parametros_manuales!$I$21*parametros_manuales!$J$21</f>
        <v>15196.54793475</v>
      </c>
      <c r="I247" s="9" t="n">
        <f aca="false">(parametros_manuales!$D$21*('Plan mensual'!K101+'Plan mensual'!K212+IF(parametros_manuales!$H$21="Todos",'Plan mensual'!K105+'Plan mensual'!K216,0))+parametros_manuales!$E$21*('Plan mensual'!K102+'Plan mensual'!K213+IF(parametros_manuales!$H$21="Todos",'Plan mensual'!K106+'Plan mensual'!K217,0))+parametros_manuales!$F$21*('Plan mensual'!K103+'Plan mensual'!K214+IF(parametros_manuales!$H$21="Todos",'Plan mensual'!K107+'Plan mensual'!K218,0))+parametros_manuales!$G$21*('Plan mensual'!K104+'Plan mensual'!K215+IF(parametros_manuales!$H$21="Todos",'Plan mensual'!K108+'Plan mensual'!K219,0)))*parametros_manuales!$I$21*parametros_manuales!$J$21</f>
        <v>15196.54793475</v>
      </c>
      <c r="J247" s="9" t="n">
        <f aca="false">(parametros_manuales!$D$21*('Plan mensual'!L101+'Plan mensual'!L212+IF(parametros_manuales!$H$21="Todos",'Plan mensual'!L105+'Plan mensual'!L216,0))+parametros_manuales!$E$21*('Plan mensual'!L102+'Plan mensual'!L213+IF(parametros_manuales!$H$21="Todos",'Plan mensual'!L106+'Plan mensual'!L217,0))+parametros_manuales!$F$21*('Plan mensual'!L103+'Plan mensual'!L214+IF(parametros_manuales!$H$21="Todos",'Plan mensual'!L107+'Plan mensual'!L218,0))+parametros_manuales!$G$21*('Plan mensual'!L104+'Plan mensual'!L215+IF(parametros_manuales!$H$21="Todos",'Plan mensual'!L108+'Plan mensual'!L219,0)))*parametros_manuales!$I$21*parametros_manuales!$J$21</f>
        <v>15196.54793475</v>
      </c>
      <c r="K247" s="9" t="n">
        <f aca="false">(parametros_manuales!$D$21*('Plan mensual'!M101+'Plan mensual'!M212+IF(parametros_manuales!$H$21="Todos",'Plan mensual'!M105+'Plan mensual'!M216,0))+parametros_manuales!$E$21*('Plan mensual'!M102+'Plan mensual'!M213+IF(parametros_manuales!$H$21="Todos",'Plan mensual'!M106+'Plan mensual'!M217,0))+parametros_manuales!$F$21*('Plan mensual'!M103+'Plan mensual'!M214+IF(parametros_manuales!$H$21="Todos",'Plan mensual'!M107+'Plan mensual'!M218,0))+parametros_manuales!$G$21*('Plan mensual'!M104+'Plan mensual'!M215+IF(parametros_manuales!$H$21="Todos",'Plan mensual'!M108+'Plan mensual'!M219,0)))*parametros_manuales!$I$21*parametros_manuales!$J$21</f>
        <v>15196.54793475</v>
      </c>
      <c r="L247" s="9" t="n">
        <f aca="false">(parametros_manuales!$D$21*('Plan mensual'!N101+'Plan mensual'!N212+IF(parametros_manuales!$H$21="Todos",'Plan mensual'!N105+'Plan mensual'!N216,0))+parametros_manuales!$E$21*('Plan mensual'!N102+'Plan mensual'!N213+IF(parametros_manuales!$H$21="Todos",'Plan mensual'!N106+'Plan mensual'!N217,0))+parametros_manuales!$F$21*('Plan mensual'!N103+'Plan mensual'!N214+IF(parametros_manuales!$H$21="Todos",'Plan mensual'!N107+'Plan mensual'!N218,0))+parametros_manuales!$G$21*('Plan mensual'!N104+'Plan mensual'!N215+IF(parametros_manuales!$H$21="Todos",'Plan mensual'!N108+'Plan mensual'!N219,0)))*parametros_manuales!$I$21*parametros_manuales!$J$21</f>
        <v>15196.54793475</v>
      </c>
      <c r="M247" s="9" t="n">
        <f aca="false">(parametros_manuales!$D$21*('Plan mensual'!O101+'Plan mensual'!O212+IF(parametros_manuales!$H$21="Todos",'Plan mensual'!O105+'Plan mensual'!O216,0))+parametros_manuales!$E$21*('Plan mensual'!O102+'Plan mensual'!O213+IF(parametros_manuales!$H$21="Todos",'Plan mensual'!O106+'Plan mensual'!O217,0))+parametros_manuales!$F$21*('Plan mensual'!O103+'Plan mensual'!O214+IF(parametros_manuales!$H$21="Todos",'Plan mensual'!O107+'Plan mensual'!O218,0))+parametros_manuales!$G$21*('Plan mensual'!O104+'Plan mensual'!O215+IF(parametros_manuales!$H$21="Todos",'Plan mensual'!O108+'Plan mensual'!O219,0)))*parametros_manuales!$I$21*parametros_manuales!$J$21</f>
        <v>24314.4766956</v>
      </c>
      <c r="N247" s="9" t="n">
        <f aca="false">SUM(B247:M247)</f>
        <v>202620.63913</v>
      </c>
      <c r="O247" s="9" t="n">
        <f aca="false">MAX(B247:M247)</f>
        <v>24314.4766956</v>
      </c>
      <c r="P247" s="44" t="n">
        <f aca="false">O247/(parametros_manuales!$B$7)</f>
        <v>162.096511304</v>
      </c>
      <c r="Q247" s="8" t="str">
        <f aca="false">IF(O247=0,"-",INDEX($B$244:$M$244,MATCH(O247,B247:M247,0)))</f>
        <v>Ene</v>
      </c>
    </row>
    <row r="248" customFormat="false" ht="14.25" hidden="false" customHeight="true" outlineLevel="0" collapsed="false">
      <c r="A248" s="8" t="str">
        <f aca="false">parametros_manuales!$B$22</f>
        <v>Corte de disco y embutido (cúpula y fondo)</v>
      </c>
      <c r="B248" s="9" t="n">
        <f aca="false">(parametros_manuales!$D$22*('Plan mensual'!D101+'Plan mensual'!D212+IF(parametros_manuales!$H$22="Todos",'Plan mensual'!D105+'Plan mensual'!D216,0))+parametros_manuales!$E$22*('Plan mensual'!D102+'Plan mensual'!D213+IF(parametros_manuales!$H$22="Todos",'Plan mensual'!D106+'Plan mensual'!D217,0))+parametros_manuales!$F$22*('Plan mensual'!D103+'Plan mensual'!D214+IF(parametros_manuales!$H$22="Todos",'Plan mensual'!D107+'Plan mensual'!D218,0))+parametros_manuales!$G$22*('Plan mensual'!D104+'Plan mensual'!D215+IF(parametros_manuales!$H$22="Todos",'Plan mensual'!D108+'Plan mensual'!D219,0)))*parametros_manuales!$I$22*parametros_manuales!$J$22</f>
        <v>64989.8344398</v>
      </c>
      <c r="C248" s="9" t="n">
        <f aca="false">(parametros_manuales!$D$22*('Plan mensual'!E101+'Plan mensual'!E212+IF(parametros_manuales!$H$22="Todos",'Plan mensual'!E105+'Plan mensual'!E216,0))+parametros_manuales!$E$22*('Plan mensual'!E102+'Plan mensual'!E213+IF(parametros_manuales!$H$22="Todos",'Plan mensual'!E106+'Plan mensual'!E217,0))+parametros_manuales!$F$22*('Plan mensual'!E103+'Plan mensual'!E214+IF(parametros_manuales!$H$22="Todos",'Plan mensual'!E107+'Plan mensual'!E218,0))+parametros_manuales!$G$22*('Plan mensual'!E104+'Plan mensual'!E215+IF(parametros_manuales!$H$22="Todos",'Plan mensual'!E108+'Plan mensual'!E219,0)))*parametros_manuales!$I$22*parametros_manuales!$J$22</f>
        <v>49560.41988228</v>
      </c>
      <c r="D248" s="9" t="n">
        <f aca="false">(parametros_manuales!$D$22*('Plan mensual'!F101+'Plan mensual'!F212+IF(parametros_manuales!$H$22="Todos",'Plan mensual'!F105+'Plan mensual'!F216,0))+parametros_manuales!$E$22*('Plan mensual'!F102+'Plan mensual'!F213+IF(parametros_manuales!$H$22="Todos",'Plan mensual'!F106+'Plan mensual'!F217,0))+parametros_manuales!$F$22*('Plan mensual'!F103+'Plan mensual'!F214+IF(parametros_manuales!$H$22="Todos",'Plan mensual'!F107+'Plan mensual'!F218,0))+parametros_manuales!$G$22*('Plan mensual'!F104+'Plan mensual'!F215+IF(parametros_manuales!$H$22="Todos",'Plan mensual'!F108+'Plan mensual'!F219,0)))*parametros_manuales!$I$22*parametros_manuales!$J$22</f>
        <v>46326.05115211</v>
      </c>
      <c r="E248" s="9" t="n">
        <f aca="false">(parametros_manuales!$D$22*('Plan mensual'!G101+'Plan mensual'!G212+IF(parametros_manuales!$H$22="Todos",'Plan mensual'!G105+'Plan mensual'!G216,0))+parametros_manuales!$E$22*('Plan mensual'!G102+'Plan mensual'!G213+IF(parametros_manuales!$H$22="Todos",'Plan mensual'!G106+'Plan mensual'!G217,0))+parametros_manuales!$F$22*('Plan mensual'!G103+'Plan mensual'!G214+IF(parametros_manuales!$H$22="Todos",'Plan mensual'!G107+'Plan mensual'!G218,0))+parametros_manuales!$G$22*('Plan mensual'!G104+'Plan mensual'!G215+IF(parametros_manuales!$H$22="Todos",'Plan mensual'!G108+'Plan mensual'!G219,0)))*parametros_manuales!$I$22*parametros_manuales!$J$22</f>
        <v>44299.84476081</v>
      </c>
      <c r="F248" s="9" t="n">
        <f aca="false">(parametros_manuales!$D$22*('Plan mensual'!H101+'Plan mensual'!H212+IF(parametros_manuales!$H$22="Todos",'Plan mensual'!H105+'Plan mensual'!H216,0))+parametros_manuales!$E$22*('Plan mensual'!H102+'Plan mensual'!H213+IF(parametros_manuales!$H$22="Todos",'Plan mensual'!H106+'Plan mensual'!H217,0))+parametros_manuales!$F$22*('Plan mensual'!H103+'Plan mensual'!H214+IF(parametros_manuales!$H$22="Todos",'Plan mensual'!H107+'Plan mensual'!H218,0))+parametros_manuales!$G$22*('Plan mensual'!H104+'Plan mensual'!H215+IF(parametros_manuales!$H$22="Todos",'Plan mensual'!H108+'Plan mensual'!H219,0)))*parametros_manuales!$I$22*parametros_manuales!$J$22</f>
        <v>41455.59431708</v>
      </c>
      <c r="G248" s="9" t="n">
        <f aca="false">(parametros_manuales!$D$22*('Plan mensual'!I101+'Plan mensual'!I212+IF(parametros_manuales!$H$22="Todos",'Plan mensual'!I105+'Plan mensual'!I216,0))+parametros_manuales!$E$22*('Plan mensual'!I102+'Plan mensual'!I213+IF(parametros_manuales!$H$22="Todos",'Plan mensual'!I106+'Plan mensual'!I217,0))+parametros_manuales!$F$22*('Plan mensual'!I103+'Plan mensual'!I214+IF(parametros_manuales!$H$22="Todos",'Plan mensual'!I107+'Plan mensual'!I218,0))+parametros_manuales!$G$22*('Plan mensual'!I104+'Plan mensual'!I215+IF(parametros_manuales!$H$22="Todos",'Plan mensual'!I108+'Plan mensual'!I219,0)))*parametros_manuales!$I$22*parametros_manuales!$J$22</f>
        <v>40637.55026465</v>
      </c>
      <c r="H248" s="9" t="n">
        <f aca="false">(parametros_manuales!$D$22*('Plan mensual'!J101+'Plan mensual'!J212+IF(parametros_manuales!$H$22="Todos",'Plan mensual'!J105+'Plan mensual'!J216,0))+parametros_manuales!$E$22*('Plan mensual'!J102+'Plan mensual'!J213+IF(parametros_manuales!$H$22="Todos",'Plan mensual'!J106+'Plan mensual'!J217,0))+parametros_manuales!$F$22*('Plan mensual'!J103+'Plan mensual'!J214+IF(parametros_manuales!$H$22="Todos",'Plan mensual'!J107+'Plan mensual'!J218,0))+parametros_manuales!$G$22*('Plan mensual'!J104+'Plan mensual'!J215+IF(parametros_manuales!$H$22="Todos",'Plan mensual'!J108+'Plan mensual'!J219,0)))*parametros_manuales!$I$22*parametros_manuales!$J$22</f>
        <v>43481.80070838</v>
      </c>
      <c r="I248" s="9" t="n">
        <f aca="false">(parametros_manuales!$D$22*('Plan mensual'!K101+'Plan mensual'!K212+IF(parametros_manuales!$H$22="Todos",'Plan mensual'!K105+'Plan mensual'!K216,0))+parametros_manuales!$E$22*('Plan mensual'!K102+'Plan mensual'!K213+IF(parametros_manuales!$H$22="Todos",'Plan mensual'!K106+'Plan mensual'!K217,0))+parametros_manuales!$F$22*('Plan mensual'!K103+'Plan mensual'!K214+IF(parametros_manuales!$H$22="Todos",'Plan mensual'!K107+'Plan mensual'!K218,0))+parametros_manuales!$G$22*('Plan mensual'!K104+'Plan mensual'!K215+IF(parametros_manuales!$H$22="Todos",'Plan mensual'!K108+'Plan mensual'!K219,0)))*parametros_manuales!$I$22*parametros_manuales!$J$22</f>
        <v>43481.80070838</v>
      </c>
      <c r="J248" s="9" t="n">
        <f aca="false">(parametros_manuales!$D$22*('Plan mensual'!L101+'Plan mensual'!L212+IF(parametros_manuales!$H$22="Todos",'Plan mensual'!L105+'Plan mensual'!L216,0))+parametros_manuales!$E$22*('Plan mensual'!L102+'Plan mensual'!L213+IF(parametros_manuales!$H$22="Todos",'Plan mensual'!L106+'Plan mensual'!L217,0))+parametros_manuales!$F$22*('Plan mensual'!L103+'Plan mensual'!L214+IF(parametros_manuales!$H$22="Todos",'Plan mensual'!L107+'Plan mensual'!L218,0))+parametros_manuales!$G$22*('Plan mensual'!L104+'Plan mensual'!L215+IF(parametros_manuales!$H$22="Todos",'Plan mensual'!L108+'Plan mensual'!L219,0)))*parametros_manuales!$I$22*parametros_manuales!$J$22</f>
        <v>43481.80070838</v>
      </c>
      <c r="K248" s="9" t="n">
        <f aca="false">(parametros_manuales!$D$22*('Plan mensual'!M101+'Plan mensual'!M212+IF(parametros_manuales!$H$22="Todos",'Plan mensual'!M105+'Plan mensual'!M216,0))+parametros_manuales!$E$22*('Plan mensual'!M102+'Plan mensual'!M213+IF(parametros_manuales!$H$22="Todos",'Plan mensual'!M106+'Plan mensual'!M217,0))+parametros_manuales!$F$22*('Plan mensual'!M103+'Plan mensual'!M214+IF(parametros_manuales!$H$22="Todos",'Plan mensual'!M107+'Plan mensual'!M218,0))+parametros_manuales!$G$22*('Plan mensual'!M104+'Plan mensual'!M215+IF(parametros_manuales!$H$22="Todos",'Plan mensual'!M108+'Plan mensual'!M219,0)))*parametros_manuales!$I$22*parametros_manuales!$J$22</f>
        <v>42663.75665595</v>
      </c>
      <c r="L248" s="9" t="n">
        <f aca="false">(parametros_manuales!$D$22*('Plan mensual'!N101+'Plan mensual'!N212+IF(parametros_manuales!$H$22="Todos",'Plan mensual'!N105+'Plan mensual'!N216,0))+parametros_manuales!$E$22*('Plan mensual'!N102+'Plan mensual'!N213+IF(parametros_manuales!$H$22="Todos",'Plan mensual'!N106+'Plan mensual'!N217,0))+parametros_manuales!$F$22*('Plan mensual'!N103+'Plan mensual'!N214+IF(parametros_manuales!$H$22="Todos",'Plan mensual'!N107+'Plan mensual'!N218,0))+parametros_manuales!$G$22*('Plan mensual'!N104+'Plan mensual'!N215+IF(parametros_manuales!$H$22="Todos",'Plan mensual'!N108+'Plan mensual'!N219,0)))*parametros_manuales!$I$22*parametros_manuales!$J$22</f>
        <v>41845.71260352</v>
      </c>
      <c r="M248" s="9" t="n">
        <f aca="false">(parametros_manuales!$D$22*('Plan mensual'!O101+'Plan mensual'!O212+IF(parametros_manuales!$H$22="Todos",'Plan mensual'!O105+'Plan mensual'!O216,0))+parametros_manuales!$E$22*('Plan mensual'!O102+'Plan mensual'!O213+IF(parametros_manuales!$H$22="Todos",'Plan mensual'!O106+'Plan mensual'!O217,0))+parametros_manuales!$F$22*('Plan mensual'!O103+'Plan mensual'!O214+IF(parametros_manuales!$H$22="Todos",'Plan mensual'!O107+'Plan mensual'!O218,0))+parametros_manuales!$G$22*('Plan mensual'!O104+'Plan mensual'!O215+IF(parametros_manuales!$H$22="Todos",'Plan mensual'!O108+'Plan mensual'!O219,0)))*parametros_manuales!$I$22*parametros_manuales!$J$22</f>
        <v>66625.92254466</v>
      </c>
      <c r="N248" s="9" t="n">
        <f aca="false">SUM(B248:M248)</f>
        <v>568850.088746</v>
      </c>
      <c r="O248" s="9" t="n">
        <f aca="false">MAX(B248:M248)</f>
        <v>66625.92254466</v>
      </c>
      <c r="P248" s="44" t="n">
        <f aca="false">O248/(parametros_manuales!$B$7)</f>
        <v>444.1728169644</v>
      </c>
      <c r="Q248" s="8" t="str">
        <f aca="false">IF(O248=0,"-",INDEX($B$244:$M$244,MATCH(O248,B248:M248,0)))</f>
        <v>Dic</v>
      </c>
    </row>
    <row r="249" customFormat="false" ht="14.25" hidden="false" customHeight="true" outlineLevel="0" collapsed="false">
      <c r="A249" s="8" t="str">
        <f aca="false">parametros_manuales!$B$23</f>
        <v>Preparación de cuello</v>
      </c>
      <c r="B249" s="9" t="n">
        <f aca="false">(parametros_manuales!$D$23*('Plan mensual'!D101+'Plan mensual'!D212+IF(parametros_manuales!$H$23="Todos",'Plan mensual'!D105+'Plan mensual'!D216,0))+parametros_manuales!$E$23*('Plan mensual'!D102+'Plan mensual'!D213+IF(parametros_manuales!$H$23="Todos",'Plan mensual'!D106+'Plan mensual'!D217,0))+parametros_manuales!$F$23*('Plan mensual'!D103+'Plan mensual'!D214+IF(parametros_manuales!$H$23="Todos",'Plan mensual'!D107+'Plan mensual'!D218,0))+parametros_manuales!$G$23*('Plan mensual'!D104+'Plan mensual'!D215+IF(parametros_manuales!$H$23="Todos",'Plan mensual'!D108+'Plan mensual'!D219,0)))*parametros_manuales!$I$23*parametros_manuales!$J$23</f>
        <v>32494.9172199</v>
      </c>
      <c r="C249" s="9" t="n">
        <f aca="false">(parametros_manuales!$D$23*('Plan mensual'!E101+'Plan mensual'!E212+IF(parametros_manuales!$H$23="Todos",'Plan mensual'!E105+'Plan mensual'!E216,0))+parametros_manuales!$E$23*('Plan mensual'!E102+'Plan mensual'!E213+IF(parametros_manuales!$H$23="Todos",'Plan mensual'!E106+'Plan mensual'!E217,0))+parametros_manuales!$F$23*('Plan mensual'!E103+'Plan mensual'!E214+IF(parametros_manuales!$H$23="Todos",'Plan mensual'!E107+'Plan mensual'!E218,0))+parametros_manuales!$G$23*('Plan mensual'!E104+'Plan mensual'!E215+IF(parametros_manuales!$H$23="Todos",'Plan mensual'!E108+'Plan mensual'!E219,0)))*parametros_manuales!$I$23*parametros_manuales!$J$23</f>
        <v>24780.20994114</v>
      </c>
      <c r="D249" s="9" t="n">
        <f aca="false">(parametros_manuales!$D$23*('Plan mensual'!F101+'Plan mensual'!F212+IF(parametros_manuales!$H$23="Todos",'Plan mensual'!F105+'Plan mensual'!F216,0))+parametros_manuales!$E$23*('Plan mensual'!F102+'Plan mensual'!F213+IF(parametros_manuales!$H$23="Todos",'Plan mensual'!F106+'Plan mensual'!F217,0))+parametros_manuales!$F$23*('Plan mensual'!F103+'Plan mensual'!F214+IF(parametros_manuales!$H$23="Todos",'Plan mensual'!F107+'Plan mensual'!F218,0))+parametros_manuales!$G$23*('Plan mensual'!F104+'Plan mensual'!F215+IF(parametros_manuales!$H$23="Todos",'Plan mensual'!F108+'Plan mensual'!F219,0)))*parametros_manuales!$I$23*parametros_manuales!$J$23</f>
        <v>23163.025576055</v>
      </c>
      <c r="E249" s="9" t="n">
        <f aca="false">(parametros_manuales!$D$23*('Plan mensual'!G101+'Plan mensual'!G212+IF(parametros_manuales!$H$23="Todos",'Plan mensual'!G105+'Plan mensual'!G216,0))+parametros_manuales!$E$23*('Plan mensual'!G102+'Plan mensual'!G213+IF(parametros_manuales!$H$23="Todos",'Plan mensual'!G106+'Plan mensual'!G217,0))+parametros_manuales!$F$23*('Plan mensual'!G103+'Plan mensual'!G214+IF(parametros_manuales!$H$23="Todos",'Plan mensual'!G107+'Plan mensual'!G218,0))+parametros_manuales!$G$23*('Plan mensual'!G104+'Plan mensual'!G215+IF(parametros_manuales!$H$23="Todos",'Plan mensual'!G108+'Plan mensual'!G219,0)))*parametros_manuales!$I$23*parametros_manuales!$J$23</f>
        <v>22149.922380405</v>
      </c>
      <c r="F249" s="9" t="n">
        <f aca="false">(parametros_manuales!$D$23*('Plan mensual'!H101+'Plan mensual'!H212+IF(parametros_manuales!$H$23="Todos",'Plan mensual'!H105+'Plan mensual'!H216,0))+parametros_manuales!$E$23*('Plan mensual'!H102+'Plan mensual'!H213+IF(parametros_manuales!$H$23="Todos",'Plan mensual'!H106+'Plan mensual'!H217,0))+parametros_manuales!$F$23*('Plan mensual'!H103+'Plan mensual'!H214+IF(parametros_manuales!$H$23="Todos",'Plan mensual'!H107+'Plan mensual'!H218,0))+parametros_manuales!$G$23*('Plan mensual'!H104+'Plan mensual'!H215+IF(parametros_manuales!$H$23="Todos",'Plan mensual'!H108+'Plan mensual'!H219,0)))*parametros_manuales!$I$23*parametros_manuales!$J$23</f>
        <v>20727.79715854</v>
      </c>
      <c r="G249" s="9" t="n">
        <f aca="false">(parametros_manuales!$D$23*('Plan mensual'!I101+'Plan mensual'!I212+IF(parametros_manuales!$H$23="Todos",'Plan mensual'!I105+'Plan mensual'!I216,0))+parametros_manuales!$E$23*('Plan mensual'!I102+'Plan mensual'!I213+IF(parametros_manuales!$H$23="Todos",'Plan mensual'!I106+'Plan mensual'!I217,0))+parametros_manuales!$F$23*('Plan mensual'!I103+'Plan mensual'!I214+IF(parametros_manuales!$H$23="Todos",'Plan mensual'!I107+'Plan mensual'!I218,0))+parametros_manuales!$G$23*('Plan mensual'!I104+'Plan mensual'!I215+IF(parametros_manuales!$H$23="Todos",'Plan mensual'!I108+'Plan mensual'!I219,0)))*parametros_manuales!$I$23*parametros_manuales!$J$23</f>
        <v>20318.775132325</v>
      </c>
      <c r="H249" s="9" t="n">
        <f aca="false">(parametros_manuales!$D$23*('Plan mensual'!J101+'Plan mensual'!J212+IF(parametros_manuales!$H$23="Todos",'Plan mensual'!J105+'Plan mensual'!J216,0))+parametros_manuales!$E$23*('Plan mensual'!J102+'Plan mensual'!J213+IF(parametros_manuales!$H$23="Todos",'Plan mensual'!J106+'Plan mensual'!J217,0))+parametros_manuales!$F$23*('Plan mensual'!J103+'Plan mensual'!J214+IF(parametros_manuales!$H$23="Todos",'Plan mensual'!J107+'Plan mensual'!J218,0))+parametros_manuales!$G$23*('Plan mensual'!J104+'Plan mensual'!J215+IF(parametros_manuales!$H$23="Todos",'Plan mensual'!J108+'Plan mensual'!J219,0)))*parametros_manuales!$I$23*parametros_manuales!$J$23</f>
        <v>21740.90035419</v>
      </c>
      <c r="I249" s="9" t="n">
        <f aca="false">(parametros_manuales!$D$23*('Plan mensual'!K101+'Plan mensual'!K212+IF(parametros_manuales!$H$23="Todos",'Plan mensual'!K105+'Plan mensual'!K216,0))+parametros_manuales!$E$23*('Plan mensual'!K102+'Plan mensual'!K213+IF(parametros_manuales!$H$23="Todos",'Plan mensual'!K106+'Plan mensual'!K217,0))+parametros_manuales!$F$23*('Plan mensual'!K103+'Plan mensual'!K214+IF(parametros_manuales!$H$23="Todos",'Plan mensual'!K107+'Plan mensual'!K218,0))+parametros_manuales!$G$23*('Plan mensual'!K104+'Plan mensual'!K215+IF(parametros_manuales!$H$23="Todos",'Plan mensual'!K108+'Plan mensual'!K219,0)))*parametros_manuales!$I$23*parametros_manuales!$J$23</f>
        <v>21740.90035419</v>
      </c>
      <c r="J249" s="9" t="n">
        <f aca="false">(parametros_manuales!$D$23*('Plan mensual'!L101+'Plan mensual'!L212+IF(parametros_manuales!$H$23="Todos",'Plan mensual'!L105+'Plan mensual'!L216,0))+parametros_manuales!$E$23*('Plan mensual'!L102+'Plan mensual'!L213+IF(parametros_manuales!$H$23="Todos",'Plan mensual'!L106+'Plan mensual'!L217,0))+parametros_manuales!$F$23*('Plan mensual'!L103+'Plan mensual'!L214+IF(parametros_manuales!$H$23="Todos",'Plan mensual'!L107+'Plan mensual'!L218,0))+parametros_manuales!$G$23*('Plan mensual'!L104+'Plan mensual'!L215+IF(parametros_manuales!$H$23="Todos",'Plan mensual'!L108+'Plan mensual'!L219,0)))*parametros_manuales!$I$23*parametros_manuales!$J$23</f>
        <v>21740.90035419</v>
      </c>
      <c r="K249" s="9" t="n">
        <f aca="false">(parametros_manuales!$D$23*('Plan mensual'!M101+'Plan mensual'!M212+IF(parametros_manuales!$H$23="Todos",'Plan mensual'!M105+'Plan mensual'!M216,0))+parametros_manuales!$E$23*('Plan mensual'!M102+'Plan mensual'!M213+IF(parametros_manuales!$H$23="Todos",'Plan mensual'!M106+'Plan mensual'!M217,0))+parametros_manuales!$F$23*('Plan mensual'!M103+'Plan mensual'!M214+IF(parametros_manuales!$H$23="Todos",'Plan mensual'!M107+'Plan mensual'!M218,0))+parametros_manuales!$G$23*('Plan mensual'!M104+'Plan mensual'!M215+IF(parametros_manuales!$H$23="Todos",'Plan mensual'!M108+'Plan mensual'!M219,0)))*parametros_manuales!$I$23*parametros_manuales!$J$23</f>
        <v>21331.878327975</v>
      </c>
      <c r="L249" s="9" t="n">
        <f aca="false">(parametros_manuales!$D$23*('Plan mensual'!N101+'Plan mensual'!N212+IF(parametros_manuales!$H$23="Todos",'Plan mensual'!N105+'Plan mensual'!N216,0))+parametros_manuales!$E$23*('Plan mensual'!N102+'Plan mensual'!N213+IF(parametros_manuales!$H$23="Todos",'Plan mensual'!N106+'Plan mensual'!N217,0))+parametros_manuales!$F$23*('Plan mensual'!N103+'Plan mensual'!N214+IF(parametros_manuales!$H$23="Todos",'Plan mensual'!N107+'Plan mensual'!N218,0))+parametros_manuales!$G$23*('Plan mensual'!N104+'Plan mensual'!N215+IF(parametros_manuales!$H$23="Todos",'Plan mensual'!N108+'Plan mensual'!N219,0)))*parametros_manuales!$I$23*parametros_manuales!$J$23</f>
        <v>20922.85630176</v>
      </c>
      <c r="M249" s="9" t="n">
        <f aca="false">(parametros_manuales!$D$23*('Plan mensual'!O101+'Plan mensual'!O212+IF(parametros_manuales!$H$23="Todos",'Plan mensual'!O105+'Plan mensual'!O216,0))+parametros_manuales!$E$23*('Plan mensual'!O102+'Plan mensual'!O213+IF(parametros_manuales!$H$23="Todos",'Plan mensual'!O106+'Plan mensual'!O217,0))+parametros_manuales!$F$23*('Plan mensual'!O103+'Plan mensual'!O214+IF(parametros_manuales!$H$23="Todos",'Plan mensual'!O107+'Plan mensual'!O218,0))+parametros_manuales!$G$23*('Plan mensual'!O104+'Plan mensual'!O215+IF(parametros_manuales!$H$23="Todos",'Plan mensual'!O108+'Plan mensual'!O219,0)))*parametros_manuales!$I$23*parametros_manuales!$J$23</f>
        <v>33312.96127233</v>
      </c>
      <c r="N249" s="9" t="n">
        <f aca="false">SUM(B249:M249)</f>
        <v>284425.044373</v>
      </c>
      <c r="O249" s="9" t="n">
        <f aca="false">MAX(B249:M249)</f>
        <v>33312.96127233</v>
      </c>
      <c r="P249" s="44" t="n">
        <f aca="false">O249/(parametros_manuales!$B$7)</f>
        <v>222.0864084822</v>
      </c>
      <c r="Q249" s="8" t="str">
        <f aca="false">IF(O249=0,"-",INDEX($B$244:$M$244,MATCH(O249,B249:M249,0)))</f>
        <v>Dic</v>
      </c>
    </row>
    <row r="250" customFormat="false" ht="14.25" hidden="false" customHeight="true" outlineLevel="0" collapsed="false">
      <c r="A250" s="8" t="str">
        <f aca="false">parametros_manuales!$B$24</f>
        <v>Numerado de cúpula</v>
      </c>
      <c r="B250" s="9" t="n">
        <f aca="false">(parametros_manuales!$D$24*('Plan mensual'!D101+'Plan mensual'!D212+IF(parametros_manuales!$H$24="Todos",'Plan mensual'!D105+'Plan mensual'!D216,0))+parametros_manuales!$E$24*('Plan mensual'!D102+'Plan mensual'!D213+IF(parametros_manuales!$H$24="Todos",'Plan mensual'!D106+'Plan mensual'!D217,0))+parametros_manuales!$F$24*('Plan mensual'!D103+'Plan mensual'!D214+IF(parametros_manuales!$H$24="Todos",'Plan mensual'!D107+'Plan mensual'!D218,0))+parametros_manuales!$G$24*('Plan mensual'!D104+'Plan mensual'!D215+IF(parametros_manuales!$H$24="Todos",'Plan mensual'!D108+'Plan mensual'!D219,0)))*parametros_manuales!$I$24*parametros_manuales!$J$24</f>
        <v>32494.9172199</v>
      </c>
      <c r="C250" s="9" t="n">
        <f aca="false">(parametros_manuales!$D$24*('Plan mensual'!E101+'Plan mensual'!E212+IF(parametros_manuales!$H$24="Todos",'Plan mensual'!E105+'Plan mensual'!E216,0))+parametros_manuales!$E$24*('Plan mensual'!E102+'Plan mensual'!E213+IF(parametros_manuales!$H$24="Todos",'Plan mensual'!E106+'Plan mensual'!E217,0))+parametros_manuales!$F$24*('Plan mensual'!E103+'Plan mensual'!E214+IF(parametros_manuales!$H$24="Todos",'Plan mensual'!E107+'Plan mensual'!E218,0))+parametros_manuales!$G$24*('Plan mensual'!E104+'Plan mensual'!E215+IF(parametros_manuales!$H$24="Todos",'Plan mensual'!E108+'Plan mensual'!E219,0)))*parametros_manuales!$I$24*parametros_manuales!$J$24</f>
        <v>24780.20994114</v>
      </c>
      <c r="D250" s="9" t="n">
        <f aca="false">(parametros_manuales!$D$24*('Plan mensual'!F101+'Plan mensual'!F212+IF(parametros_manuales!$H$24="Todos",'Plan mensual'!F105+'Plan mensual'!F216,0))+parametros_manuales!$E$24*('Plan mensual'!F102+'Plan mensual'!F213+IF(parametros_manuales!$H$24="Todos",'Plan mensual'!F106+'Plan mensual'!F217,0))+parametros_manuales!$F$24*('Plan mensual'!F103+'Plan mensual'!F214+IF(parametros_manuales!$H$24="Todos",'Plan mensual'!F107+'Plan mensual'!F218,0))+parametros_manuales!$G$24*('Plan mensual'!F104+'Plan mensual'!F215+IF(parametros_manuales!$H$24="Todos",'Plan mensual'!F108+'Plan mensual'!F219,0)))*parametros_manuales!$I$24*parametros_manuales!$J$24</f>
        <v>23163.025576055</v>
      </c>
      <c r="E250" s="9" t="n">
        <f aca="false">(parametros_manuales!$D$24*('Plan mensual'!G101+'Plan mensual'!G212+IF(parametros_manuales!$H$24="Todos",'Plan mensual'!G105+'Plan mensual'!G216,0))+parametros_manuales!$E$24*('Plan mensual'!G102+'Plan mensual'!G213+IF(parametros_manuales!$H$24="Todos",'Plan mensual'!G106+'Plan mensual'!G217,0))+parametros_manuales!$F$24*('Plan mensual'!G103+'Plan mensual'!G214+IF(parametros_manuales!$H$24="Todos",'Plan mensual'!G107+'Plan mensual'!G218,0))+parametros_manuales!$G$24*('Plan mensual'!G104+'Plan mensual'!G215+IF(parametros_manuales!$H$24="Todos",'Plan mensual'!G108+'Plan mensual'!G219,0)))*parametros_manuales!$I$24*parametros_manuales!$J$24</f>
        <v>22149.922380405</v>
      </c>
      <c r="F250" s="9" t="n">
        <f aca="false">(parametros_manuales!$D$24*('Plan mensual'!H101+'Plan mensual'!H212+IF(parametros_manuales!$H$24="Todos",'Plan mensual'!H105+'Plan mensual'!H216,0))+parametros_manuales!$E$24*('Plan mensual'!H102+'Plan mensual'!H213+IF(parametros_manuales!$H$24="Todos",'Plan mensual'!H106+'Plan mensual'!H217,0))+parametros_manuales!$F$24*('Plan mensual'!H103+'Plan mensual'!H214+IF(parametros_manuales!$H$24="Todos",'Plan mensual'!H107+'Plan mensual'!H218,0))+parametros_manuales!$G$24*('Plan mensual'!H104+'Plan mensual'!H215+IF(parametros_manuales!$H$24="Todos",'Plan mensual'!H108+'Plan mensual'!H219,0)))*parametros_manuales!$I$24*parametros_manuales!$J$24</f>
        <v>20727.79715854</v>
      </c>
      <c r="G250" s="9" t="n">
        <f aca="false">(parametros_manuales!$D$24*('Plan mensual'!I101+'Plan mensual'!I212+IF(parametros_manuales!$H$24="Todos",'Plan mensual'!I105+'Plan mensual'!I216,0))+parametros_manuales!$E$24*('Plan mensual'!I102+'Plan mensual'!I213+IF(parametros_manuales!$H$24="Todos",'Plan mensual'!I106+'Plan mensual'!I217,0))+parametros_manuales!$F$24*('Plan mensual'!I103+'Plan mensual'!I214+IF(parametros_manuales!$H$24="Todos",'Plan mensual'!I107+'Plan mensual'!I218,0))+parametros_manuales!$G$24*('Plan mensual'!I104+'Plan mensual'!I215+IF(parametros_manuales!$H$24="Todos",'Plan mensual'!I108+'Plan mensual'!I219,0)))*parametros_manuales!$I$24*parametros_manuales!$J$24</f>
        <v>20318.775132325</v>
      </c>
      <c r="H250" s="9" t="n">
        <f aca="false">(parametros_manuales!$D$24*('Plan mensual'!J101+'Plan mensual'!J212+IF(parametros_manuales!$H$24="Todos",'Plan mensual'!J105+'Plan mensual'!J216,0))+parametros_manuales!$E$24*('Plan mensual'!J102+'Plan mensual'!J213+IF(parametros_manuales!$H$24="Todos",'Plan mensual'!J106+'Plan mensual'!J217,0))+parametros_manuales!$F$24*('Plan mensual'!J103+'Plan mensual'!J214+IF(parametros_manuales!$H$24="Todos",'Plan mensual'!J107+'Plan mensual'!J218,0))+parametros_manuales!$G$24*('Plan mensual'!J104+'Plan mensual'!J215+IF(parametros_manuales!$H$24="Todos",'Plan mensual'!J108+'Plan mensual'!J219,0)))*parametros_manuales!$I$24*parametros_manuales!$J$24</f>
        <v>21740.90035419</v>
      </c>
      <c r="I250" s="9" t="n">
        <f aca="false">(parametros_manuales!$D$24*('Plan mensual'!K101+'Plan mensual'!K212+IF(parametros_manuales!$H$24="Todos",'Plan mensual'!K105+'Plan mensual'!K216,0))+parametros_manuales!$E$24*('Plan mensual'!K102+'Plan mensual'!K213+IF(parametros_manuales!$H$24="Todos",'Plan mensual'!K106+'Plan mensual'!K217,0))+parametros_manuales!$F$24*('Plan mensual'!K103+'Plan mensual'!K214+IF(parametros_manuales!$H$24="Todos",'Plan mensual'!K107+'Plan mensual'!K218,0))+parametros_manuales!$G$24*('Plan mensual'!K104+'Plan mensual'!K215+IF(parametros_manuales!$H$24="Todos",'Plan mensual'!K108+'Plan mensual'!K219,0)))*parametros_manuales!$I$24*parametros_manuales!$J$24</f>
        <v>21740.90035419</v>
      </c>
      <c r="J250" s="9" t="n">
        <f aca="false">(parametros_manuales!$D$24*('Plan mensual'!L101+'Plan mensual'!L212+IF(parametros_manuales!$H$24="Todos",'Plan mensual'!L105+'Plan mensual'!L216,0))+parametros_manuales!$E$24*('Plan mensual'!L102+'Plan mensual'!L213+IF(parametros_manuales!$H$24="Todos",'Plan mensual'!L106+'Plan mensual'!L217,0))+parametros_manuales!$F$24*('Plan mensual'!L103+'Plan mensual'!L214+IF(parametros_manuales!$H$24="Todos",'Plan mensual'!L107+'Plan mensual'!L218,0))+parametros_manuales!$G$24*('Plan mensual'!L104+'Plan mensual'!L215+IF(parametros_manuales!$H$24="Todos",'Plan mensual'!L108+'Plan mensual'!L219,0)))*parametros_manuales!$I$24*parametros_manuales!$J$24</f>
        <v>21740.90035419</v>
      </c>
      <c r="K250" s="9" t="n">
        <f aca="false">(parametros_manuales!$D$24*('Plan mensual'!M101+'Plan mensual'!M212+IF(parametros_manuales!$H$24="Todos",'Plan mensual'!M105+'Plan mensual'!M216,0))+parametros_manuales!$E$24*('Plan mensual'!M102+'Plan mensual'!M213+IF(parametros_manuales!$H$24="Todos",'Plan mensual'!M106+'Plan mensual'!M217,0))+parametros_manuales!$F$24*('Plan mensual'!M103+'Plan mensual'!M214+IF(parametros_manuales!$H$24="Todos",'Plan mensual'!M107+'Plan mensual'!M218,0))+parametros_manuales!$G$24*('Plan mensual'!M104+'Plan mensual'!M215+IF(parametros_manuales!$H$24="Todos",'Plan mensual'!M108+'Plan mensual'!M219,0)))*parametros_manuales!$I$24*parametros_manuales!$J$24</f>
        <v>21331.878327975</v>
      </c>
      <c r="L250" s="9" t="n">
        <f aca="false">(parametros_manuales!$D$24*('Plan mensual'!N101+'Plan mensual'!N212+IF(parametros_manuales!$H$24="Todos",'Plan mensual'!N105+'Plan mensual'!N216,0))+parametros_manuales!$E$24*('Plan mensual'!N102+'Plan mensual'!N213+IF(parametros_manuales!$H$24="Todos",'Plan mensual'!N106+'Plan mensual'!N217,0))+parametros_manuales!$F$24*('Plan mensual'!N103+'Plan mensual'!N214+IF(parametros_manuales!$H$24="Todos",'Plan mensual'!N107+'Plan mensual'!N218,0))+parametros_manuales!$G$24*('Plan mensual'!N104+'Plan mensual'!N215+IF(parametros_manuales!$H$24="Todos",'Plan mensual'!N108+'Plan mensual'!N219,0)))*parametros_manuales!$I$24*parametros_manuales!$J$24</f>
        <v>20922.85630176</v>
      </c>
      <c r="M250" s="9" t="n">
        <f aca="false">(parametros_manuales!$D$24*('Plan mensual'!O101+'Plan mensual'!O212+IF(parametros_manuales!$H$24="Todos",'Plan mensual'!O105+'Plan mensual'!O216,0))+parametros_manuales!$E$24*('Plan mensual'!O102+'Plan mensual'!O213+IF(parametros_manuales!$H$24="Todos",'Plan mensual'!O106+'Plan mensual'!O217,0))+parametros_manuales!$F$24*('Plan mensual'!O103+'Plan mensual'!O214+IF(parametros_manuales!$H$24="Todos",'Plan mensual'!O107+'Plan mensual'!O218,0))+parametros_manuales!$G$24*('Plan mensual'!O104+'Plan mensual'!O215+IF(parametros_manuales!$H$24="Todos",'Plan mensual'!O108+'Plan mensual'!O219,0)))*parametros_manuales!$I$24*parametros_manuales!$J$24</f>
        <v>33312.96127233</v>
      </c>
      <c r="N250" s="9" t="n">
        <f aca="false">SUM(B250:M250)</f>
        <v>284425.044373</v>
      </c>
      <c r="O250" s="9" t="n">
        <f aca="false">MAX(B250:M250)</f>
        <v>33312.96127233</v>
      </c>
      <c r="P250" s="44" t="n">
        <f aca="false">O250/(parametros_manuales!$B$7)</f>
        <v>222.0864084822</v>
      </c>
      <c r="Q250" s="8" t="str">
        <f aca="false">IF(O250=0,"-",INDEX($B$244:$M$244,MATCH(O250,B250:M250,0)))</f>
        <v>Dic</v>
      </c>
    </row>
    <row r="251" customFormat="false" ht="14.25" hidden="false" customHeight="true" outlineLevel="0" collapsed="false">
      <c r="A251" s="8" t="str">
        <f aca="false">parametros_manuales!$B$25</f>
        <v>Soldadura del cuello a la cúpula</v>
      </c>
      <c r="B251" s="9" t="n">
        <f aca="false">(parametros_manuales!$D$25*('Plan mensual'!D101+'Plan mensual'!D212+IF(parametros_manuales!$H$25="Todos",'Plan mensual'!D105+'Plan mensual'!D216,0))+parametros_manuales!$E$25*('Plan mensual'!D102+'Plan mensual'!D213+IF(parametros_manuales!$H$25="Todos",'Plan mensual'!D106+'Plan mensual'!D217,0))+parametros_manuales!$F$25*('Plan mensual'!D103+'Plan mensual'!D214+IF(parametros_manuales!$H$25="Todos",'Plan mensual'!D107+'Plan mensual'!D218,0))+parametros_manuales!$G$25*('Plan mensual'!D104+'Plan mensual'!D215+IF(parametros_manuales!$H$25="Todos",'Plan mensual'!D108+'Plan mensual'!D219,0)))*parametros_manuales!$I$25*parametros_manuales!$J$25</f>
        <v>32494.9172199</v>
      </c>
      <c r="C251" s="9" t="n">
        <f aca="false">(parametros_manuales!$D$25*('Plan mensual'!E101+'Plan mensual'!E212+IF(parametros_manuales!$H$25="Todos",'Plan mensual'!E105+'Plan mensual'!E216,0))+parametros_manuales!$E$25*('Plan mensual'!E102+'Plan mensual'!E213+IF(parametros_manuales!$H$25="Todos",'Plan mensual'!E106+'Plan mensual'!E217,0))+parametros_manuales!$F$25*('Plan mensual'!E103+'Plan mensual'!E214+IF(parametros_manuales!$H$25="Todos",'Plan mensual'!E107+'Plan mensual'!E218,0))+parametros_manuales!$G$25*('Plan mensual'!E104+'Plan mensual'!E215+IF(parametros_manuales!$H$25="Todos",'Plan mensual'!E108+'Plan mensual'!E219,0)))*parametros_manuales!$I$25*parametros_manuales!$J$25</f>
        <v>24780.20994114</v>
      </c>
      <c r="D251" s="9" t="n">
        <f aca="false">(parametros_manuales!$D$25*('Plan mensual'!F101+'Plan mensual'!F212+IF(parametros_manuales!$H$25="Todos",'Plan mensual'!F105+'Plan mensual'!F216,0))+parametros_manuales!$E$25*('Plan mensual'!F102+'Plan mensual'!F213+IF(parametros_manuales!$H$25="Todos",'Plan mensual'!F106+'Plan mensual'!F217,0))+parametros_manuales!$F$25*('Plan mensual'!F103+'Plan mensual'!F214+IF(parametros_manuales!$H$25="Todos",'Plan mensual'!F107+'Plan mensual'!F218,0))+parametros_manuales!$G$25*('Plan mensual'!F104+'Plan mensual'!F215+IF(parametros_manuales!$H$25="Todos",'Plan mensual'!F108+'Plan mensual'!F219,0)))*parametros_manuales!$I$25*parametros_manuales!$J$25</f>
        <v>23163.025576055</v>
      </c>
      <c r="E251" s="9" t="n">
        <f aca="false">(parametros_manuales!$D$25*('Plan mensual'!G101+'Plan mensual'!G212+IF(parametros_manuales!$H$25="Todos",'Plan mensual'!G105+'Plan mensual'!G216,0))+parametros_manuales!$E$25*('Plan mensual'!G102+'Plan mensual'!G213+IF(parametros_manuales!$H$25="Todos",'Plan mensual'!G106+'Plan mensual'!G217,0))+parametros_manuales!$F$25*('Plan mensual'!G103+'Plan mensual'!G214+IF(parametros_manuales!$H$25="Todos",'Plan mensual'!G107+'Plan mensual'!G218,0))+parametros_manuales!$G$25*('Plan mensual'!G104+'Plan mensual'!G215+IF(parametros_manuales!$H$25="Todos",'Plan mensual'!G108+'Plan mensual'!G219,0)))*parametros_manuales!$I$25*parametros_manuales!$J$25</f>
        <v>22149.922380405</v>
      </c>
      <c r="F251" s="9" t="n">
        <f aca="false">(parametros_manuales!$D$25*('Plan mensual'!H101+'Plan mensual'!H212+IF(parametros_manuales!$H$25="Todos",'Plan mensual'!H105+'Plan mensual'!H216,0))+parametros_manuales!$E$25*('Plan mensual'!H102+'Plan mensual'!H213+IF(parametros_manuales!$H$25="Todos",'Plan mensual'!H106+'Plan mensual'!H217,0))+parametros_manuales!$F$25*('Plan mensual'!H103+'Plan mensual'!H214+IF(parametros_manuales!$H$25="Todos",'Plan mensual'!H107+'Plan mensual'!H218,0))+parametros_manuales!$G$25*('Plan mensual'!H104+'Plan mensual'!H215+IF(parametros_manuales!$H$25="Todos",'Plan mensual'!H108+'Plan mensual'!H219,0)))*parametros_manuales!$I$25*parametros_manuales!$J$25</f>
        <v>20727.79715854</v>
      </c>
      <c r="G251" s="9" t="n">
        <f aca="false">(parametros_manuales!$D$25*('Plan mensual'!I101+'Plan mensual'!I212+IF(parametros_manuales!$H$25="Todos",'Plan mensual'!I105+'Plan mensual'!I216,0))+parametros_manuales!$E$25*('Plan mensual'!I102+'Plan mensual'!I213+IF(parametros_manuales!$H$25="Todos",'Plan mensual'!I106+'Plan mensual'!I217,0))+parametros_manuales!$F$25*('Plan mensual'!I103+'Plan mensual'!I214+IF(parametros_manuales!$H$25="Todos",'Plan mensual'!I107+'Plan mensual'!I218,0))+parametros_manuales!$G$25*('Plan mensual'!I104+'Plan mensual'!I215+IF(parametros_manuales!$H$25="Todos",'Plan mensual'!I108+'Plan mensual'!I219,0)))*parametros_manuales!$I$25*parametros_manuales!$J$25</f>
        <v>20318.775132325</v>
      </c>
      <c r="H251" s="9" t="n">
        <f aca="false">(parametros_manuales!$D$25*('Plan mensual'!J101+'Plan mensual'!J212+IF(parametros_manuales!$H$25="Todos",'Plan mensual'!J105+'Plan mensual'!J216,0))+parametros_manuales!$E$25*('Plan mensual'!J102+'Plan mensual'!J213+IF(parametros_manuales!$H$25="Todos",'Plan mensual'!J106+'Plan mensual'!J217,0))+parametros_manuales!$F$25*('Plan mensual'!J103+'Plan mensual'!J214+IF(parametros_manuales!$H$25="Todos",'Plan mensual'!J107+'Plan mensual'!J218,0))+parametros_manuales!$G$25*('Plan mensual'!J104+'Plan mensual'!J215+IF(parametros_manuales!$H$25="Todos",'Plan mensual'!J108+'Plan mensual'!J219,0)))*parametros_manuales!$I$25*parametros_manuales!$J$25</f>
        <v>21740.90035419</v>
      </c>
      <c r="I251" s="9" t="n">
        <f aca="false">(parametros_manuales!$D$25*('Plan mensual'!K101+'Plan mensual'!K212+IF(parametros_manuales!$H$25="Todos",'Plan mensual'!K105+'Plan mensual'!K216,0))+parametros_manuales!$E$25*('Plan mensual'!K102+'Plan mensual'!K213+IF(parametros_manuales!$H$25="Todos",'Plan mensual'!K106+'Plan mensual'!K217,0))+parametros_manuales!$F$25*('Plan mensual'!K103+'Plan mensual'!K214+IF(parametros_manuales!$H$25="Todos",'Plan mensual'!K107+'Plan mensual'!K218,0))+parametros_manuales!$G$25*('Plan mensual'!K104+'Plan mensual'!K215+IF(parametros_manuales!$H$25="Todos",'Plan mensual'!K108+'Plan mensual'!K219,0)))*parametros_manuales!$I$25*parametros_manuales!$J$25</f>
        <v>21740.90035419</v>
      </c>
      <c r="J251" s="9" t="n">
        <f aca="false">(parametros_manuales!$D$25*('Plan mensual'!L101+'Plan mensual'!L212+IF(parametros_manuales!$H$25="Todos",'Plan mensual'!L105+'Plan mensual'!L216,0))+parametros_manuales!$E$25*('Plan mensual'!L102+'Plan mensual'!L213+IF(parametros_manuales!$H$25="Todos",'Plan mensual'!L106+'Plan mensual'!L217,0))+parametros_manuales!$F$25*('Plan mensual'!L103+'Plan mensual'!L214+IF(parametros_manuales!$H$25="Todos",'Plan mensual'!L107+'Plan mensual'!L218,0))+parametros_manuales!$G$25*('Plan mensual'!L104+'Plan mensual'!L215+IF(parametros_manuales!$H$25="Todos",'Plan mensual'!L108+'Plan mensual'!L219,0)))*parametros_manuales!$I$25*parametros_manuales!$J$25</f>
        <v>21740.90035419</v>
      </c>
      <c r="K251" s="9" t="n">
        <f aca="false">(parametros_manuales!$D$25*('Plan mensual'!M101+'Plan mensual'!M212+IF(parametros_manuales!$H$25="Todos",'Plan mensual'!M105+'Plan mensual'!M216,0))+parametros_manuales!$E$25*('Plan mensual'!M102+'Plan mensual'!M213+IF(parametros_manuales!$H$25="Todos",'Plan mensual'!M106+'Plan mensual'!M217,0))+parametros_manuales!$F$25*('Plan mensual'!M103+'Plan mensual'!M214+IF(parametros_manuales!$H$25="Todos",'Plan mensual'!M107+'Plan mensual'!M218,0))+parametros_manuales!$G$25*('Plan mensual'!M104+'Plan mensual'!M215+IF(parametros_manuales!$H$25="Todos",'Plan mensual'!M108+'Plan mensual'!M219,0)))*parametros_manuales!$I$25*parametros_manuales!$J$25</f>
        <v>21331.878327975</v>
      </c>
      <c r="L251" s="9" t="n">
        <f aca="false">(parametros_manuales!$D$25*('Plan mensual'!N101+'Plan mensual'!N212+IF(parametros_manuales!$H$25="Todos",'Plan mensual'!N105+'Plan mensual'!N216,0))+parametros_manuales!$E$25*('Plan mensual'!N102+'Plan mensual'!N213+IF(parametros_manuales!$H$25="Todos",'Plan mensual'!N106+'Plan mensual'!N217,0))+parametros_manuales!$F$25*('Plan mensual'!N103+'Plan mensual'!N214+IF(parametros_manuales!$H$25="Todos",'Plan mensual'!N107+'Plan mensual'!N218,0))+parametros_manuales!$G$25*('Plan mensual'!N104+'Plan mensual'!N215+IF(parametros_manuales!$H$25="Todos",'Plan mensual'!N108+'Plan mensual'!N219,0)))*parametros_manuales!$I$25*parametros_manuales!$J$25</f>
        <v>20922.85630176</v>
      </c>
      <c r="M251" s="9" t="n">
        <f aca="false">(parametros_manuales!$D$25*('Plan mensual'!O101+'Plan mensual'!O212+IF(parametros_manuales!$H$25="Todos",'Plan mensual'!O105+'Plan mensual'!O216,0))+parametros_manuales!$E$25*('Plan mensual'!O102+'Plan mensual'!O213+IF(parametros_manuales!$H$25="Todos",'Plan mensual'!O106+'Plan mensual'!O217,0))+parametros_manuales!$F$25*('Plan mensual'!O103+'Plan mensual'!O214+IF(parametros_manuales!$H$25="Todos",'Plan mensual'!O107+'Plan mensual'!O218,0))+parametros_manuales!$G$25*('Plan mensual'!O104+'Plan mensual'!O215+IF(parametros_manuales!$H$25="Todos",'Plan mensual'!O108+'Plan mensual'!O219,0)))*parametros_manuales!$I$25*parametros_manuales!$J$25</f>
        <v>33312.96127233</v>
      </c>
      <c r="N251" s="9" t="n">
        <f aca="false">SUM(B251:M251)</f>
        <v>284425.044373</v>
      </c>
      <c r="O251" s="9" t="n">
        <f aca="false">MAX(B251:M251)</f>
        <v>33312.96127233</v>
      </c>
      <c r="P251" s="44" t="n">
        <f aca="false">O251/(parametros_manuales!$B$7)</f>
        <v>222.0864084822</v>
      </c>
      <c r="Q251" s="8" t="str">
        <f aca="false">IF(O251=0,"-",INDEX($B$244:$M$244,MATCH(O251,B251:M251,0)))</f>
        <v>Dic</v>
      </c>
    </row>
    <row r="252" customFormat="false" ht="14.25" hidden="false" customHeight="true" outlineLevel="0" collapsed="false">
      <c r="A252" s="8" t="str">
        <f aca="false">parametros_manuales!$B$26</f>
        <v>Cilindrado</v>
      </c>
      <c r="B252" s="9" t="n">
        <f aca="false">(parametros_manuales!$D$26*('Plan mensual'!D101+'Plan mensual'!D212+IF(parametros_manuales!$H$26="Todos",'Plan mensual'!D105+'Plan mensual'!D216,0))+parametros_manuales!$E$26*('Plan mensual'!D102+'Plan mensual'!D213+IF(parametros_manuales!$H$26="Todos",'Plan mensual'!D106+'Plan mensual'!D217,0))+parametros_manuales!$F$26*('Plan mensual'!D103+'Plan mensual'!D214+IF(parametros_manuales!$H$26="Todos",'Plan mensual'!D107+'Plan mensual'!D218,0))+parametros_manuales!$G$26*('Plan mensual'!D104+'Plan mensual'!D215+IF(parametros_manuales!$H$26="Todos",'Plan mensual'!D108+'Plan mensual'!D219,0)))*parametros_manuales!$I$26*parametros_manuales!$J$26</f>
        <v>8180.4405243</v>
      </c>
      <c r="C252" s="9" t="n">
        <f aca="false">(parametros_manuales!$D$26*('Plan mensual'!E101+'Plan mensual'!E212+IF(parametros_manuales!$H$26="Todos",'Plan mensual'!E105+'Plan mensual'!E216,0))+parametros_manuales!$E$26*('Plan mensual'!E102+'Plan mensual'!E213+IF(parametros_manuales!$H$26="Todos",'Plan mensual'!E106+'Plan mensual'!E217,0))+parametros_manuales!$F$26*('Plan mensual'!E103+'Plan mensual'!E214+IF(parametros_manuales!$H$26="Todos",'Plan mensual'!E107+'Plan mensual'!E218,0))+parametros_manuales!$G$26*('Plan mensual'!E104+'Plan mensual'!E215+IF(parametros_manuales!$H$26="Todos",'Plan mensual'!E108+'Plan mensual'!E219,0)))*parametros_manuales!$I$26*parametros_manuales!$J$26</f>
        <v>6544.35241944</v>
      </c>
      <c r="D252" s="9" t="n">
        <f aca="false">(parametros_manuales!$D$26*('Plan mensual'!F101+'Plan mensual'!F212+IF(parametros_manuales!$H$26="Todos",'Plan mensual'!F105+'Plan mensual'!F216,0))+parametros_manuales!$E$26*('Plan mensual'!F102+'Plan mensual'!F213+IF(parametros_manuales!$H$26="Todos",'Plan mensual'!F106+'Plan mensual'!F217,0))+parametros_manuales!$F$26*('Plan mensual'!F103+'Plan mensual'!F214+IF(parametros_manuales!$H$26="Todos",'Plan mensual'!F107+'Plan mensual'!F218,0))+parametros_manuales!$G$26*('Plan mensual'!F104+'Plan mensual'!F215+IF(parametros_manuales!$H$26="Todos",'Plan mensual'!F108+'Plan mensual'!F219,0)))*parametros_manuales!$I$26*parametros_manuales!$J$26</f>
        <v>6953.374445655</v>
      </c>
      <c r="E252" s="9" t="n">
        <f aca="false">(parametros_manuales!$D$26*('Plan mensual'!G101+'Plan mensual'!G212+IF(parametros_manuales!$H$26="Todos",'Plan mensual'!G105+'Plan mensual'!G216,0))+parametros_manuales!$E$26*('Plan mensual'!G102+'Plan mensual'!G213+IF(parametros_manuales!$H$26="Todos",'Plan mensual'!G106+'Plan mensual'!G217,0))+parametros_manuales!$F$26*('Plan mensual'!G103+'Plan mensual'!G214+IF(parametros_manuales!$H$26="Todos",'Plan mensual'!G107+'Plan mensual'!G218,0))+parametros_manuales!$G$26*('Plan mensual'!G104+'Plan mensual'!G215+IF(parametros_manuales!$H$26="Todos",'Plan mensual'!G108+'Plan mensual'!G219,0)))*parametros_manuales!$I$26*parametros_manuales!$J$26</f>
        <v>6953.374445655</v>
      </c>
      <c r="F252" s="9" t="n">
        <f aca="false">(parametros_manuales!$D$26*('Plan mensual'!H101+'Plan mensual'!H212+IF(parametros_manuales!$H$26="Todos",'Plan mensual'!H105+'Plan mensual'!H216,0))+parametros_manuales!$E$26*('Plan mensual'!H102+'Plan mensual'!H213+IF(parametros_manuales!$H$26="Todos",'Plan mensual'!H106+'Plan mensual'!H217,0))+parametros_manuales!$F$26*('Plan mensual'!H103+'Plan mensual'!H214+IF(parametros_manuales!$H$26="Todos",'Plan mensual'!H107+'Plan mensual'!H218,0))+parametros_manuales!$G$26*('Plan mensual'!H104+'Plan mensual'!H215+IF(parametros_manuales!$H$26="Todos",'Plan mensual'!H108+'Plan mensual'!H219,0)))*parametros_manuales!$I$26*parametros_manuales!$J$26</f>
        <v>6544.35241944</v>
      </c>
      <c r="G252" s="9" t="n">
        <f aca="false">(parametros_manuales!$D$26*('Plan mensual'!I101+'Plan mensual'!I212+IF(parametros_manuales!$H$26="Todos",'Plan mensual'!I105+'Plan mensual'!I216,0))+parametros_manuales!$E$26*('Plan mensual'!I102+'Plan mensual'!I213+IF(parametros_manuales!$H$26="Todos",'Plan mensual'!I106+'Plan mensual'!I217,0))+parametros_manuales!$F$26*('Plan mensual'!I103+'Plan mensual'!I214+IF(parametros_manuales!$H$26="Todos",'Plan mensual'!I107+'Plan mensual'!I218,0))+parametros_manuales!$G$26*('Plan mensual'!I104+'Plan mensual'!I215+IF(parametros_manuales!$H$26="Todos",'Plan mensual'!I108+'Plan mensual'!I219,0)))*parametros_manuales!$I$26*parametros_manuales!$J$26</f>
        <v>6135.330393225</v>
      </c>
      <c r="H252" s="9" t="n">
        <f aca="false">(parametros_manuales!$D$26*('Plan mensual'!J101+'Plan mensual'!J212+IF(parametros_manuales!$H$26="Todos",'Plan mensual'!J105+'Plan mensual'!J216,0))+parametros_manuales!$E$26*('Plan mensual'!J102+'Plan mensual'!J213+IF(parametros_manuales!$H$26="Todos",'Plan mensual'!J106+'Plan mensual'!J217,0))+parametros_manuales!$F$26*('Plan mensual'!J103+'Plan mensual'!J214+IF(parametros_manuales!$H$26="Todos",'Plan mensual'!J107+'Plan mensual'!J218,0))+parametros_manuales!$G$26*('Plan mensual'!J104+'Plan mensual'!J215+IF(parametros_manuales!$H$26="Todos",'Plan mensual'!J108+'Plan mensual'!J219,0)))*parametros_manuales!$I$26*parametros_manuales!$J$26</f>
        <v>6544.35241944</v>
      </c>
      <c r="I252" s="9" t="n">
        <f aca="false">(parametros_manuales!$D$26*('Plan mensual'!K101+'Plan mensual'!K212+IF(parametros_manuales!$H$26="Todos",'Plan mensual'!K105+'Plan mensual'!K216,0))+parametros_manuales!$E$26*('Plan mensual'!K102+'Plan mensual'!K213+IF(parametros_manuales!$H$26="Todos",'Plan mensual'!K106+'Plan mensual'!K217,0))+parametros_manuales!$F$26*('Plan mensual'!K103+'Plan mensual'!K214+IF(parametros_manuales!$H$26="Todos",'Plan mensual'!K107+'Plan mensual'!K218,0))+parametros_manuales!$G$26*('Plan mensual'!K104+'Plan mensual'!K215+IF(parametros_manuales!$H$26="Todos",'Plan mensual'!K108+'Plan mensual'!K219,0)))*parametros_manuales!$I$26*parametros_manuales!$J$26</f>
        <v>6544.35241944</v>
      </c>
      <c r="J252" s="9" t="n">
        <f aca="false">(parametros_manuales!$D$26*('Plan mensual'!L101+'Plan mensual'!L212+IF(parametros_manuales!$H$26="Todos",'Plan mensual'!L105+'Plan mensual'!L216,0))+parametros_manuales!$E$26*('Plan mensual'!L102+'Plan mensual'!L213+IF(parametros_manuales!$H$26="Todos",'Plan mensual'!L106+'Plan mensual'!L217,0))+parametros_manuales!$F$26*('Plan mensual'!L103+'Plan mensual'!L214+IF(parametros_manuales!$H$26="Todos",'Plan mensual'!L107+'Plan mensual'!L218,0))+parametros_manuales!$G$26*('Plan mensual'!L104+'Plan mensual'!L215+IF(parametros_manuales!$H$26="Todos",'Plan mensual'!L108+'Plan mensual'!L219,0)))*parametros_manuales!$I$26*parametros_manuales!$J$26</f>
        <v>6544.35241944</v>
      </c>
      <c r="K252" s="9" t="n">
        <f aca="false">(parametros_manuales!$D$26*('Plan mensual'!M101+'Plan mensual'!M212+IF(parametros_manuales!$H$26="Todos",'Plan mensual'!M105+'Plan mensual'!M216,0))+parametros_manuales!$E$26*('Plan mensual'!M102+'Plan mensual'!M213+IF(parametros_manuales!$H$26="Todos",'Plan mensual'!M106+'Plan mensual'!M217,0))+parametros_manuales!$F$26*('Plan mensual'!M103+'Plan mensual'!M214+IF(parametros_manuales!$H$26="Todos",'Plan mensual'!M107+'Plan mensual'!M218,0))+parametros_manuales!$G$26*('Plan mensual'!M104+'Plan mensual'!M215+IF(parametros_manuales!$H$26="Todos",'Plan mensual'!M108+'Plan mensual'!M219,0)))*parametros_manuales!$I$26*parametros_manuales!$J$26</f>
        <v>6135.330393225</v>
      </c>
      <c r="L252" s="9" t="n">
        <f aca="false">(parametros_manuales!$D$26*('Plan mensual'!N101+'Plan mensual'!N212+IF(parametros_manuales!$H$26="Todos",'Plan mensual'!N105+'Plan mensual'!N216,0))+parametros_manuales!$E$26*('Plan mensual'!N102+'Plan mensual'!N213+IF(parametros_manuales!$H$26="Todos",'Plan mensual'!N106+'Plan mensual'!N217,0))+parametros_manuales!$F$26*('Plan mensual'!N103+'Plan mensual'!N214+IF(parametros_manuales!$H$26="Todos",'Plan mensual'!N107+'Plan mensual'!N218,0))+parametros_manuales!$G$26*('Plan mensual'!N104+'Plan mensual'!N215+IF(parametros_manuales!$H$26="Todos",'Plan mensual'!N108+'Plan mensual'!N219,0)))*parametros_manuales!$I$26*parametros_manuales!$J$26</f>
        <v>5726.30836701</v>
      </c>
      <c r="M252" s="9" t="n">
        <f aca="false">(parametros_manuales!$D$26*('Plan mensual'!O101+'Plan mensual'!O212+IF(parametros_manuales!$H$26="Todos",'Plan mensual'!O105+'Plan mensual'!O216,0))+parametros_manuales!$E$26*('Plan mensual'!O102+'Plan mensual'!O213+IF(parametros_manuales!$H$26="Todos",'Plan mensual'!O106+'Plan mensual'!O217,0))+parametros_manuales!$F$26*('Plan mensual'!O103+'Plan mensual'!O214+IF(parametros_manuales!$H$26="Todos",'Plan mensual'!O107+'Plan mensual'!O218,0))+parametros_manuales!$G$26*('Plan mensual'!O104+'Plan mensual'!O215+IF(parametros_manuales!$H$26="Todos",'Plan mensual'!O108+'Plan mensual'!O219,0)))*parametros_manuales!$I$26*parametros_manuales!$J$26</f>
        <v>8998.48457673</v>
      </c>
      <c r="N252" s="9" t="n">
        <f aca="false">SUM(B252:M252)</f>
        <v>81804.405243</v>
      </c>
      <c r="O252" s="9" t="n">
        <f aca="false">MAX(B252:M252)</f>
        <v>8998.48457673</v>
      </c>
      <c r="P252" s="44" t="n">
        <f aca="false">O252/(parametros_manuales!$B$7)</f>
        <v>59.9898971782</v>
      </c>
      <c r="Q252" s="8" t="str">
        <f aca="false">IF(O252=0,"-",INDEX($B$244:$M$244,MATCH(O252,B252:M252,0)))</f>
        <v>Dic</v>
      </c>
    </row>
    <row r="253" customFormat="false" ht="14.25" hidden="false" customHeight="true" outlineLevel="0" collapsed="false">
      <c r="A253" s="8" t="str">
        <f aca="false">parametros_manuales!$B$27</f>
        <v>Soldadura longitudinal</v>
      </c>
      <c r="B253" s="9" t="n">
        <f aca="false">(parametros_manuales!$D$27*('Plan mensual'!D101+'Plan mensual'!D212+IF(parametros_manuales!$H$27="Todos",'Plan mensual'!D105+'Plan mensual'!D216,0))+parametros_manuales!$E$27*('Plan mensual'!D102+'Plan mensual'!D213+IF(parametros_manuales!$H$27="Todos",'Plan mensual'!D106+'Plan mensual'!D217,0))+parametros_manuales!$F$27*('Plan mensual'!D103+'Plan mensual'!D214+IF(parametros_manuales!$H$27="Todos",'Plan mensual'!D107+'Plan mensual'!D218,0))+parametros_manuales!$G$27*('Plan mensual'!D104+'Plan mensual'!D215+IF(parametros_manuales!$H$27="Todos",'Plan mensual'!D108+'Plan mensual'!D219,0)))*parametros_manuales!$I$27*parametros_manuales!$J$27</f>
        <v>8180.4405243</v>
      </c>
      <c r="C253" s="9" t="n">
        <f aca="false">(parametros_manuales!$D$27*('Plan mensual'!E101+'Plan mensual'!E212+IF(parametros_manuales!$H$27="Todos",'Plan mensual'!E105+'Plan mensual'!E216,0))+parametros_manuales!$E$27*('Plan mensual'!E102+'Plan mensual'!E213+IF(parametros_manuales!$H$27="Todos",'Plan mensual'!E106+'Plan mensual'!E217,0))+parametros_manuales!$F$27*('Plan mensual'!E103+'Plan mensual'!E214+IF(parametros_manuales!$H$27="Todos",'Plan mensual'!E107+'Plan mensual'!E218,0))+parametros_manuales!$G$27*('Plan mensual'!E104+'Plan mensual'!E215+IF(parametros_manuales!$H$27="Todos",'Plan mensual'!E108+'Plan mensual'!E219,0)))*parametros_manuales!$I$27*parametros_manuales!$J$27</f>
        <v>6544.35241944</v>
      </c>
      <c r="D253" s="9" t="n">
        <f aca="false">(parametros_manuales!$D$27*('Plan mensual'!F101+'Plan mensual'!F212+IF(parametros_manuales!$H$27="Todos",'Plan mensual'!F105+'Plan mensual'!F216,0))+parametros_manuales!$E$27*('Plan mensual'!F102+'Plan mensual'!F213+IF(parametros_manuales!$H$27="Todos",'Plan mensual'!F106+'Plan mensual'!F217,0))+parametros_manuales!$F$27*('Plan mensual'!F103+'Plan mensual'!F214+IF(parametros_manuales!$H$27="Todos",'Plan mensual'!F107+'Plan mensual'!F218,0))+parametros_manuales!$G$27*('Plan mensual'!F104+'Plan mensual'!F215+IF(parametros_manuales!$H$27="Todos",'Plan mensual'!F108+'Plan mensual'!F219,0)))*parametros_manuales!$I$27*parametros_manuales!$J$27</f>
        <v>6953.374445655</v>
      </c>
      <c r="E253" s="9" t="n">
        <f aca="false">(parametros_manuales!$D$27*('Plan mensual'!G101+'Plan mensual'!G212+IF(parametros_manuales!$H$27="Todos",'Plan mensual'!G105+'Plan mensual'!G216,0))+parametros_manuales!$E$27*('Plan mensual'!G102+'Plan mensual'!G213+IF(parametros_manuales!$H$27="Todos",'Plan mensual'!G106+'Plan mensual'!G217,0))+parametros_manuales!$F$27*('Plan mensual'!G103+'Plan mensual'!G214+IF(parametros_manuales!$H$27="Todos",'Plan mensual'!G107+'Plan mensual'!G218,0))+parametros_manuales!$G$27*('Plan mensual'!G104+'Plan mensual'!G215+IF(parametros_manuales!$H$27="Todos",'Plan mensual'!G108+'Plan mensual'!G219,0)))*parametros_manuales!$I$27*parametros_manuales!$J$27</f>
        <v>6953.374445655</v>
      </c>
      <c r="F253" s="9" t="n">
        <f aca="false">(parametros_manuales!$D$27*('Plan mensual'!H101+'Plan mensual'!H212+IF(parametros_manuales!$H$27="Todos",'Plan mensual'!H105+'Plan mensual'!H216,0))+parametros_manuales!$E$27*('Plan mensual'!H102+'Plan mensual'!H213+IF(parametros_manuales!$H$27="Todos",'Plan mensual'!H106+'Plan mensual'!H217,0))+parametros_manuales!$F$27*('Plan mensual'!H103+'Plan mensual'!H214+IF(parametros_manuales!$H$27="Todos",'Plan mensual'!H107+'Plan mensual'!H218,0))+parametros_manuales!$G$27*('Plan mensual'!H104+'Plan mensual'!H215+IF(parametros_manuales!$H$27="Todos",'Plan mensual'!H108+'Plan mensual'!H219,0)))*parametros_manuales!$I$27*parametros_manuales!$J$27</f>
        <v>6544.35241944</v>
      </c>
      <c r="G253" s="9" t="n">
        <f aca="false">(parametros_manuales!$D$27*('Plan mensual'!I101+'Plan mensual'!I212+IF(parametros_manuales!$H$27="Todos",'Plan mensual'!I105+'Plan mensual'!I216,0))+parametros_manuales!$E$27*('Plan mensual'!I102+'Plan mensual'!I213+IF(parametros_manuales!$H$27="Todos",'Plan mensual'!I106+'Plan mensual'!I217,0))+parametros_manuales!$F$27*('Plan mensual'!I103+'Plan mensual'!I214+IF(parametros_manuales!$H$27="Todos",'Plan mensual'!I107+'Plan mensual'!I218,0))+parametros_manuales!$G$27*('Plan mensual'!I104+'Plan mensual'!I215+IF(parametros_manuales!$H$27="Todos",'Plan mensual'!I108+'Plan mensual'!I219,0)))*parametros_manuales!$I$27*parametros_manuales!$J$27</f>
        <v>6135.330393225</v>
      </c>
      <c r="H253" s="9" t="n">
        <f aca="false">(parametros_manuales!$D$27*('Plan mensual'!J101+'Plan mensual'!J212+IF(parametros_manuales!$H$27="Todos",'Plan mensual'!J105+'Plan mensual'!J216,0))+parametros_manuales!$E$27*('Plan mensual'!J102+'Plan mensual'!J213+IF(parametros_manuales!$H$27="Todos",'Plan mensual'!J106+'Plan mensual'!J217,0))+parametros_manuales!$F$27*('Plan mensual'!J103+'Plan mensual'!J214+IF(parametros_manuales!$H$27="Todos",'Plan mensual'!J107+'Plan mensual'!J218,0))+parametros_manuales!$G$27*('Plan mensual'!J104+'Plan mensual'!J215+IF(parametros_manuales!$H$27="Todos",'Plan mensual'!J108+'Plan mensual'!J219,0)))*parametros_manuales!$I$27*parametros_manuales!$J$27</f>
        <v>6544.35241944</v>
      </c>
      <c r="I253" s="9" t="n">
        <f aca="false">(parametros_manuales!$D$27*('Plan mensual'!K101+'Plan mensual'!K212+IF(parametros_manuales!$H$27="Todos",'Plan mensual'!K105+'Plan mensual'!K216,0))+parametros_manuales!$E$27*('Plan mensual'!K102+'Plan mensual'!K213+IF(parametros_manuales!$H$27="Todos",'Plan mensual'!K106+'Plan mensual'!K217,0))+parametros_manuales!$F$27*('Plan mensual'!K103+'Plan mensual'!K214+IF(parametros_manuales!$H$27="Todos",'Plan mensual'!K107+'Plan mensual'!K218,0))+parametros_manuales!$G$27*('Plan mensual'!K104+'Plan mensual'!K215+IF(parametros_manuales!$H$27="Todos",'Plan mensual'!K108+'Plan mensual'!K219,0)))*parametros_manuales!$I$27*parametros_manuales!$J$27</f>
        <v>6544.35241944</v>
      </c>
      <c r="J253" s="9" t="n">
        <f aca="false">(parametros_manuales!$D$27*('Plan mensual'!L101+'Plan mensual'!L212+IF(parametros_manuales!$H$27="Todos",'Plan mensual'!L105+'Plan mensual'!L216,0))+parametros_manuales!$E$27*('Plan mensual'!L102+'Plan mensual'!L213+IF(parametros_manuales!$H$27="Todos",'Plan mensual'!L106+'Plan mensual'!L217,0))+parametros_manuales!$F$27*('Plan mensual'!L103+'Plan mensual'!L214+IF(parametros_manuales!$H$27="Todos",'Plan mensual'!L107+'Plan mensual'!L218,0))+parametros_manuales!$G$27*('Plan mensual'!L104+'Plan mensual'!L215+IF(parametros_manuales!$H$27="Todos",'Plan mensual'!L108+'Plan mensual'!L219,0)))*parametros_manuales!$I$27*parametros_manuales!$J$27</f>
        <v>6544.35241944</v>
      </c>
      <c r="K253" s="9" t="n">
        <f aca="false">(parametros_manuales!$D$27*('Plan mensual'!M101+'Plan mensual'!M212+IF(parametros_manuales!$H$27="Todos",'Plan mensual'!M105+'Plan mensual'!M216,0))+parametros_manuales!$E$27*('Plan mensual'!M102+'Plan mensual'!M213+IF(parametros_manuales!$H$27="Todos",'Plan mensual'!M106+'Plan mensual'!M217,0))+parametros_manuales!$F$27*('Plan mensual'!M103+'Plan mensual'!M214+IF(parametros_manuales!$H$27="Todos",'Plan mensual'!M107+'Plan mensual'!M218,0))+parametros_manuales!$G$27*('Plan mensual'!M104+'Plan mensual'!M215+IF(parametros_manuales!$H$27="Todos",'Plan mensual'!M108+'Plan mensual'!M219,0)))*parametros_manuales!$I$27*parametros_manuales!$J$27</f>
        <v>6135.330393225</v>
      </c>
      <c r="L253" s="9" t="n">
        <f aca="false">(parametros_manuales!$D$27*('Plan mensual'!N101+'Plan mensual'!N212+IF(parametros_manuales!$H$27="Todos",'Plan mensual'!N105+'Plan mensual'!N216,0))+parametros_manuales!$E$27*('Plan mensual'!N102+'Plan mensual'!N213+IF(parametros_manuales!$H$27="Todos",'Plan mensual'!N106+'Plan mensual'!N217,0))+parametros_manuales!$F$27*('Plan mensual'!N103+'Plan mensual'!N214+IF(parametros_manuales!$H$27="Todos",'Plan mensual'!N107+'Plan mensual'!N218,0))+parametros_manuales!$G$27*('Plan mensual'!N104+'Plan mensual'!N215+IF(parametros_manuales!$H$27="Todos",'Plan mensual'!N108+'Plan mensual'!N219,0)))*parametros_manuales!$I$27*parametros_manuales!$J$27</f>
        <v>5726.30836701</v>
      </c>
      <c r="M253" s="9" t="n">
        <f aca="false">(parametros_manuales!$D$27*('Plan mensual'!O101+'Plan mensual'!O212+IF(parametros_manuales!$H$27="Todos",'Plan mensual'!O105+'Plan mensual'!O216,0))+parametros_manuales!$E$27*('Plan mensual'!O102+'Plan mensual'!O213+IF(parametros_manuales!$H$27="Todos",'Plan mensual'!O106+'Plan mensual'!O217,0))+parametros_manuales!$F$27*('Plan mensual'!O103+'Plan mensual'!O214+IF(parametros_manuales!$H$27="Todos",'Plan mensual'!O107+'Plan mensual'!O218,0))+parametros_manuales!$G$27*('Plan mensual'!O104+'Plan mensual'!O215+IF(parametros_manuales!$H$27="Todos",'Plan mensual'!O108+'Plan mensual'!O219,0)))*parametros_manuales!$I$27*parametros_manuales!$J$27</f>
        <v>8998.48457673</v>
      </c>
      <c r="N253" s="9" t="n">
        <f aca="false">SUM(B253:M253)</f>
        <v>81804.405243</v>
      </c>
      <c r="O253" s="9" t="n">
        <f aca="false">MAX(B253:M253)</f>
        <v>8998.48457673</v>
      </c>
      <c r="P253" s="44" t="n">
        <f aca="false">O253/(parametros_manuales!$B$7)</f>
        <v>59.9898971782</v>
      </c>
      <c r="Q253" s="8" t="str">
        <f aca="false">IF(O253=0,"-",INDEX($B$244:$M$244,MATCH(O253,B253:M253,0)))</f>
        <v>Dic</v>
      </c>
    </row>
    <row r="254" customFormat="false" ht="14.25" hidden="false" customHeight="true" outlineLevel="0" collapsed="false">
      <c r="A254" s="8" t="str">
        <f aca="false">parametros_manuales!$B$28</f>
        <v>Encastre de fondo</v>
      </c>
      <c r="B254" s="9" t="n">
        <f aca="false">(parametros_manuales!$D$28*('Plan mensual'!D101+'Plan mensual'!D212+IF(parametros_manuales!$H$28="Todos",'Plan mensual'!D105+'Plan mensual'!D216,0))+parametros_manuales!$E$28*('Plan mensual'!D102+'Plan mensual'!D213+IF(parametros_manuales!$H$28="Todos",'Plan mensual'!D106+'Plan mensual'!D217,0))+parametros_manuales!$F$28*('Plan mensual'!D103+'Plan mensual'!D214+IF(parametros_manuales!$H$28="Todos",'Plan mensual'!D107+'Plan mensual'!D218,0))+parametros_manuales!$G$28*('Plan mensual'!D104+'Plan mensual'!D215+IF(parametros_manuales!$H$28="Todos",'Plan mensual'!D108+'Plan mensual'!D219,0)))*parametros_manuales!$I$28*parametros_manuales!$J$28</f>
        <v>32494.9172199</v>
      </c>
      <c r="C254" s="9" t="n">
        <f aca="false">(parametros_manuales!$D$28*('Plan mensual'!E101+'Plan mensual'!E212+IF(parametros_manuales!$H$28="Todos",'Plan mensual'!E105+'Plan mensual'!E216,0))+parametros_manuales!$E$28*('Plan mensual'!E102+'Plan mensual'!E213+IF(parametros_manuales!$H$28="Todos",'Plan mensual'!E106+'Plan mensual'!E217,0))+parametros_manuales!$F$28*('Plan mensual'!E103+'Plan mensual'!E214+IF(parametros_manuales!$H$28="Todos",'Plan mensual'!E107+'Plan mensual'!E218,0))+parametros_manuales!$G$28*('Plan mensual'!E104+'Plan mensual'!E215+IF(parametros_manuales!$H$28="Todos",'Plan mensual'!E108+'Plan mensual'!E219,0)))*parametros_manuales!$I$28*parametros_manuales!$J$28</f>
        <v>24780.20994114</v>
      </c>
      <c r="D254" s="9" t="n">
        <f aca="false">(parametros_manuales!$D$28*('Plan mensual'!F101+'Plan mensual'!F212+IF(parametros_manuales!$H$28="Todos",'Plan mensual'!F105+'Plan mensual'!F216,0))+parametros_manuales!$E$28*('Plan mensual'!F102+'Plan mensual'!F213+IF(parametros_manuales!$H$28="Todos",'Plan mensual'!F106+'Plan mensual'!F217,0))+parametros_manuales!$F$28*('Plan mensual'!F103+'Plan mensual'!F214+IF(parametros_manuales!$H$28="Todos",'Plan mensual'!F107+'Plan mensual'!F218,0))+parametros_manuales!$G$28*('Plan mensual'!F104+'Plan mensual'!F215+IF(parametros_manuales!$H$28="Todos",'Plan mensual'!F108+'Plan mensual'!F219,0)))*parametros_manuales!$I$28*parametros_manuales!$J$28</f>
        <v>23163.025576055</v>
      </c>
      <c r="E254" s="9" t="n">
        <f aca="false">(parametros_manuales!$D$28*('Plan mensual'!G101+'Plan mensual'!G212+IF(parametros_manuales!$H$28="Todos",'Plan mensual'!G105+'Plan mensual'!G216,0))+parametros_manuales!$E$28*('Plan mensual'!G102+'Plan mensual'!G213+IF(parametros_manuales!$H$28="Todos",'Plan mensual'!G106+'Plan mensual'!G217,0))+parametros_manuales!$F$28*('Plan mensual'!G103+'Plan mensual'!G214+IF(parametros_manuales!$H$28="Todos",'Plan mensual'!G107+'Plan mensual'!G218,0))+parametros_manuales!$G$28*('Plan mensual'!G104+'Plan mensual'!G215+IF(parametros_manuales!$H$28="Todos",'Plan mensual'!G108+'Plan mensual'!G219,0)))*parametros_manuales!$I$28*parametros_manuales!$J$28</f>
        <v>22149.922380405</v>
      </c>
      <c r="F254" s="9" t="n">
        <f aca="false">(parametros_manuales!$D$28*('Plan mensual'!H101+'Plan mensual'!H212+IF(parametros_manuales!$H$28="Todos",'Plan mensual'!H105+'Plan mensual'!H216,0))+parametros_manuales!$E$28*('Plan mensual'!H102+'Plan mensual'!H213+IF(parametros_manuales!$H$28="Todos",'Plan mensual'!H106+'Plan mensual'!H217,0))+parametros_manuales!$F$28*('Plan mensual'!H103+'Plan mensual'!H214+IF(parametros_manuales!$H$28="Todos",'Plan mensual'!H107+'Plan mensual'!H218,0))+parametros_manuales!$G$28*('Plan mensual'!H104+'Plan mensual'!H215+IF(parametros_manuales!$H$28="Todos",'Plan mensual'!H108+'Plan mensual'!H219,0)))*parametros_manuales!$I$28*parametros_manuales!$J$28</f>
        <v>20727.79715854</v>
      </c>
      <c r="G254" s="9" t="n">
        <f aca="false">(parametros_manuales!$D$28*('Plan mensual'!I101+'Plan mensual'!I212+IF(parametros_manuales!$H$28="Todos",'Plan mensual'!I105+'Plan mensual'!I216,0))+parametros_manuales!$E$28*('Plan mensual'!I102+'Plan mensual'!I213+IF(parametros_manuales!$H$28="Todos",'Plan mensual'!I106+'Plan mensual'!I217,0))+parametros_manuales!$F$28*('Plan mensual'!I103+'Plan mensual'!I214+IF(parametros_manuales!$H$28="Todos",'Plan mensual'!I107+'Plan mensual'!I218,0))+parametros_manuales!$G$28*('Plan mensual'!I104+'Plan mensual'!I215+IF(parametros_manuales!$H$28="Todos",'Plan mensual'!I108+'Plan mensual'!I219,0)))*parametros_manuales!$I$28*parametros_manuales!$J$28</f>
        <v>20318.775132325</v>
      </c>
      <c r="H254" s="9" t="n">
        <f aca="false">(parametros_manuales!$D$28*('Plan mensual'!J101+'Plan mensual'!J212+IF(parametros_manuales!$H$28="Todos",'Plan mensual'!J105+'Plan mensual'!J216,0))+parametros_manuales!$E$28*('Plan mensual'!J102+'Plan mensual'!J213+IF(parametros_manuales!$H$28="Todos",'Plan mensual'!J106+'Plan mensual'!J217,0))+parametros_manuales!$F$28*('Plan mensual'!J103+'Plan mensual'!J214+IF(parametros_manuales!$H$28="Todos",'Plan mensual'!J107+'Plan mensual'!J218,0))+parametros_manuales!$G$28*('Plan mensual'!J104+'Plan mensual'!J215+IF(parametros_manuales!$H$28="Todos",'Plan mensual'!J108+'Plan mensual'!J219,0)))*parametros_manuales!$I$28*parametros_manuales!$J$28</f>
        <v>21740.90035419</v>
      </c>
      <c r="I254" s="9" t="n">
        <f aca="false">(parametros_manuales!$D$28*('Plan mensual'!K101+'Plan mensual'!K212+IF(parametros_manuales!$H$28="Todos",'Plan mensual'!K105+'Plan mensual'!K216,0))+parametros_manuales!$E$28*('Plan mensual'!K102+'Plan mensual'!K213+IF(parametros_manuales!$H$28="Todos",'Plan mensual'!K106+'Plan mensual'!K217,0))+parametros_manuales!$F$28*('Plan mensual'!K103+'Plan mensual'!K214+IF(parametros_manuales!$H$28="Todos",'Plan mensual'!K107+'Plan mensual'!K218,0))+parametros_manuales!$G$28*('Plan mensual'!K104+'Plan mensual'!K215+IF(parametros_manuales!$H$28="Todos",'Plan mensual'!K108+'Plan mensual'!K219,0)))*parametros_manuales!$I$28*parametros_manuales!$J$28</f>
        <v>21740.90035419</v>
      </c>
      <c r="J254" s="9" t="n">
        <f aca="false">(parametros_manuales!$D$28*('Plan mensual'!L101+'Plan mensual'!L212+IF(parametros_manuales!$H$28="Todos",'Plan mensual'!L105+'Plan mensual'!L216,0))+parametros_manuales!$E$28*('Plan mensual'!L102+'Plan mensual'!L213+IF(parametros_manuales!$H$28="Todos",'Plan mensual'!L106+'Plan mensual'!L217,0))+parametros_manuales!$F$28*('Plan mensual'!L103+'Plan mensual'!L214+IF(parametros_manuales!$H$28="Todos",'Plan mensual'!L107+'Plan mensual'!L218,0))+parametros_manuales!$G$28*('Plan mensual'!L104+'Plan mensual'!L215+IF(parametros_manuales!$H$28="Todos",'Plan mensual'!L108+'Plan mensual'!L219,0)))*parametros_manuales!$I$28*parametros_manuales!$J$28</f>
        <v>21740.90035419</v>
      </c>
      <c r="K254" s="9" t="n">
        <f aca="false">(parametros_manuales!$D$28*('Plan mensual'!M101+'Plan mensual'!M212+IF(parametros_manuales!$H$28="Todos",'Plan mensual'!M105+'Plan mensual'!M216,0))+parametros_manuales!$E$28*('Plan mensual'!M102+'Plan mensual'!M213+IF(parametros_manuales!$H$28="Todos",'Plan mensual'!M106+'Plan mensual'!M217,0))+parametros_manuales!$F$28*('Plan mensual'!M103+'Plan mensual'!M214+IF(parametros_manuales!$H$28="Todos",'Plan mensual'!M107+'Plan mensual'!M218,0))+parametros_manuales!$G$28*('Plan mensual'!M104+'Plan mensual'!M215+IF(parametros_manuales!$H$28="Todos",'Plan mensual'!M108+'Plan mensual'!M219,0)))*parametros_manuales!$I$28*parametros_manuales!$J$28</f>
        <v>21331.878327975</v>
      </c>
      <c r="L254" s="9" t="n">
        <f aca="false">(parametros_manuales!$D$28*('Plan mensual'!N101+'Plan mensual'!N212+IF(parametros_manuales!$H$28="Todos",'Plan mensual'!N105+'Plan mensual'!N216,0))+parametros_manuales!$E$28*('Plan mensual'!N102+'Plan mensual'!N213+IF(parametros_manuales!$H$28="Todos",'Plan mensual'!N106+'Plan mensual'!N217,0))+parametros_manuales!$F$28*('Plan mensual'!N103+'Plan mensual'!N214+IF(parametros_manuales!$H$28="Todos",'Plan mensual'!N107+'Plan mensual'!N218,0))+parametros_manuales!$G$28*('Plan mensual'!N104+'Plan mensual'!N215+IF(parametros_manuales!$H$28="Todos",'Plan mensual'!N108+'Plan mensual'!N219,0)))*parametros_manuales!$I$28*parametros_manuales!$J$28</f>
        <v>20922.85630176</v>
      </c>
      <c r="M254" s="9" t="n">
        <f aca="false">(parametros_manuales!$D$28*('Plan mensual'!O101+'Plan mensual'!O212+IF(parametros_manuales!$H$28="Todos",'Plan mensual'!O105+'Plan mensual'!O216,0))+parametros_manuales!$E$28*('Plan mensual'!O102+'Plan mensual'!O213+IF(parametros_manuales!$H$28="Todos",'Plan mensual'!O106+'Plan mensual'!O217,0))+parametros_manuales!$F$28*('Plan mensual'!O103+'Plan mensual'!O214+IF(parametros_manuales!$H$28="Todos",'Plan mensual'!O107+'Plan mensual'!O218,0))+parametros_manuales!$G$28*('Plan mensual'!O104+'Plan mensual'!O215+IF(parametros_manuales!$H$28="Todos",'Plan mensual'!O108+'Plan mensual'!O219,0)))*parametros_manuales!$I$28*parametros_manuales!$J$28</f>
        <v>33312.96127233</v>
      </c>
      <c r="N254" s="9" t="n">
        <f aca="false">SUM(B254:M254)</f>
        <v>284425.044373</v>
      </c>
      <c r="O254" s="9" t="n">
        <f aca="false">MAX(B254:M254)</f>
        <v>33312.96127233</v>
      </c>
      <c r="P254" s="44" t="n">
        <f aca="false">O254/(parametros_manuales!$B$7)</f>
        <v>222.0864084822</v>
      </c>
      <c r="Q254" s="8" t="str">
        <f aca="false">IF(O254=0,"-",INDEX($B$244:$M$244,MATCH(O254,B254:M254,0)))</f>
        <v>Dic</v>
      </c>
    </row>
    <row r="255" customFormat="false" ht="14.25" hidden="false" customHeight="true" outlineLevel="0" collapsed="false">
      <c r="A255" s="8" t="str">
        <f aca="false">parametros_manuales!$B$29</f>
        <v>Bordoneado</v>
      </c>
      <c r="B255" s="9" t="n">
        <f aca="false">(parametros_manuales!$D$29*('Plan mensual'!D101+'Plan mensual'!D212+IF(parametros_manuales!$H$29="Todos",'Plan mensual'!D105+'Plan mensual'!D216,0))+parametros_manuales!$E$29*('Plan mensual'!D102+'Plan mensual'!D213+IF(parametros_manuales!$H$29="Todos",'Plan mensual'!D106+'Plan mensual'!D217,0))+parametros_manuales!$F$29*('Plan mensual'!D103+'Plan mensual'!D214+IF(parametros_manuales!$H$29="Todos",'Plan mensual'!D107+'Plan mensual'!D218,0))+parametros_manuales!$G$29*('Plan mensual'!D104+'Plan mensual'!D215+IF(parametros_manuales!$H$29="Todos",'Plan mensual'!D108+'Plan mensual'!D219,0)))*parametros_manuales!$I$29*parametros_manuales!$J$29</f>
        <v>32494.9172199</v>
      </c>
      <c r="C255" s="9" t="n">
        <f aca="false">(parametros_manuales!$D$29*('Plan mensual'!E101+'Plan mensual'!E212+IF(parametros_manuales!$H$29="Todos",'Plan mensual'!E105+'Plan mensual'!E216,0))+parametros_manuales!$E$29*('Plan mensual'!E102+'Plan mensual'!E213+IF(parametros_manuales!$H$29="Todos",'Plan mensual'!E106+'Plan mensual'!E217,0))+parametros_manuales!$F$29*('Plan mensual'!E103+'Plan mensual'!E214+IF(parametros_manuales!$H$29="Todos",'Plan mensual'!E107+'Plan mensual'!E218,0))+parametros_manuales!$G$29*('Plan mensual'!E104+'Plan mensual'!E215+IF(parametros_manuales!$H$29="Todos",'Plan mensual'!E108+'Plan mensual'!E219,0)))*parametros_manuales!$I$29*parametros_manuales!$J$29</f>
        <v>24780.20994114</v>
      </c>
      <c r="D255" s="9" t="n">
        <f aca="false">(parametros_manuales!$D$29*('Plan mensual'!F101+'Plan mensual'!F212+IF(parametros_manuales!$H$29="Todos",'Plan mensual'!F105+'Plan mensual'!F216,0))+parametros_manuales!$E$29*('Plan mensual'!F102+'Plan mensual'!F213+IF(parametros_manuales!$H$29="Todos",'Plan mensual'!F106+'Plan mensual'!F217,0))+parametros_manuales!$F$29*('Plan mensual'!F103+'Plan mensual'!F214+IF(parametros_manuales!$H$29="Todos",'Plan mensual'!F107+'Plan mensual'!F218,0))+parametros_manuales!$G$29*('Plan mensual'!F104+'Plan mensual'!F215+IF(parametros_manuales!$H$29="Todos",'Plan mensual'!F108+'Plan mensual'!F219,0)))*parametros_manuales!$I$29*parametros_manuales!$J$29</f>
        <v>23163.025576055</v>
      </c>
      <c r="E255" s="9" t="n">
        <f aca="false">(parametros_manuales!$D$29*('Plan mensual'!G101+'Plan mensual'!G212+IF(parametros_manuales!$H$29="Todos",'Plan mensual'!G105+'Plan mensual'!G216,0))+parametros_manuales!$E$29*('Plan mensual'!G102+'Plan mensual'!G213+IF(parametros_manuales!$H$29="Todos",'Plan mensual'!G106+'Plan mensual'!G217,0))+parametros_manuales!$F$29*('Plan mensual'!G103+'Plan mensual'!G214+IF(parametros_manuales!$H$29="Todos",'Plan mensual'!G107+'Plan mensual'!G218,0))+parametros_manuales!$G$29*('Plan mensual'!G104+'Plan mensual'!G215+IF(parametros_manuales!$H$29="Todos",'Plan mensual'!G108+'Plan mensual'!G219,0)))*parametros_manuales!$I$29*parametros_manuales!$J$29</f>
        <v>22149.922380405</v>
      </c>
      <c r="F255" s="9" t="n">
        <f aca="false">(parametros_manuales!$D$29*('Plan mensual'!H101+'Plan mensual'!H212+IF(parametros_manuales!$H$29="Todos",'Plan mensual'!H105+'Plan mensual'!H216,0))+parametros_manuales!$E$29*('Plan mensual'!H102+'Plan mensual'!H213+IF(parametros_manuales!$H$29="Todos",'Plan mensual'!H106+'Plan mensual'!H217,0))+parametros_manuales!$F$29*('Plan mensual'!H103+'Plan mensual'!H214+IF(parametros_manuales!$H$29="Todos",'Plan mensual'!H107+'Plan mensual'!H218,0))+parametros_manuales!$G$29*('Plan mensual'!H104+'Plan mensual'!H215+IF(parametros_manuales!$H$29="Todos",'Plan mensual'!H108+'Plan mensual'!H219,0)))*parametros_manuales!$I$29*parametros_manuales!$J$29</f>
        <v>20727.79715854</v>
      </c>
      <c r="G255" s="9" t="n">
        <f aca="false">(parametros_manuales!$D$29*('Plan mensual'!I101+'Plan mensual'!I212+IF(parametros_manuales!$H$29="Todos",'Plan mensual'!I105+'Plan mensual'!I216,0))+parametros_manuales!$E$29*('Plan mensual'!I102+'Plan mensual'!I213+IF(parametros_manuales!$H$29="Todos",'Plan mensual'!I106+'Plan mensual'!I217,0))+parametros_manuales!$F$29*('Plan mensual'!I103+'Plan mensual'!I214+IF(parametros_manuales!$H$29="Todos",'Plan mensual'!I107+'Plan mensual'!I218,0))+parametros_manuales!$G$29*('Plan mensual'!I104+'Plan mensual'!I215+IF(parametros_manuales!$H$29="Todos",'Plan mensual'!I108+'Plan mensual'!I219,0)))*parametros_manuales!$I$29*parametros_manuales!$J$29</f>
        <v>20318.775132325</v>
      </c>
      <c r="H255" s="9" t="n">
        <f aca="false">(parametros_manuales!$D$29*('Plan mensual'!J101+'Plan mensual'!J212+IF(parametros_manuales!$H$29="Todos",'Plan mensual'!J105+'Plan mensual'!J216,0))+parametros_manuales!$E$29*('Plan mensual'!J102+'Plan mensual'!J213+IF(parametros_manuales!$H$29="Todos",'Plan mensual'!J106+'Plan mensual'!J217,0))+parametros_manuales!$F$29*('Plan mensual'!J103+'Plan mensual'!J214+IF(parametros_manuales!$H$29="Todos",'Plan mensual'!J107+'Plan mensual'!J218,0))+parametros_manuales!$G$29*('Plan mensual'!J104+'Plan mensual'!J215+IF(parametros_manuales!$H$29="Todos",'Plan mensual'!J108+'Plan mensual'!J219,0)))*parametros_manuales!$I$29*parametros_manuales!$J$29</f>
        <v>21740.90035419</v>
      </c>
      <c r="I255" s="9" t="n">
        <f aca="false">(parametros_manuales!$D$29*('Plan mensual'!K101+'Plan mensual'!K212+IF(parametros_manuales!$H$29="Todos",'Plan mensual'!K105+'Plan mensual'!K216,0))+parametros_manuales!$E$29*('Plan mensual'!K102+'Plan mensual'!K213+IF(parametros_manuales!$H$29="Todos",'Plan mensual'!K106+'Plan mensual'!K217,0))+parametros_manuales!$F$29*('Plan mensual'!K103+'Plan mensual'!K214+IF(parametros_manuales!$H$29="Todos",'Plan mensual'!K107+'Plan mensual'!K218,0))+parametros_manuales!$G$29*('Plan mensual'!K104+'Plan mensual'!K215+IF(parametros_manuales!$H$29="Todos",'Plan mensual'!K108+'Plan mensual'!K219,0)))*parametros_manuales!$I$29*parametros_manuales!$J$29</f>
        <v>21740.90035419</v>
      </c>
      <c r="J255" s="9" t="n">
        <f aca="false">(parametros_manuales!$D$29*('Plan mensual'!L101+'Plan mensual'!L212+IF(parametros_manuales!$H$29="Todos",'Plan mensual'!L105+'Plan mensual'!L216,0))+parametros_manuales!$E$29*('Plan mensual'!L102+'Plan mensual'!L213+IF(parametros_manuales!$H$29="Todos",'Plan mensual'!L106+'Plan mensual'!L217,0))+parametros_manuales!$F$29*('Plan mensual'!L103+'Plan mensual'!L214+IF(parametros_manuales!$H$29="Todos",'Plan mensual'!L107+'Plan mensual'!L218,0))+parametros_manuales!$G$29*('Plan mensual'!L104+'Plan mensual'!L215+IF(parametros_manuales!$H$29="Todos",'Plan mensual'!L108+'Plan mensual'!L219,0)))*parametros_manuales!$I$29*parametros_manuales!$J$29</f>
        <v>21740.90035419</v>
      </c>
      <c r="K255" s="9" t="n">
        <f aca="false">(parametros_manuales!$D$29*('Plan mensual'!M101+'Plan mensual'!M212+IF(parametros_manuales!$H$29="Todos",'Plan mensual'!M105+'Plan mensual'!M216,0))+parametros_manuales!$E$29*('Plan mensual'!M102+'Plan mensual'!M213+IF(parametros_manuales!$H$29="Todos",'Plan mensual'!M106+'Plan mensual'!M217,0))+parametros_manuales!$F$29*('Plan mensual'!M103+'Plan mensual'!M214+IF(parametros_manuales!$H$29="Todos",'Plan mensual'!M107+'Plan mensual'!M218,0))+parametros_manuales!$G$29*('Plan mensual'!M104+'Plan mensual'!M215+IF(parametros_manuales!$H$29="Todos",'Plan mensual'!M108+'Plan mensual'!M219,0)))*parametros_manuales!$I$29*parametros_manuales!$J$29</f>
        <v>21331.878327975</v>
      </c>
      <c r="L255" s="9" t="n">
        <f aca="false">(parametros_manuales!$D$29*('Plan mensual'!N101+'Plan mensual'!N212+IF(parametros_manuales!$H$29="Todos",'Plan mensual'!N105+'Plan mensual'!N216,0))+parametros_manuales!$E$29*('Plan mensual'!N102+'Plan mensual'!N213+IF(parametros_manuales!$H$29="Todos",'Plan mensual'!N106+'Plan mensual'!N217,0))+parametros_manuales!$F$29*('Plan mensual'!N103+'Plan mensual'!N214+IF(parametros_manuales!$H$29="Todos",'Plan mensual'!N107+'Plan mensual'!N218,0))+parametros_manuales!$G$29*('Plan mensual'!N104+'Plan mensual'!N215+IF(parametros_manuales!$H$29="Todos",'Plan mensual'!N108+'Plan mensual'!N219,0)))*parametros_manuales!$I$29*parametros_manuales!$J$29</f>
        <v>20922.85630176</v>
      </c>
      <c r="M255" s="9" t="n">
        <f aca="false">(parametros_manuales!$D$29*('Plan mensual'!O101+'Plan mensual'!O212+IF(parametros_manuales!$H$29="Todos",'Plan mensual'!O105+'Plan mensual'!O216,0))+parametros_manuales!$E$29*('Plan mensual'!O102+'Plan mensual'!O213+IF(parametros_manuales!$H$29="Todos",'Plan mensual'!O106+'Plan mensual'!O217,0))+parametros_manuales!$F$29*('Plan mensual'!O103+'Plan mensual'!O214+IF(parametros_manuales!$H$29="Todos",'Plan mensual'!O107+'Plan mensual'!O218,0))+parametros_manuales!$G$29*('Plan mensual'!O104+'Plan mensual'!O215+IF(parametros_manuales!$H$29="Todos",'Plan mensual'!O108+'Plan mensual'!O219,0)))*parametros_manuales!$I$29*parametros_manuales!$J$29</f>
        <v>33312.96127233</v>
      </c>
      <c r="N255" s="9" t="n">
        <f aca="false">SUM(B255:M255)</f>
        <v>284425.044373</v>
      </c>
      <c r="O255" s="9" t="n">
        <f aca="false">MAX(B255:M255)</f>
        <v>33312.96127233</v>
      </c>
      <c r="P255" s="44" t="n">
        <f aca="false">O255/(parametros_manuales!$B$7)</f>
        <v>222.0864084822</v>
      </c>
      <c r="Q255" s="8" t="str">
        <f aca="false">IF(O255=0,"-",INDEX($B$244:$M$244,MATCH(O255,B255:M255,0)))</f>
        <v>Dic</v>
      </c>
    </row>
    <row r="256" customFormat="false" ht="14.25" hidden="false" customHeight="true" outlineLevel="0" collapsed="false">
      <c r="A256" s="8" t="str">
        <f aca="false">parametros_manuales!$B$30</f>
        <v>Soldadura circunferencial de cúpula y fondo</v>
      </c>
      <c r="B256" s="9" t="n">
        <f aca="false">(parametros_manuales!$D$30*('Plan mensual'!D101+'Plan mensual'!D212+IF(parametros_manuales!$H$30="Todos",'Plan mensual'!D105+'Plan mensual'!D216,0))+parametros_manuales!$E$30*('Plan mensual'!D102+'Plan mensual'!D213+IF(parametros_manuales!$H$30="Todos",'Plan mensual'!D106+'Plan mensual'!D217,0))+parametros_manuales!$F$30*('Plan mensual'!D103+'Plan mensual'!D214+IF(parametros_manuales!$H$30="Todos",'Plan mensual'!D107+'Plan mensual'!D218,0))+parametros_manuales!$G$30*('Plan mensual'!D104+'Plan mensual'!D215+IF(parametros_manuales!$H$30="Todos",'Plan mensual'!D108+'Plan mensual'!D219,0)))*parametros_manuales!$I$30*parametros_manuales!$J$30</f>
        <v>32494.9172199</v>
      </c>
      <c r="C256" s="9" t="n">
        <f aca="false">(parametros_manuales!$D$30*('Plan mensual'!E101+'Plan mensual'!E212+IF(parametros_manuales!$H$30="Todos",'Plan mensual'!E105+'Plan mensual'!E216,0))+parametros_manuales!$E$30*('Plan mensual'!E102+'Plan mensual'!E213+IF(parametros_manuales!$H$30="Todos",'Plan mensual'!E106+'Plan mensual'!E217,0))+parametros_manuales!$F$30*('Plan mensual'!E103+'Plan mensual'!E214+IF(parametros_manuales!$H$30="Todos",'Plan mensual'!E107+'Plan mensual'!E218,0))+parametros_manuales!$G$30*('Plan mensual'!E104+'Plan mensual'!E215+IF(parametros_manuales!$H$30="Todos",'Plan mensual'!E108+'Plan mensual'!E219,0)))*parametros_manuales!$I$30*parametros_manuales!$J$30</f>
        <v>24780.20994114</v>
      </c>
      <c r="D256" s="9" t="n">
        <f aca="false">(parametros_manuales!$D$30*('Plan mensual'!F101+'Plan mensual'!F212+IF(parametros_manuales!$H$30="Todos",'Plan mensual'!F105+'Plan mensual'!F216,0))+parametros_manuales!$E$30*('Plan mensual'!F102+'Plan mensual'!F213+IF(parametros_manuales!$H$30="Todos",'Plan mensual'!F106+'Plan mensual'!F217,0))+parametros_manuales!$F$30*('Plan mensual'!F103+'Plan mensual'!F214+IF(parametros_manuales!$H$30="Todos",'Plan mensual'!F107+'Plan mensual'!F218,0))+parametros_manuales!$G$30*('Plan mensual'!F104+'Plan mensual'!F215+IF(parametros_manuales!$H$30="Todos",'Plan mensual'!F108+'Plan mensual'!F219,0)))*parametros_manuales!$I$30*parametros_manuales!$J$30</f>
        <v>23163.025576055</v>
      </c>
      <c r="E256" s="9" t="n">
        <f aca="false">(parametros_manuales!$D$30*('Plan mensual'!G101+'Plan mensual'!G212+IF(parametros_manuales!$H$30="Todos",'Plan mensual'!G105+'Plan mensual'!G216,0))+parametros_manuales!$E$30*('Plan mensual'!G102+'Plan mensual'!G213+IF(parametros_manuales!$H$30="Todos",'Plan mensual'!G106+'Plan mensual'!G217,0))+parametros_manuales!$F$30*('Plan mensual'!G103+'Plan mensual'!G214+IF(parametros_manuales!$H$30="Todos",'Plan mensual'!G107+'Plan mensual'!G218,0))+parametros_manuales!$G$30*('Plan mensual'!G104+'Plan mensual'!G215+IF(parametros_manuales!$H$30="Todos",'Plan mensual'!G108+'Plan mensual'!G219,0)))*parametros_manuales!$I$30*parametros_manuales!$J$30</f>
        <v>22149.922380405</v>
      </c>
      <c r="F256" s="9" t="n">
        <f aca="false">(parametros_manuales!$D$30*('Plan mensual'!H101+'Plan mensual'!H212+IF(parametros_manuales!$H$30="Todos",'Plan mensual'!H105+'Plan mensual'!H216,0))+parametros_manuales!$E$30*('Plan mensual'!H102+'Plan mensual'!H213+IF(parametros_manuales!$H$30="Todos",'Plan mensual'!H106+'Plan mensual'!H217,0))+parametros_manuales!$F$30*('Plan mensual'!H103+'Plan mensual'!H214+IF(parametros_manuales!$H$30="Todos",'Plan mensual'!H107+'Plan mensual'!H218,0))+parametros_manuales!$G$30*('Plan mensual'!H104+'Plan mensual'!H215+IF(parametros_manuales!$H$30="Todos",'Plan mensual'!H108+'Plan mensual'!H219,0)))*parametros_manuales!$I$30*parametros_manuales!$J$30</f>
        <v>20727.79715854</v>
      </c>
      <c r="G256" s="9" t="n">
        <f aca="false">(parametros_manuales!$D$30*('Plan mensual'!I101+'Plan mensual'!I212+IF(parametros_manuales!$H$30="Todos",'Plan mensual'!I105+'Plan mensual'!I216,0))+parametros_manuales!$E$30*('Plan mensual'!I102+'Plan mensual'!I213+IF(parametros_manuales!$H$30="Todos",'Plan mensual'!I106+'Plan mensual'!I217,0))+parametros_manuales!$F$30*('Plan mensual'!I103+'Plan mensual'!I214+IF(parametros_manuales!$H$30="Todos",'Plan mensual'!I107+'Plan mensual'!I218,0))+parametros_manuales!$G$30*('Plan mensual'!I104+'Plan mensual'!I215+IF(parametros_manuales!$H$30="Todos",'Plan mensual'!I108+'Plan mensual'!I219,0)))*parametros_manuales!$I$30*parametros_manuales!$J$30</f>
        <v>20318.775132325</v>
      </c>
      <c r="H256" s="9" t="n">
        <f aca="false">(parametros_manuales!$D$30*('Plan mensual'!J101+'Plan mensual'!J212+IF(parametros_manuales!$H$30="Todos",'Plan mensual'!J105+'Plan mensual'!J216,0))+parametros_manuales!$E$30*('Plan mensual'!J102+'Plan mensual'!J213+IF(parametros_manuales!$H$30="Todos",'Plan mensual'!J106+'Plan mensual'!J217,0))+parametros_manuales!$F$30*('Plan mensual'!J103+'Plan mensual'!J214+IF(parametros_manuales!$H$30="Todos",'Plan mensual'!J107+'Plan mensual'!J218,0))+parametros_manuales!$G$30*('Plan mensual'!J104+'Plan mensual'!J215+IF(parametros_manuales!$H$30="Todos",'Plan mensual'!J108+'Plan mensual'!J219,0)))*parametros_manuales!$I$30*parametros_manuales!$J$30</f>
        <v>21740.90035419</v>
      </c>
      <c r="I256" s="9" t="n">
        <f aca="false">(parametros_manuales!$D$30*('Plan mensual'!K101+'Plan mensual'!K212+IF(parametros_manuales!$H$30="Todos",'Plan mensual'!K105+'Plan mensual'!K216,0))+parametros_manuales!$E$30*('Plan mensual'!K102+'Plan mensual'!K213+IF(parametros_manuales!$H$30="Todos",'Plan mensual'!K106+'Plan mensual'!K217,0))+parametros_manuales!$F$30*('Plan mensual'!K103+'Plan mensual'!K214+IF(parametros_manuales!$H$30="Todos",'Plan mensual'!K107+'Plan mensual'!K218,0))+parametros_manuales!$G$30*('Plan mensual'!K104+'Plan mensual'!K215+IF(parametros_manuales!$H$30="Todos",'Plan mensual'!K108+'Plan mensual'!K219,0)))*parametros_manuales!$I$30*parametros_manuales!$J$30</f>
        <v>21740.90035419</v>
      </c>
      <c r="J256" s="9" t="n">
        <f aca="false">(parametros_manuales!$D$30*('Plan mensual'!L101+'Plan mensual'!L212+IF(parametros_manuales!$H$30="Todos",'Plan mensual'!L105+'Plan mensual'!L216,0))+parametros_manuales!$E$30*('Plan mensual'!L102+'Plan mensual'!L213+IF(parametros_manuales!$H$30="Todos",'Plan mensual'!L106+'Plan mensual'!L217,0))+parametros_manuales!$F$30*('Plan mensual'!L103+'Plan mensual'!L214+IF(parametros_manuales!$H$30="Todos",'Plan mensual'!L107+'Plan mensual'!L218,0))+parametros_manuales!$G$30*('Plan mensual'!L104+'Plan mensual'!L215+IF(parametros_manuales!$H$30="Todos",'Plan mensual'!L108+'Plan mensual'!L219,0)))*parametros_manuales!$I$30*parametros_manuales!$J$30</f>
        <v>21740.90035419</v>
      </c>
      <c r="K256" s="9" t="n">
        <f aca="false">(parametros_manuales!$D$30*('Plan mensual'!M101+'Plan mensual'!M212+IF(parametros_manuales!$H$30="Todos",'Plan mensual'!M105+'Plan mensual'!M216,0))+parametros_manuales!$E$30*('Plan mensual'!M102+'Plan mensual'!M213+IF(parametros_manuales!$H$30="Todos",'Plan mensual'!M106+'Plan mensual'!M217,0))+parametros_manuales!$F$30*('Plan mensual'!M103+'Plan mensual'!M214+IF(parametros_manuales!$H$30="Todos",'Plan mensual'!M107+'Plan mensual'!M218,0))+parametros_manuales!$G$30*('Plan mensual'!M104+'Plan mensual'!M215+IF(parametros_manuales!$H$30="Todos",'Plan mensual'!M108+'Plan mensual'!M219,0)))*parametros_manuales!$I$30*parametros_manuales!$J$30</f>
        <v>21331.878327975</v>
      </c>
      <c r="L256" s="9" t="n">
        <f aca="false">(parametros_manuales!$D$30*('Plan mensual'!N101+'Plan mensual'!N212+IF(parametros_manuales!$H$30="Todos",'Plan mensual'!N105+'Plan mensual'!N216,0))+parametros_manuales!$E$30*('Plan mensual'!N102+'Plan mensual'!N213+IF(parametros_manuales!$H$30="Todos",'Plan mensual'!N106+'Plan mensual'!N217,0))+parametros_manuales!$F$30*('Plan mensual'!N103+'Plan mensual'!N214+IF(parametros_manuales!$H$30="Todos",'Plan mensual'!N107+'Plan mensual'!N218,0))+parametros_manuales!$G$30*('Plan mensual'!N104+'Plan mensual'!N215+IF(parametros_manuales!$H$30="Todos",'Plan mensual'!N108+'Plan mensual'!N219,0)))*parametros_manuales!$I$30*parametros_manuales!$J$30</f>
        <v>20922.85630176</v>
      </c>
      <c r="M256" s="9" t="n">
        <f aca="false">(parametros_manuales!$D$30*('Plan mensual'!O101+'Plan mensual'!O212+IF(parametros_manuales!$H$30="Todos",'Plan mensual'!O105+'Plan mensual'!O216,0))+parametros_manuales!$E$30*('Plan mensual'!O102+'Plan mensual'!O213+IF(parametros_manuales!$H$30="Todos",'Plan mensual'!O106+'Plan mensual'!O217,0))+parametros_manuales!$F$30*('Plan mensual'!O103+'Plan mensual'!O214+IF(parametros_manuales!$H$30="Todos",'Plan mensual'!O107+'Plan mensual'!O218,0))+parametros_manuales!$G$30*('Plan mensual'!O104+'Plan mensual'!O215+IF(parametros_manuales!$H$30="Todos",'Plan mensual'!O108+'Plan mensual'!O219,0)))*parametros_manuales!$I$30*parametros_manuales!$J$30</f>
        <v>33312.96127233</v>
      </c>
      <c r="N256" s="9" t="n">
        <f aca="false">SUM(B256:M256)</f>
        <v>284425.044373</v>
      </c>
      <c r="O256" s="9" t="n">
        <f aca="false">MAX(B256:M256)</f>
        <v>33312.96127233</v>
      </c>
      <c r="P256" s="44" t="n">
        <f aca="false">O256/(parametros_manuales!$B$7)</f>
        <v>222.0864084822</v>
      </c>
      <c r="Q256" s="8" t="str">
        <f aca="false">IF(O256=0,"-",INDEX($B$244:$M$244,MATCH(O256,B256:M256,0)))</f>
        <v>Dic</v>
      </c>
    </row>
    <row r="257" customFormat="false" ht="14.25" hidden="false" customHeight="true" outlineLevel="0" collapsed="false">
      <c r="A257" s="8" t="str">
        <f aca="false">parametros_manuales!$B$31</f>
        <v>Control de calidad — Espesor</v>
      </c>
      <c r="B257" s="9" t="n">
        <f aca="false">(parametros_manuales!$D$31*('Plan mensual'!D101+'Plan mensual'!D212+IF(parametros_manuales!$H$31="Todos",'Plan mensual'!D105+'Plan mensual'!D216,0))+parametros_manuales!$E$31*('Plan mensual'!D102+'Plan mensual'!D213+IF(parametros_manuales!$H$31="Todos",'Plan mensual'!D106+'Plan mensual'!D217,0))+parametros_manuales!$F$31*('Plan mensual'!D103+'Plan mensual'!D214+IF(parametros_manuales!$H$31="Todos",'Plan mensual'!D107+'Plan mensual'!D218,0))+parametros_manuales!$G$31*('Plan mensual'!D104+'Plan mensual'!D215+IF(parametros_manuales!$H$31="Todos",'Plan mensual'!D108+'Plan mensual'!D219,0)))*parametros_manuales!$I$31*parametros_manuales!$J$31</f>
        <v>649.898344398</v>
      </c>
      <c r="C257" s="9" t="n">
        <f aca="false">(parametros_manuales!$D$31*('Plan mensual'!E101+'Plan mensual'!E212+IF(parametros_manuales!$H$31="Todos",'Plan mensual'!E105+'Plan mensual'!E216,0))+parametros_manuales!$E$31*('Plan mensual'!E102+'Plan mensual'!E213+IF(parametros_manuales!$H$31="Todos",'Plan mensual'!E106+'Plan mensual'!E217,0))+parametros_manuales!$F$31*('Plan mensual'!E103+'Plan mensual'!E214+IF(parametros_manuales!$H$31="Todos",'Plan mensual'!E107+'Plan mensual'!E218,0))+parametros_manuales!$G$31*('Plan mensual'!E104+'Plan mensual'!E215+IF(parametros_manuales!$H$31="Todos",'Plan mensual'!E108+'Plan mensual'!E219,0)))*parametros_manuales!$I$31*parametros_manuales!$J$31</f>
        <v>495.6041988228</v>
      </c>
      <c r="D257" s="9" t="n">
        <f aca="false">(parametros_manuales!$D$31*('Plan mensual'!F101+'Plan mensual'!F212+IF(parametros_manuales!$H$31="Todos",'Plan mensual'!F105+'Plan mensual'!F216,0))+parametros_manuales!$E$31*('Plan mensual'!F102+'Plan mensual'!F213+IF(parametros_manuales!$H$31="Todos",'Plan mensual'!F106+'Plan mensual'!F217,0))+parametros_manuales!$F$31*('Plan mensual'!F103+'Plan mensual'!F214+IF(parametros_manuales!$H$31="Todos",'Plan mensual'!F107+'Plan mensual'!F218,0))+parametros_manuales!$G$31*('Plan mensual'!F104+'Plan mensual'!F215+IF(parametros_manuales!$H$31="Todos",'Plan mensual'!F108+'Plan mensual'!F219,0)))*parametros_manuales!$I$31*parametros_manuales!$J$31</f>
        <v>463.2605115211</v>
      </c>
      <c r="E257" s="9" t="n">
        <f aca="false">(parametros_manuales!$D$31*('Plan mensual'!G101+'Plan mensual'!G212+IF(parametros_manuales!$H$31="Todos",'Plan mensual'!G105+'Plan mensual'!G216,0))+parametros_manuales!$E$31*('Plan mensual'!G102+'Plan mensual'!G213+IF(parametros_manuales!$H$31="Todos",'Plan mensual'!G106+'Plan mensual'!G217,0))+parametros_manuales!$F$31*('Plan mensual'!G103+'Plan mensual'!G214+IF(parametros_manuales!$H$31="Todos",'Plan mensual'!G107+'Plan mensual'!G218,0))+parametros_manuales!$G$31*('Plan mensual'!G104+'Plan mensual'!G215+IF(parametros_manuales!$H$31="Todos",'Plan mensual'!G108+'Plan mensual'!G219,0)))*parametros_manuales!$I$31*parametros_manuales!$J$31</f>
        <v>442.9984476081</v>
      </c>
      <c r="F257" s="9" t="n">
        <f aca="false">(parametros_manuales!$D$31*('Plan mensual'!H101+'Plan mensual'!H212+IF(parametros_manuales!$H$31="Todos",'Plan mensual'!H105+'Plan mensual'!H216,0))+parametros_manuales!$E$31*('Plan mensual'!H102+'Plan mensual'!H213+IF(parametros_manuales!$H$31="Todos",'Plan mensual'!H106+'Plan mensual'!H217,0))+parametros_manuales!$F$31*('Plan mensual'!H103+'Plan mensual'!H214+IF(parametros_manuales!$H$31="Todos",'Plan mensual'!H107+'Plan mensual'!H218,0))+parametros_manuales!$G$31*('Plan mensual'!H104+'Plan mensual'!H215+IF(parametros_manuales!$H$31="Todos",'Plan mensual'!H108+'Plan mensual'!H219,0)))*parametros_manuales!$I$31*parametros_manuales!$J$31</f>
        <v>414.5559431708</v>
      </c>
      <c r="G257" s="9" t="n">
        <f aca="false">(parametros_manuales!$D$31*('Plan mensual'!I101+'Plan mensual'!I212+IF(parametros_manuales!$H$31="Todos",'Plan mensual'!I105+'Plan mensual'!I216,0))+parametros_manuales!$E$31*('Plan mensual'!I102+'Plan mensual'!I213+IF(parametros_manuales!$H$31="Todos",'Plan mensual'!I106+'Plan mensual'!I217,0))+parametros_manuales!$F$31*('Plan mensual'!I103+'Plan mensual'!I214+IF(parametros_manuales!$H$31="Todos",'Plan mensual'!I107+'Plan mensual'!I218,0))+parametros_manuales!$G$31*('Plan mensual'!I104+'Plan mensual'!I215+IF(parametros_manuales!$H$31="Todos",'Plan mensual'!I108+'Plan mensual'!I219,0)))*parametros_manuales!$I$31*parametros_manuales!$J$31</f>
        <v>406.3755026465</v>
      </c>
      <c r="H257" s="9" t="n">
        <f aca="false">(parametros_manuales!$D$31*('Plan mensual'!J101+'Plan mensual'!J212+IF(parametros_manuales!$H$31="Todos",'Plan mensual'!J105+'Plan mensual'!J216,0))+parametros_manuales!$E$31*('Plan mensual'!J102+'Plan mensual'!J213+IF(parametros_manuales!$H$31="Todos",'Plan mensual'!J106+'Plan mensual'!J217,0))+parametros_manuales!$F$31*('Plan mensual'!J103+'Plan mensual'!J214+IF(parametros_manuales!$H$31="Todos",'Plan mensual'!J107+'Plan mensual'!J218,0))+parametros_manuales!$G$31*('Plan mensual'!J104+'Plan mensual'!J215+IF(parametros_manuales!$H$31="Todos",'Plan mensual'!J108+'Plan mensual'!J219,0)))*parametros_manuales!$I$31*parametros_manuales!$J$31</f>
        <v>434.8180070838</v>
      </c>
      <c r="I257" s="9" t="n">
        <f aca="false">(parametros_manuales!$D$31*('Plan mensual'!K101+'Plan mensual'!K212+IF(parametros_manuales!$H$31="Todos",'Plan mensual'!K105+'Plan mensual'!K216,0))+parametros_manuales!$E$31*('Plan mensual'!K102+'Plan mensual'!K213+IF(parametros_manuales!$H$31="Todos",'Plan mensual'!K106+'Plan mensual'!K217,0))+parametros_manuales!$F$31*('Plan mensual'!K103+'Plan mensual'!K214+IF(parametros_manuales!$H$31="Todos",'Plan mensual'!K107+'Plan mensual'!K218,0))+parametros_manuales!$G$31*('Plan mensual'!K104+'Plan mensual'!K215+IF(parametros_manuales!$H$31="Todos",'Plan mensual'!K108+'Plan mensual'!K219,0)))*parametros_manuales!$I$31*parametros_manuales!$J$31</f>
        <v>434.8180070838</v>
      </c>
      <c r="J257" s="9" t="n">
        <f aca="false">(parametros_manuales!$D$31*('Plan mensual'!L101+'Plan mensual'!L212+IF(parametros_manuales!$H$31="Todos",'Plan mensual'!L105+'Plan mensual'!L216,0))+parametros_manuales!$E$31*('Plan mensual'!L102+'Plan mensual'!L213+IF(parametros_manuales!$H$31="Todos",'Plan mensual'!L106+'Plan mensual'!L217,0))+parametros_manuales!$F$31*('Plan mensual'!L103+'Plan mensual'!L214+IF(parametros_manuales!$H$31="Todos",'Plan mensual'!L107+'Plan mensual'!L218,0))+parametros_manuales!$G$31*('Plan mensual'!L104+'Plan mensual'!L215+IF(parametros_manuales!$H$31="Todos",'Plan mensual'!L108+'Plan mensual'!L219,0)))*parametros_manuales!$I$31*parametros_manuales!$J$31</f>
        <v>434.8180070838</v>
      </c>
      <c r="K257" s="9" t="n">
        <f aca="false">(parametros_manuales!$D$31*('Plan mensual'!M101+'Plan mensual'!M212+IF(parametros_manuales!$H$31="Todos",'Plan mensual'!M105+'Plan mensual'!M216,0))+parametros_manuales!$E$31*('Plan mensual'!M102+'Plan mensual'!M213+IF(parametros_manuales!$H$31="Todos",'Plan mensual'!M106+'Plan mensual'!M217,0))+parametros_manuales!$F$31*('Plan mensual'!M103+'Plan mensual'!M214+IF(parametros_manuales!$H$31="Todos",'Plan mensual'!M107+'Plan mensual'!M218,0))+parametros_manuales!$G$31*('Plan mensual'!M104+'Plan mensual'!M215+IF(parametros_manuales!$H$31="Todos",'Plan mensual'!M108+'Plan mensual'!M219,0)))*parametros_manuales!$I$31*parametros_manuales!$J$31</f>
        <v>426.6375665595</v>
      </c>
      <c r="L257" s="9" t="n">
        <f aca="false">(parametros_manuales!$D$31*('Plan mensual'!N101+'Plan mensual'!N212+IF(parametros_manuales!$H$31="Todos",'Plan mensual'!N105+'Plan mensual'!N216,0))+parametros_manuales!$E$31*('Plan mensual'!N102+'Plan mensual'!N213+IF(parametros_manuales!$H$31="Todos",'Plan mensual'!N106+'Plan mensual'!N217,0))+parametros_manuales!$F$31*('Plan mensual'!N103+'Plan mensual'!N214+IF(parametros_manuales!$H$31="Todos",'Plan mensual'!N107+'Plan mensual'!N218,0))+parametros_manuales!$G$31*('Plan mensual'!N104+'Plan mensual'!N215+IF(parametros_manuales!$H$31="Todos",'Plan mensual'!N108+'Plan mensual'!N219,0)))*parametros_manuales!$I$31*parametros_manuales!$J$31</f>
        <v>418.4571260352</v>
      </c>
      <c r="M257" s="9" t="n">
        <f aca="false">(parametros_manuales!$D$31*('Plan mensual'!O101+'Plan mensual'!O212+IF(parametros_manuales!$H$31="Todos",'Plan mensual'!O105+'Plan mensual'!O216,0))+parametros_manuales!$E$31*('Plan mensual'!O102+'Plan mensual'!O213+IF(parametros_manuales!$H$31="Todos",'Plan mensual'!O106+'Plan mensual'!O217,0))+parametros_manuales!$F$31*('Plan mensual'!O103+'Plan mensual'!O214+IF(parametros_manuales!$H$31="Todos",'Plan mensual'!O107+'Plan mensual'!O218,0))+parametros_manuales!$G$31*('Plan mensual'!O104+'Plan mensual'!O215+IF(parametros_manuales!$H$31="Todos",'Plan mensual'!O108+'Plan mensual'!O219,0)))*parametros_manuales!$I$31*parametros_manuales!$J$31</f>
        <v>666.2592254466</v>
      </c>
      <c r="N257" s="9" t="n">
        <f aca="false">SUM(B257:M257)</f>
        <v>5688.50088746</v>
      </c>
      <c r="O257" s="9" t="n">
        <f aca="false">MAX(B257:M257)</f>
        <v>666.2592254466</v>
      </c>
      <c r="P257" s="44" t="n">
        <f aca="false">O257/(parametros_manuales!$B$7)</f>
        <v>4.441728169644</v>
      </c>
      <c r="Q257" s="8" t="str">
        <f aca="false">IF(O257=0,"-",INDEX($B$244:$M$244,MATCH(O257,B257:M257,0)))</f>
        <v>Dic</v>
      </c>
    </row>
    <row r="258" customFormat="false" ht="14.25" hidden="false" customHeight="true" outlineLevel="0" collapsed="false">
      <c r="A258" s="8" t="str">
        <f aca="false">parametros_manuales!$B$32</f>
        <v>Prueba hidráulica</v>
      </c>
      <c r="B258" s="9" t="n">
        <f aca="false">(parametros_manuales!$D$32*('Plan mensual'!D101+'Plan mensual'!D212+IF(parametros_manuales!$H$32="Todos",'Plan mensual'!D105+'Plan mensual'!D216,0))+parametros_manuales!$E$32*('Plan mensual'!D102+'Plan mensual'!D213+IF(parametros_manuales!$H$32="Todos",'Plan mensual'!D106+'Plan mensual'!D217,0))+parametros_manuales!$F$32*('Plan mensual'!D103+'Plan mensual'!D214+IF(parametros_manuales!$H$32="Todos",'Plan mensual'!D107+'Plan mensual'!D218,0))+parametros_manuales!$G$32*('Plan mensual'!D104+'Plan mensual'!D215+IF(parametros_manuales!$H$32="Todos",'Plan mensual'!D108+'Plan mensual'!D219,0)))*parametros_manuales!$I$32*parametros_manuales!$J$32</f>
        <v>32494.9172199</v>
      </c>
      <c r="C258" s="9" t="n">
        <f aca="false">(parametros_manuales!$D$32*('Plan mensual'!E101+'Plan mensual'!E212+IF(parametros_manuales!$H$32="Todos",'Plan mensual'!E105+'Plan mensual'!E216,0))+parametros_manuales!$E$32*('Plan mensual'!E102+'Plan mensual'!E213+IF(parametros_manuales!$H$32="Todos",'Plan mensual'!E106+'Plan mensual'!E217,0))+parametros_manuales!$F$32*('Plan mensual'!E103+'Plan mensual'!E214+IF(parametros_manuales!$H$32="Todos",'Plan mensual'!E107+'Plan mensual'!E218,0))+parametros_manuales!$G$32*('Plan mensual'!E104+'Plan mensual'!E215+IF(parametros_manuales!$H$32="Todos",'Plan mensual'!E108+'Plan mensual'!E219,0)))*parametros_manuales!$I$32*parametros_manuales!$J$32</f>
        <v>24780.20994114</v>
      </c>
      <c r="D258" s="9" t="n">
        <f aca="false">(parametros_manuales!$D$32*('Plan mensual'!F101+'Plan mensual'!F212+IF(parametros_manuales!$H$32="Todos",'Plan mensual'!F105+'Plan mensual'!F216,0))+parametros_manuales!$E$32*('Plan mensual'!F102+'Plan mensual'!F213+IF(parametros_manuales!$H$32="Todos",'Plan mensual'!F106+'Plan mensual'!F217,0))+parametros_manuales!$F$32*('Plan mensual'!F103+'Plan mensual'!F214+IF(parametros_manuales!$H$32="Todos",'Plan mensual'!F107+'Plan mensual'!F218,0))+parametros_manuales!$G$32*('Plan mensual'!F104+'Plan mensual'!F215+IF(parametros_manuales!$H$32="Todos",'Plan mensual'!F108+'Plan mensual'!F219,0)))*parametros_manuales!$I$32*parametros_manuales!$J$32</f>
        <v>23163.025576055</v>
      </c>
      <c r="E258" s="9" t="n">
        <f aca="false">(parametros_manuales!$D$32*('Plan mensual'!G101+'Plan mensual'!G212+IF(parametros_manuales!$H$32="Todos",'Plan mensual'!G105+'Plan mensual'!G216,0))+parametros_manuales!$E$32*('Plan mensual'!G102+'Plan mensual'!G213+IF(parametros_manuales!$H$32="Todos",'Plan mensual'!G106+'Plan mensual'!G217,0))+parametros_manuales!$F$32*('Plan mensual'!G103+'Plan mensual'!G214+IF(parametros_manuales!$H$32="Todos",'Plan mensual'!G107+'Plan mensual'!G218,0))+parametros_manuales!$G$32*('Plan mensual'!G104+'Plan mensual'!G215+IF(parametros_manuales!$H$32="Todos",'Plan mensual'!G108+'Plan mensual'!G219,0)))*parametros_manuales!$I$32*parametros_manuales!$J$32</f>
        <v>22149.922380405</v>
      </c>
      <c r="F258" s="9" t="n">
        <f aca="false">(parametros_manuales!$D$32*('Plan mensual'!H101+'Plan mensual'!H212+IF(parametros_manuales!$H$32="Todos",'Plan mensual'!H105+'Plan mensual'!H216,0))+parametros_manuales!$E$32*('Plan mensual'!H102+'Plan mensual'!H213+IF(parametros_manuales!$H$32="Todos",'Plan mensual'!H106+'Plan mensual'!H217,0))+parametros_manuales!$F$32*('Plan mensual'!H103+'Plan mensual'!H214+IF(parametros_manuales!$H$32="Todos",'Plan mensual'!H107+'Plan mensual'!H218,0))+parametros_manuales!$G$32*('Plan mensual'!H104+'Plan mensual'!H215+IF(parametros_manuales!$H$32="Todos",'Plan mensual'!H108+'Plan mensual'!H219,0)))*parametros_manuales!$I$32*parametros_manuales!$J$32</f>
        <v>20727.79715854</v>
      </c>
      <c r="G258" s="9" t="n">
        <f aca="false">(parametros_manuales!$D$32*('Plan mensual'!I101+'Plan mensual'!I212+IF(parametros_manuales!$H$32="Todos",'Plan mensual'!I105+'Plan mensual'!I216,0))+parametros_manuales!$E$32*('Plan mensual'!I102+'Plan mensual'!I213+IF(parametros_manuales!$H$32="Todos",'Plan mensual'!I106+'Plan mensual'!I217,0))+parametros_manuales!$F$32*('Plan mensual'!I103+'Plan mensual'!I214+IF(parametros_manuales!$H$32="Todos",'Plan mensual'!I107+'Plan mensual'!I218,0))+parametros_manuales!$G$32*('Plan mensual'!I104+'Plan mensual'!I215+IF(parametros_manuales!$H$32="Todos",'Plan mensual'!I108+'Plan mensual'!I219,0)))*parametros_manuales!$I$32*parametros_manuales!$J$32</f>
        <v>20318.775132325</v>
      </c>
      <c r="H258" s="9" t="n">
        <f aca="false">(parametros_manuales!$D$32*('Plan mensual'!J101+'Plan mensual'!J212+IF(parametros_manuales!$H$32="Todos",'Plan mensual'!J105+'Plan mensual'!J216,0))+parametros_manuales!$E$32*('Plan mensual'!J102+'Plan mensual'!J213+IF(parametros_manuales!$H$32="Todos",'Plan mensual'!J106+'Plan mensual'!J217,0))+parametros_manuales!$F$32*('Plan mensual'!J103+'Plan mensual'!J214+IF(parametros_manuales!$H$32="Todos",'Plan mensual'!J107+'Plan mensual'!J218,0))+parametros_manuales!$G$32*('Plan mensual'!J104+'Plan mensual'!J215+IF(parametros_manuales!$H$32="Todos",'Plan mensual'!J108+'Plan mensual'!J219,0)))*parametros_manuales!$I$32*parametros_manuales!$J$32</f>
        <v>21740.90035419</v>
      </c>
      <c r="I258" s="9" t="n">
        <f aca="false">(parametros_manuales!$D$32*('Plan mensual'!K101+'Plan mensual'!K212+IF(parametros_manuales!$H$32="Todos",'Plan mensual'!K105+'Plan mensual'!K216,0))+parametros_manuales!$E$32*('Plan mensual'!K102+'Plan mensual'!K213+IF(parametros_manuales!$H$32="Todos",'Plan mensual'!K106+'Plan mensual'!K217,0))+parametros_manuales!$F$32*('Plan mensual'!K103+'Plan mensual'!K214+IF(parametros_manuales!$H$32="Todos",'Plan mensual'!K107+'Plan mensual'!K218,0))+parametros_manuales!$G$32*('Plan mensual'!K104+'Plan mensual'!K215+IF(parametros_manuales!$H$32="Todos",'Plan mensual'!K108+'Plan mensual'!K219,0)))*parametros_manuales!$I$32*parametros_manuales!$J$32</f>
        <v>21740.90035419</v>
      </c>
      <c r="J258" s="9" t="n">
        <f aca="false">(parametros_manuales!$D$32*('Plan mensual'!L101+'Plan mensual'!L212+IF(parametros_manuales!$H$32="Todos",'Plan mensual'!L105+'Plan mensual'!L216,0))+parametros_manuales!$E$32*('Plan mensual'!L102+'Plan mensual'!L213+IF(parametros_manuales!$H$32="Todos",'Plan mensual'!L106+'Plan mensual'!L217,0))+parametros_manuales!$F$32*('Plan mensual'!L103+'Plan mensual'!L214+IF(parametros_manuales!$H$32="Todos",'Plan mensual'!L107+'Plan mensual'!L218,0))+parametros_manuales!$G$32*('Plan mensual'!L104+'Plan mensual'!L215+IF(parametros_manuales!$H$32="Todos",'Plan mensual'!L108+'Plan mensual'!L219,0)))*parametros_manuales!$I$32*parametros_manuales!$J$32</f>
        <v>21740.90035419</v>
      </c>
      <c r="K258" s="9" t="n">
        <f aca="false">(parametros_manuales!$D$32*('Plan mensual'!M101+'Plan mensual'!M212+IF(parametros_manuales!$H$32="Todos",'Plan mensual'!M105+'Plan mensual'!M216,0))+parametros_manuales!$E$32*('Plan mensual'!M102+'Plan mensual'!M213+IF(parametros_manuales!$H$32="Todos",'Plan mensual'!M106+'Plan mensual'!M217,0))+parametros_manuales!$F$32*('Plan mensual'!M103+'Plan mensual'!M214+IF(parametros_manuales!$H$32="Todos",'Plan mensual'!M107+'Plan mensual'!M218,0))+parametros_manuales!$G$32*('Plan mensual'!M104+'Plan mensual'!M215+IF(parametros_manuales!$H$32="Todos",'Plan mensual'!M108+'Plan mensual'!M219,0)))*parametros_manuales!$I$32*parametros_manuales!$J$32</f>
        <v>21331.878327975</v>
      </c>
      <c r="L258" s="9" t="n">
        <f aca="false">(parametros_manuales!$D$32*('Plan mensual'!N101+'Plan mensual'!N212+IF(parametros_manuales!$H$32="Todos",'Plan mensual'!N105+'Plan mensual'!N216,0))+parametros_manuales!$E$32*('Plan mensual'!N102+'Plan mensual'!N213+IF(parametros_manuales!$H$32="Todos",'Plan mensual'!N106+'Plan mensual'!N217,0))+parametros_manuales!$F$32*('Plan mensual'!N103+'Plan mensual'!N214+IF(parametros_manuales!$H$32="Todos",'Plan mensual'!N107+'Plan mensual'!N218,0))+parametros_manuales!$G$32*('Plan mensual'!N104+'Plan mensual'!N215+IF(parametros_manuales!$H$32="Todos",'Plan mensual'!N108+'Plan mensual'!N219,0)))*parametros_manuales!$I$32*parametros_manuales!$J$32</f>
        <v>20922.85630176</v>
      </c>
      <c r="M258" s="9" t="n">
        <f aca="false">(parametros_manuales!$D$32*('Plan mensual'!O101+'Plan mensual'!O212+IF(parametros_manuales!$H$32="Todos",'Plan mensual'!O105+'Plan mensual'!O216,0))+parametros_manuales!$E$32*('Plan mensual'!O102+'Plan mensual'!O213+IF(parametros_manuales!$H$32="Todos",'Plan mensual'!O106+'Plan mensual'!O217,0))+parametros_manuales!$F$32*('Plan mensual'!O103+'Plan mensual'!O214+IF(parametros_manuales!$H$32="Todos",'Plan mensual'!O107+'Plan mensual'!O218,0))+parametros_manuales!$G$32*('Plan mensual'!O104+'Plan mensual'!O215+IF(parametros_manuales!$H$32="Todos",'Plan mensual'!O108+'Plan mensual'!O219,0)))*parametros_manuales!$I$32*parametros_manuales!$J$32</f>
        <v>33312.96127233</v>
      </c>
      <c r="N258" s="9" t="n">
        <f aca="false">SUM(B258:M258)</f>
        <v>284425.044373</v>
      </c>
      <c r="O258" s="9" t="n">
        <f aca="false">MAX(B258:M258)</f>
        <v>33312.96127233</v>
      </c>
      <c r="P258" s="44" t="n">
        <f aca="false">O258/(parametros_manuales!$B$7)</f>
        <v>222.0864084822</v>
      </c>
      <c r="Q258" s="8" t="str">
        <f aca="false">IF(O258=0,"-",INDEX($B$244:$M$244,MATCH(O258,B258:M258,0)))</f>
        <v>Dic</v>
      </c>
    </row>
    <row r="259" customFormat="false" ht="14.25" hidden="false" customHeight="true" outlineLevel="0" collapsed="false">
      <c r="A259" s="8" t="str">
        <f aca="false">parametros_manuales!$B$33</f>
        <v>Secado</v>
      </c>
      <c r="B259" s="9" t="n">
        <f aca="false">(parametros_manuales!$D$33*('Plan mensual'!D101+'Plan mensual'!D212+IF(parametros_manuales!$H$33="Todos",'Plan mensual'!D105+'Plan mensual'!D216,0))+parametros_manuales!$E$33*('Plan mensual'!D102+'Plan mensual'!D213+IF(parametros_manuales!$H$33="Todos",'Plan mensual'!D106+'Plan mensual'!D217,0))+parametros_manuales!$F$33*('Plan mensual'!D103+'Plan mensual'!D214+IF(parametros_manuales!$H$33="Todos",'Plan mensual'!D107+'Plan mensual'!D218,0))+parametros_manuales!$G$33*('Plan mensual'!D104+'Plan mensual'!D215+IF(parametros_manuales!$H$33="Todos",'Plan mensual'!D108+'Plan mensual'!D219,0)))*parametros_manuales!$I$33*parametros_manuales!$J$33</f>
        <v>32494.9172199</v>
      </c>
      <c r="C259" s="9" t="n">
        <f aca="false">(parametros_manuales!$D$33*('Plan mensual'!E101+'Plan mensual'!E212+IF(parametros_manuales!$H$33="Todos",'Plan mensual'!E105+'Plan mensual'!E216,0))+parametros_manuales!$E$33*('Plan mensual'!E102+'Plan mensual'!E213+IF(parametros_manuales!$H$33="Todos",'Plan mensual'!E106+'Plan mensual'!E217,0))+parametros_manuales!$F$33*('Plan mensual'!E103+'Plan mensual'!E214+IF(parametros_manuales!$H$33="Todos",'Plan mensual'!E107+'Plan mensual'!E218,0))+parametros_manuales!$G$33*('Plan mensual'!E104+'Plan mensual'!E215+IF(parametros_manuales!$H$33="Todos",'Plan mensual'!E108+'Plan mensual'!E219,0)))*parametros_manuales!$I$33*parametros_manuales!$J$33</f>
        <v>24780.20994114</v>
      </c>
      <c r="D259" s="9" t="n">
        <f aca="false">(parametros_manuales!$D$33*('Plan mensual'!F101+'Plan mensual'!F212+IF(parametros_manuales!$H$33="Todos",'Plan mensual'!F105+'Plan mensual'!F216,0))+parametros_manuales!$E$33*('Plan mensual'!F102+'Plan mensual'!F213+IF(parametros_manuales!$H$33="Todos",'Plan mensual'!F106+'Plan mensual'!F217,0))+parametros_manuales!$F$33*('Plan mensual'!F103+'Plan mensual'!F214+IF(parametros_manuales!$H$33="Todos",'Plan mensual'!F107+'Plan mensual'!F218,0))+parametros_manuales!$G$33*('Plan mensual'!F104+'Plan mensual'!F215+IF(parametros_manuales!$H$33="Todos",'Plan mensual'!F108+'Plan mensual'!F219,0)))*parametros_manuales!$I$33*parametros_manuales!$J$33</f>
        <v>23163.025576055</v>
      </c>
      <c r="E259" s="9" t="n">
        <f aca="false">(parametros_manuales!$D$33*('Plan mensual'!G101+'Plan mensual'!G212+IF(parametros_manuales!$H$33="Todos",'Plan mensual'!G105+'Plan mensual'!G216,0))+parametros_manuales!$E$33*('Plan mensual'!G102+'Plan mensual'!G213+IF(parametros_manuales!$H$33="Todos",'Plan mensual'!G106+'Plan mensual'!G217,0))+parametros_manuales!$F$33*('Plan mensual'!G103+'Plan mensual'!G214+IF(parametros_manuales!$H$33="Todos",'Plan mensual'!G107+'Plan mensual'!G218,0))+parametros_manuales!$G$33*('Plan mensual'!G104+'Plan mensual'!G215+IF(parametros_manuales!$H$33="Todos",'Plan mensual'!G108+'Plan mensual'!G219,0)))*parametros_manuales!$I$33*parametros_manuales!$J$33</f>
        <v>22149.922380405</v>
      </c>
      <c r="F259" s="9" t="n">
        <f aca="false">(parametros_manuales!$D$33*('Plan mensual'!H101+'Plan mensual'!H212+IF(parametros_manuales!$H$33="Todos",'Plan mensual'!H105+'Plan mensual'!H216,0))+parametros_manuales!$E$33*('Plan mensual'!H102+'Plan mensual'!H213+IF(parametros_manuales!$H$33="Todos",'Plan mensual'!H106+'Plan mensual'!H217,0))+parametros_manuales!$F$33*('Plan mensual'!H103+'Plan mensual'!H214+IF(parametros_manuales!$H$33="Todos",'Plan mensual'!H107+'Plan mensual'!H218,0))+parametros_manuales!$G$33*('Plan mensual'!H104+'Plan mensual'!H215+IF(parametros_manuales!$H$33="Todos",'Plan mensual'!H108+'Plan mensual'!H219,0)))*parametros_manuales!$I$33*parametros_manuales!$J$33</f>
        <v>20727.79715854</v>
      </c>
      <c r="G259" s="9" t="n">
        <f aca="false">(parametros_manuales!$D$33*('Plan mensual'!I101+'Plan mensual'!I212+IF(parametros_manuales!$H$33="Todos",'Plan mensual'!I105+'Plan mensual'!I216,0))+parametros_manuales!$E$33*('Plan mensual'!I102+'Plan mensual'!I213+IF(parametros_manuales!$H$33="Todos",'Plan mensual'!I106+'Plan mensual'!I217,0))+parametros_manuales!$F$33*('Plan mensual'!I103+'Plan mensual'!I214+IF(parametros_manuales!$H$33="Todos",'Plan mensual'!I107+'Plan mensual'!I218,0))+parametros_manuales!$G$33*('Plan mensual'!I104+'Plan mensual'!I215+IF(parametros_manuales!$H$33="Todos",'Plan mensual'!I108+'Plan mensual'!I219,0)))*parametros_manuales!$I$33*parametros_manuales!$J$33</f>
        <v>20318.775132325</v>
      </c>
      <c r="H259" s="9" t="n">
        <f aca="false">(parametros_manuales!$D$33*('Plan mensual'!J101+'Plan mensual'!J212+IF(parametros_manuales!$H$33="Todos",'Plan mensual'!J105+'Plan mensual'!J216,0))+parametros_manuales!$E$33*('Plan mensual'!J102+'Plan mensual'!J213+IF(parametros_manuales!$H$33="Todos",'Plan mensual'!J106+'Plan mensual'!J217,0))+parametros_manuales!$F$33*('Plan mensual'!J103+'Plan mensual'!J214+IF(parametros_manuales!$H$33="Todos",'Plan mensual'!J107+'Plan mensual'!J218,0))+parametros_manuales!$G$33*('Plan mensual'!J104+'Plan mensual'!J215+IF(parametros_manuales!$H$33="Todos",'Plan mensual'!J108+'Plan mensual'!J219,0)))*parametros_manuales!$I$33*parametros_manuales!$J$33</f>
        <v>21740.90035419</v>
      </c>
      <c r="I259" s="9" t="n">
        <f aca="false">(parametros_manuales!$D$33*('Plan mensual'!K101+'Plan mensual'!K212+IF(parametros_manuales!$H$33="Todos",'Plan mensual'!K105+'Plan mensual'!K216,0))+parametros_manuales!$E$33*('Plan mensual'!K102+'Plan mensual'!K213+IF(parametros_manuales!$H$33="Todos",'Plan mensual'!K106+'Plan mensual'!K217,0))+parametros_manuales!$F$33*('Plan mensual'!K103+'Plan mensual'!K214+IF(parametros_manuales!$H$33="Todos",'Plan mensual'!K107+'Plan mensual'!K218,0))+parametros_manuales!$G$33*('Plan mensual'!K104+'Plan mensual'!K215+IF(parametros_manuales!$H$33="Todos",'Plan mensual'!K108+'Plan mensual'!K219,0)))*parametros_manuales!$I$33*parametros_manuales!$J$33</f>
        <v>21740.90035419</v>
      </c>
      <c r="J259" s="9" t="n">
        <f aca="false">(parametros_manuales!$D$33*('Plan mensual'!L101+'Plan mensual'!L212+IF(parametros_manuales!$H$33="Todos",'Plan mensual'!L105+'Plan mensual'!L216,0))+parametros_manuales!$E$33*('Plan mensual'!L102+'Plan mensual'!L213+IF(parametros_manuales!$H$33="Todos",'Plan mensual'!L106+'Plan mensual'!L217,0))+parametros_manuales!$F$33*('Plan mensual'!L103+'Plan mensual'!L214+IF(parametros_manuales!$H$33="Todos",'Plan mensual'!L107+'Plan mensual'!L218,0))+parametros_manuales!$G$33*('Plan mensual'!L104+'Plan mensual'!L215+IF(parametros_manuales!$H$33="Todos",'Plan mensual'!L108+'Plan mensual'!L219,0)))*parametros_manuales!$I$33*parametros_manuales!$J$33</f>
        <v>21740.90035419</v>
      </c>
      <c r="K259" s="9" t="n">
        <f aca="false">(parametros_manuales!$D$33*('Plan mensual'!M101+'Plan mensual'!M212+IF(parametros_manuales!$H$33="Todos",'Plan mensual'!M105+'Plan mensual'!M216,0))+parametros_manuales!$E$33*('Plan mensual'!M102+'Plan mensual'!M213+IF(parametros_manuales!$H$33="Todos",'Plan mensual'!M106+'Plan mensual'!M217,0))+parametros_manuales!$F$33*('Plan mensual'!M103+'Plan mensual'!M214+IF(parametros_manuales!$H$33="Todos",'Plan mensual'!M107+'Plan mensual'!M218,0))+parametros_manuales!$G$33*('Plan mensual'!M104+'Plan mensual'!M215+IF(parametros_manuales!$H$33="Todos",'Plan mensual'!M108+'Plan mensual'!M219,0)))*parametros_manuales!$I$33*parametros_manuales!$J$33</f>
        <v>21331.878327975</v>
      </c>
      <c r="L259" s="9" t="n">
        <f aca="false">(parametros_manuales!$D$33*('Plan mensual'!N101+'Plan mensual'!N212+IF(parametros_manuales!$H$33="Todos",'Plan mensual'!N105+'Plan mensual'!N216,0))+parametros_manuales!$E$33*('Plan mensual'!N102+'Plan mensual'!N213+IF(parametros_manuales!$H$33="Todos",'Plan mensual'!N106+'Plan mensual'!N217,0))+parametros_manuales!$F$33*('Plan mensual'!N103+'Plan mensual'!N214+IF(parametros_manuales!$H$33="Todos",'Plan mensual'!N107+'Plan mensual'!N218,0))+parametros_manuales!$G$33*('Plan mensual'!N104+'Plan mensual'!N215+IF(parametros_manuales!$H$33="Todos",'Plan mensual'!N108+'Plan mensual'!N219,0)))*parametros_manuales!$I$33*parametros_manuales!$J$33</f>
        <v>20922.85630176</v>
      </c>
      <c r="M259" s="9" t="n">
        <f aca="false">(parametros_manuales!$D$33*('Plan mensual'!O101+'Plan mensual'!O212+IF(parametros_manuales!$H$33="Todos",'Plan mensual'!O105+'Plan mensual'!O216,0))+parametros_manuales!$E$33*('Plan mensual'!O102+'Plan mensual'!O213+IF(parametros_manuales!$H$33="Todos",'Plan mensual'!O106+'Plan mensual'!O217,0))+parametros_manuales!$F$33*('Plan mensual'!O103+'Plan mensual'!O214+IF(parametros_manuales!$H$33="Todos",'Plan mensual'!O107+'Plan mensual'!O218,0))+parametros_manuales!$G$33*('Plan mensual'!O104+'Plan mensual'!O215+IF(parametros_manuales!$H$33="Todos",'Plan mensual'!O108+'Plan mensual'!O219,0)))*parametros_manuales!$I$33*parametros_manuales!$J$33</f>
        <v>33312.96127233</v>
      </c>
      <c r="N259" s="9" t="n">
        <f aca="false">SUM(B259:M259)</f>
        <v>284425.044373</v>
      </c>
      <c r="O259" s="9" t="n">
        <f aca="false">MAX(B259:M259)</f>
        <v>33312.96127233</v>
      </c>
      <c r="P259" s="44" t="n">
        <f aca="false">O259/(parametros_manuales!$B$7)</f>
        <v>222.0864084822</v>
      </c>
      <c r="Q259" s="8" t="str">
        <f aca="false">IF(O259=0,"-",INDEX($B$244:$M$244,MATCH(O259,B259:M259,0)))</f>
        <v>Dic</v>
      </c>
    </row>
    <row r="260" customFormat="false" ht="14.25" hidden="false" customHeight="true" outlineLevel="0" collapsed="false">
      <c r="A260" s="8" t="str">
        <f aca="false">parametros_manuales!$B$34</f>
        <v>Granallado</v>
      </c>
      <c r="B260" s="9" t="n">
        <f aca="false">(parametros_manuales!$D$34*('Plan mensual'!D101+'Plan mensual'!D212+IF(parametros_manuales!$H$34="Todos",'Plan mensual'!D105+'Plan mensual'!D216,0))+parametros_manuales!$E$34*('Plan mensual'!D102+'Plan mensual'!D213+IF(parametros_manuales!$H$34="Todos",'Plan mensual'!D106+'Plan mensual'!D217,0))+parametros_manuales!$F$34*('Plan mensual'!D103+'Plan mensual'!D214+IF(parametros_manuales!$H$34="Todos",'Plan mensual'!D107+'Plan mensual'!D218,0))+parametros_manuales!$G$34*('Plan mensual'!D104+'Plan mensual'!D215+IF(parametros_manuales!$H$34="Todos",'Plan mensual'!D108+'Plan mensual'!D219,0)))*parametros_manuales!$I$34*parametros_manuales!$J$34</f>
        <v>32494.9172199</v>
      </c>
      <c r="C260" s="9" t="n">
        <f aca="false">(parametros_manuales!$D$34*('Plan mensual'!E101+'Plan mensual'!E212+IF(parametros_manuales!$H$34="Todos",'Plan mensual'!E105+'Plan mensual'!E216,0))+parametros_manuales!$E$34*('Plan mensual'!E102+'Plan mensual'!E213+IF(parametros_manuales!$H$34="Todos",'Plan mensual'!E106+'Plan mensual'!E217,0))+parametros_manuales!$F$34*('Plan mensual'!E103+'Plan mensual'!E214+IF(parametros_manuales!$H$34="Todos",'Plan mensual'!E107+'Plan mensual'!E218,0))+parametros_manuales!$G$34*('Plan mensual'!E104+'Plan mensual'!E215+IF(parametros_manuales!$H$34="Todos",'Plan mensual'!E108+'Plan mensual'!E219,0)))*parametros_manuales!$I$34*parametros_manuales!$J$34</f>
        <v>24780.20994114</v>
      </c>
      <c r="D260" s="9" t="n">
        <f aca="false">(parametros_manuales!$D$34*('Plan mensual'!F101+'Plan mensual'!F212+IF(parametros_manuales!$H$34="Todos",'Plan mensual'!F105+'Plan mensual'!F216,0))+parametros_manuales!$E$34*('Plan mensual'!F102+'Plan mensual'!F213+IF(parametros_manuales!$H$34="Todos",'Plan mensual'!F106+'Plan mensual'!F217,0))+parametros_manuales!$F$34*('Plan mensual'!F103+'Plan mensual'!F214+IF(parametros_manuales!$H$34="Todos",'Plan mensual'!F107+'Plan mensual'!F218,0))+parametros_manuales!$G$34*('Plan mensual'!F104+'Plan mensual'!F215+IF(parametros_manuales!$H$34="Todos",'Plan mensual'!F108+'Plan mensual'!F219,0)))*parametros_manuales!$I$34*parametros_manuales!$J$34</f>
        <v>23163.025576055</v>
      </c>
      <c r="E260" s="9" t="n">
        <f aca="false">(parametros_manuales!$D$34*('Plan mensual'!G101+'Plan mensual'!G212+IF(parametros_manuales!$H$34="Todos",'Plan mensual'!G105+'Plan mensual'!G216,0))+parametros_manuales!$E$34*('Plan mensual'!G102+'Plan mensual'!G213+IF(parametros_manuales!$H$34="Todos",'Plan mensual'!G106+'Plan mensual'!G217,0))+parametros_manuales!$F$34*('Plan mensual'!G103+'Plan mensual'!G214+IF(parametros_manuales!$H$34="Todos",'Plan mensual'!G107+'Plan mensual'!G218,0))+parametros_manuales!$G$34*('Plan mensual'!G104+'Plan mensual'!G215+IF(parametros_manuales!$H$34="Todos",'Plan mensual'!G108+'Plan mensual'!G219,0)))*parametros_manuales!$I$34*parametros_manuales!$J$34</f>
        <v>22149.922380405</v>
      </c>
      <c r="F260" s="9" t="n">
        <f aca="false">(parametros_manuales!$D$34*('Plan mensual'!H101+'Plan mensual'!H212+IF(parametros_manuales!$H$34="Todos",'Plan mensual'!H105+'Plan mensual'!H216,0))+parametros_manuales!$E$34*('Plan mensual'!H102+'Plan mensual'!H213+IF(parametros_manuales!$H$34="Todos",'Plan mensual'!H106+'Plan mensual'!H217,0))+parametros_manuales!$F$34*('Plan mensual'!H103+'Plan mensual'!H214+IF(parametros_manuales!$H$34="Todos",'Plan mensual'!H107+'Plan mensual'!H218,0))+parametros_manuales!$G$34*('Plan mensual'!H104+'Plan mensual'!H215+IF(parametros_manuales!$H$34="Todos",'Plan mensual'!H108+'Plan mensual'!H219,0)))*parametros_manuales!$I$34*parametros_manuales!$J$34</f>
        <v>20727.79715854</v>
      </c>
      <c r="G260" s="9" t="n">
        <f aca="false">(parametros_manuales!$D$34*('Plan mensual'!I101+'Plan mensual'!I212+IF(parametros_manuales!$H$34="Todos",'Plan mensual'!I105+'Plan mensual'!I216,0))+parametros_manuales!$E$34*('Plan mensual'!I102+'Plan mensual'!I213+IF(parametros_manuales!$H$34="Todos",'Plan mensual'!I106+'Plan mensual'!I217,0))+parametros_manuales!$F$34*('Plan mensual'!I103+'Plan mensual'!I214+IF(parametros_manuales!$H$34="Todos",'Plan mensual'!I107+'Plan mensual'!I218,0))+parametros_manuales!$G$34*('Plan mensual'!I104+'Plan mensual'!I215+IF(parametros_manuales!$H$34="Todos",'Plan mensual'!I108+'Plan mensual'!I219,0)))*parametros_manuales!$I$34*parametros_manuales!$J$34</f>
        <v>20318.775132325</v>
      </c>
      <c r="H260" s="9" t="n">
        <f aca="false">(parametros_manuales!$D$34*('Plan mensual'!J101+'Plan mensual'!J212+IF(parametros_manuales!$H$34="Todos",'Plan mensual'!J105+'Plan mensual'!J216,0))+parametros_manuales!$E$34*('Plan mensual'!J102+'Plan mensual'!J213+IF(parametros_manuales!$H$34="Todos",'Plan mensual'!J106+'Plan mensual'!J217,0))+parametros_manuales!$F$34*('Plan mensual'!J103+'Plan mensual'!J214+IF(parametros_manuales!$H$34="Todos",'Plan mensual'!J107+'Plan mensual'!J218,0))+parametros_manuales!$G$34*('Plan mensual'!J104+'Plan mensual'!J215+IF(parametros_manuales!$H$34="Todos",'Plan mensual'!J108+'Plan mensual'!J219,0)))*parametros_manuales!$I$34*parametros_manuales!$J$34</f>
        <v>21740.90035419</v>
      </c>
      <c r="I260" s="9" t="n">
        <f aca="false">(parametros_manuales!$D$34*('Plan mensual'!K101+'Plan mensual'!K212+IF(parametros_manuales!$H$34="Todos",'Plan mensual'!K105+'Plan mensual'!K216,0))+parametros_manuales!$E$34*('Plan mensual'!K102+'Plan mensual'!K213+IF(parametros_manuales!$H$34="Todos",'Plan mensual'!K106+'Plan mensual'!K217,0))+parametros_manuales!$F$34*('Plan mensual'!K103+'Plan mensual'!K214+IF(parametros_manuales!$H$34="Todos",'Plan mensual'!K107+'Plan mensual'!K218,0))+parametros_manuales!$G$34*('Plan mensual'!K104+'Plan mensual'!K215+IF(parametros_manuales!$H$34="Todos",'Plan mensual'!K108+'Plan mensual'!K219,0)))*parametros_manuales!$I$34*parametros_manuales!$J$34</f>
        <v>21740.90035419</v>
      </c>
      <c r="J260" s="9" t="n">
        <f aca="false">(parametros_manuales!$D$34*('Plan mensual'!L101+'Plan mensual'!L212+IF(parametros_manuales!$H$34="Todos",'Plan mensual'!L105+'Plan mensual'!L216,0))+parametros_manuales!$E$34*('Plan mensual'!L102+'Plan mensual'!L213+IF(parametros_manuales!$H$34="Todos",'Plan mensual'!L106+'Plan mensual'!L217,0))+parametros_manuales!$F$34*('Plan mensual'!L103+'Plan mensual'!L214+IF(parametros_manuales!$H$34="Todos",'Plan mensual'!L107+'Plan mensual'!L218,0))+parametros_manuales!$G$34*('Plan mensual'!L104+'Plan mensual'!L215+IF(parametros_manuales!$H$34="Todos",'Plan mensual'!L108+'Plan mensual'!L219,0)))*parametros_manuales!$I$34*parametros_manuales!$J$34</f>
        <v>21740.90035419</v>
      </c>
      <c r="K260" s="9" t="n">
        <f aca="false">(parametros_manuales!$D$34*('Plan mensual'!M101+'Plan mensual'!M212+IF(parametros_manuales!$H$34="Todos",'Plan mensual'!M105+'Plan mensual'!M216,0))+parametros_manuales!$E$34*('Plan mensual'!M102+'Plan mensual'!M213+IF(parametros_manuales!$H$34="Todos",'Plan mensual'!M106+'Plan mensual'!M217,0))+parametros_manuales!$F$34*('Plan mensual'!M103+'Plan mensual'!M214+IF(parametros_manuales!$H$34="Todos",'Plan mensual'!M107+'Plan mensual'!M218,0))+parametros_manuales!$G$34*('Plan mensual'!M104+'Plan mensual'!M215+IF(parametros_manuales!$H$34="Todos",'Plan mensual'!M108+'Plan mensual'!M219,0)))*parametros_manuales!$I$34*parametros_manuales!$J$34</f>
        <v>21331.878327975</v>
      </c>
      <c r="L260" s="9" t="n">
        <f aca="false">(parametros_manuales!$D$34*('Plan mensual'!N101+'Plan mensual'!N212+IF(parametros_manuales!$H$34="Todos",'Plan mensual'!N105+'Plan mensual'!N216,0))+parametros_manuales!$E$34*('Plan mensual'!N102+'Plan mensual'!N213+IF(parametros_manuales!$H$34="Todos",'Plan mensual'!N106+'Plan mensual'!N217,0))+parametros_manuales!$F$34*('Plan mensual'!N103+'Plan mensual'!N214+IF(parametros_manuales!$H$34="Todos",'Plan mensual'!N107+'Plan mensual'!N218,0))+parametros_manuales!$G$34*('Plan mensual'!N104+'Plan mensual'!N215+IF(parametros_manuales!$H$34="Todos",'Plan mensual'!N108+'Plan mensual'!N219,0)))*parametros_manuales!$I$34*parametros_manuales!$J$34</f>
        <v>20922.85630176</v>
      </c>
      <c r="M260" s="9" t="n">
        <f aca="false">(parametros_manuales!$D$34*('Plan mensual'!O101+'Plan mensual'!O212+IF(parametros_manuales!$H$34="Todos",'Plan mensual'!O105+'Plan mensual'!O216,0))+parametros_manuales!$E$34*('Plan mensual'!O102+'Plan mensual'!O213+IF(parametros_manuales!$H$34="Todos",'Plan mensual'!O106+'Plan mensual'!O217,0))+parametros_manuales!$F$34*('Plan mensual'!O103+'Plan mensual'!O214+IF(parametros_manuales!$H$34="Todos",'Plan mensual'!O107+'Plan mensual'!O218,0))+parametros_manuales!$G$34*('Plan mensual'!O104+'Plan mensual'!O215+IF(parametros_manuales!$H$34="Todos",'Plan mensual'!O108+'Plan mensual'!O219,0)))*parametros_manuales!$I$34*parametros_manuales!$J$34</f>
        <v>33312.96127233</v>
      </c>
      <c r="N260" s="9" t="n">
        <f aca="false">SUM(B260:M260)</f>
        <v>284425.044373</v>
      </c>
      <c r="O260" s="9" t="n">
        <f aca="false">MAX(B260:M260)</f>
        <v>33312.96127233</v>
      </c>
      <c r="P260" s="44" t="n">
        <f aca="false">O260/(parametros_manuales!$B$7)</f>
        <v>222.0864084822</v>
      </c>
      <c r="Q260" s="8" t="str">
        <f aca="false">IF(O260=0,"-",INDEX($B$244:$M$244,MATCH(O260,B260:M260,0)))</f>
        <v>Dic</v>
      </c>
    </row>
    <row r="261" customFormat="false" ht="14.25" hidden="false" customHeight="true" outlineLevel="0" collapsed="false">
      <c r="A261" s="8" t="str">
        <f aca="false">parametros_manuales!$B$35</f>
        <v>Detección de defectos</v>
      </c>
      <c r="B261" s="9" t="n">
        <f aca="false">(parametros_manuales!$D$35*('Plan mensual'!D101+'Plan mensual'!D212+IF(parametros_manuales!$H$35="Todos",'Plan mensual'!D105+'Plan mensual'!D216,0))+parametros_manuales!$E$35*('Plan mensual'!D102+'Plan mensual'!D213+IF(parametros_manuales!$H$35="Todos",'Plan mensual'!D106+'Plan mensual'!D217,0))+parametros_manuales!$F$35*('Plan mensual'!D103+'Plan mensual'!D214+IF(parametros_manuales!$H$35="Todos",'Plan mensual'!D107+'Plan mensual'!D218,0))+parametros_manuales!$G$35*('Plan mensual'!D104+'Plan mensual'!D215+IF(parametros_manuales!$H$35="Todos",'Plan mensual'!D108+'Plan mensual'!D219,0)))*parametros_manuales!$I$35*parametros_manuales!$J$35</f>
        <v>32494.9172199</v>
      </c>
      <c r="C261" s="9" t="n">
        <f aca="false">(parametros_manuales!$D$35*('Plan mensual'!E101+'Plan mensual'!E212+IF(parametros_manuales!$H$35="Todos",'Plan mensual'!E105+'Plan mensual'!E216,0))+parametros_manuales!$E$35*('Plan mensual'!E102+'Plan mensual'!E213+IF(parametros_manuales!$H$35="Todos",'Plan mensual'!E106+'Plan mensual'!E217,0))+parametros_manuales!$F$35*('Plan mensual'!E103+'Plan mensual'!E214+IF(parametros_manuales!$H$35="Todos",'Plan mensual'!E107+'Plan mensual'!E218,0))+parametros_manuales!$G$35*('Plan mensual'!E104+'Plan mensual'!E215+IF(parametros_manuales!$H$35="Todos",'Plan mensual'!E108+'Plan mensual'!E219,0)))*parametros_manuales!$I$35*parametros_manuales!$J$35</f>
        <v>24780.20994114</v>
      </c>
      <c r="D261" s="9" t="n">
        <f aca="false">(parametros_manuales!$D$35*('Plan mensual'!F101+'Plan mensual'!F212+IF(parametros_manuales!$H$35="Todos",'Plan mensual'!F105+'Plan mensual'!F216,0))+parametros_manuales!$E$35*('Plan mensual'!F102+'Plan mensual'!F213+IF(parametros_manuales!$H$35="Todos",'Plan mensual'!F106+'Plan mensual'!F217,0))+parametros_manuales!$F$35*('Plan mensual'!F103+'Plan mensual'!F214+IF(parametros_manuales!$H$35="Todos",'Plan mensual'!F107+'Plan mensual'!F218,0))+parametros_manuales!$G$35*('Plan mensual'!F104+'Plan mensual'!F215+IF(parametros_manuales!$H$35="Todos",'Plan mensual'!F108+'Plan mensual'!F219,0)))*parametros_manuales!$I$35*parametros_manuales!$J$35</f>
        <v>23163.025576055</v>
      </c>
      <c r="E261" s="9" t="n">
        <f aca="false">(parametros_manuales!$D$35*('Plan mensual'!G101+'Plan mensual'!G212+IF(parametros_manuales!$H$35="Todos",'Plan mensual'!G105+'Plan mensual'!G216,0))+parametros_manuales!$E$35*('Plan mensual'!G102+'Plan mensual'!G213+IF(parametros_manuales!$H$35="Todos",'Plan mensual'!G106+'Plan mensual'!G217,0))+parametros_manuales!$F$35*('Plan mensual'!G103+'Plan mensual'!G214+IF(parametros_manuales!$H$35="Todos",'Plan mensual'!G107+'Plan mensual'!G218,0))+parametros_manuales!$G$35*('Plan mensual'!G104+'Plan mensual'!G215+IF(parametros_manuales!$H$35="Todos",'Plan mensual'!G108+'Plan mensual'!G219,0)))*parametros_manuales!$I$35*parametros_manuales!$J$35</f>
        <v>22149.922380405</v>
      </c>
      <c r="F261" s="9" t="n">
        <f aca="false">(parametros_manuales!$D$35*('Plan mensual'!H101+'Plan mensual'!H212+IF(parametros_manuales!$H$35="Todos",'Plan mensual'!H105+'Plan mensual'!H216,0))+parametros_manuales!$E$35*('Plan mensual'!H102+'Plan mensual'!H213+IF(parametros_manuales!$H$35="Todos",'Plan mensual'!H106+'Plan mensual'!H217,0))+parametros_manuales!$F$35*('Plan mensual'!H103+'Plan mensual'!H214+IF(parametros_manuales!$H$35="Todos",'Plan mensual'!H107+'Plan mensual'!H218,0))+parametros_manuales!$G$35*('Plan mensual'!H104+'Plan mensual'!H215+IF(parametros_manuales!$H$35="Todos",'Plan mensual'!H108+'Plan mensual'!H219,0)))*parametros_manuales!$I$35*parametros_manuales!$J$35</f>
        <v>20727.79715854</v>
      </c>
      <c r="G261" s="9" t="n">
        <f aca="false">(parametros_manuales!$D$35*('Plan mensual'!I101+'Plan mensual'!I212+IF(parametros_manuales!$H$35="Todos",'Plan mensual'!I105+'Plan mensual'!I216,0))+parametros_manuales!$E$35*('Plan mensual'!I102+'Plan mensual'!I213+IF(parametros_manuales!$H$35="Todos",'Plan mensual'!I106+'Plan mensual'!I217,0))+parametros_manuales!$F$35*('Plan mensual'!I103+'Plan mensual'!I214+IF(parametros_manuales!$H$35="Todos",'Plan mensual'!I107+'Plan mensual'!I218,0))+parametros_manuales!$G$35*('Plan mensual'!I104+'Plan mensual'!I215+IF(parametros_manuales!$H$35="Todos",'Plan mensual'!I108+'Plan mensual'!I219,0)))*parametros_manuales!$I$35*parametros_manuales!$J$35</f>
        <v>20318.775132325</v>
      </c>
      <c r="H261" s="9" t="n">
        <f aca="false">(parametros_manuales!$D$35*('Plan mensual'!J101+'Plan mensual'!J212+IF(parametros_manuales!$H$35="Todos",'Plan mensual'!J105+'Plan mensual'!J216,0))+parametros_manuales!$E$35*('Plan mensual'!J102+'Plan mensual'!J213+IF(parametros_manuales!$H$35="Todos",'Plan mensual'!J106+'Plan mensual'!J217,0))+parametros_manuales!$F$35*('Plan mensual'!J103+'Plan mensual'!J214+IF(parametros_manuales!$H$35="Todos",'Plan mensual'!J107+'Plan mensual'!J218,0))+parametros_manuales!$G$35*('Plan mensual'!J104+'Plan mensual'!J215+IF(parametros_manuales!$H$35="Todos",'Plan mensual'!J108+'Plan mensual'!J219,0)))*parametros_manuales!$I$35*parametros_manuales!$J$35</f>
        <v>21740.90035419</v>
      </c>
      <c r="I261" s="9" t="n">
        <f aca="false">(parametros_manuales!$D$35*('Plan mensual'!K101+'Plan mensual'!K212+IF(parametros_manuales!$H$35="Todos",'Plan mensual'!K105+'Plan mensual'!K216,0))+parametros_manuales!$E$35*('Plan mensual'!K102+'Plan mensual'!K213+IF(parametros_manuales!$H$35="Todos",'Plan mensual'!K106+'Plan mensual'!K217,0))+parametros_manuales!$F$35*('Plan mensual'!K103+'Plan mensual'!K214+IF(parametros_manuales!$H$35="Todos",'Plan mensual'!K107+'Plan mensual'!K218,0))+parametros_manuales!$G$35*('Plan mensual'!K104+'Plan mensual'!K215+IF(parametros_manuales!$H$35="Todos",'Plan mensual'!K108+'Plan mensual'!K219,0)))*parametros_manuales!$I$35*parametros_manuales!$J$35</f>
        <v>21740.90035419</v>
      </c>
      <c r="J261" s="9" t="n">
        <f aca="false">(parametros_manuales!$D$35*('Plan mensual'!L101+'Plan mensual'!L212+IF(parametros_manuales!$H$35="Todos",'Plan mensual'!L105+'Plan mensual'!L216,0))+parametros_manuales!$E$35*('Plan mensual'!L102+'Plan mensual'!L213+IF(parametros_manuales!$H$35="Todos",'Plan mensual'!L106+'Plan mensual'!L217,0))+parametros_manuales!$F$35*('Plan mensual'!L103+'Plan mensual'!L214+IF(parametros_manuales!$H$35="Todos",'Plan mensual'!L107+'Plan mensual'!L218,0))+parametros_manuales!$G$35*('Plan mensual'!L104+'Plan mensual'!L215+IF(parametros_manuales!$H$35="Todos",'Plan mensual'!L108+'Plan mensual'!L219,0)))*parametros_manuales!$I$35*parametros_manuales!$J$35</f>
        <v>21740.90035419</v>
      </c>
      <c r="K261" s="9" t="n">
        <f aca="false">(parametros_manuales!$D$35*('Plan mensual'!M101+'Plan mensual'!M212+IF(parametros_manuales!$H$35="Todos",'Plan mensual'!M105+'Plan mensual'!M216,0))+parametros_manuales!$E$35*('Plan mensual'!M102+'Plan mensual'!M213+IF(parametros_manuales!$H$35="Todos",'Plan mensual'!M106+'Plan mensual'!M217,0))+parametros_manuales!$F$35*('Plan mensual'!M103+'Plan mensual'!M214+IF(parametros_manuales!$H$35="Todos",'Plan mensual'!M107+'Plan mensual'!M218,0))+parametros_manuales!$G$35*('Plan mensual'!M104+'Plan mensual'!M215+IF(parametros_manuales!$H$35="Todos",'Plan mensual'!M108+'Plan mensual'!M219,0)))*parametros_manuales!$I$35*parametros_manuales!$J$35</f>
        <v>21331.878327975</v>
      </c>
      <c r="L261" s="9" t="n">
        <f aca="false">(parametros_manuales!$D$35*('Plan mensual'!N101+'Plan mensual'!N212+IF(parametros_manuales!$H$35="Todos",'Plan mensual'!N105+'Plan mensual'!N216,0))+parametros_manuales!$E$35*('Plan mensual'!N102+'Plan mensual'!N213+IF(parametros_manuales!$H$35="Todos",'Plan mensual'!N106+'Plan mensual'!N217,0))+parametros_manuales!$F$35*('Plan mensual'!N103+'Plan mensual'!N214+IF(parametros_manuales!$H$35="Todos",'Plan mensual'!N107+'Plan mensual'!N218,0))+parametros_manuales!$G$35*('Plan mensual'!N104+'Plan mensual'!N215+IF(parametros_manuales!$H$35="Todos",'Plan mensual'!N108+'Plan mensual'!N219,0)))*parametros_manuales!$I$35*parametros_manuales!$J$35</f>
        <v>20922.85630176</v>
      </c>
      <c r="M261" s="9" t="n">
        <f aca="false">(parametros_manuales!$D$35*('Plan mensual'!O101+'Plan mensual'!O212+IF(parametros_manuales!$H$35="Todos",'Plan mensual'!O105+'Plan mensual'!O216,0))+parametros_manuales!$E$35*('Plan mensual'!O102+'Plan mensual'!O213+IF(parametros_manuales!$H$35="Todos",'Plan mensual'!O106+'Plan mensual'!O217,0))+parametros_manuales!$F$35*('Plan mensual'!O103+'Plan mensual'!O214+IF(parametros_manuales!$H$35="Todos",'Plan mensual'!O107+'Plan mensual'!O218,0))+parametros_manuales!$G$35*('Plan mensual'!O104+'Plan mensual'!O215+IF(parametros_manuales!$H$35="Todos",'Plan mensual'!O108+'Plan mensual'!O219,0)))*parametros_manuales!$I$35*parametros_manuales!$J$35</f>
        <v>33312.96127233</v>
      </c>
      <c r="N261" s="9" t="n">
        <f aca="false">SUM(B261:M261)</f>
        <v>284425.044373</v>
      </c>
      <c r="O261" s="9" t="n">
        <f aca="false">MAX(B261:M261)</f>
        <v>33312.96127233</v>
      </c>
      <c r="P261" s="44" t="n">
        <f aca="false">O261/(parametros_manuales!$B$7)</f>
        <v>222.0864084822</v>
      </c>
      <c r="Q261" s="8" t="str">
        <f aca="false">IF(O261=0,"-",INDEX($B$244:$M$244,MATCH(O261,B261:M261,0)))</f>
        <v>Dic</v>
      </c>
    </row>
    <row r="262" customFormat="false" ht="14.25" hidden="false" customHeight="true" outlineLevel="0" collapsed="false">
      <c r="A262" s="8" t="str">
        <f aca="false">parametros_manuales!$B$36</f>
        <v>Corrección de defectos</v>
      </c>
      <c r="B262" s="9" t="n">
        <f aca="false">(parametros_manuales!$D$36*('Plan mensual'!D101+'Plan mensual'!D212+IF(parametros_manuales!$H$36="Todos",'Plan mensual'!D105+'Plan mensual'!D216,0))+parametros_manuales!$E$36*('Plan mensual'!D102+'Plan mensual'!D213+IF(parametros_manuales!$H$36="Todos",'Plan mensual'!D106+'Plan mensual'!D217,0))+parametros_manuales!$F$36*('Plan mensual'!D103+'Plan mensual'!D214+IF(parametros_manuales!$H$36="Todos",'Plan mensual'!D107+'Plan mensual'!D218,0))+parametros_manuales!$G$36*('Plan mensual'!D104+'Plan mensual'!D215+IF(parametros_manuales!$H$36="Todos",'Plan mensual'!D108+'Plan mensual'!D219,0)))*parametros_manuales!$I$36*parametros_manuales!$J$36</f>
        <v>1624.745860995</v>
      </c>
      <c r="C262" s="9" t="n">
        <f aca="false">(parametros_manuales!$D$36*('Plan mensual'!E101+'Plan mensual'!E212+IF(parametros_manuales!$H$36="Todos",'Plan mensual'!E105+'Plan mensual'!E216,0))+parametros_manuales!$E$36*('Plan mensual'!E102+'Plan mensual'!E213+IF(parametros_manuales!$H$36="Todos",'Plan mensual'!E106+'Plan mensual'!E217,0))+parametros_manuales!$F$36*('Plan mensual'!E103+'Plan mensual'!E214+IF(parametros_manuales!$H$36="Todos",'Plan mensual'!E107+'Plan mensual'!E218,0))+parametros_manuales!$G$36*('Plan mensual'!E104+'Plan mensual'!E215+IF(parametros_manuales!$H$36="Todos",'Plan mensual'!E108+'Plan mensual'!E219,0)))*parametros_manuales!$I$36*parametros_manuales!$J$36</f>
        <v>1239.010497057</v>
      </c>
      <c r="D262" s="9" t="n">
        <f aca="false">(parametros_manuales!$D$36*('Plan mensual'!F101+'Plan mensual'!F212+IF(parametros_manuales!$H$36="Todos",'Plan mensual'!F105+'Plan mensual'!F216,0))+parametros_manuales!$E$36*('Plan mensual'!F102+'Plan mensual'!F213+IF(parametros_manuales!$H$36="Todos",'Plan mensual'!F106+'Plan mensual'!F217,0))+parametros_manuales!$F$36*('Plan mensual'!F103+'Plan mensual'!F214+IF(parametros_manuales!$H$36="Todos",'Plan mensual'!F107+'Plan mensual'!F218,0))+parametros_manuales!$G$36*('Plan mensual'!F104+'Plan mensual'!F215+IF(parametros_manuales!$H$36="Todos",'Plan mensual'!F108+'Plan mensual'!F219,0)))*parametros_manuales!$I$36*parametros_manuales!$J$36</f>
        <v>1158.15127880275</v>
      </c>
      <c r="E262" s="9" t="n">
        <f aca="false">(parametros_manuales!$D$36*('Plan mensual'!G101+'Plan mensual'!G212+IF(parametros_manuales!$H$36="Todos",'Plan mensual'!G105+'Plan mensual'!G216,0))+parametros_manuales!$E$36*('Plan mensual'!G102+'Plan mensual'!G213+IF(parametros_manuales!$H$36="Todos",'Plan mensual'!G106+'Plan mensual'!G217,0))+parametros_manuales!$F$36*('Plan mensual'!G103+'Plan mensual'!G214+IF(parametros_manuales!$H$36="Todos",'Plan mensual'!G107+'Plan mensual'!G218,0))+parametros_manuales!$G$36*('Plan mensual'!G104+'Plan mensual'!G215+IF(parametros_manuales!$H$36="Todos",'Plan mensual'!G108+'Plan mensual'!G219,0)))*parametros_manuales!$I$36*parametros_manuales!$J$36</f>
        <v>1107.49611902025</v>
      </c>
      <c r="F262" s="9" t="n">
        <f aca="false">(parametros_manuales!$D$36*('Plan mensual'!H101+'Plan mensual'!H212+IF(parametros_manuales!$H$36="Todos",'Plan mensual'!H105+'Plan mensual'!H216,0))+parametros_manuales!$E$36*('Plan mensual'!H102+'Plan mensual'!H213+IF(parametros_manuales!$H$36="Todos",'Plan mensual'!H106+'Plan mensual'!H217,0))+parametros_manuales!$F$36*('Plan mensual'!H103+'Plan mensual'!H214+IF(parametros_manuales!$H$36="Todos",'Plan mensual'!H107+'Plan mensual'!H218,0))+parametros_manuales!$G$36*('Plan mensual'!H104+'Plan mensual'!H215+IF(parametros_manuales!$H$36="Todos",'Plan mensual'!H108+'Plan mensual'!H219,0)))*parametros_manuales!$I$36*parametros_manuales!$J$36</f>
        <v>1036.389857927</v>
      </c>
      <c r="G262" s="9" t="n">
        <f aca="false">(parametros_manuales!$D$36*('Plan mensual'!I101+'Plan mensual'!I212+IF(parametros_manuales!$H$36="Todos",'Plan mensual'!I105+'Plan mensual'!I216,0))+parametros_manuales!$E$36*('Plan mensual'!I102+'Plan mensual'!I213+IF(parametros_manuales!$H$36="Todos",'Plan mensual'!I106+'Plan mensual'!I217,0))+parametros_manuales!$F$36*('Plan mensual'!I103+'Plan mensual'!I214+IF(parametros_manuales!$H$36="Todos",'Plan mensual'!I107+'Plan mensual'!I218,0))+parametros_manuales!$G$36*('Plan mensual'!I104+'Plan mensual'!I215+IF(parametros_manuales!$H$36="Todos",'Plan mensual'!I108+'Plan mensual'!I219,0)))*parametros_manuales!$I$36*parametros_manuales!$J$36</f>
        <v>1015.93875661625</v>
      </c>
      <c r="H262" s="9" t="n">
        <f aca="false">(parametros_manuales!$D$36*('Plan mensual'!J101+'Plan mensual'!J212+IF(parametros_manuales!$H$36="Todos",'Plan mensual'!J105+'Plan mensual'!J216,0))+parametros_manuales!$E$36*('Plan mensual'!J102+'Plan mensual'!J213+IF(parametros_manuales!$H$36="Todos",'Plan mensual'!J106+'Plan mensual'!J217,0))+parametros_manuales!$F$36*('Plan mensual'!J103+'Plan mensual'!J214+IF(parametros_manuales!$H$36="Todos",'Plan mensual'!J107+'Plan mensual'!J218,0))+parametros_manuales!$G$36*('Plan mensual'!J104+'Plan mensual'!J215+IF(parametros_manuales!$H$36="Todos",'Plan mensual'!J108+'Plan mensual'!J219,0)))*parametros_manuales!$I$36*parametros_manuales!$J$36</f>
        <v>1087.0450177095</v>
      </c>
      <c r="I262" s="9" t="n">
        <f aca="false">(parametros_manuales!$D$36*('Plan mensual'!K101+'Plan mensual'!K212+IF(parametros_manuales!$H$36="Todos",'Plan mensual'!K105+'Plan mensual'!K216,0))+parametros_manuales!$E$36*('Plan mensual'!K102+'Plan mensual'!K213+IF(parametros_manuales!$H$36="Todos",'Plan mensual'!K106+'Plan mensual'!K217,0))+parametros_manuales!$F$36*('Plan mensual'!K103+'Plan mensual'!K214+IF(parametros_manuales!$H$36="Todos",'Plan mensual'!K107+'Plan mensual'!K218,0))+parametros_manuales!$G$36*('Plan mensual'!K104+'Plan mensual'!K215+IF(parametros_manuales!$H$36="Todos",'Plan mensual'!K108+'Plan mensual'!K219,0)))*parametros_manuales!$I$36*parametros_manuales!$J$36</f>
        <v>1087.0450177095</v>
      </c>
      <c r="J262" s="9" t="n">
        <f aca="false">(parametros_manuales!$D$36*('Plan mensual'!L101+'Plan mensual'!L212+IF(parametros_manuales!$H$36="Todos",'Plan mensual'!L105+'Plan mensual'!L216,0))+parametros_manuales!$E$36*('Plan mensual'!L102+'Plan mensual'!L213+IF(parametros_manuales!$H$36="Todos",'Plan mensual'!L106+'Plan mensual'!L217,0))+parametros_manuales!$F$36*('Plan mensual'!L103+'Plan mensual'!L214+IF(parametros_manuales!$H$36="Todos",'Plan mensual'!L107+'Plan mensual'!L218,0))+parametros_manuales!$G$36*('Plan mensual'!L104+'Plan mensual'!L215+IF(parametros_manuales!$H$36="Todos",'Plan mensual'!L108+'Plan mensual'!L219,0)))*parametros_manuales!$I$36*parametros_manuales!$J$36</f>
        <v>1087.0450177095</v>
      </c>
      <c r="K262" s="9" t="n">
        <f aca="false">(parametros_manuales!$D$36*('Plan mensual'!M101+'Plan mensual'!M212+IF(parametros_manuales!$H$36="Todos",'Plan mensual'!M105+'Plan mensual'!M216,0))+parametros_manuales!$E$36*('Plan mensual'!M102+'Plan mensual'!M213+IF(parametros_manuales!$H$36="Todos",'Plan mensual'!M106+'Plan mensual'!M217,0))+parametros_manuales!$F$36*('Plan mensual'!M103+'Plan mensual'!M214+IF(parametros_manuales!$H$36="Todos",'Plan mensual'!M107+'Plan mensual'!M218,0))+parametros_manuales!$G$36*('Plan mensual'!M104+'Plan mensual'!M215+IF(parametros_manuales!$H$36="Todos",'Plan mensual'!M108+'Plan mensual'!M219,0)))*parametros_manuales!$I$36*parametros_manuales!$J$36</f>
        <v>1066.59391639875</v>
      </c>
      <c r="L262" s="9" t="n">
        <f aca="false">(parametros_manuales!$D$36*('Plan mensual'!N101+'Plan mensual'!N212+IF(parametros_manuales!$H$36="Todos",'Plan mensual'!N105+'Plan mensual'!N216,0))+parametros_manuales!$E$36*('Plan mensual'!N102+'Plan mensual'!N213+IF(parametros_manuales!$H$36="Todos",'Plan mensual'!N106+'Plan mensual'!N217,0))+parametros_manuales!$F$36*('Plan mensual'!N103+'Plan mensual'!N214+IF(parametros_manuales!$H$36="Todos",'Plan mensual'!N107+'Plan mensual'!N218,0))+parametros_manuales!$G$36*('Plan mensual'!N104+'Plan mensual'!N215+IF(parametros_manuales!$H$36="Todos",'Plan mensual'!N108+'Plan mensual'!N219,0)))*parametros_manuales!$I$36*parametros_manuales!$J$36</f>
        <v>1046.142815088</v>
      </c>
      <c r="M262" s="9" t="n">
        <f aca="false">(parametros_manuales!$D$36*('Plan mensual'!O101+'Plan mensual'!O212+IF(parametros_manuales!$H$36="Todos",'Plan mensual'!O105+'Plan mensual'!O216,0))+parametros_manuales!$E$36*('Plan mensual'!O102+'Plan mensual'!O213+IF(parametros_manuales!$H$36="Todos",'Plan mensual'!O106+'Plan mensual'!O217,0))+parametros_manuales!$F$36*('Plan mensual'!O103+'Plan mensual'!O214+IF(parametros_manuales!$H$36="Todos",'Plan mensual'!O107+'Plan mensual'!O218,0))+parametros_manuales!$G$36*('Plan mensual'!O104+'Plan mensual'!O215+IF(parametros_manuales!$H$36="Todos",'Plan mensual'!O108+'Plan mensual'!O219,0)))*parametros_manuales!$I$36*parametros_manuales!$J$36</f>
        <v>1665.6480636165</v>
      </c>
      <c r="N262" s="9" t="n">
        <f aca="false">SUM(B262:M262)</f>
        <v>14221.25221865</v>
      </c>
      <c r="O262" s="9" t="n">
        <f aca="false">MAX(B262:M262)</f>
        <v>1665.6480636165</v>
      </c>
      <c r="P262" s="44" t="n">
        <f aca="false">O262/(parametros_manuales!$B$7)</f>
        <v>11.10432042411</v>
      </c>
      <c r="Q262" s="8" t="str">
        <f aca="false">IF(O262=0,"-",INDEX($B$244:$M$244,MATCH(O262,B262:M262,0)))</f>
        <v>Dic</v>
      </c>
    </row>
    <row r="263" customFormat="false" ht="14.25" hidden="false" customHeight="true" outlineLevel="0" collapsed="false">
      <c r="A263" s="8" t="str">
        <f aca="false">parametros_manuales!$B$37</f>
        <v>Pintura en polvo + horno</v>
      </c>
      <c r="B263" s="9" t="n">
        <f aca="false">(parametros_manuales!$D$37*('Plan mensual'!D101+'Plan mensual'!D212+IF(parametros_manuales!$H$37="Todos",'Plan mensual'!D105+'Plan mensual'!D216,0))+parametros_manuales!$E$37*('Plan mensual'!D102+'Plan mensual'!D213+IF(parametros_manuales!$H$37="Todos",'Plan mensual'!D106+'Plan mensual'!D217,0))+parametros_manuales!$F$37*('Plan mensual'!D103+'Plan mensual'!D214+IF(parametros_manuales!$H$37="Todos",'Plan mensual'!D107+'Plan mensual'!D218,0))+parametros_manuales!$G$37*('Plan mensual'!D104+'Plan mensual'!D215+IF(parametros_manuales!$H$37="Todos",'Plan mensual'!D108+'Plan mensual'!D219,0)))*parametros_manuales!$I$37*parametros_manuales!$J$37</f>
        <v>32494.9172199</v>
      </c>
      <c r="C263" s="9" t="n">
        <f aca="false">(parametros_manuales!$D$37*('Plan mensual'!E101+'Plan mensual'!E212+IF(parametros_manuales!$H$37="Todos",'Plan mensual'!E105+'Plan mensual'!E216,0))+parametros_manuales!$E$37*('Plan mensual'!E102+'Plan mensual'!E213+IF(parametros_manuales!$H$37="Todos",'Plan mensual'!E106+'Plan mensual'!E217,0))+parametros_manuales!$F$37*('Plan mensual'!E103+'Plan mensual'!E214+IF(parametros_manuales!$H$37="Todos",'Plan mensual'!E107+'Plan mensual'!E218,0))+parametros_manuales!$G$37*('Plan mensual'!E104+'Plan mensual'!E215+IF(parametros_manuales!$H$37="Todos",'Plan mensual'!E108+'Plan mensual'!E219,0)))*parametros_manuales!$I$37*parametros_manuales!$J$37</f>
        <v>24780.20994114</v>
      </c>
      <c r="D263" s="9" t="n">
        <f aca="false">(parametros_manuales!$D$37*('Plan mensual'!F101+'Plan mensual'!F212+IF(parametros_manuales!$H$37="Todos",'Plan mensual'!F105+'Plan mensual'!F216,0))+parametros_manuales!$E$37*('Plan mensual'!F102+'Plan mensual'!F213+IF(parametros_manuales!$H$37="Todos",'Plan mensual'!F106+'Plan mensual'!F217,0))+parametros_manuales!$F$37*('Plan mensual'!F103+'Plan mensual'!F214+IF(parametros_manuales!$H$37="Todos",'Plan mensual'!F107+'Plan mensual'!F218,0))+parametros_manuales!$G$37*('Plan mensual'!F104+'Plan mensual'!F215+IF(parametros_manuales!$H$37="Todos",'Plan mensual'!F108+'Plan mensual'!F219,0)))*parametros_manuales!$I$37*parametros_manuales!$J$37</f>
        <v>23163.025576055</v>
      </c>
      <c r="E263" s="9" t="n">
        <f aca="false">(parametros_manuales!$D$37*('Plan mensual'!G101+'Plan mensual'!G212+IF(parametros_manuales!$H$37="Todos",'Plan mensual'!G105+'Plan mensual'!G216,0))+parametros_manuales!$E$37*('Plan mensual'!G102+'Plan mensual'!G213+IF(parametros_manuales!$H$37="Todos",'Plan mensual'!G106+'Plan mensual'!G217,0))+parametros_manuales!$F$37*('Plan mensual'!G103+'Plan mensual'!G214+IF(parametros_manuales!$H$37="Todos",'Plan mensual'!G107+'Plan mensual'!G218,0))+parametros_manuales!$G$37*('Plan mensual'!G104+'Plan mensual'!G215+IF(parametros_manuales!$H$37="Todos",'Plan mensual'!G108+'Plan mensual'!G219,0)))*parametros_manuales!$I$37*parametros_manuales!$J$37</f>
        <v>22149.922380405</v>
      </c>
      <c r="F263" s="9" t="n">
        <f aca="false">(parametros_manuales!$D$37*('Plan mensual'!H101+'Plan mensual'!H212+IF(parametros_manuales!$H$37="Todos",'Plan mensual'!H105+'Plan mensual'!H216,0))+parametros_manuales!$E$37*('Plan mensual'!H102+'Plan mensual'!H213+IF(parametros_manuales!$H$37="Todos",'Plan mensual'!H106+'Plan mensual'!H217,0))+parametros_manuales!$F$37*('Plan mensual'!H103+'Plan mensual'!H214+IF(parametros_manuales!$H$37="Todos",'Plan mensual'!H107+'Plan mensual'!H218,0))+parametros_manuales!$G$37*('Plan mensual'!H104+'Plan mensual'!H215+IF(parametros_manuales!$H$37="Todos",'Plan mensual'!H108+'Plan mensual'!H219,0)))*parametros_manuales!$I$37*parametros_manuales!$J$37</f>
        <v>20727.79715854</v>
      </c>
      <c r="G263" s="9" t="n">
        <f aca="false">(parametros_manuales!$D$37*('Plan mensual'!I101+'Plan mensual'!I212+IF(parametros_manuales!$H$37="Todos",'Plan mensual'!I105+'Plan mensual'!I216,0))+parametros_manuales!$E$37*('Plan mensual'!I102+'Plan mensual'!I213+IF(parametros_manuales!$H$37="Todos",'Plan mensual'!I106+'Plan mensual'!I217,0))+parametros_manuales!$F$37*('Plan mensual'!I103+'Plan mensual'!I214+IF(parametros_manuales!$H$37="Todos",'Plan mensual'!I107+'Plan mensual'!I218,0))+parametros_manuales!$G$37*('Plan mensual'!I104+'Plan mensual'!I215+IF(parametros_manuales!$H$37="Todos",'Plan mensual'!I108+'Plan mensual'!I219,0)))*parametros_manuales!$I$37*parametros_manuales!$J$37</f>
        <v>20318.775132325</v>
      </c>
      <c r="H263" s="9" t="n">
        <f aca="false">(parametros_manuales!$D$37*('Plan mensual'!J101+'Plan mensual'!J212+IF(parametros_manuales!$H$37="Todos",'Plan mensual'!J105+'Plan mensual'!J216,0))+parametros_manuales!$E$37*('Plan mensual'!J102+'Plan mensual'!J213+IF(parametros_manuales!$H$37="Todos",'Plan mensual'!J106+'Plan mensual'!J217,0))+parametros_manuales!$F$37*('Plan mensual'!J103+'Plan mensual'!J214+IF(parametros_manuales!$H$37="Todos",'Plan mensual'!J107+'Plan mensual'!J218,0))+parametros_manuales!$G$37*('Plan mensual'!J104+'Plan mensual'!J215+IF(parametros_manuales!$H$37="Todos",'Plan mensual'!J108+'Plan mensual'!J219,0)))*parametros_manuales!$I$37*parametros_manuales!$J$37</f>
        <v>21740.90035419</v>
      </c>
      <c r="I263" s="9" t="n">
        <f aca="false">(parametros_manuales!$D$37*('Plan mensual'!K101+'Plan mensual'!K212+IF(parametros_manuales!$H$37="Todos",'Plan mensual'!K105+'Plan mensual'!K216,0))+parametros_manuales!$E$37*('Plan mensual'!K102+'Plan mensual'!K213+IF(parametros_manuales!$H$37="Todos",'Plan mensual'!K106+'Plan mensual'!K217,0))+parametros_manuales!$F$37*('Plan mensual'!K103+'Plan mensual'!K214+IF(parametros_manuales!$H$37="Todos",'Plan mensual'!K107+'Plan mensual'!K218,0))+parametros_manuales!$G$37*('Plan mensual'!K104+'Plan mensual'!K215+IF(parametros_manuales!$H$37="Todos",'Plan mensual'!K108+'Plan mensual'!K219,0)))*parametros_manuales!$I$37*parametros_manuales!$J$37</f>
        <v>21740.90035419</v>
      </c>
      <c r="J263" s="9" t="n">
        <f aca="false">(parametros_manuales!$D$37*('Plan mensual'!L101+'Plan mensual'!L212+IF(parametros_manuales!$H$37="Todos",'Plan mensual'!L105+'Plan mensual'!L216,0))+parametros_manuales!$E$37*('Plan mensual'!L102+'Plan mensual'!L213+IF(parametros_manuales!$H$37="Todos",'Plan mensual'!L106+'Plan mensual'!L217,0))+parametros_manuales!$F$37*('Plan mensual'!L103+'Plan mensual'!L214+IF(parametros_manuales!$H$37="Todos",'Plan mensual'!L107+'Plan mensual'!L218,0))+parametros_manuales!$G$37*('Plan mensual'!L104+'Plan mensual'!L215+IF(parametros_manuales!$H$37="Todos",'Plan mensual'!L108+'Plan mensual'!L219,0)))*parametros_manuales!$I$37*parametros_manuales!$J$37</f>
        <v>21740.90035419</v>
      </c>
      <c r="K263" s="9" t="n">
        <f aca="false">(parametros_manuales!$D$37*('Plan mensual'!M101+'Plan mensual'!M212+IF(parametros_manuales!$H$37="Todos",'Plan mensual'!M105+'Plan mensual'!M216,0))+parametros_manuales!$E$37*('Plan mensual'!M102+'Plan mensual'!M213+IF(parametros_manuales!$H$37="Todos",'Plan mensual'!M106+'Plan mensual'!M217,0))+parametros_manuales!$F$37*('Plan mensual'!M103+'Plan mensual'!M214+IF(parametros_manuales!$H$37="Todos",'Plan mensual'!M107+'Plan mensual'!M218,0))+parametros_manuales!$G$37*('Plan mensual'!M104+'Plan mensual'!M215+IF(parametros_manuales!$H$37="Todos",'Plan mensual'!M108+'Plan mensual'!M219,0)))*parametros_manuales!$I$37*parametros_manuales!$J$37</f>
        <v>21331.878327975</v>
      </c>
      <c r="L263" s="9" t="n">
        <f aca="false">(parametros_manuales!$D$37*('Plan mensual'!N101+'Plan mensual'!N212+IF(parametros_manuales!$H$37="Todos",'Plan mensual'!N105+'Plan mensual'!N216,0))+parametros_manuales!$E$37*('Plan mensual'!N102+'Plan mensual'!N213+IF(parametros_manuales!$H$37="Todos",'Plan mensual'!N106+'Plan mensual'!N217,0))+parametros_manuales!$F$37*('Plan mensual'!N103+'Plan mensual'!N214+IF(parametros_manuales!$H$37="Todos",'Plan mensual'!N107+'Plan mensual'!N218,0))+parametros_manuales!$G$37*('Plan mensual'!N104+'Plan mensual'!N215+IF(parametros_manuales!$H$37="Todos",'Plan mensual'!N108+'Plan mensual'!N219,0)))*parametros_manuales!$I$37*parametros_manuales!$J$37</f>
        <v>20922.85630176</v>
      </c>
      <c r="M263" s="9" t="n">
        <f aca="false">(parametros_manuales!$D$37*('Plan mensual'!O101+'Plan mensual'!O212+IF(parametros_manuales!$H$37="Todos",'Plan mensual'!O105+'Plan mensual'!O216,0))+parametros_manuales!$E$37*('Plan mensual'!O102+'Plan mensual'!O213+IF(parametros_manuales!$H$37="Todos",'Plan mensual'!O106+'Plan mensual'!O217,0))+parametros_manuales!$F$37*('Plan mensual'!O103+'Plan mensual'!O214+IF(parametros_manuales!$H$37="Todos",'Plan mensual'!O107+'Plan mensual'!O218,0))+parametros_manuales!$G$37*('Plan mensual'!O104+'Plan mensual'!O215+IF(parametros_manuales!$H$37="Todos",'Plan mensual'!O108+'Plan mensual'!O219,0)))*parametros_manuales!$I$37*parametros_manuales!$J$37</f>
        <v>33312.96127233</v>
      </c>
      <c r="N263" s="9" t="n">
        <f aca="false">SUM(B263:M263)</f>
        <v>284425.044373</v>
      </c>
      <c r="O263" s="9" t="n">
        <f aca="false">MAX(B263:M263)</f>
        <v>33312.96127233</v>
      </c>
      <c r="P263" s="44" t="n">
        <f aca="false">O263/(parametros_manuales!$B$7)</f>
        <v>222.0864084822</v>
      </c>
      <c r="Q263" s="8" t="str">
        <f aca="false">IF(O263=0,"-",INDEX($B$244:$M$244,MATCH(O263,B263:M263,0)))</f>
        <v>Dic</v>
      </c>
    </row>
    <row r="264" customFormat="false" ht="14.25" hidden="false" customHeight="true" outlineLevel="0" collapsed="false">
      <c r="A264" s="8" t="str">
        <f aca="false">parametros_manuales!$B$38</f>
        <v>Carga de polvo</v>
      </c>
      <c r="B264" s="9" t="n">
        <f aca="false">(parametros_manuales!$D$38*('Plan mensual'!D101+'Plan mensual'!D212+IF(parametros_manuales!$H$38="Todos",'Plan mensual'!D105+'Plan mensual'!D216,0))+parametros_manuales!$E$38*('Plan mensual'!D102+'Plan mensual'!D213+IF(parametros_manuales!$H$38="Todos",'Plan mensual'!D106+'Plan mensual'!D217,0))+parametros_manuales!$F$38*('Plan mensual'!D103+'Plan mensual'!D214+IF(parametros_manuales!$H$38="Todos",'Plan mensual'!D107+'Plan mensual'!D218,0))+parametros_manuales!$G$38*('Plan mensual'!D104+'Plan mensual'!D215+IF(parametros_manuales!$H$38="Todos",'Plan mensual'!D108+'Plan mensual'!D219,0)))*parametros_manuales!$I$38*parametros_manuales!$J$38</f>
        <v>7856.8732199</v>
      </c>
      <c r="C264" s="9" t="n">
        <f aca="false">(parametros_manuales!$D$38*('Plan mensual'!E101+'Plan mensual'!E212+IF(parametros_manuales!$H$38="Todos",'Plan mensual'!E105+'Plan mensual'!E216,0))+parametros_manuales!$E$38*('Plan mensual'!E102+'Plan mensual'!E213+IF(parametros_manuales!$H$38="Todos",'Plan mensual'!E106+'Plan mensual'!E217,0))+parametros_manuales!$F$38*('Plan mensual'!E103+'Plan mensual'!E214+IF(parametros_manuales!$H$38="Todos",'Plan mensual'!E107+'Plan mensual'!E218,0))+parametros_manuales!$G$38*('Plan mensual'!E104+'Plan mensual'!E215+IF(parametros_manuales!$H$38="Todos",'Plan mensual'!E108+'Plan mensual'!E219,0)))*parametros_manuales!$I$38*parametros_manuales!$J$38</f>
        <v>6093.06274114</v>
      </c>
      <c r="D264" s="9" t="n">
        <f aca="false">(parametros_manuales!$D$38*('Plan mensual'!F101+'Plan mensual'!F212+IF(parametros_manuales!$H$38="Todos",'Plan mensual'!F105+'Plan mensual'!F216,0))+parametros_manuales!$E$38*('Plan mensual'!F102+'Plan mensual'!F213+IF(parametros_manuales!$H$38="Todos",'Plan mensual'!F106+'Plan mensual'!F217,0))+parametros_manuales!$F$38*('Plan mensual'!F103+'Plan mensual'!F214+IF(parametros_manuales!$H$38="Todos",'Plan mensual'!F107+'Plan mensual'!F218,0))+parametros_manuales!$G$38*('Plan mensual'!F104+'Plan mensual'!F215+IF(parametros_manuales!$H$38="Todos",'Plan mensual'!F108+'Plan mensual'!F219,0)))*parametros_manuales!$I$38*parametros_manuales!$J$38</f>
        <v>5972.744176055</v>
      </c>
      <c r="E264" s="9" t="n">
        <f aca="false">(parametros_manuales!$D$38*('Plan mensual'!G101+'Plan mensual'!G212+IF(parametros_manuales!$H$38="Todos",'Plan mensual'!G105+'Plan mensual'!G216,0))+parametros_manuales!$E$38*('Plan mensual'!G102+'Plan mensual'!G213+IF(parametros_manuales!$H$38="Todos",'Plan mensual'!G106+'Plan mensual'!G217,0))+parametros_manuales!$F$38*('Plan mensual'!G103+'Plan mensual'!G214+IF(parametros_manuales!$H$38="Todos",'Plan mensual'!G107+'Plan mensual'!G218,0))+parametros_manuales!$G$38*('Plan mensual'!G104+'Plan mensual'!G215+IF(parametros_manuales!$H$38="Todos",'Plan mensual'!G108+'Plan mensual'!G219,0)))*parametros_manuales!$I$38*parametros_manuales!$J$38</f>
        <v>5812.380980405</v>
      </c>
      <c r="F264" s="9" t="n">
        <f aca="false">(parametros_manuales!$D$38*('Plan mensual'!H101+'Plan mensual'!H212+IF(parametros_manuales!$H$38="Todos",'Plan mensual'!H105+'Plan mensual'!H216,0))+parametros_manuales!$E$38*('Plan mensual'!H102+'Plan mensual'!H213+IF(parametros_manuales!$H$38="Todos",'Plan mensual'!H106+'Plan mensual'!H217,0))+parametros_manuales!$F$38*('Plan mensual'!H103+'Plan mensual'!H214+IF(parametros_manuales!$H$38="Todos",'Plan mensual'!H107+'Plan mensual'!H218,0))+parametros_manuales!$G$38*('Plan mensual'!H104+'Plan mensual'!H215+IF(parametros_manuales!$H$38="Todos",'Plan mensual'!H108+'Plan mensual'!H219,0)))*parametros_manuales!$I$38*parametros_manuales!$J$38</f>
        <v>5451.60995854</v>
      </c>
      <c r="G264" s="9" t="n">
        <f aca="false">(parametros_manuales!$D$38*('Plan mensual'!I101+'Plan mensual'!I212+IF(parametros_manuales!$H$38="Todos",'Plan mensual'!I105+'Plan mensual'!I216,0))+parametros_manuales!$E$38*('Plan mensual'!I102+'Plan mensual'!I213+IF(parametros_manuales!$H$38="Todos",'Plan mensual'!I106+'Plan mensual'!I217,0))+parametros_manuales!$F$38*('Plan mensual'!I103+'Plan mensual'!I214+IF(parametros_manuales!$H$38="Todos",'Plan mensual'!I107+'Plan mensual'!I218,0))+parametros_manuales!$G$38*('Plan mensual'!I104+'Plan mensual'!I215+IF(parametros_manuales!$H$38="Todos",'Plan mensual'!I108+'Plan mensual'!I219,0)))*parametros_manuales!$I$38*parametros_manuales!$J$38</f>
        <v>5251.202132325</v>
      </c>
      <c r="H264" s="9" t="n">
        <f aca="false">(parametros_manuales!$D$38*('Plan mensual'!J101+'Plan mensual'!J212+IF(parametros_manuales!$H$38="Todos",'Plan mensual'!J105+'Plan mensual'!J216,0))+parametros_manuales!$E$38*('Plan mensual'!J102+'Plan mensual'!J213+IF(parametros_manuales!$H$38="Todos",'Plan mensual'!J106+'Plan mensual'!J217,0))+parametros_manuales!$F$38*('Plan mensual'!J103+'Plan mensual'!J214+IF(parametros_manuales!$H$38="Todos",'Plan mensual'!J107+'Plan mensual'!J218,0))+parametros_manuales!$G$38*('Plan mensual'!J104+'Plan mensual'!J215+IF(parametros_manuales!$H$38="Todos",'Plan mensual'!J108+'Plan mensual'!J219,0)))*parametros_manuales!$I$38*parametros_manuales!$J$38</f>
        <v>5611.97315419</v>
      </c>
      <c r="I264" s="9" t="n">
        <f aca="false">(parametros_manuales!$D$38*('Plan mensual'!K101+'Plan mensual'!K212+IF(parametros_manuales!$H$38="Todos",'Plan mensual'!K105+'Plan mensual'!K216,0))+parametros_manuales!$E$38*('Plan mensual'!K102+'Plan mensual'!K213+IF(parametros_manuales!$H$38="Todos",'Plan mensual'!K106+'Plan mensual'!K217,0))+parametros_manuales!$F$38*('Plan mensual'!K103+'Plan mensual'!K214+IF(parametros_manuales!$H$38="Todos",'Plan mensual'!K107+'Plan mensual'!K218,0))+parametros_manuales!$G$38*('Plan mensual'!K104+'Plan mensual'!K215+IF(parametros_manuales!$H$38="Todos",'Plan mensual'!K108+'Plan mensual'!K219,0)))*parametros_manuales!$I$38*parametros_manuales!$J$38</f>
        <v>5611.97315419</v>
      </c>
      <c r="J264" s="9" t="n">
        <f aca="false">(parametros_manuales!$D$38*('Plan mensual'!L101+'Plan mensual'!L212+IF(parametros_manuales!$H$38="Todos",'Plan mensual'!L105+'Plan mensual'!L216,0))+parametros_manuales!$E$38*('Plan mensual'!L102+'Plan mensual'!L213+IF(parametros_manuales!$H$38="Todos",'Plan mensual'!L106+'Plan mensual'!L217,0))+parametros_manuales!$F$38*('Plan mensual'!L103+'Plan mensual'!L214+IF(parametros_manuales!$H$38="Todos",'Plan mensual'!L107+'Plan mensual'!L218,0))+parametros_manuales!$G$38*('Plan mensual'!L104+'Plan mensual'!L215+IF(parametros_manuales!$H$38="Todos",'Plan mensual'!L108+'Plan mensual'!L219,0)))*parametros_manuales!$I$38*parametros_manuales!$J$38</f>
        <v>5611.97315419</v>
      </c>
      <c r="K264" s="9" t="n">
        <f aca="false">(parametros_manuales!$D$38*('Plan mensual'!M101+'Plan mensual'!M212+IF(parametros_manuales!$H$38="Todos",'Plan mensual'!M105+'Plan mensual'!M216,0))+parametros_manuales!$E$38*('Plan mensual'!M102+'Plan mensual'!M213+IF(parametros_manuales!$H$38="Todos",'Plan mensual'!M106+'Plan mensual'!M217,0))+parametros_manuales!$F$38*('Plan mensual'!M103+'Plan mensual'!M214+IF(parametros_manuales!$H$38="Todos",'Plan mensual'!M107+'Plan mensual'!M218,0))+parametros_manuales!$G$38*('Plan mensual'!M104+'Plan mensual'!M215+IF(parametros_manuales!$H$38="Todos",'Plan mensual'!M108+'Plan mensual'!M219,0)))*parametros_manuales!$I$38*parametros_manuales!$J$38</f>
        <v>5411.565327975</v>
      </c>
      <c r="L264" s="9" t="n">
        <f aca="false">(parametros_manuales!$D$38*('Plan mensual'!N101+'Plan mensual'!N212+IF(parametros_manuales!$H$38="Todos",'Plan mensual'!N105+'Plan mensual'!N216,0))+parametros_manuales!$E$38*('Plan mensual'!N102+'Plan mensual'!N213+IF(parametros_manuales!$H$38="Todos",'Plan mensual'!N106+'Plan mensual'!N217,0))+parametros_manuales!$F$38*('Plan mensual'!N103+'Plan mensual'!N214+IF(parametros_manuales!$H$38="Todos",'Plan mensual'!N107+'Plan mensual'!N218,0))+parametros_manuales!$G$38*('Plan mensual'!N104+'Plan mensual'!N215+IF(parametros_manuales!$H$38="Todos",'Plan mensual'!N108+'Plan mensual'!N219,0)))*parametros_manuales!$I$38*parametros_manuales!$J$38</f>
        <v>5211.15750176</v>
      </c>
      <c r="M264" s="9" t="n">
        <f aca="false">(parametros_manuales!$D$38*('Plan mensual'!O101+'Plan mensual'!O212+IF(parametros_manuales!$H$38="Todos",'Plan mensual'!O105+'Plan mensual'!O216,0))+parametros_manuales!$E$38*('Plan mensual'!O102+'Plan mensual'!O213+IF(parametros_manuales!$H$38="Todos",'Plan mensual'!O106+'Plan mensual'!O217,0))+parametros_manuales!$F$38*('Plan mensual'!O103+'Plan mensual'!O214+IF(parametros_manuales!$H$38="Todos",'Plan mensual'!O107+'Plan mensual'!O218,0))+parametros_manuales!$G$38*('Plan mensual'!O104+'Plan mensual'!O215+IF(parametros_manuales!$H$38="Todos",'Plan mensual'!O108+'Plan mensual'!O219,0)))*parametros_manuales!$I$38*parametros_manuales!$J$38</f>
        <v>8257.68887233</v>
      </c>
      <c r="N264" s="9" t="n">
        <f aca="false">SUM(B264:M264)</f>
        <v>72154.204373</v>
      </c>
      <c r="O264" s="9" t="n">
        <f aca="false">MAX(B264:M264)</f>
        <v>8257.68887233</v>
      </c>
      <c r="P264" s="44" t="n">
        <f aca="false">O264/(parametros_manuales!$B$7)</f>
        <v>55.0512591488667</v>
      </c>
      <c r="Q264" s="8" t="str">
        <f aca="false">IF(O264=0,"-",INDEX($B$244:$M$244,MATCH(O264,B264:M264,0)))</f>
        <v>Dic</v>
      </c>
    </row>
    <row r="265" customFormat="false" ht="14.25" hidden="false" customHeight="true" outlineLevel="0" collapsed="false">
      <c r="A265" s="8" t="str">
        <f aca="false">parametros_manuales!$B$39</f>
        <v>Ensamblaje</v>
      </c>
      <c r="B265" s="9" t="n">
        <f aca="false">(parametros_manuales!$D$39*('Plan mensual'!D101+'Plan mensual'!D212+IF(parametros_manuales!$H$39="Todos",'Plan mensual'!D105+'Plan mensual'!D216,0))+parametros_manuales!$E$39*('Plan mensual'!D102+'Plan mensual'!D213+IF(parametros_manuales!$H$39="Todos",'Plan mensual'!D106+'Plan mensual'!D217,0))+parametros_manuales!$F$39*('Plan mensual'!D103+'Plan mensual'!D214+IF(parametros_manuales!$H$39="Todos",'Plan mensual'!D107+'Plan mensual'!D218,0))+parametros_manuales!$G$39*('Plan mensual'!D104+'Plan mensual'!D215+IF(parametros_manuales!$H$39="Todos",'Plan mensual'!D108+'Plan mensual'!D219,0)))*parametros_manuales!$I$39*parametros_manuales!$J$39</f>
        <v>7856.8732199</v>
      </c>
      <c r="C265" s="9" t="n">
        <f aca="false">(parametros_manuales!$D$39*('Plan mensual'!E101+'Plan mensual'!E212+IF(parametros_manuales!$H$39="Todos",'Plan mensual'!E105+'Plan mensual'!E216,0))+parametros_manuales!$E$39*('Plan mensual'!E102+'Plan mensual'!E213+IF(parametros_manuales!$H$39="Todos",'Plan mensual'!E106+'Plan mensual'!E217,0))+parametros_manuales!$F$39*('Plan mensual'!E103+'Plan mensual'!E214+IF(parametros_manuales!$H$39="Todos",'Plan mensual'!E107+'Plan mensual'!E218,0))+parametros_manuales!$G$39*('Plan mensual'!E104+'Plan mensual'!E215+IF(parametros_manuales!$H$39="Todos",'Plan mensual'!E108+'Plan mensual'!E219,0)))*parametros_manuales!$I$39*parametros_manuales!$J$39</f>
        <v>6093.06274114</v>
      </c>
      <c r="D265" s="9" t="n">
        <f aca="false">(parametros_manuales!$D$39*('Plan mensual'!F101+'Plan mensual'!F212+IF(parametros_manuales!$H$39="Todos",'Plan mensual'!F105+'Plan mensual'!F216,0))+parametros_manuales!$E$39*('Plan mensual'!F102+'Plan mensual'!F213+IF(parametros_manuales!$H$39="Todos",'Plan mensual'!F106+'Plan mensual'!F217,0))+parametros_manuales!$F$39*('Plan mensual'!F103+'Plan mensual'!F214+IF(parametros_manuales!$H$39="Todos",'Plan mensual'!F107+'Plan mensual'!F218,0))+parametros_manuales!$G$39*('Plan mensual'!F104+'Plan mensual'!F215+IF(parametros_manuales!$H$39="Todos",'Plan mensual'!F108+'Plan mensual'!F219,0)))*parametros_manuales!$I$39*parametros_manuales!$J$39</f>
        <v>5972.744176055</v>
      </c>
      <c r="E265" s="9" t="n">
        <f aca="false">(parametros_manuales!$D$39*('Plan mensual'!G101+'Plan mensual'!G212+IF(parametros_manuales!$H$39="Todos",'Plan mensual'!G105+'Plan mensual'!G216,0))+parametros_manuales!$E$39*('Plan mensual'!G102+'Plan mensual'!G213+IF(parametros_manuales!$H$39="Todos",'Plan mensual'!G106+'Plan mensual'!G217,0))+parametros_manuales!$F$39*('Plan mensual'!G103+'Plan mensual'!G214+IF(parametros_manuales!$H$39="Todos",'Plan mensual'!G107+'Plan mensual'!G218,0))+parametros_manuales!$G$39*('Plan mensual'!G104+'Plan mensual'!G215+IF(parametros_manuales!$H$39="Todos",'Plan mensual'!G108+'Plan mensual'!G219,0)))*parametros_manuales!$I$39*parametros_manuales!$J$39</f>
        <v>5812.380980405</v>
      </c>
      <c r="F265" s="9" t="n">
        <f aca="false">(parametros_manuales!$D$39*('Plan mensual'!H101+'Plan mensual'!H212+IF(parametros_manuales!$H$39="Todos",'Plan mensual'!H105+'Plan mensual'!H216,0))+parametros_manuales!$E$39*('Plan mensual'!H102+'Plan mensual'!H213+IF(parametros_manuales!$H$39="Todos",'Plan mensual'!H106+'Plan mensual'!H217,0))+parametros_manuales!$F$39*('Plan mensual'!H103+'Plan mensual'!H214+IF(parametros_manuales!$H$39="Todos",'Plan mensual'!H107+'Plan mensual'!H218,0))+parametros_manuales!$G$39*('Plan mensual'!H104+'Plan mensual'!H215+IF(parametros_manuales!$H$39="Todos",'Plan mensual'!H108+'Plan mensual'!H219,0)))*parametros_manuales!$I$39*parametros_manuales!$J$39</f>
        <v>5451.60995854</v>
      </c>
      <c r="G265" s="9" t="n">
        <f aca="false">(parametros_manuales!$D$39*('Plan mensual'!I101+'Plan mensual'!I212+IF(parametros_manuales!$H$39="Todos",'Plan mensual'!I105+'Plan mensual'!I216,0))+parametros_manuales!$E$39*('Plan mensual'!I102+'Plan mensual'!I213+IF(parametros_manuales!$H$39="Todos",'Plan mensual'!I106+'Plan mensual'!I217,0))+parametros_manuales!$F$39*('Plan mensual'!I103+'Plan mensual'!I214+IF(parametros_manuales!$H$39="Todos",'Plan mensual'!I107+'Plan mensual'!I218,0))+parametros_manuales!$G$39*('Plan mensual'!I104+'Plan mensual'!I215+IF(parametros_manuales!$H$39="Todos",'Plan mensual'!I108+'Plan mensual'!I219,0)))*parametros_manuales!$I$39*parametros_manuales!$J$39</f>
        <v>5251.202132325</v>
      </c>
      <c r="H265" s="9" t="n">
        <f aca="false">(parametros_manuales!$D$39*('Plan mensual'!J101+'Plan mensual'!J212+IF(parametros_manuales!$H$39="Todos",'Plan mensual'!J105+'Plan mensual'!J216,0))+parametros_manuales!$E$39*('Plan mensual'!J102+'Plan mensual'!J213+IF(parametros_manuales!$H$39="Todos",'Plan mensual'!J106+'Plan mensual'!J217,0))+parametros_manuales!$F$39*('Plan mensual'!J103+'Plan mensual'!J214+IF(parametros_manuales!$H$39="Todos",'Plan mensual'!J107+'Plan mensual'!J218,0))+parametros_manuales!$G$39*('Plan mensual'!J104+'Plan mensual'!J215+IF(parametros_manuales!$H$39="Todos",'Plan mensual'!J108+'Plan mensual'!J219,0)))*parametros_manuales!$I$39*parametros_manuales!$J$39</f>
        <v>5611.97315419</v>
      </c>
      <c r="I265" s="9" t="n">
        <f aca="false">(parametros_manuales!$D$39*('Plan mensual'!K101+'Plan mensual'!K212+IF(parametros_manuales!$H$39="Todos",'Plan mensual'!K105+'Plan mensual'!K216,0))+parametros_manuales!$E$39*('Plan mensual'!K102+'Plan mensual'!K213+IF(parametros_manuales!$H$39="Todos",'Plan mensual'!K106+'Plan mensual'!K217,0))+parametros_manuales!$F$39*('Plan mensual'!K103+'Plan mensual'!K214+IF(parametros_manuales!$H$39="Todos",'Plan mensual'!K107+'Plan mensual'!K218,0))+parametros_manuales!$G$39*('Plan mensual'!K104+'Plan mensual'!K215+IF(parametros_manuales!$H$39="Todos",'Plan mensual'!K108+'Plan mensual'!K219,0)))*parametros_manuales!$I$39*parametros_manuales!$J$39</f>
        <v>5611.97315419</v>
      </c>
      <c r="J265" s="9" t="n">
        <f aca="false">(parametros_manuales!$D$39*('Plan mensual'!L101+'Plan mensual'!L212+IF(parametros_manuales!$H$39="Todos",'Plan mensual'!L105+'Plan mensual'!L216,0))+parametros_manuales!$E$39*('Plan mensual'!L102+'Plan mensual'!L213+IF(parametros_manuales!$H$39="Todos",'Plan mensual'!L106+'Plan mensual'!L217,0))+parametros_manuales!$F$39*('Plan mensual'!L103+'Plan mensual'!L214+IF(parametros_manuales!$H$39="Todos",'Plan mensual'!L107+'Plan mensual'!L218,0))+parametros_manuales!$G$39*('Plan mensual'!L104+'Plan mensual'!L215+IF(parametros_manuales!$H$39="Todos",'Plan mensual'!L108+'Plan mensual'!L219,0)))*parametros_manuales!$I$39*parametros_manuales!$J$39</f>
        <v>5611.97315419</v>
      </c>
      <c r="K265" s="9" t="n">
        <f aca="false">(parametros_manuales!$D$39*('Plan mensual'!M101+'Plan mensual'!M212+IF(parametros_manuales!$H$39="Todos",'Plan mensual'!M105+'Plan mensual'!M216,0))+parametros_manuales!$E$39*('Plan mensual'!M102+'Plan mensual'!M213+IF(parametros_manuales!$H$39="Todos",'Plan mensual'!M106+'Plan mensual'!M217,0))+parametros_manuales!$F$39*('Plan mensual'!M103+'Plan mensual'!M214+IF(parametros_manuales!$H$39="Todos",'Plan mensual'!M107+'Plan mensual'!M218,0))+parametros_manuales!$G$39*('Plan mensual'!M104+'Plan mensual'!M215+IF(parametros_manuales!$H$39="Todos",'Plan mensual'!M108+'Plan mensual'!M219,0)))*parametros_manuales!$I$39*parametros_manuales!$J$39</f>
        <v>5411.565327975</v>
      </c>
      <c r="L265" s="9" t="n">
        <f aca="false">(parametros_manuales!$D$39*('Plan mensual'!N101+'Plan mensual'!N212+IF(parametros_manuales!$H$39="Todos",'Plan mensual'!N105+'Plan mensual'!N216,0))+parametros_manuales!$E$39*('Plan mensual'!N102+'Plan mensual'!N213+IF(parametros_manuales!$H$39="Todos",'Plan mensual'!N106+'Plan mensual'!N217,0))+parametros_manuales!$F$39*('Plan mensual'!N103+'Plan mensual'!N214+IF(parametros_manuales!$H$39="Todos",'Plan mensual'!N107+'Plan mensual'!N218,0))+parametros_manuales!$G$39*('Plan mensual'!N104+'Plan mensual'!N215+IF(parametros_manuales!$H$39="Todos",'Plan mensual'!N108+'Plan mensual'!N219,0)))*parametros_manuales!$I$39*parametros_manuales!$J$39</f>
        <v>5211.15750176</v>
      </c>
      <c r="M265" s="9" t="n">
        <f aca="false">(parametros_manuales!$D$39*('Plan mensual'!O101+'Plan mensual'!O212+IF(parametros_manuales!$H$39="Todos",'Plan mensual'!O105+'Plan mensual'!O216,0))+parametros_manuales!$E$39*('Plan mensual'!O102+'Plan mensual'!O213+IF(parametros_manuales!$H$39="Todos",'Plan mensual'!O106+'Plan mensual'!O217,0))+parametros_manuales!$F$39*('Plan mensual'!O103+'Plan mensual'!O214+IF(parametros_manuales!$H$39="Todos",'Plan mensual'!O107+'Plan mensual'!O218,0))+parametros_manuales!$G$39*('Plan mensual'!O104+'Plan mensual'!O215+IF(parametros_manuales!$H$39="Todos",'Plan mensual'!O108+'Plan mensual'!O219,0)))*parametros_manuales!$I$39*parametros_manuales!$J$39</f>
        <v>8257.68887233</v>
      </c>
      <c r="N265" s="9" t="n">
        <f aca="false">SUM(B265:M265)</f>
        <v>72154.204373</v>
      </c>
      <c r="O265" s="9" t="n">
        <f aca="false">MAX(B265:M265)</f>
        <v>8257.68887233</v>
      </c>
      <c r="P265" s="44" t="n">
        <f aca="false">O265/(parametros_manuales!$B$7)</f>
        <v>55.0512591488667</v>
      </c>
      <c r="Q265" s="8" t="str">
        <f aca="false">IF(O265=0,"-",INDEX($B$244:$M$244,MATCH(O265,B265:M265,0)))</f>
        <v>Dic</v>
      </c>
    </row>
    <row r="266" customFormat="false" ht="14.25" hidden="false" customHeight="true" outlineLevel="0" collapsed="false">
      <c r="A266" s="8" t="str">
        <f aca="false">parametros_manuales!$B$40</f>
        <v>Presurización</v>
      </c>
      <c r="B266" s="9" t="n">
        <f aca="false">(parametros_manuales!$D$40*('Plan mensual'!D101+'Plan mensual'!D212+IF(parametros_manuales!$H$40="Todos",'Plan mensual'!D105+'Plan mensual'!D216,0))+parametros_manuales!$E$40*('Plan mensual'!D102+'Plan mensual'!D213+IF(parametros_manuales!$H$40="Todos",'Plan mensual'!D106+'Plan mensual'!D217,0))+parametros_manuales!$F$40*('Plan mensual'!D103+'Plan mensual'!D214+IF(parametros_manuales!$H$40="Todos",'Plan mensual'!D107+'Plan mensual'!D218,0))+parametros_manuales!$G$40*('Plan mensual'!D104+'Plan mensual'!D215+IF(parametros_manuales!$H$40="Todos",'Plan mensual'!D108+'Plan mensual'!D219,0)))*parametros_manuales!$I$40*parametros_manuales!$J$40</f>
        <v>7856.8732199</v>
      </c>
      <c r="C266" s="9" t="n">
        <f aca="false">(parametros_manuales!$D$40*('Plan mensual'!E101+'Plan mensual'!E212+IF(parametros_manuales!$H$40="Todos",'Plan mensual'!E105+'Plan mensual'!E216,0))+parametros_manuales!$E$40*('Plan mensual'!E102+'Plan mensual'!E213+IF(parametros_manuales!$H$40="Todos",'Plan mensual'!E106+'Plan mensual'!E217,0))+parametros_manuales!$F$40*('Plan mensual'!E103+'Plan mensual'!E214+IF(parametros_manuales!$H$40="Todos",'Plan mensual'!E107+'Plan mensual'!E218,0))+parametros_manuales!$G$40*('Plan mensual'!E104+'Plan mensual'!E215+IF(parametros_manuales!$H$40="Todos",'Plan mensual'!E108+'Plan mensual'!E219,0)))*parametros_manuales!$I$40*parametros_manuales!$J$40</f>
        <v>6093.06274114</v>
      </c>
      <c r="D266" s="9" t="n">
        <f aca="false">(parametros_manuales!$D$40*('Plan mensual'!F101+'Plan mensual'!F212+IF(parametros_manuales!$H$40="Todos",'Plan mensual'!F105+'Plan mensual'!F216,0))+parametros_manuales!$E$40*('Plan mensual'!F102+'Plan mensual'!F213+IF(parametros_manuales!$H$40="Todos",'Plan mensual'!F106+'Plan mensual'!F217,0))+parametros_manuales!$F$40*('Plan mensual'!F103+'Plan mensual'!F214+IF(parametros_manuales!$H$40="Todos",'Plan mensual'!F107+'Plan mensual'!F218,0))+parametros_manuales!$G$40*('Plan mensual'!F104+'Plan mensual'!F215+IF(parametros_manuales!$H$40="Todos",'Plan mensual'!F108+'Plan mensual'!F219,0)))*parametros_manuales!$I$40*parametros_manuales!$J$40</f>
        <v>5972.744176055</v>
      </c>
      <c r="E266" s="9" t="n">
        <f aca="false">(parametros_manuales!$D$40*('Plan mensual'!G101+'Plan mensual'!G212+IF(parametros_manuales!$H$40="Todos",'Plan mensual'!G105+'Plan mensual'!G216,0))+parametros_manuales!$E$40*('Plan mensual'!G102+'Plan mensual'!G213+IF(parametros_manuales!$H$40="Todos",'Plan mensual'!G106+'Plan mensual'!G217,0))+parametros_manuales!$F$40*('Plan mensual'!G103+'Plan mensual'!G214+IF(parametros_manuales!$H$40="Todos",'Plan mensual'!G107+'Plan mensual'!G218,0))+parametros_manuales!$G$40*('Plan mensual'!G104+'Plan mensual'!G215+IF(parametros_manuales!$H$40="Todos",'Plan mensual'!G108+'Plan mensual'!G219,0)))*parametros_manuales!$I$40*parametros_manuales!$J$40</f>
        <v>5812.380980405</v>
      </c>
      <c r="F266" s="9" t="n">
        <f aca="false">(parametros_manuales!$D$40*('Plan mensual'!H101+'Plan mensual'!H212+IF(parametros_manuales!$H$40="Todos",'Plan mensual'!H105+'Plan mensual'!H216,0))+parametros_manuales!$E$40*('Plan mensual'!H102+'Plan mensual'!H213+IF(parametros_manuales!$H$40="Todos",'Plan mensual'!H106+'Plan mensual'!H217,0))+parametros_manuales!$F$40*('Plan mensual'!H103+'Plan mensual'!H214+IF(parametros_manuales!$H$40="Todos",'Plan mensual'!H107+'Plan mensual'!H218,0))+parametros_manuales!$G$40*('Plan mensual'!H104+'Plan mensual'!H215+IF(parametros_manuales!$H$40="Todos",'Plan mensual'!H108+'Plan mensual'!H219,0)))*parametros_manuales!$I$40*parametros_manuales!$J$40</f>
        <v>5451.60995854</v>
      </c>
      <c r="G266" s="9" t="n">
        <f aca="false">(parametros_manuales!$D$40*('Plan mensual'!I101+'Plan mensual'!I212+IF(parametros_manuales!$H$40="Todos",'Plan mensual'!I105+'Plan mensual'!I216,0))+parametros_manuales!$E$40*('Plan mensual'!I102+'Plan mensual'!I213+IF(parametros_manuales!$H$40="Todos",'Plan mensual'!I106+'Plan mensual'!I217,0))+parametros_manuales!$F$40*('Plan mensual'!I103+'Plan mensual'!I214+IF(parametros_manuales!$H$40="Todos",'Plan mensual'!I107+'Plan mensual'!I218,0))+parametros_manuales!$G$40*('Plan mensual'!I104+'Plan mensual'!I215+IF(parametros_manuales!$H$40="Todos",'Plan mensual'!I108+'Plan mensual'!I219,0)))*parametros_manuales!$I$40*parametros_manuales!$J$40</f>
        <v>5251.202132325</v>
      </c>
      <c r="H266" s="9" t="n">
        <f aca="false">(parametros_manuales!$D$40*('Plan mensual'!J101+'Plan mensual'!J212+IF(parametros_manuales!$H$40="Todos",'Plan mensual'!J105+'Plan mensual'!J216,0))+parametros_manuales!$E$40*('Plan mensual'!J102+'Plan mensual'!J213+IF(parametros_manuales!$H$40="Todos",'Plan mensual'!J106+'Plan mensual'!J217,0))+parametros_manuales!$F$40*('Plan mensual'!J103+'Plan mensual'!J214+IF(parametros_manuales!$H$40="Todos",'Plan mensual'!J107+'Plan mensual'!J218,0))+parametros_manuales!$G$40*('Plan mensual'!J104+'Plan mensual'!J215+IF(parametros_manuales!$H$40="Todos",'Plan mensual'!J108+'Plan mensual'!J219,0)))*parametros_manuales!$I$40*parametros_manuales!$J$40</f>
        <v>5611.97315419</v>
      </c>
      <c r="I266" s="9" t="n">
        <f aca="false">(parametros_manuales!$D$40*('Plan mensual'!K101+'Plan mensual'!K212+IF(parametros_manuales!$H$40="Todos",'Plan mensual'!K105+'Plan mensual'!K216,0))+parametros_manuales!$E$40*('Plan mensual'!K102+'Plan mensual'!K213+IF(parametros_manuales!$H$40="Todos",'Plan mensual'!K106+'Plan mensual'!K217,0))+parametros_manuales!$F$40*('Plan mensual'!K103+'Plan mensual'!K214+IF(parametros_manuales!$H$40="Todos",'Plan mensual'!K107+'Plan mensual'!K218,0))+parametros_manuales!$G$40*('Plan mensual'!K104+'Plan mensual'!K215+IF(parametros_manuales!$H$40="Todos",'Plan mensual'!K108+'Plan mensual'!K219,0)))*parametros_manuales!$I$40*parametros_manuales!$J$40</f>
        <v>5611.97315419</v>
      </c>
      <c r="J266" s="9" t="n">
        <f aca="false">(parametros_manuales!$D$40*('Plan mensual'!L101+'Plan mensual'!L212+IF(parametros_manuales!$H$40="Todos",'Plan mensual'!L105+'Plan mensual'!L216,0))+parametros_manuales!$E$40*('Plan mensual'!L102+'Plan mensual'!L213+IF(parametros_manuales!$H$40="Todos",'Plan mensual'!L106+'Plan mensual'!L217,0))+parametros_manuales!$F$40*('Plan mensual'!L103+'Plan mensual'!L214+IF(parametros_manuales!$H$40="Todos",'Plan mensual'!L107+'Plan mensual'!L218,0))+parametros_manuales!$G$40*('Plan mensual'!L104+'Plan mensual'!L215+IF(parametros_manuales!$H$40="Todos",'Plan mensual'!L108+'Plan mensual'!L219,0)))*parametros_manuales!$I$40*parametros_manuales!$J$40</f>
        <v>5611.97315419</v>
      </c>
      <c r="K266" s="9" t="n">
        <f aca="false">(parametros_manuales!$D$40*('Plan mensual'!M101+'Plan mensual'!M212+IF(parametros_manuales!$H$40="Todos",'Plan mensual'!M105+'Plan mensual'!M216,0))+parametros_manuales!$E$40*('Plan mensual'!M102+'Plan mensual'!M213+IF(parametros_manuales!$H$40="Todos",'Plan mensual'!M106+'Plan mensual'!M217,0))+parametros_manuales!$F$40*('Plan mensual'!M103+'Plan mensual'!M214+IF(parametros_manuales!$H$40="Todos",'Plan mensual'!M107+'Plan mensual'!M218,0))+parametros_manuales!$G$40*('Plan mensual'!M104+'Plan mensual'!M215+IF(parametros_manuales!$H$40="Todos",'Plan mensual'!M108+'Plan mensual'!M219,0)))*parametros_manuales!$I$40*parametros_manuales!$J$40</f>
        <v>5411.565327975</v>
      </c>
      <c r="L266" s="9" t="n">
        <f aca="false">(parametros_manuales!$D$40*('Plan mensual'!N101+'Plan mensual'!N212+IF(parametros_manuales!$H$40="Todos",'Plan mensual'!N105+'Plan mensual'!N216,0))+parametros_manuales!$E$40*('Plan mensual'!N102+'Plan mensual'!N213+IF(parametros_manuales!$H$40="Todos",'Plan mensual'!N106+'Plan mensual'!N217,0))+parametros_manuales!$F$40*('Plan mensual'!N103+'Plan mensual'!N214+IF(parametros_manuales!$H$40="Todos",'Plan mensual'!N107+'Plan mensual'!N218,0))+parametros_manuales!$G$40*('Plan mensual'!N104+'Plan mensual'!N215+IF(parametros_manuales!$H$40="Todos",'Plan mensual'!N108+'Plan mensual'!N219,0)))*parametros_manuales!$I$40*parametros_manuales!$J$40</f>
        <v>5211.15750176</v>
      </c>
      <c r="M266" s="9" t="n">
        <f aca="false">(parametros_manuales!$D$40*('Plan mensual'!O101+'Plan mensual'!O212+IF(parametros_manuales!$H$40="Todos",'Plan mensual'!O105+'Plan mensual'!O216,0))+parametros_manuales!$E$40*('Plan mensual'!O102+'Plan mensual'!O213+IF(parametros_manuales!$H$40="Todos",'Plan mensual'!O106+'Plan mensual'!O217,0))+parametros_manuales!$F$40*('Plan mensual'!O103+'Plan mensual'!O214+IF(parametros_manuales!$H$40="Todos",'Plan mensual'!O107+'Plan mensual'!O218,0))+parametros_manuales!$G$40*('Plan mensual'!O104+'Plan mensual'!O215+IF(parametros_manuales!$H$40="Todos",'Plan mensual'!O108+'Plan mensual'!O219,0)))*parametros_manuales!$I$40*parametros_manuales!$J$40</f>
        <v>8257.68887233</v>
      </c>
      <c r="N266" s="9" t="n">
        <f aca="false">SUM(B266:M266)</f>
        <v>72154.204373</v>
      </c>
      <c r="O266" s="9" t="n">
        <f aca="false">MAX(B266:M266)</f>
        <v>8257.68887233</v>
      </c>
      <c r="P266" s="44" t="n">
        <f aca="false">O266/(parametros_manuales!$B$7)</f>
        <v>55.0512591488667</v>
      </c>
      <c r="Q266" s="8" t="str">
        <f aca="false">IF(O266=0,"-",INDEX($B$244:$M$244,MATCH(O266,B266:M266,0)))</f>
        <v>Dic</v>
      </c>
    </row>
    <row r="267" customFormat="false" ht="14.25" hidden="false" customHeight="true" outlineLevel="0" collapsed="false">
      <c r="A267" s="8" t="str">
        <f aca="false">parametros_manuales!$B$41</f>
        <v>Control de calidad — Ensayo de pérdidas</v>
      </c>
      <c r="B267" s="9" t="n">
        <f aca="false">(parametros_manuales!$D$41*('Plan mensual'!D101+'Plan mensual'!D212+IF(parametros_manuales!$H$41="Todos",'Plan mensual'!D105+'Plan mensual'!D216,0))+parametros_manuales!$E$41*('Plan mensual'!D102+'Plan mensual'!D213+IF(parametros_manuales!$H$41="Todos",'Plan mensual'!D106+'Plan mensual'!D217,0))+parametros_manuales!$F$41*('Plan mensual'!D103+'Plan mensual'!D214+IF(parametros_manuales!$H$41="Todos",'Plan mensual'!D107+'Plan mensual'!D218,0))+parametros_manuales!$G$41*('Plan mensual'!D104+'Plan mensual'!D215+IF(parametros_manuales!$H$41="Todos",'Plan mensual'!D108+'Plan mensual'!D219,0)))*parametros_manuales!$I$41*parametros_manuales!$J$41</f>
        <v>7856.8732199</v>
      </c>
      <c r="C267" s="9" t="n">
        <f aca="false">(parametros_manuales!$D$41*('Plan mensual'!E101+'Plan mensual'!E212+IF(parametros_manuales!$H$41="Todos",'Plan mensual'!E105+'Plan mensual'!E216,0))+parametros_manuales!$E$41*('Plan mensual'!E102+'Plan mensual'!E213+IF(parametros_manuales!$H$41="Todos",'Plan mensual'!E106+'Plan mensual'!E217,0))+parametros_manuales!$F$41*('Plan mensual'!E103+'Plan mensual'!E214+IF(parametros_manuales!$H$41="Todos",'Plan mensual'!E107+'Plan mensual'!E218,0))+parametros_manuales!$G$41*('Plan mensual'!E104+'Plan mensual'!E215+IF(parametros_manuales!$H$41="Todos",'Plan mensual'!E108+'Plan mensual'!E219,0)))*parametros_manuales!$I$41*parametros_manuales!$J$41</f>
        <v>6093.06274114</v>
      </c>
      <c r="D267" s="9" t="n">
        <f aca="false">(parametros_manuales!$D$41*('Plan mensual'!F101+'Plan mensual'!F212+IF(parametros_manuales!$H$41="Todos",'Plan mensual'!F105+'Plan mensual'!F216,0))+parametros_manuales!$E$41*('Plan mensual'!F102+'Plan mensual'!F213+IF(parametros_manuales!$H$41="Todos",'Plan mensual'!F106+'Plan mensual'!F217,0))+parametros_manuales!$F$41*('Plan mensual'!F103+'Plan mensual'!F214+IF(parametros_manuales!$H$41="Todos",'Plan mensual'!F107+'Plan mensual'!F218,0))+parametros_manuales!$G$41*('Plan mensual'!F104+'Plan mensual'!F215+IF(parametros_manuales!$H$41="Todos",'Plan mensual'!F108+'Plan mensual'!F219,0)))*parametros_manuales!$I$41*parametros_manuales!$J$41</f>
        <v>5972.744176055</v>
      </c>
      <c r="E267" s="9" t="n">
        <f aca="false">(parametros_manuales!$D$41*('Plan mensual'!G101+'Plan mensual'!G212+IF(parametros_manuales!$H$41="Todos",'Plan mensual'!G105+'Plan mensual'!G216,0))+parametros_manuales!$E$41*('Plan mensual'!G102+'Plan mensual'!G213+IF(parametros_manuales!$H$41="Todos",'Plan mensual'!G106+'Plan mensual'!G217,0))+parametros_manuales!$F$41*('Plan mensual'!G103+'Plan mensual'!G214+IF(parametros_manuales!$H$41="Todos",'Plan mensual'!G107+'Plan mensual'!G218,0))+parametros_manuales!$G$41*('Plan mensual'!G104+'Plan mensual'!G215+IF(parametros_manuales!$H$41="Todos",'Plan mensual'!G108+'Plan mensual'!G219,0)))*parametros_manuales!$I$41*parametros_manuales!$J$41</f>
        <v>5812.380980405</v>
      </c>
      <c r="F267" s="9" t="n">
        <f aca="false">(parametros_manuales!$D$41*('Plan mensual'!H101+'Plan mensual'!H212+IF(parametros_manuales!$H$41="Todos",'Plan mensual'!H105+'Plan mensual'!H216,0))+parametros_manuales!$E$41*('Plan mensual'!H102+'Plan mensual'!H213+IF(parametros_manuales!$H$41="Todos",'Plan mensual'!H106+'Plan mensual'!H217,0))+parametros_manuales!$F$41*('Plan mensual'!H103+'Plan mensual'!H214+IF(parametros_manuales!$H$41="Todos",'Plan mensual'!H107+'Plan mensual'!H218,0))+parametros_manuales!$G$41*('Plan mensual'!H104+'Plan mensual'!H215+IF(parametros_manuales!$H$41="Todos",'Plan mensual'!H108+'Plan mensual'!H219,0)))*parametros_manuales!$I$41*parametros_manuales!$J$41</f>
        <v>5451.60995854</v>
      </c>
      <c r="G267" s="9" t="n">
        <f aca="false">(parametros_manuales!$D$41*('Plan mensual'!I101+'Plan mensual'!I212+IF(parametros_manuales!$H$41="Todos",'Plan mensual'!I105+'Plan mensual'!I216,0))+parametros_manuales!$E$41*('Plan mensual'!I102+'Plan mensual'!I213+IF(parametros_manuales!$H$41="Todos",'Plan mensual'!I106+'Plan mensual'!I217,0))+parametros_manuales!$F$41*('Plan mensual'!I103+'Plan mensual'!I214+IF(parametros_manuales!$H$41="Todos",'Plan mensual'!I107+'Plan mensual'!I218,0))+parametros_manuales!$G$41*('Plan mensual'!I104+'Plan mensual'!I215+IF(parametros_manuales!$H$41="Todos",'Plan mensual'!I108+'Plan mensual'!I219,0)))*parametros_manuales!$I$41*parametros_manuales!$J$41</f>
        <v>5251.202132325</v>
      </c>
      <c r="H267" s="9" t="n">
        <f aca="false">(parametros_manuales!$D$41*('Plan mensual'!J101+'Plan mensual'!J212+IF(parametros_manuales!$H$41="Todos",'Plan mensual'!J105+'Plan mensual'!J216,0))+parametros_manuales!$E$41*('Plan mensual'!J102+'Plan mensual'!J213+IF(parametros_manuales!$H$41="Todos",'Plan mensual'!J106+'Plan mensual'!J217,0))+parametros_manuales!$F$41*('Plan mensual'!J103+'Plan mensual'!J214+IF(parametros_manuales!$H$41="Todos",'Plan mensual'!J107+'Plan mensual'!J218,0))+parametros_manuales!$G$41*('Plan mensual'!J104+'Plan mensual'!J215+IF(parametros_manuales!$H$41="Todos",'Plan mensual'!J108+'Plan mensual'!J219,0)))*parametros_manuales!$I$41*parametros_manuales!$J$41</f>
        <v>5611.97315419</v>
      </c>
      <c r="I267" s="9" t="n">
        <f aca="false">(parametros_manuales!$D$41*('Plan mensual'!K101+'Plan mensual'!K212+IF(parametros_manuales!$H$41="Todos",'Plan mensual'!K105+'Plan mensual'!K216,0))+parametros_manuales!$E$41*('Plan mensual'!K102+'Plan mensual'!K213+IF(parametros_manuales!$H$41="Todos",'Plan mensual'!K106+'Plan mensual'!K217,0))+parametros_manuales!$F$41*('Plan mensual'!K103+'Plan mensual'!K214+IF(parametros_manuales!$H$41="Todos",'Plan mensual'!K107+'Plan mensual'!K218,0))+parametros_manuales!$G$41*('Plan mensual'!K104+'Plan mensual'!K215+IF(parametros_manuales!$H$41="Todos",'Plan mensual'!K108+'Plan mensual'!K219,0)))*parametros_manuales!$I$41*parametros_manuales!$J$41</f>
        <v>5611.97315419</v>
      </c>
      <c r="J267" s="9" t="n">
        <f aca="false">(parametros_manuales!$D$41*('Plan mensual'!L101+'Plan mensual'!L212+IF(parametros_manuales!$H$41="Todos",'Plan mensual'!L105+'Plan mensual'!L216,0))+parametros_manuales!$E$41*('Plan mensual'!L102+'Plan mensual'!L213+IF(parametros_manuales!$H$41="Todos",'Plan mensual'!L106+'Plan mensual'!L217,0))+parametros_manuales!$F$41*('Plan mensual'!L103+'Plan mensual'!L214+IF(parametros_manuales!$H$41="Todos",'Plan mensual'!L107+'Plan mensual'!L218,0))+parametros_manuales!$G$41*('Plan mensual'!L104+'Plan mensual'!L215+IF(parametros_manuales!$H$41="Todos",'Plan mensual'!L108+'Plan mensual'!L219,0)))*parametros_manuales!$I$41*parametros_manuales!$J$41</f>
        <v>5611.97315419</v>
      </c>
      <c r="K267" s="9" t="n">
        <f aca="false">(parametros_manuales!$D$41*('Plan mensual'!M101+'Plan mensual'!M212+IF(parametros_manuales!$H$41="Todos",'Plan mensual'!M105+'Plan mensual'!M216,0))+parametros_manuales!$E$41*('Plan mensual'!M102+'Plan mensual'!M213+IF(parametros_manuales!$H$41="Todos",'Plan mensual'!M106+'Plan mensual'!M217,0))+parametros_manuales!$F$41*('Plan mensual'!M103+'Plan mensual'!M214+IF(parametros_manuales!$H$41="Todos",'Plan mensual'!M107+'Plan mensual'!M218,0))+parametros_manuales!$G$41*('Plan mensual'!M104+'Plan mensual'!M215+IF(parametros_manuales!$H$41="Todos",'Plan mensual'!M108+'Plan mensual'!M219,0)))*parametros_manuales!$I$41*parametros_manuales!$J$41</f>
        <v>5411.565327975</v>
      </c>
      <c r="L267" s="9" t="n">
        <f aca="false">(parametros_manuales!$D$41*('Plan mensual'!N101+'Plan mensual'!N212+IF(parametros_manuales!$H$41="Todos",'Plan mensual'!N105+'Plan mensual'!N216,0))+parametros_manuales!$E$41*('Plan mensual'!N102+'Plan mensual'!N213+IF(parametros_manuales!$H$41="Todos",'Plan mensual'!N106+'Plan mensual'!N217,0))+parametros_manuales!$F$41*('Plan mensual'!N103+'Plan mensual'!N214+IF(parametros_manuales!$H$41="Todos",'Plan mensual'!N107+'Plan mensual'!N218,0))+parametros_manuales!$G$41*('Plan mensual'!N104+'Plan mensual'!N215+IF(parametros_manuales!$H$41="Todos",'Plan mensual'!N108+'Plan mensual'!N219,0)))*parametros_manuales!$I$41*parametros_manuales!$J$41</f>
        <v>5211.15750176</v>
      </c>
      <c r="M267" s="9" t="n">
        <f aca="false">(parametros_manuales!$D$41*('Plan mensual'!O101+'Plan mensual'!O212+IF(parametros_manuales!$H$41="Todos",'Plan mensual'!O105+'Plan mensual'!O216,0))+parametros_manuales!$E$41*('Plan mensual'!O102+'Plan mensual'!O213+IF(parametros_manuales!$H$41="Todos",'Plan mensual'!O106+'Plan mensual'!O217,0))+parametros_manuales!$F$41*('Plan mensual'!O103+'Plan mensual'!O214+IF(parametros_manuales!$H$41="Todos",'Plan mensual'!O107+'Plan mensual'!O218,0))+parametros_manuales!$G$41*('Plan mensual'!O104+'Plan mensual'!O215+IF(parametros_manuales!$H$41="Todos",'Plan mensual'!O108+'Plan mensual'!O219,0)))*parametros_manuales!$I$41*parametros_manuales!$J$41</f>
        <v>8257.68887233</v>
      </c>
      <c r="N267" s="9" t="n">
        <f aca="false">SUM(B267:M267)</f>
        <v>72154.204373</v>
      </c>
      <c r="O267" s="9" t="n">
        <f aca="false">MAX(B267:M267)</f>
        <v>8257.68887233</v>
      </c>
      <c r="P267" s="44" t="n">
        <f aca="false">O267/(parametros_manuales!$B$7)</f>
        <v>55.0512591488667</v>
      </c>
      <c r="Q267" s="8" t="str">
        <f aca="false">IF(O267=0,"-",INDEX($B$244:$M$244,MATCH(O267,B267:M267,0)))</f>
        <v>Dic</v>
      </c>
    </row>
    <row r="268" customFormat="false" ht="14.25" hidden="false" customHeight="true" outlineLevel="0" collapsed="false">
      <c r="A268" s="8" t="str">
        <f aca="false">parametros_manuales!$B$42</f>
        <v>Etiquetado</v>
      </c>
      <c r="B268" s="9" t="n">
        <f aca="false">(parametros_manuales!$D$42*('Plan mensual'!D101+'Plan mensual'!D212+IF(parametros_manuales!$H$42="Todos",'Plan mensual'!D105+'Plan mensual'!D216,0))+parametros_manuales!$E$42*('Plan mensual'!D102+'Plan mensual'!D213+IF(parametros_manuales!$H$42="Todos",'Plan mensual'!D106+'Plan mensual'!D217,0))+parametros_manuales!$F$42*('Plan mensual'!D103+'Plan mensual'!D214+IF(parametros_manuales!$H$42="Todos",'Plan mensual'!D107+'Plan mensual'!D218,0))+parametros_manuales!$G$42*('Plan mensual'!D104+'Plan mensual'!D215+IF(parametros_manuales!$H$42="Todos",'Plan mensual'!D108+'Plan mensual'!D219,0)))*parametros_manuales!$I$42*parametros_manuales!$J$42</f>
        <v>7856.8732199</v>
      </c>
      <c r="C268" s="9" t="n">
        <f aca="false">(parametros_manuales!$D$42*('Plan mensual'!E101+'Plan mensual'!E212+IF(parametros_manuales!$H$42="Todos",'Plan mensual'!E105+'Plan mensual'!E216,0))+parametros_manuales!$E$42*('Plan mensual'!E102+'Plan mensual'!E213+IF(parametros_manuales!$H$42="Todos",'Plan mensual'!E106+'Plan mensual'!E217,0))+parametros_manuales!$F$42*('Plan mensual'!E103+'Plan mensual'!E214+IF(parametros_manuales!$H$42="Todos",'Plan mensual'!E107+'Plan mensual'!E218,0))+parametros_manuales!$G$42*('Plan mensual'!E104+'Plan mensual'!E215+IF(parametros_manuales!$H$42="Todos",'Plan mensual'!E108+'Plan mensual'!E219,0)))*parametros_manuales!$I$42*parametros_manuales!$J$42</f>
        <v>6093.06274114</v>
      </c>
      <c r="D268" s="9" t="n">
        <f aca="false">(parametros_manuales!$D$42*('Plan mensual'!F101+'Plan mensual'!F212+IF(parametros_manuales!$H$42="Todos",'Plan mensual'!F105+'Plan mensual'!F216,0))+parametros_manuales!$E$42*('Plan mensual'!F102+'Plan mensual'!F213+IF(parametros_manuales!$H$42="Todos",'Plan mensual'!F106+'Plan mensual'!F217,0))+parametros_manuales!$F$42*('Plan mensual'!F103+'Plan mensual'!F214+IF(parametros_manuales!$H$42="Todos",'Plan mensual'!F107+'Plan mensual'!F218,0))+parametros_manuales!$G$42*('Plan mensual'!F104+'Plan mensual'!F215+IF(parametros_manuales!$H$42="Todos",'Plan mensual'!F108+'Plan mensual'!F219,0)))*parametros_manuales!$I$42*parametros_manuales!$J$42</f>
        <v>5972.744176055</v>
      </c>
      <c r="E268" s="9" t="n">
        <f aca="false">(parametros_manuales!$D$42*('Plan mensual'!G101+'Plan mensual'!G212+IF(parametros_manuales!$H$42="Todos",'Plan mensual'!G105+'Plan mensual'!G216,0))+parametros_manuales!$E$42*('Plan mensual'!G102+'Plan mensual'!G213+IF(parametros_manuales!$H$42="Todos",'Plan mensual'!G106+'Plan mensual'!G217,0))+parametros_manuales!$F$42*('Plan mensual'!G103+'Plan mensual'!G214+IF(parametros_manuales!$H$42="Todos",'Plan mensual'!G107+'Plan mensual'!G218,0))+parametros_manuales!$G$42*('Plan mensual'!G104+'Plan mensual'!G215+IF(parametros_manuales!$H$42="Todos",'Plan mensual'!G108+'Plan mensual'!G219,0)))*parametros_manuales!$I$42*parametros_manuales!$J$42</f>
        <v>5812.380980405</v>
      </c>
      <c r="F268" s="9" t="n">
        <f aca="false">(parametros_manuales!$D$42*('Plan mensual'!H101+'Plan mensual'!H212+IF(parametros_manuales!$H$42="Todos",'Plan mensual'!H105+'Plan mensual'!H216,0))+parametros_manuales!$E$42*('Plan mensual'!H102+'Plan mensual'!H213+IF(parametros_manuales!$H$42="Todos",'Plan mensual'!H106+'Plan mensual'!H217,0))+parametros_manuales!$F$42*('Plan mensual'!H103+'Plan mensual'!H214+IF(parametros_manuales!$H$42="Todos",'Plan mensual'!H107+'Plan mensual'!H218,0))+parametros_manuales!$G$42*('Plan mensual'!H104+'Plan mensual'!H215+IF(parametros_manuales!$H$42="Todos",'Plan mensual'!H108+'Plan mensual'!H219,0)))*parametros_manuales!$I$42*parametros_manuales!$J$42</f>
        <v>5451.60995854</v>
      </c>
      <c r="G268" s="9" t="n">
        <f aca="false">(parametros_manuales!$D$42*('Plan mensual'!I101+'Plan mensual'!I212+IF(parametros_manuales!$H$42="Todos",'Plan mensual'!I105+'Plan mensual'!I216,0))+parametros_manuales!$E$42*('Plan mensual'!I102+'Plan mensual'!I213+IF(parametros_manuales!$H$42="Todos",'Plan mensual'!I106+'Plan mensual'!I217,0))+parametros_manuales!$F$42*('Plan mensual'!I103+'Plan mensual'!I214+IF(parametros_manuales!$H$42="Todos",'Plan mensual'!I107+'Plan mensual'!I218,0))+parametros_manuales!$G$42*('Plan mensual'!I104+'Plan mensual'!I215+IF(parametros_manuales!$H$42="Todos",'Plan mensual'!I108+'Plan mensual'!I219,0)))*parametros_manuales!$I$42*parametros_manuales!$J$42</f>
        <v>5251.202132325</v>
      </c>
      <c r="H268" s="9" t="n">
        <f aca="false">(parametros_manuales!$D$42*('Plan mensual'!J101+'Plan mensual'!J212+IF(parametros_manuales!$H$42="Todos",'Plan mensual'!J105+'Plan mensual'!J216,0))+parametros_manuales!$E$42*('Plan mensual'!J102+'Plan mensual'!J213+IF(parametros_manuales!$H$42="Todos",'Plan mensual'!J106+'Plan mensual'!J217,0))+parametros_manuales!$F$42*('Plan mensual'!J103+'Plan mensual'!J214+IF(parametros_manuales!$H$42="Todos",'Plan mensual'!J107+'Plan mensual'!J218,0))+parametros_manuales!$G$42*('Plan mensual'!J104+'Plan mensual'!J215+IF(parametros_manuales!$H$42="Todos",'Plan mensual'!J108+'Plan mensual'!J219,0)))*parametros_manuales!$I$42*parametros_manuales!$J$42</f>
        <v>5611.97315419</v>
      </c>
      <c r="I268" s="9" t="n">
        <f aca="false">(parametros_manuales!$D$42*('Plan mensual'!K101+'Plan mensual'!K212+IF(parametros_manuales!$H$42="Todos",'Plan mensual'!K105+'Plan mensual'!K216,0))+parametros_manuales!$E$42*('Plan mensual'!K102+'Plan mensual'!K213+IF(parametros_manuales!$H$42="Todos",'Plan mensual'!K106+'Plan mensual'!K217,0))+parametros_manuales!$F$42*('Plan mensual'!K103+'Plan mensual'!K214+IF(parametros_manuales!$H$42="Todos",'Plan mensual'!K107+'Plan mensual'!K218,0))+parametros_manuales!$G$42*('Plan mensual'!K104+'Plan mensual'!K215+IF(parametros_manuales!$H$42="Todos",'Plan mensual'!K108+'Plan mensual'!K219,0)))*parametros_manuales!$I$42*parametros_manuales!$J$42</f>
        <v>5611.97315419</v>
      </c>
      <c r="J268" s="9" t="n">
        <f aca="false">(parametros_manuales!$D$42*('Plan mensual'!L101+'Plan mensual'!L212+IF(parametros_manuales!$H$42="Todos",'Plan mensual'!L105+'Plan mensual'!L216,0))+parametros_manuales!$E$42*('Plan mensual'!L102+'Plan mensual'!L213+IF(parametros_manuales!$H$42="Todos",'Plan mensual'!L106+'Plan mensual'!L217,0))+parametros_manuales!$F$42*('Plan mensual'!L103+'Plan mensual'!L214+IF(parametros_manuales!$H$42="Todos",'Plan mensual'!L107+'Plan mensual'!L218,0))+parametros_manuales!$G$42*('Plan mensual'!L104+'Plan mensual'!L215+IF(parametros_manuales!$H$42="Todos",'Plan mensual'!L108+'Plan mensual'!L219,0)))*parametros_manuales!$I$42*parametros_manuales!$J$42</f>
        <v>5611.97315419</v>
      </c>
      <c r="K268" s="9" t="n">
        <f aca="false">(parametros_manuales!$D$42*('Plan mensual'!M101+'Plan mensual'!M212+IF(parametros_manuales!$H$42="Todos",'Plan mensual'!M105+'Plan mensual'!M216,0))+parametros_manuales!$E$42*('Plan mensual'!M102+'Plan mensual'!M213+IF(parametros_manuales!$H$42="Todos",'Plan mensual'!M106+'Plan mensual'!M217,0))+parametros_manuales!$F$42*('Plan mensual'!M103+'Plan mensual'!M214+IF(parametros_manuales!$H$42="Todos",'Plan mensual'!M107+'Plan mensual'!M218,0))+parametros_manuales!$G$42*('Plan mensual'!M104+'Plan mensual'!M215+IF(parametros_manuales!$H$42="Todos",'Plan mensual'!M108+'Plan mensual'!M219,0)))*parametros_manuales!$I$42*parametros_manuales!$J$42</f>
        <v>5411.565327975</v>
      </c>
      <c r="L268" s="9" t="n">
        <f aca="false">(parametros_manuales!$D$42*('Plan mensual'!N101+'Plan mensual'!N212+IF(parametros_manuales!$H$42="Todos",'Plan mensual'!N105+'Plan mensual'!N216,0))+parametros_manuales!$E$42*('Plan mensual'!N102+'Plan mensual'!N213+IF(parametros_manuales!$H$42="Todos",'Plan mensual'!N106+'Plan mensual'!N217,0))+parametros_manuales!$F$42*('Plan mensual'!N103+'Plan mensual'!N214+IF(parametros_manuales!$H$42="Todos",'Plan mensual'!N107+'Plan mensual'!N218,0))+parametros_manuales!$G$42*('Plan mensual'!N104+'Plan mensual'!N215+IF(parametros_manuales!$H$42="Todos",'Plan mensual'!N108+'Plan mensual'!N219,0)))*parametros_manuales!$I$42*parametros_manuales!$J$42</f>
        <v>5211.15750176</v>
      </c>
      <c r="M268" s="9" t="n">
        <f aca="false">(parametros_manuales!$D$42*('Plan mensual'!O101+'Plan mensual'!O212+IF(parametros_manuales!$H$42="Todos",'Plan mensual'!O105+'Plan mensual'!O216,0))+parametros_manuales!$E$42*('Plan mensual'!O102+'Plan mensual'!O213+IF(parametros_manuales!$H$42="Todos",'Plan mensual'!O106+'Plan mensual'!O217,0))+parametros_manuales!$F$42*('Plan mensual'!O103+'Plan mensual'!O214+IF(parametros_manuales!$H$42="Todos",'Plan mensual'!O107+'Plan mensual'!O218,0))+parametros_manuales!$G$42*('Plan mensual'!O104+'Plan mensual'!O215+IF(parametros_manuales!$H$42="Todos",'Plan mensual'!O108+'Plan mensual'!O219,0)))*parametros_manuales!$I$42*parametros_manuales!$J$42</f>
        <v>8257.68887233</v>
      </c>
      <c r="N268" s="9" t="n">
        <f aca="false">SUM(B268:M268)</f>
        <v>72154.204373</v>
      </c>
      <c r="O268" s="9" t="n">
        <f aca="false">MAX(B268:M268)</f>
        <v>8257.68887233</v>
      </c>
      <c r="P268" s="44" t="n">
        <f aca="false">O268/(parametros_manuales!$B$7)</f>
        <v>55.0512591488667</v>
      </c>
      <c r="Q268" s="8" t="str">
        <f aca="false">IF(O268=0,"-",INDEX($B$244:$M$244,MATCH(O268,B268:M268,0)))</f>
        <v>Dic</v>
      </c>
    </row>
    <row r="269" customFormat="false" ht="14.25" hidden="false" customHeight="true" outlineLevel="0" collapsed="false">
      <c r="A269" s="8" t="str">
        <f aca="false">parametros_manuales!$B$43</f>
        <v>Embalaje y paletizado</v>
      </c>
      <c r="B269" s="9" t="n">
        <f aca="false">(parametros_manuales!$D$43*('Plan mensual'!D101+'Plan mensual'!D212+IF(parametros_manuales!$H$43="Todos",'Plan mensual'!D105+'Plan mensual'!D216,0))+parametros_manuales!$E$43*('Plan mensual'!D102+'Plan mensual'!D213+IF(parametros_manuales!$H$43="Todos",'Plan mensual'!D106+'Plan mensual'!D217,0))+parametros_manuales!$F$43*('Plan mensual'!D103+'Plan mensual'!D214+IF(parametros_manuales!$H$43="Todos",'Plan mensual'!D107+'Plan mensual'!D218,0))+parametros_manuales!$G$43*('Plan mensual'!D104+'Plan mensual'!D215+IF(parametros_manuales!$H$43="Todos",'Plan mensual'!D108+'Plan mensual'!D219,0)))*parametros_manuales!$I$43*parametros_manuales!$J$43</f>
        <v>32494.9172199</v>
      </c>
      <c r="C269" s="9" t="n">
        <f aca="false">(parametros_manuales!$D$43*('Plan mensual'!E101+'Plan mensual'!E212+IF(parametros_manuales!$H$43="Todos",'Plan mensual'!E105+'Plan mensual'!E216,0))+parametros_manuales!$E$43*('Plan mensual'!E102+'Plan mensual'!E213+IF(parametros_manuales!$H$43="Todos",'Plan mensual'!E106+'Plan mensual'!E217,0))+parametros_manuales!$F$43*('Plan mensual'!E103+'Plan mensual'!E214+IF(parametros_manuales!$H$43="Todos",'Plan mensual'!E107+'Plan mensual'!E218,0))+parametros_manuales!$G$43*('Plan mensual'!E104+'Plan mensual'!E215+IF(parametros_manuales!$H$43="Todos",'Plan mensual'!E108+'Plan mensual'!E219,0)))*parametros_manuales!$I$43*parametros_manuales!$J$43</f>
        <v>24780.20994114</v>
      </c>
      <c r="D269" s="9" t="n">
        <f aca="false">(parametros_manuales!$D$43*('Plan mensual'!F101+'Plan mensual'!F212+IF(parametros_manuales!$H$43="Todos",'Plan mensual'!F105+'Plan mensual'!F216,0))+parametros_manuales!$E$43*('Plan mensual'!F102+'Plan mensual'!F213+IF(parametros_manuales!$H$43="Todos",'Plan mensual'!F106+'Plan mensual'!F217,0))+parametros_manuales!$F$43*('Plan mensual'!F103+'Plan mensual'!F214+IF(parametros_manuales!$H$43="Todos",'Plan mensual'!F107+'Plan mensual'!F218,0))+parametros_manuales!$G$43*('Plan mensual'!F104+'Plan mensual'!F215+IF(parametros_manuales!$H$43="Todos",'Plan mensual'!F108+'Plan mensual'!F219,0)))*parametros_manuales!$I$43*parametros_manuales!$J$43</f>
        <v>23163.025576055</v>
      </c>
      <c r="E269" s="9" t="n">
        <f aca="false">(parametros_manuales!$D$43*('Plan mensual'!G101+'Plan mensual'!G212+IF(parametros_manuales!$H$43="Todos",'Plan mensual'!G105+'Plan mensual'!G216,0))+parametros_manuales!$E$43*('Plan mensual'!G102+'Plan mensual'!G213+IF(parametros_manuales!$H$43="Todos",'Plan mensual'!G106+'Plan mensual'!G217,0))+parametros_manuales!$F$43*('Plan mensual'!G103+'Plan mensual'!G214+IF(parametros_manuales!$H$43="Todos",'Plan mensual'!G107+'Plan mensual'!G218,0))+parametros_manuales!$G$43*('Plan mensual'!G104+'Plan mensual'!G215+IF(parametros_manuales!$H$43="Todos",'Plan mensual'!G108+'Plan mensual'!G219,0)))*parametros_manuales!$I$43*parametros_manuales!$J$43</f>
        <v>22149.922380405</v>
      </c>
      <c r="F269" s="9" t="n">
        <f aca="false">(parametros_manuales!$D$43*('Plan mensual'!H101+'Plan mensual'!H212+IF(parametros_manuales!$H$43="Todos",'Plan mensual'!H105+'Plan mensual'!H216,0))+parametros_manuales!$E$43*('Plan mensual'!H102+'Plan mensual'!H213+IF(parametros_manuales!$H$43="Todos",'Plan mensual'!H106+'Plan mensual'!H217,0))+parametros_manuales!$F$43*('Plan mensual'!H103+'Plan mensual'!H214+IF(parametros_manuales!$H$43="Todos",'Plan mensual'!H107+'Plan mensual'!H218,0))+parametros_manuales!$G$43*('Plan mensual'!H104+'Plan mensual'!H215+IF(parametros_manuales!$H$43="Todos",'Plan mensual'!H108+'Plan mensual'!H219,0)))*parametros_manuales!$I$43*parametros_manuales!$J$43</f>
        <v>20727.79715854</v>
      </c>
      <c r="G269" s="9" t="n">
        <f aca="false">(parametros_manuales!$D$43*('Plan mensual'!I101+'Plan mensual'!I212+IF(parametros_manuales!$H$43="Todos",'Plan mensual'!I105+'Plan mensual'!I216,0))+parametros_manuales!$E$43*('Plan mensual'!I102+'Plan mensual'!I213+IF(parametros_manuales!$H$43="Todos",'Plan mensual'!I106+'Plan mensual'!I217,0))+parametros_manuales!$F$43*('Plan mensual'!I103+'Plan mensual'!I214+IF(parametros_manuales!$H$43="Todos",'Plan mensual'!I107+'Plan mensual'!I218,0))+parametros_manuales!$G$43*('Plan mensual'!I104+'Plan mensual'!I215+IF(parametros_manuales!$H$43="Todos",'Plan mensual'!I108+'Plan mensual'!I219,0)))*parametros_manuales!$I$43*parametros_manuales!$J$43</f>
        <v>20318.775132325</v>
      </c>
      <c r="H269" s="9" t="n">
        <f aca="false">(parametros_manuales!$D$43*('Plan mensual'!J101+'Plan mensual'!J212+IF(parametros_manuales!$H$43="Todos",'Plan mensual'!J105+'Plan mensual'!J216,0))+parametros_manuales!$E$43*('Plan mensual'!J102+'Plan mensual'!J213+IF(parametros_manuales!$H$43="Todos",'Plan mensual'!J106+'Plan mensual'!J217,0))+parametros_manuales!$F$43*('Plan mensual'!J103+'Plan mensual'!J214+IF(parametros_manuales!$H$43="Todos",'Plan mensual'!J107+'Plan mensual'!J218,0))+parametros_manuales!$G$43*('Plan mensual'!J104+'Plan mensual'!J215+IF(parametros_manuales!$H$43="Todos",'Plan mensual'!J108+'Plan mensual'!J219,0)))*parametros_manuales!$I$43*parametros_manuales!$J$43</f>
        <v>21740.90035419</v>
      </c>
      <c r="I269" s="9" t="n">
        <f aca="false">(parametros_manuales!$D$43*('Plan mensual'!K101+'Plan mensual'!K212+IF(parametros_manuales!$H$43="Todos",'Plan mensual'!K105+'Plan mensual'!K216,0))+parametros_manuales!$E$43*('Plan mensual'!K102+'Plan mensual'!K213+IF(parametros_manuales!$H$43="Todos",'Plan mensual'!K106+'Plan mensual'!K217,0))+parametros_manuales!$F$43*('Plan mensual'!K103+'Plan mensual'!K214+IF(parametros_manuales!$H$43="Todos",'Plan mensual'!K107+'Plan mensual'!K218,0))+parametros_manuales!$G$43*('Plan mensual'!K104+'Plan mensual'!K215+IF(parametros_manuales!$H$43="Todos",'Plan mensual'!K108+'Plan mensual'!K219,0)))*parametros_manuales!$I$43*parametros_manuales!$J$43</f>
        <v>21740.90035419</v>
      </c>
      <c r="J269" s="9" t="n">
        <f aca="false">(parametros_manuales!$D$43*('Plan mensual'!L101+'Plan mensual'!L212+IF(parametros_manuales!$H$43="Todos",'Plan mensual'!L105+'Plan mensual'!L216,0))+parametros_manuales!$E$43*('Plan mensual'!L102+'Plan mensual'!L213+IF(parametros_manuales!$H$43="Todos",'Plan mensual'!L106+'Plan mensual'!L217,0))+parametros_manuales!$F$43*('Plan mensual'!L103+'Plan mensual'!L214+IF(parametros_manuales!$H$43="Todos",'Plan mensual'!L107+'Plan mensual'!L218,0))+parametros_manuales!$G$43*('Plan mensual'!L104+'Plan mensual'!L215+IF(parametros_manuales!$H$43="Todos",'Plan mensual'!L108+'Plan mensual'!L219,0)))*parametros_manuales!$I$43*parametros_manuales!$J$43</f>
        <v>21740.90035419</v>
      </c>
      <c r="K269" s="9" t="n">
        <f aca="false">(parametros_manuales!$D$43*('Plan mensual'!M101+'Plan mensual'!M212+IF(parametros_manuales!$H$43="Todos",'Plan mensual'!M105+'Plan mensual'!M216,0))+parametros_manuales!$E$43*('Plan mensual'!M102+'Plan mensual'!M213+IF(parametros_manuales!$H$43="Todos",'Plan mensual'!M106+'Plan mensual'!M217,0))+parametros_manuales!$F$43*('Plan mensual'!M103+'Plan mensual'!M214+IF(parametros_manuales!$H$43="Todos",'Plan mensual'!M107+'Plan mensual'!M218,0))+parametros_manuales!$G$43*('Plan mensual'!M104+'Plan mensual'!M215+IF(parametros_manuales!$H$43="Todos",'Plan mensual'!M108+'Plan mensual'!M219,0)))*parametros_manuales!$I$43*parametros_manuales!$J$43</f>
        <v>21331.878327975</v>
      </c>
      <c r="L269" s="9" t="n">
        <f aca="false">(parametros_manuales!$D$43*('Plan mensual'!N101+'Plan mensual'!N212+IF(parametros_manuales!$H$43="Todos",'Plan mensual'!N105+'Plan mensual'!N216,0))+parametros_manuales!$E$43*('Plan mensual'!N102+'Plan mensual'!N213+IF(parametros_manuales!$H$43="Todos",'Plan mensual'!N106+'Plan mensual'!N217,0))+parametros_manuales!$F$43*('Plan mensual'!N103+'Plan mensual'!N214+IF(parametros_manuales!$H$43="Todos",'Plan mensual'!N107+'Plan mensual'!N218,0))+parametros_manuales!$G$43*('Plan mensual'!N104+'Plan mensual'!N215+IF(parametros_manuales!$H$43="Todos",'Plan mensual'!N108+'Plan mensual'!N219,0)))*parametros_manuales!$I$43*parametros_manuales!$J$43</f>
        <v>20922.85630176</v>
      </c>
      <c r="M269" s="9" t="n">
        <f aca="false">(parametros_manuales!$D$43*('Plan mensual'!O101+'Plan mensual'!O212+IF(parametros_manuales!$H$43="Todos",'Plan mensual'!O105+'Plan mensual'!O216,0))+parametros_manuales!$E$43*('Plan mensual'!O102+'Plan mensual'!O213+IF(parametros_manuales!$H$43="Todos",'Plan mensual'!O106+'Plan mensual'!O217,0))+parametros_manuales!$F$43*('Plan mensual'!O103+'Plan mensual'!O214+IF(parametros_manuales!$H$43="Todos",'Plan mensual'!O107+'Plan mensual'!O218,0))+parametros_manuales!$G$43*('Plan mensual'!O104+'Plan mensual'!O215+IF(parametros_manuales!$H$43="Todos",'Plan mensual'!O108+'Plan mensual'!O219,0)))*parametros_manuales!$I$43*parametros_manuales!$J$43</f>
        <v>33312.96127233</v>
      </c>
      <c r="N269" s="9" t="n">
        <f aca="false">SUM(B269:M269)</f>
        <v>284425.044373</v>
      </c>
      <c r="O269" s="9" t="n">
        <f aca="false">MAX(B269:M269)</f>
        <v>33312.96127233</v>
      </c>
      <c r="P269" s="44" t="n">
        <f aca="false">O269/(parametros_manuales!$B$7)</f>
        <v>222.0864084822</v>
      </c>
      <c r="Q269" s="8" t="str">
        <f aca="false">IF(O269=0,"-",INDEX($B$244:$M$244,MATCH(O269,B269:M269,0)))</f>
        <v>Dic</v>
      </c>
    </row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</cols>
  <sheetData>
    <row r="1" customFormat="false" ht="14.25" hidden="false" customHeight="true" outlineLevel="0" collapsed="false">
      <c r="A1" s="7" t="s">
        <v>210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  <c r="L1" s="7" t="s">
        <v>211</v>
      </c>
    </row>
    <row r="2" customFormat="false" ht="14.25" hidden="false" customHeight="true" outlineLevel="0" collapsed="false">
      <c r="A2" s="45" t="str">
        <f aca="false">parametros_manuales!$B$19</f>
        <v>Recepción de materia prima</v>
      </c>
      <c r="B2" s="46" t="n">
        <f aca="false">IF(B30*B58*parametros_manuales!$M$19*parametros_manuales!$B$6=0,0,'Demanda puesto sin sobrestock'!$P$2/(parametros_manuales!$M$19*B30*B58*parametros_manuales!$B$6))</f>
        <v>0.0883820452411444</v>
      </c>
      <c r="C2" s="46" t="n">
        <f aca="false">IF(C30*C58*parametros_manuales!$M$19*parametros_manuales!$B$6=0,0,'Demanda puesto sin sobrestock'!$P$29/(parametros_manuales!$M$19*C30*C58*parametros_manuales!$B$6))</f>
        <v>0.138855041813333</v>
      </c>
      <c r="D2" s="46" t="n">
        <f aca="false">IF(D30*D58*parametros_manuales!$M$19*parametros_manuales!$B$6=0,0,'Demanda puesto sin sobrestock'!$P$56/(parametros_manuales!$M$19*D30*D58*parametros_manuales!$B$6))</f>
        <v>0.295542624231556</v>
      </c>
      <c r="E2" s="46" t="n">
        <f aca="false">IF(E30*E58*parametros_manuales!$M$19*parametros_manuales!$B$6=0,0,'Demanda puesto sin sobrestock'!$P$83/(parametros_manuales!$M$19*E30*E58*parametros_manuales!$B$6))</f>
        <v>0.657419755977889</v>
      </c>
      <c r="F2" s="47" t="n">
        <f aca="false">IF(F30*F58*parametros_manuales!$M$19*parametros_manuales!$B$6=0,0,'Demanda puesto sin sobrestock'!$P$110/(parametros_manuales!$M$19*F30*F58*parametros_manuales!$B$6))</f>
        <v>0.573200363064945</v>
      </c>
      <c r="G2" s="47" t="n">
        <f aca="false">IF(G30*G58*parametros_manuales!$M$19*parametros_manuales!$B$6=0,0,'Demanda puesto sin sobrestock'!$P$137/(parametros_manuales!$M$19*G30*G58*parametros_manuales!$B$6))</f>
        <v>0.536657313392222</v>
      </c>
      <c r="H2" s="46" t="n">
        <f aca="false">IF(H30*H58*parametros_manuales!$M$19*parametros_manuales!$B$6=0,0,'Demanda puesto sin sobrestock'!$P$164/(parametros_manuales!$M$19*H30*H58*parametros_manuales!$B$6))</f>
        <v>0.740596857081111</v>
      </c>
      <c r="I2" s="47" t="n">
        <f aca="false">IF(I30*I58*parametros_manuales!$M$19*parametros_manuales!$B$6=0,0,'Demanda puesto sin sobrestock'!$P$191/(parametros_manuales!$M$19*I30*I58*parametros_manuales!$B$6))</f>
        <v>0.473290180966481</v>
      </c>
      <c r="J2" s="46" t="n">
        <f aca="false">IF(J30*J58*parametros_manuales!$M$19*parametros_manuales!$B$6=0,0,'Demanda puesto sin sobrestock'!$P$218/(parametros_manuales!$M$19*J30*J58*parametros_manuales!$B$6))</f>
        <v>0.533920419073519</v>
      </c>
      <c r="K2" s="46" t="n">
        <f aca="false">IF(K30*K58*parametros_manuales!$M$19*parametros_manuales!$B$6=0,0,'Demanda puesto sin sobrestock'!$P$245/(parametros_manuales!$M$19*K30*K58*parametros_manuales!$B$6))</f>
        <v>0.616906690228333</v>
      </c>
      <c r="L2" s="45" t="s">
        <v>212</v>
      </c>
    </row>
    <row r="3" customFormat="false" ht="14.25" hidden="false" customHeight="true" outlineLevel="0" collapsed="false">
      <c r="A3" s="45" t="str">
        <f aca="false">parametros_manuales!$B$20</f>
        <v>Corte de chapa (guillotina) — 2,5 a 10 kg</v>
      </c>
      <c r="B3" s="46" t="n">
        <f aca="false">IF(B31*B59*parametros_manuales!$M$20*parametros_manuales!$B$6=0,0,'Demanda puesto sin sobrestock'!$P$3/(parametros_manuales!$M$20*B31*B59*parametros_manuales!$B$6))</f>
        <v>0.049327184901057</v>
      </c>
      <c r="C3" s="46" t="n">
        <f aca="false">IF(C31*C59*parametros_manuales!$M$20*parametros_manuales!$B$6=0,0,'Demanda puesto sin sobrestock'!$P$30/(parametros_manuales!$M$20*C31*C59*parametros_manuales!$B$6))</f>
        <v>0.0889293454832215</v>
      </c>
      <c r="D3" s="46" t="n">
        <f aca="false">IF(D31*D59*parametros_manuales!$M$20*parametros_manuales!$B$6=0,0,'Demanda puesto sin sobrestock'!$P$57/(parametros_manuales!$M$20*D31*D59*parametros_manuales!$B$6))</f>
        <v>0.154058034752349</v>
      </c>
      <c r="E3" s="46" t="n">
        <f aca="false">IF(E31*E59*parametros_manuales!$M$20*parametros_manuales!$B$6=0,0,'Demanda puesto sin sobrestock'!$P$84/(parametros_manuales!$M$20*E31*E59*parametros_manuales!$B$6))</f>
        <v>0.284789519785403</v>
      </c>
      <c r="F3" s="46" t="n">
        <f aca="false">IF(F31*F59*parametros_manuales!$M$20*parametros_manuales!$B$6=0,0,'Demanda puesto sin sobrestock'!$P$111/(parametros_manuales!$M$20*F31*F59*parametros_manuales!$B$6))</f>
        <v>0.480495739927685</v>
      </c>
      <c r="G3" s="46" t="n">
        <f aca="false">IF(G31*G59*parametros_manuales!$M$20*parametros_manuales!$B$6=0,0,'Demanda puesto sin sobrestock'!$P$138/(parametros_manuales!$M$20*G31*G59*parametros_manuales!$B$6))</f>
        <v>0.673438438454698</v>
      </c>
      <c r="H3" s="46" t="n">
        <f aca="false">IF(H31*H59*parametros_manuales!$M$20*parametros_manuales!$B$6=0,0,'Demanda puesto sin sobrestock'!$P$165/(parametros_manuales!$M$20*H31*H59*parametros_manuales!$B$6))</f>
        <v>0.452628921979027</v>
      </c>
      <c r="I3" s="47" t="n">
        <f aca="false">IF(I31*I59*parametros_manuales!$M$20*parametros_manuales!$B$6=0,0,'Demanda puesto sin sobrestock'!$P$192/(parametros_manuales!$M$20*I31*I59*parametros_manuales!$B$6))</f>
        <v>0.572290298203859</v>
      </c>
      <c r="J3" s="46" t="n">
        <f aca="false">IF(J31*J59*parametros_manuales!$M$20*parametros_manuales!$B$6=0,0,'Demanda puesto sin sobrestock'!$P$219/(parametros_manuales!$M$20*J31*J59*parametros_manuales!$B$6))</f>
        <v>0.653064286339765</v>
      </c>
      <c r="K3" s="46" t="n">
        <f aca="false">IF(K31*K59*parametros_manuales!$M$20*parametros_manuales!$B$6=0,0,'Demanda puesto sin sobrestock'!$P$246/(parametros_manuales!$M$20*K31*K59*parametros_manuales!$B$6))</f>
        <v>0.754906424222316</v>
      </c>
      <c r="L3" s="45" t="s">
        <v>81</v>
      </c>
    </row>
    <row r="4" customFormat="false" ht="14.25" hidden="false" customHeight="true" outlineLevel="0" collapsed="false">
      <c r="A4" s="45" t="str">
        <f aca="false">parametros_manuales!$B$21</f>
        <v>Corte de tubo — 1 kg</v>
      </c>
      <c r="B4" s="46" t="n">
        <f aca="false">IF(B32*B60*parametros_manuales!$M$21*parametros_manuales!$B$6=0,0,'Demanda puesto sin sobrestock'!$P$4/(parametros_manuales!$M$21*B32*B60*parametros_manuales!$B$6))</f>
        <v>0.02785824362</v>
      </c>
      <c r="C4" s="46" t="n">
        <f aca="false">IF(C32*C60*parametros_manuales!$M$21*parametros_manuales!$B$6=0,0,'Demanda puesto sin sobrestock'!$P$31/(parametros_manuales!$M$21*C32*C60*parametros_manuales!$B$6))</f>
        <v>0.0399820265133333</v>
      </c>
      <c r="D4" s="46" t="n">
        <f aca="false">IF(D32*D60*parametros_manuales!$M$21*parametros_manuales!$B$6=0,0,'Demanda puesto sin sobrestock'!$P$58/(parametros_manuales!$M$21*D32*D60*parametros_manuales!$B$6))</f>
        <v>0.0967609850533333</v>
      </c>
      <c r="E4" s="46" t="n">
        <f aca="false">IF(E32*E60*parametros_manuales!$M$21*parametros_manuales!$B$6=0,0,'Demanda puesto sin sobrestock'!$P$85/(parametros_manuales!$M$21*E32*E60*parametros_manuales!$B$6))</f>
        <v>0.23441290366</v>
      </c>
      <c r="F4" s="46" t="n">
        <f aca="false">IF(F32*F60*parametros_manuales!$M$21*parametros_manuales!$B$6=0,0,'Demanda puesto sin sobrestock'!$P$112/(parametros_manuales!$M$21*F32*F60*parametros_manuales!$B$6))</f>
        <v>0.414102884733333</v>
      </c>
      <c r="G4" s="46" t="n">
        <f aca="false">IF(G32*G60*parametros_manuales!$M$21*parametros_manuales!$B$6=0,0,'Demanda puesto sin sobrestock'!$P$139/(parametros_manuales!$M$21*G32*G60*parametros_manuales!$B$6))</f>
        <v>0.582003020466667</v>
      </c>
      <c r="H4" s="46" t="n">
        <f aca="false">IF(H32*H60*parametros_manuales!$M$21*parametros_manuales!$B$6=0,0,'Demanda puesto sin sobrestock'!$P$166/(parametros_manuales!$M$21*H32*H60*parametros_manuales!$B$6))</f>
        <v>0.811154355066667</v>
      </c>
      <c r="I4" s="47" t="n">
        <f aca="false">IF(I32*I60*parametros_manuales!$M$21*parametros_manuales!$B$6=0,0,'Demanda puesto sin sobrestock'!$P$193/(parametros_manuales!$M$21*I32*I60*parametros_manuales!$B$6))</f>
        <v>0.520443594933333</v>
      </c>
      <c r="J4" s="46" t="n">
        <f aca="false">IF(J32*J60*parametros_manuales!$M$21*parametros_manuales!$B$6=0,0,'Demanda puesto sin sobrestock'!$P$220/(parametros_manuales!$M$21*J32*J60*parametros_manuales!$B$6))</f>
        <v>0.584643787133333</v>
      </c>
      <c r="K4" s="46" t="n">
        <f aca="false">IF(K32*K60*parametros_manuales!$M$21*parametros_manuales!$B$6=0,0,'Demanda puesto sin sobrestock'!$P$247/(parametros_manuales!$M$21*K32*K60*parametros_manuales!$B$6))</f>
        <v>0.675402130433333</v>
      </c>
      <c r="L4" s="45" t="s">
        <v>81</v>
      </c>
    </row>
    <row r="5" customFormat="false" ht="14.25" hidden="false" customHeight="true" outlineLevel="0" collapsed="false">
      <c r="A5" s="45" t="str">
        <f aca="false">parametros_manuales!$B$22</f>
        <v>Corte de disco y embutido (cúpula y fondo)</v>
      </c>
      <c r="B5" s="46" t="n">
        <f aca="false">IF(B33*B61*parametros_manuales!$M$22*parametros_manuales!$B$6=0,0,'Demanda puesto sin sobrestock'!$P$5/(parametros_manuales!$M$22*B33*B61*parametros_manuales!$B$6))</f>
        <v>0.0346596255847625</v>
      </c>
      <c r="C5" s="46" t="n">
        <f aca="false">IF(C33*C61*parametros_manuales!$M$22*parametros_manuales!$B$6=0,0,'Demanda puesto sin sobrestock'!$P$32/(parametros_manuales!$M$22*C33*C61*parametros_manuales!$B$6))</f>
        <v>0.0544529575738562</v>
      </c>
      <c r="D5" s="46" t="n">
        <f aca="false">IF(D33*D61*parametros_manuales!$M$22*parametros_manuales!$B$6=0,0,'Demanda puesto sin sobrestock'!$P$59/(parametros_manuales!$M$22*D33*D61*parametros_manuales!$B$6))</f>
        <v>0.1158990683261</v>
      </c>
      <c r="E5" s="46" t="n">
        <f aca="false">IF(E33*E61*parametros_manuales!$M$22*parametros_manuales!$B$6=0,0,'Demanda puesto sin sobrestock'!$P$86/(parametros_manuales!$M$22*E33*E61*parametros_manuales!$B$6))</f>
        <v>0.257811669010937</v>
      </c>
      <c r="F5" s="46" t="n">
        <f aca="false">IF(F33*F61*parametros_manuales!$M$22*parametros_manuales!$B$6=0,0,'Demanda puesto sin sobrestock'!$P$113/(parametros_manuales!$M$22*F33*F61*parametros_manuales!$B$6))</f>
        <v>0.4495689122078</v>
      </c>
      <c r="G5" s="46" t="n">
        <f aca="false">IF(G33*G61*parametros_manuales!$M$22*parametros_manuales!$B$6=0,0,'Demanda puesto sin sobrestock'!$P$140/(parametros_manuales!$M$22*G33*G61*parametros_manuales!$B$6))</f>
        <v>0.63136154516732</v>
      </c>
      <c r="H5" s="46" t="n">
        <f aca="false">IF(H33*H61*parametros_manuales!$M$22*parametros_manuales!$B$6=0,0,'Demanda puesto sin sobrestock'!$P$167/(parametros_manuales!$M$22*H33*H61*parametros_manuales!$B$6))</f>
        <v>0.871290420095425</v>
      </c>
      <c r="I5" s="47" t="n">
        <f aca="false">IF(I33*I61*parametros_manuales!$M$22*parametros_manuales!$B$6=0,0,'Demanda puesto sin sobrestock'!$P$194/(parametros_manuales!$M$22*I33*I61*parametros_manuales!$B$6))</f>
        <v>0.556811977607625</v>
      </c>
      <c r="J5" s="46" t="n">
        <f aca="false">IF(J33*J61*parametros_manuales!$M$22*parametros_manuales!$B$6=0,0,'Demanda puesto sin sobrestock'!$P$221/(parametros_manuales!$M$22*J33*J61*parametros_manuales!$B$6))</f>
        <v>0.628141669498257</v>
      </c>
      <c r="K5" s="46" t="n">
        <f aca="false">IF(K33*K61*parametros_manuales!$M$22*parametros_manuales!$B$6=0,0,'Demanda puesto sin sobrestock'!$P$248/(parametros_manuales!$M$22*K33*K61*parametros_manuales!$B$6))</f>
        <v>0.725772576739216</v>
      </c>
      <c r="L5" s="45" t="s">
        <v>81</v>
      </c>
    </row>
    <row r="6" customFormat="false" ht="14.25" hidden="false" customHeight="true" outlineLevel="0" collapsed="false">
      <c r="A6" s="45" t="str">
        <f aca="false">parametros_manuales!$B$23</f>
        <v>Preparación de cuello</v>
      </c>
      <c r="B6" s="46" t="n">
        <f aca="false">IF(B34*B62*parametros_manuales!$M$23*parametros_manuales!$B$6=0,0,'Demanda puesto sin sobrestock'!$P$6/(parametros_manuales!$M$23*B34*B62*parametros_manuales!$B$6))</f>
        <v>0.0883820452411444</v>
      </c>
      <c r="C6" s="46" t="n">
        <f aca="false">IF(C34*C62*parametros_manuales!$M$23*parametros_manuales!$B$6=0,0,'Demanda puesto sin sobrestock'!$P$33/(parametros_manuales!$M$23*C34*C62*parametros_manuales!$B$6))</f>
        <v>0.138855041813333</v>
      </c>
      <c r="D6" s="46" t="n">
        <f aca="false">IF(D34*D62*parametros_manuales!$M$23*parametros_manuales!$B$6=0,0,'Demanda puesto sin sobrestock'!$P$60/(parametros_manuales!$M$23*D34*D62*parametros_manuales!$B$6))</f>
        <v>0.295542624231556</v>
      </c>
      <c r="E6" s="46" t="n">
        <f aca="false">IF(E34*E62*parametros_manuales!$M$23*parametros_manuales!$B$6=0,0,'Demanda puesto sin sobrestock'!$P$87/(parametros_manuales!$M$23*E34*E62*parametros_manuales!$B$6))</f>
        <v>0.657419755977889</v>
      </c>
      <c r="F6" s="47" t="n">
        <f aca="false">IF(F34*F62*parametros_manuales!$M$23*parametros_manuales!$B$6=0,0,'Demanda puesto sin sobrestock'!$P$114/(parametros_manuales!$M$23*F34*F62*parametros_manuales!$B$6))</f>
        <v>0.573200363064945</v>
      </c>
      <c r="G6" s="46" t="n">
        <f aca="false">IF(G34*G62*parametros_manuales!$M$23*parametros_manuales!$B$6=0,0,'Demanda puesto sin sobrestock'!$P$141/(parametros_manuales!$M$23*G34*G62*parametros_manuales!$B$6))</f>
        <v>0.804985970088333</v>
      </c>
      <c r="H6" s="47" t="n">
        <f aca="false">IF(H34*H62*parametros_manuales!$M$23*parametros_manuales!$B$6=0,0,'Demanda puesto sin sobrestock'!$P$168/(parametros_manuales!$M$23*H34*H62*parametros_manuales!$B$6))</f>
        <v>0.555447642810833</v>
      </c>
      <c r="I6" s="46" t="n">
        <f aca="false">IF(I34*I62*parametros_manuales!$M$23*parametros_manuales!$B$6=0,0,'Demanda puesto sin sobrestock'!$P$195/(parametros_manuales!$M$23*I34*I62*parametros_manuales!$B$6))</f>
        <v>0.709935271449722</v>
      </c>
      <c r="J6" s="46" t="n">
        <f aca="false">IF(J34*J62*parametros_manuales!$M$23*parametros_manuales!$B$6=0,0,'Demanda puesto sin sobrestock'!$P$222/(parametros_manuales!$M$23*J34*J62*parametros_manuales!$B$6))</f>
        <v>0.800880628610278</v>
      </c>
      <c r="K6" s="46" t="n">
        <f aca="false">IF(K34*K62*parametros_manuales!$M$23*parametros_manuales!$B$6=0,0,'Demanda puesto sin sobrestock'!$P$249/(parametros_manuales!$M$23*K34*K62*parametros_manuales!$B$6))</f>
        <v>0.9253600353425</v>
      </c>
      <c r="L6" s="45" t="s">
        <v>81</v>
      </c>
    </row>
    <row r="7" customFormat="false" ht="14.25" hidden="false" customHeight="true" outlineLevel="0" collapsed="false">
      <c r="A7" s="45" t="str">
        <f aca="false">parametros_manuales!$B$24</f>
        <v>Numerado de cúpula</v>
      </c>
      <c r="B7" s="46" t="n">
        <f aca="false">IF(B35*B63*parametros_manuales!$M$24*parametros_manuales!$B$6=0,0,'Demanda puesto sin sobrestock'!$P$7/(parametros_manuales!$M$24*B35*B63*parametros_manuales!$B$6))</f>
        <v>0.0294606817470482</v>
      </c>
      <c r="C7" s="46" t="n">
        <f aca="false">IF(C35*C63*parametros_manuales!$M$24*parametros_manuales!$B$6=0,0,'Demanda puesto sin sobrestock'!$P$34/(parametros_manuales!$M$24*C35*C63*parametros_manuales!$B$6))</f>
        <v>0.0462850139377778</v>
      </c>
      <c r="D7" s="46" t="n">
        <f aca="false">IF(D35*D63*parametros_manuales!$M$24*parametros_manuales!$B$6=0,0,'Demanda puesto sin sobrestock'!$P$61/(parametros_manuales!$M$24*D35*D63*parametros_manuales!$B$6))</f>
        <v>0.0985142080771852</v>
      </c>
      <c r="E7" s="46" t="n">
        <f aca="false">IF(E35*E63*parametros_manuales!$M$24*parametros_manuales!$B$6=0,0,'Demanda puesto sin sobrestock'!$P$88/(parametros_manuales!$M$24*E35*E63*parametros_manuales!$B$6))</f>
        <v>0.219139918659296</v>
      </c>
      <c r="F7" s="46" t="n">
        <f aca="false">IF(F35*F63*parametros_manuales!$M$24*parametros_manuales!$B$6=0,0,'Demanda puesto sin sobrestock'!$P$115/(parametros_manuales!$M$24*F35*F63*parametros_manuales!$B$6))</f>
        <v>0.38213357537663</v>
      </c>
      <c r="G7" s="46" t="n">
        <f aca="false">IF(G35*G63*parametros_manuales!$M$24*parametros_manuales!$B$6=0,0,'Demanda puesto sin sobrestock'!$P$142/(parametros_manuales!$M$24*G35*G63*parametros_manuales!$B$6))</f>
        <v>0.536657313392222</v>
      </c>
      <c r="H7" s="46" t="n">
        <f aca="false">IF(H35*H63*parametros_manuales!$M$24*parametros_manuales!$B$6=0,0,'Demanda puesto sin sobrestock'!$P$169/(parametros_manuales!$M$24*H35*H63*parametros_manuales!$B$6))</f>
        <v>0.740596857081111</v>
      </c>
      <c r="I7" s="47" t="n">
        <f aca="false">IF(I35*I63*parametros_manuales!$M$24*parametros_manuales!$B$6=0,0,'Demanda puesto sin sobrestock'!$P$196/(parametros_manuales!$M$24*I35*I63*parametros_manuales!$B$6))</f>
        <v>0.473290180966481</v>
      </c>
      <c r="J7" s="46" t="n">
        <f aca="false">IF(J35*J63*parametros_manuales!$M$24*parametros_manuales!$B$6=0,0,'Demanda puesto sin sobrestock'!$P$223/(parametros_manuales!$M$24*J35*J63*parametros_manuales!$B$6))</f>
        <v>0.533920419073519</v>
      </c>
      <c r="K7" s="46" t="n">
        <f aca="false">IF(K35*K63*parametros_manuales!$M$24*parametros_manuales!$B$6=0,0,'Demanda puesto sin sobrestock'!$P$250/(parametros_manuales!$M$24*K35*K63*parametros_manuales!$B$6))</f>
        <v>0.616906690228333</v>
      </c>
      <c r="L7" s="45" t="s">
        <v>81</v>
      </c>
      <c r="M7" s="48" t="s">
        <v>213</v>
      </c>
    </row>
    <row r="8" customFormat="false" ht="14.25" hidden="false" customHeight="true" outlineLevel="0" collapsed="false">
      <c r="A8" s="45" t="str">
        <f aca="false">parametros_manuales!$B$25</f>
        <v>Soldadura del cuello a la cúpula</v>
      </c>
      <c r="B8" s="46" t="n">
        <f aca="false">IF(B36*B64*parametros_manuales!$M$25*parametros_manuales!$B$6=0,0,'Demanda puesto sin sobrestock'!$P$8/(parametros_manuales!$M$25*B36*B64*parametros_manuales!$B$6))</f>
        <v>0.0378347796409009</v>
      </c>
      <c r="C8" s="46" t="n">
        <f aca="false">IF(C36*C64*parametros_manuales!$M$25*parametros_manuales!$B$6=0,0,'Demanda puesto sin sobrestock'!$P$35/(parametros_manuales!$M$25*C36*C64*parametros_manuales!$B$6))</f>
        <v>0.0594413706392694</v>
      </c>
      <c r="D8" s="46" t="n">
        <f aca="false">IF(D36*D64*parametros_manuales!$M$25*parametros_manuales!$B$6=0,0,'Demanda puesto sin sobrestock'!$P$62/(parametros_manuales!$M$25*D36*D64*parametros_manuales!$B$6))</f>
        <v>0.1265165343457</v>
      </c>
      <c r="E8" s="46" t="n">
        <f aca="false">IF(E36*E64*parametros_manuales!$M$25*parametros_manuales!$B$6=0,0,'Demanda puesto sin sobrestock'!$P$89/(parametros_manuales!$M$25*E36*E64*parametros_manuales!$B$6))</f>
        <v>0.281429690059028</v>
      </c>
      <c r="F8" s="46" t="n">
        <f aca="false">IF(F36*F64*parametros_manuales!$M$25*parametros_manuales!$B$6=0,0,'Demanda puesto sin sobrestock'!$P$116/(parametros_manuales!$M$25*F36*F64*parametros_manuales!$B$6))</f>
        <v>0.490753735500809</v>
      </c>
      <c r="G8" s="46" t="n">
        <f aca="false">IF(G36*G64*parametros_manuales!$M$25*parametros_manuales!$B$6=0,0,'Demanda puesto sin sobrestock'!$P$143/(parametros_manuales!$M$25*G36*G64*parametros_manuales!$B$6))</f>
        <v>0.68920031685645</v>
      </c>
      <c r="H8" s="47" t="n">
        <f aca="false">IF(H36*H64*parametros_manuales!$M$25*parametros_manuales!$B$6=0,0,'Demanda puesto sin sobrestock'!$P$170/(parametros_manuales!$M$25*H36*H64*parametros_manuales!$B$6))</f>
        <v>0.475554488707905</v>
      </c>
      <c r="I8" s="46" t="n">
        <f aca="false">IF(I36*I64*parametros_manuales!$M$25*parametros_manuales!$B$6=0,0,'Demanda puesto sin sobrestock'!$P$197/(parametros_manuales!$M$25*I36*I64*parametros_manuales!$B$6))</f>
        <v>0.60782129404942</v>
      </c>
      <c r="J8" s="46" t="n">
        <f aca="false">IF(J36*J64*parametros_manuales!$M$25*parametros_manuales!$B$6=0,0,'Demanda puesto sin sobrestock'!$P$224/(parametros_manuales!$M$25*J36*J64*parametros_manuales!$B$6))</f>
        <v>0.68568546970058</v>
      </c>
      <c r="K8" s="46" t="n">
        <f aca="false">IF(K36*K64*parametros_manuales!$M$25*parametros_manuales!$B$6=0,0,'Demanda puesto sin sobrestock'!$P$251/(parametros_manuales!$M$25*K36*K64*parametros_manuales!$B$6))</f>
        <v>0.792260304231592</v>
      </c>
      <c r="L8" s="45" t="s">
        <v>81</v>
      </c>
      <c r="M8" s="49" t="s">
        <v>214</v>
      </c>
    </row>
    <row r="9" customFormat="false" ht="14.25" hidden="false" customHeight="true" outlineLevel="0" collapsed="false">
      <c r="A9" s="45" t="str">
        <f aca="false">parametros_manuales!$B$26</f>
        <v>Cilindrado</v>
      </c>
      <c r="B9" s="46" t="n">
        <f aca="false">IF(B37*B65*parametros_manuales!$M$26*parametros_manuales!$B$6=0,0,'Demanda puesto sin sobrestock'!$P$9/(parametros_manuales!$M$26*B37*B65*parametros_manuales!$B$6))</f>
        <v>0.0441426459474925</v>
      </c>
      <c r="C9" s="46" t="n">
        <f aca="false">IF(C37*C65*parametros_manuales!$M$26*parametros_manuales!$B$6=0,0,'Demanda puesto sin sobrestock'!$P$36/(parametros_manuales!$M$26*C37*C65*parametros_manuales!$B$6))</f>
        <v>0.0795824172792793</v>
      </c>
      <c r="D9" s="46" t="n">
        <f aca="false">IF(D37*D65*parametros_manuales!$M$26*parametros_manuales!$B$6=0,0,'Demanda puesto sin sobrestock'!$P$63/(parametros_manuales!$M$26*D37*D65*parametros_manuales!$B$6))</f>
        <v>0.137865748817417</v>
      </c>
      <c r="E9" s="46" t="n">
        <f aca="false">IF(E37*E65*parametros_manuales!$M$26*parametros_manuales!$B$6=0,0,'Demanda puesto sin sobrestock'!$P$90/(parametros_manuales!$M$26*E37*E65*parametros_manuales!$B$6))</f>
        <v>0.254856687375526</v>
      </c>
      <c r="F9" s="46" t="n">
        <f aca="false">IF(F37*F65*parametros_manuales!$M$26*parametros_manuales!$B$6=0,0,'Demanda puesto sin sobrestock'!$P$117/(parametros_manuales!$M$26*F37*F65*parametros_manuales!$B$6))</f>
        <v>0.42999318468003</v>
      </c>
      <c r="G9" s="46" t="n">
        <f aca="false">IF(G37*G65*parametros_manuales!$M$26*parametros_manuales!$B$6=0,0,'Demanda puesto sin sobrestock'!$P$144/(parametros_manuales!$M$26*G37*G65*parametros_manuales!$B$6))</f>
        <v>0.602656620599099</v>
      </c>
      <c r="H9" s="46" t="n">
        <f aca="false">IF(H37*H65*parametros_manuales!$M$26*parametros_manuales!$B$6=0,0,'Demanda puesto sin sobrestock'!$P$171/(parametros_manuales!$M$26*H37*H65*parametros_manuales!$B$6))</f>
        <v>0.810110623121622</v>
      </c>
      <c r="I9" s="47" t="n">
        <f aca="false">IF(I37*I65*parametros_manuales!$M$26*parametros_manuales!$B$6=0,0,'Demanda puesto sin sobrestock'!$P$198/(parametros_manuales!$M$26*I37*I65*parametros_manuales!$B$6))</f>
        <v>0.512139666260511</v>
      </c>
      <c r="J9" s="46" t="n">
        <f aca="false">IF(J37*J65*parametros_manuales!$M$26*parametros_manuales!$B$6=0,0,'Demanda puesto sin sobrestock'!$P$225/(parametros_manuales!$M$26*J37*J65*parametros_manuales!$B$6))</f>
        <v>0.584423895883634</v>
      </c>
      <c r="K9" s="46" t="n">
        <f aca="false">IF(K37*K65*parametros_manuales!$M$26*parametros_manuales!$B$6=0,0,'Demanda puesto sin sobrestock'!$P$252/(parametros_manuales!$M$26*K37*K65*parametros_manuales!$B$6))</f>
        <v>0.67556190515991</v>
      </c>
      <c r="L9" s="45" t="s">
        <v>81</v>
      </c>
      <c r="M9" s="50" t="s">
        <v>215</v>
      </c>
    </row>
    <row r="10" customFormat="false" ht="14.25" hidden="false" customHeight="true" outlineLevel="0" collapsed="false">
      <c r="A10" s="45" t="str">
        <f aca="false">parametros_manuales!$B$27</f>
        <v>Soldadura longitudinal</v>
      </c>
      <c r="B10" s="46" t="n">
        <f aca="false">IF(B38*B66*parametros_manuales!$M$27*parametros_manuales!$B$6=0,0,'Demanda puesto sin sobrestock'!$P$10/(parametros_manuales!$M$27*B38*B66*parametros_manuales!$B$6))</f>
        <v>0.0634550535495205</v>
      </c>
      <c r="C10" s="46" t="n">
        <f aca="false">IF(C38*C66*parametros_manuales!$M$27*parametros_manuales!$B$6=0,0,'Demanda puesto sin sobrestock'!$P$37/(parametros_manuales!$M$27*C38*C66*parametros_manuales!$B$6))</f>
        <v>0.114399724838964</v>
      </c>
      <c r="D10" s="46" t="n">
        <f aca="false">IF(D38*D66*parametros_manuales!$M$27*parametros_manuales!$B$6=0,0,'Demanda puesto sin sobrestock'!$P$64/(parametros_manuales!$M$27*D38*D66*parametros_manuales!$B$6))</f>
        <v>0.198182013925038</v>
      </c>
      <c r="E10" s="46" t="n">
        <f aca="false">IF(E38*E66*parametros_manuales!$M$27*parametros_manuales!$B$6=0,0,'Demanda puesto sin sobrestock'!$P$91/(parametros_manuales!$M$27*E38*E66*parametros_manuales!$B$6))</f>
        <v>0.366356488102318</v>
      </c>
      <c r="F10" s="46" t="n">
        <f aca="false">IF(F38*F66*parametros_manuales!$M$27*parametros_manuales!$B$6=0,0,'Demanda puesto sin sobrestock'!$P$118/(parametros_manuales!$M$27*F38*F66*parametros_manuales!$B$6))</f>
        <v>0.618115202977543</v>
      </c>
      <c r="G10" s="46" t="n">
        <f aca="false">IF(G38*G66*parametros_manuales!$M$27*parametros_manuales!$B$6=0,0,'Demanda puesto sin sobrestock'!$P$145/(parametros_manuales!$M$27*G38*G66*parametros_manuales!$B$6))</f>
        <v>0.866318892111205</v>
      </c>
      <c r="H10" s="47" t="n">
        <f aca="false">IF(H38*H66*parametros_manuales!$M$27*parametros_manuales!$B$6=0,0,'Demanda puesto sin sobrestock'!$P$172/(parametros_manuales!$M$27*H38*H66*parametros_manuales!$B$6))</f>
        <v>0.582267010368666</v>
      </c>
      <c r="I10" s="46" t="n">
        <f aca="false">IF(I38*I66*parametros_manuales!$M$27*parametros_manuales!$B$6=0,0,'Demanda puesto sin sobrestock'!$P$199/(parametros_manuales!$M$27*I38*I66*parametros_manuales!$B$6))</f>
        <v>0.736200770249484</v>
      </c>
      <c r="J10" s="46" t="n">
        <f aca="false">IF(J38*J66*parametros_manuales!$M$27*parametros_manuales!$B$6=0,0,'Demanda puesto sin sobrestock'!$P$226/(parametros_manuales!$M$27*J38*J66*parametros_manuales!$B$6))</f>
        <v>0.840109350332723</v>
      </c>
      <c r="K10" s="46" t="n">
        <f aca="false">IF(K38*K66*parametros_manuales!$M$27*parametros_manuales!$B$6=0,0,'Demanda puesto sin sobrestock'!$P$253/(parametros_manuales!$M$27*K38*K66*parametros_manuales!$B$6))</f>
        <v>0.971120238667371</v>
      </c>
      <c r="L10" s="45" t="s">
        <v>81</v>
      </c>
      <c r="M10" s="51" t="s">
        <v>216</v>
      </c>
    </row>
    <row r="11" customFormat="false" ht="14.25" hidden="false" customHeight="true" outlineLevel="0" collapsed="false">
      <c r="A11" s="45" t="str">
        <f aca="false">parametros_manuales!$B$28</f>
        <v>Encastre de fondo</v>
      </c>
      <c r="B11" s="46" t="n">
        <f aca="false">IF(B39*B67*parametros_manuales!$M$28*parametros_manuales!$B$6=0,0,'Demanda puesto sin sobrestock'!$P$11/(parametros_manuales!$M$28*B39*B67*parametros_manuales!$B$6))</f>
        <v>0.0449908601340667</v>
      </c>
      <c r="C11" s="46" t="n">
        <f aca="false">IF(C39*C67*parametros_manuales!$M$28*parametros_manuales!$B$6=0,0,'Demanda puesto sin sobrestock'!$P$38/(parametros_manuales!$M$28*C39*C67*parametros_manuales!$B$6))</f>
        <v>0.0706841276199095</v>
      </c>
      <c r="D11" s="46" t="n">
        <f aca="false">IF(D39*D67*parametros_manuales!$M$28*parametros_manuales!$B$6=0,0,'Demanda puesto sin sobrestock'!$P$65/(parametros_manuales!$M$28*D39*D67*parametros_manuales!$B$6))</f>
        <v>0.150445906000226</v>
      </c>
      <c r="E11" s="46" t="n">
        <f aca="false">IF(E39*E67*parametros_manuales!$M$28*parametros_manuales!$B$6=0,0,'Demanda puesto sin sobrestock'!$P$92/(parametros_manuales!$M$28*E39*E67*parametros_manuales!$B$6))</f>
        <v>0.334659378043043</v>
      </c>
      <c r="F11" s="46" t="n">
        <f aca="false">IF(F39*F67*parametros_manuales!$M$28*parametros_manuales!$B$6=0,0,'Demanda puesto sin sobrestock'!$P$119/(parametros_manuales!$M$28*F39*F67*parametros_manuales!$B$6))</f>
        <v>0.58357503026974</v>
      </c>
      <c r="G11" s="46" t="n">
        <f aca="false">IF(G39*G67*parametros_manuales!$M$28*parametros_manuales!$B$6=0,0,'Demanda puesto sin sobrestock'!$P$146/(parametros_manuales!$M$28*G39*G67*parametros_manuales!$B$6))</f>
        <v>0.819555851899887</v>
      </c>
      <c r="H11" s="47" t="n">
        <f aca="false">IF(H39*H67*parametros_manuales!$M$28*parametros_manuales!$B$6=0,0,'Demanda puesto sin sobrestock'!$P$173/(parametros_manuales!$M$28*H39*H67*parametros_manuales!$B$6))</f>
        <v>0.565500993811934</v>
      </c>
      <c r="I11" s="46" t="n">
        <f aca="false">IF(I39*I67*parametros_manuales!$M$28*parametros_manuales!$B$6=0,0,'Demanda puesto sin sobrestock'!$P$200/(parametros_manuales!$M$28*I39*I67*parametros_manuales!$B$6))</f>
        <v>0.722784778625283</v>
      </c>
      <c r="J11" s="46" t="n">
        <f aca="false">IF(J39*J67*parametros_manuales!$M$28*parametros_manuales!$B$6=0,0,'Demanda puesto sin sobrestock'!$P$227/(parametros_manuales!$M$28*J39*J67*parametros_manuales!$B$6))</f>
        <v>0.815376205598699</v>
      </c>
      <c r="K11" s="46" t="n">
        <f aca="false">IF(K39*K67*parametros_manuales!$M$28*parametros_manuales!$B$6=0,0,'Demanda puesto sin sobrestock'!$P$254/(parametros_manuales!$M$28*K39*K67*parametros_manuales!$B$6))</f>
        <v>0.942108633267251</v>
      </c>
      <c r="L11" s="45" t="s">
        <v>81</v>
      </c>
      <c r="M11" s="52" t="s">
        <v>217</v>
      </c>
    </row>
    <row r="12" customFormat="false" ht="14.25" hidden="false" customHeight="true" outlineLevel="0" collapsed="false">
      <c r="A12" s="45" t="str">
        <f aca="false">parametros_manuales!$B$29</f>
        <v>Bordoneado</v>
      </c>
      <c r="B12" s="46" t="n">
        <f aca="false">IF(B40*B68*parametros_manuales!$M$29*parametros_manuales!$B$6=0,0,'Demanda puesto sin sobrestock'!$P$12/(parametros_manuales!$M$29*B40*B68*parametros_manuales!$B$6))</f>
        <v>0.0299939067560445</v>
      </c>
      <c r="C12" s="46" t="n">
        <f aca="false">IF(C40*C68*parametros_manuales!$M$29*parametros_manuales!$B$6=0,0,'Demanda puesto sin sobrestock'!$P$39/(parametros_manuales!$M$29*C40*C68*parametros_manuales!$B$6))</f>
        <v>0.0471227517466063</v>
      </c>
      <c r="D12" s="46" t="n">
        <f aca="false">IF(D40*D68*parametros_manuales!$M$29*parametros_manuales!$B$6=0,0,'Demanda puesto sin sobrestock'!$P$66/(parametros_manuales!$M$29*D40*D68*parametros_manuales!$B$6))</f>
        <v>0.100297270666817</v>
      </c>
      <c r="E12" s="46" t="n">
        <f aca="false">IF(E40*E68*parametros_manuales!$M$29*parametros_manuales!$B$6=0,0,'Demanda puesto sin sobrestock'!$P$93/(parametros_manuales!$M$29*E40*E68*parametros_manuales!$B$6))</f>
        <v>0.223106252028695</v>
      </c>
      <c r="F12" s="46" t="n">
        <f aca="false">IF(F40*F68*parametros_manuales!$M$29*parametros_manuales!$B$6=0,0,'Demanda puesto sin sobrestock'!$P$120/(parametros_manuales!$M$29*F40*F68*parametros_manuales!$B$6))</f>
        <v>0.389050020179827</v>
      </c>
      <c r="G12" s="46" t="n">
        <f aca="false">IF(G40*G68*parametros_manuales!$M$29*parametros_manuales!$B$6=0,0,'Demanda puesto sin sobrestock'!$P$147/(parametros_manuales!$M$29*G40*G68*parametros_manuales!$B$6))</f>
        <v>0.546370567933258</v>
      </c>
      <c r="H12" s="46" t="n">
        <f aca="false">IF(H40*H68*parametros_manuales!$M$29*parametros_manuales!$B$6=0,0,'Demanda puesto sin sobrestock'!$P$174/(parametros_manuales!$M$29*H40*H68*parametros_manuales!$B$6))</f>
        <v>0.754001325082579</v>
      </c>
      <c r="I12" s="47" t="n">
        <f aca="false">IF(I40*I68*parametros_manuales!$M$29*parametros_manuales!$B$6=0,0,'Demanda puesto sin sobrestock'!$P$201/(parametros_manuales!$M$29*I40*I68*parametros_manuales!$B$6))</f>
        <v>0.481856519083522</v>
      </c>
      <c r="J12" s="46" t="n">
        <f aca="false">IF(J40*J68*parametros_manuales!$M$29*parametros_manuales!$B$6=0,0,'Demanda puesto sin sobrestock'!$P$228/(parametros_manuales!$M$29*J40*J68*parametros_manuales!$B$6))</f>
        <v>0.543584137065799</v>
      </c>
      <c r="K12" s="46" t="n">
        <f aca="false">IF(K40*K68*parametros_manuales!$M$29*parametros_manuales!$B$6=0,0,'Demanda puesto sin sobrestock'!$P$255/(parametros_manuales!$M$29*K40*K68*parametros_manuales!$B$6))</f>
        <v>0.628072422178167</v>
      </c>
      <c r="L12" s="45" t="s">
        <v>81</v>
      </c>
    </row>
    <row r="13" customFormat="false" ht="14.25" hidden="false" customHeight="true" outlineLevel="0" collapsed="false">
      <c r="A13" s="45" t="str">
        <f aca="false">parametros_manuales!$B$30</f>
        <v>Soldadura circunferencial de cúpula y fondo</v>
      </c>
      <c r="B13" s="46" t="n">
        <f aca="false">IF(B41*B69*parametros_manuales!$M$30*parametros_manuales!$B$6=0,0,'Demanda puesto sin sobrestock'!$P$13/(parametros_manuales!$M$30*B41*B69*parametros_manuales!$B$6))</f>
        <v>0.0899817202681335</v>
      </c>
      <c r="C13" s="46" t="n">
        <f aca="false">IF(C41*C69*parametros_manuales!$M$30*parametros_manuales!$B$6=0,0,'Demanda puesto sin sobrestock'!$P$40/(parametros_manuales!$M$30*C41*C69*parametros_manuales!$B$6))</f>
        <v>0.141368255239819</v>
      </c>
      <c r="D13" s="46" t="n">
        <f aca="false">IF(D41*D69*parametros_manuales!$M$30*parametros_manuales!$B$6=0,0,'Demanda puesto sin sobrestock'!$P$67/(parametros_manuales!$M$30*D41*D69*parametros_manuales!$B$6))</f>
        <v>0.300891812000452</v>
      </c>
      <c r="E13" s="46" t="n">
        <f aca="false">IF(E41*E69*parametros_manuales!$M$30*parametros_manuales!$B$6=0,0,'Demanda puesto sin sobrestock'!$P$94/(parametros_manuales!$M$30*E41*E69*parametros_manuales!$B$6))</f>
        <v>0.669318756086086</v>
      </c>
      <c r="F13" s="47" t="n">
        <f aca="false">IF(F41*F69*parametros_manuales!$M$30*parametros_manuales!$B$6=0,0,'Demanda puesto sin sobrestock'!$P$121/(parametros_manuales!$M$30*F41*F69*parametros_manuales!$B$6))</f>
        <v>0.58357503026974</v>
      </c>
      <c r="G13" s="46" t="n">
        <f aca="false">IF(G41*G69*parametros_manuales!$M$30*parametros_manuales!$B$6=0,0,'Demanda puesto sin sobrestock'!$P$148/(parametros_manuales!$M$30*G41*G69*parametros_manuales!$B$6))</f>
        <v>0.819555851899887</v>
      </c>
      <c r="H13" s="47" t="n">
        <f aca="false">IF(H41*H69*parametros_manuales!$M$30*parametros_manuales!$B$6=0,0,'Demanda puesto sin sobrestock'!$P$175/(parametros_manuales!$M$30*H41*H69*parametros_manuales!$B$6))</f>
        <v>0.565500993811934</v>
      </c>
      <c r="I13" s="46" t="n">
        <f aca="false">IF(I41*I69*parametros_manuales!$M$30*parametros_manuales!$B$6=0,0,'Demanda puesto sin sobrestock'!$P$202/(parametros_manuales!$M$30*I41*I69*parametros_manuales!$B$6))</f>
        <v>0.722784778625283</v>
      </c>
      <c r="J13" s="46" t="n">
        <f aca="false">IF(J41*J69*parametros_manuales!$M$30*parametros_manuales!$B$6=0,0,'Demanda puesto sin sobrestock'!$P$229/(parametros_manuales!$M$30*J41*J69*parametros_manuales!$B$6))</f>
        <v>0.815376205598699</v>
      </c>
      <c r="K13" s="46" t="n">
        <f aca="false">IF(K41*K69*parametros_manuales!$M$30*parametros_manuales!$B$6=0,0,'Demanda puesto sin sobrestock'!$P$256/(parametros_manuales!$M$30*K41*K69*parametros_manuales!$B$6))</f>
        <v>0.942108633267251</v>
      </c>
      <c r="L13" s="45" t="s">
        <v>81</v>
      </c>
      <c r="M13" s="53" t="s">
        <v>53</v>
      </c>
      <c r="N13" s="54" t="n">
        <f aca="false">parametros_manuales!$B$8</f>
        <v>0.9</v>
      </c>
    </row>
    <row r="14" customFormat="false" ht="14.25" hidden="false" customHeight="true" outlineLevel="0" collapsed="false">
      <c r="A14" s="45" t="str">
        <f aca="false">parametros_manuales!$B$31</f>
        <v>Control de calidad — Espesor</v>
      </c>
      <c r="B14" s="46" t="n">
        <f aca="false">IF(B42*B70*parametros_manuales!$M$31*parametros_manuales!$B$6=0,0,'Demanda puesto sin sobrestock'!$P$14/(parametros_manuales!$M$31*B42*B70*parametros_manuales!$B$6))</f>
        <v>0.00353528180964578</v>
      </c>
      <c r="C14" s="46" t="n">
        <f aca="false">IF(C42*C70*parametros_manuales!$M$31*parametros_manuales!$B$6=0,0,'Demanda puesto sin sobrestock'!$P$41/(parametros_manuales!$M$31*C42*C70*parametros_manuales!$B$6))</f>
        <v>0.00555420167253333</v>
      </c>
      <c r="D14" s="46" t="n">
        <f aca="false">IF(D42*D70*parametros_manuales!$M$31*parametros_manuales!$B$6=0,0,'Demanda puesto sin sobrestock'!$P$68/(parametros_manuales!$M$31*D42*D70*parametros_manuales!$B$6))</f>
        <v>0.0118217049692622</v>
      </c>
      <c r="E14" s="46" t="n">
        <f aca="false">IF(E42*E70*parametros_manuales!$M$31*parametros_manuales!$B$6=0,0,'Demanda puesto sin sobrestock'!$P$95/(parametros_manuales!$M$31*E42*E70*parametros_manuales!$B$6))</f>
        <v>0.0262967902391156</v>
      </c>
      <c r="F14" s="46" t="n">
        <f aca="false">IF(F42*F70*parametros_manuales!$M$31*parametros_manuales!$B$6=0,0,'Demanda puesto sin sobrestock'!$P$122/(parametros_manuales!$M$31*F42*F70*parametros_manuales!$B$6))</f>
        <v>0.0458560290451956</v>
      </c>
      <c r="G14" s="46" t="n">
        <f aca="false">IF(G42*G70*parametros_manuales!$M$31*parametros_manuales!$B$6=0,0,'Demanda puesto sin sobrestock'!$P$149/(parametros_manuales!$M$31*G42*G70*parametros_manuales!$B$6))</f>
        <v>0.0643988776070667</v>
      </c>
      <c r="H14" s="46" t="n">
        <f aca="false">IF(H42*H70*parametros_manuales!$M$31*parametros_manuales!$B$6=0,0,'Demanda puesto sin sobrestock'!$P$176/(parametros_manuales!$M$31*H42*H70*parametros_manuales!$B$6))</f>
        <v>0.0888716228497333</v>
      </c>
      <c r="I14" s="46" t="n">
        <f aca="false">IF(I42*I70*parametros_manuales!$M$31*parametros_manuales!$B$6=0,0,'Demanda puesto sin sobrestock'!$P$203/(parametros_manuales!$M$31*I42*I70*parametros_manuales!$B$6))</f>
        <v>0.113589643431956</v>
      </c>
      <c r="J14" s="46" t="n">
        <f aca="false">IF(J42*J70*parametros_manuales!$M$31*parametros_manuales!$B$6=0,0,'Demanda puesto sin sobrestock'!$P$230/(parametros_manuales!$M$31*J42*J70*parametros_manuales!$B$6))</f>
        <v>0.128140900577644</v>
      </c>
      <c r="K14" s="46" t="n">
        <f aca="false">IF(K42*K70*parametros_manuales!$M$31*parametros_manuales!$B$6=0,0,'Demanda puesto sin sobrestock'!$P$257/(parametros_manuales!$M$31*K42*K70*parametros_manuales!$B$6))</f>
        <v>0.1480576056548</v>
      </c>
      <c r="L14" s="45" t="s">
        <v>212</v>
      </c>
      <c r="M14" s="12" t="s">
        <v>218</v>
      </c>
    </row>
    <row r="15" customFormat="false" ht="14.25" hidden="false" customHeight="true" outlineLevel="0" collapsed="false">
      <c r="A15" s="45" t="str">
        <f aca="false">parametros_manuales!$B$32</f>
        <v>Prueba hidráulica</v>
      </c>
      <c r="B15" s="46" t="n">
        <f aca="false">IF(B43*B71*parametros_manuales!$M$32*parametros_manuales!$B$6=0,0,'Demanda puesto sin sobrestock'!$P$15/(parametros_manuales!$M$32*B43*B71*parametros_manuales!$B$6))</f>
        <v>0.0899817202681335</v>
      </c>
      <c r="C15" s="46" t="n">
        <f aca="false">IF(C43*C71*parametros_manuales!$M$32*parametros_manuales!$B$6=0,0,'Demanda puesto sin sobrestock'!$P$42/(parametros_manuales!$M$32*C43*C71*parametros_manuales!$B$6))</f>
        <v>0.141368255239819</v>
      </c>
      <c r="D15" s="46" t="n">
        <f aca="false">IF(D43*D71*parametros_manuales!$M$32*parametros_manuales!$B$6=0,0,'Demanda puesto sin sobrestock'!$P$69/(parametros_manuales!$M$32*D43*D71*parametros_manuales!$B$6))</f>
        <v>0.300891812000452</v>
      </c>
      <c r="E15" s="46" t="n">
        <f aca="false">IF(E43*E71*parametros_manuales!$M$32*parametros_manuales!$B$6=0,0,'Demanda puesto sin sobrestock'!$P$96/(parametros_manuales!$M$32*E43*E71*parametros_manuales!$B$6))</f>
        <v>0.669318756086086</v>
      </c>
      <c r="F15" s="47" t="n">
        <f aca="false">IF(F43*F71*parametros_manuales!$M$32*parametros_manuales!$B$6=0,0,'Demanda puesto sin sobrestock'!$P$123/(parametros_manuales!$M$32*F43*F71*parametros_manuales!$B$6))</f>
        <v>0.58357503026974</v>
      </c>
      <c r="G15" s="46" t="n">
        <f aca="false">IF(G43*G71*parametros_manuales!$M$32*parametros_manuales!$B$6=0,0,'Demanda puesto sin sobrestock'!$P$150/(parametros_manuales!$M$32*G43*G71*parametros_manuales!$B$6))</f>
        <v>0.819555851899887</v>
      </c>
      <c r="H15" s="47" t="n">
        <f aca="false">IF(H43*H71*parametros_manuales!$M$32*parametros_manuales!$B$6=0,0,'Demanda puesto sin sobrestock'!$P$177/(parametros_manuales!$M$32*H43*H71*parametros_manuales!$B$6))</f>
        <v>0.565500993811934</v>
      </c>
      <c r="I15" s="46" t="n">
        <f aca="false">IF(I43*I71*parametros_manuales!$M$32*parametros_manuales!$B$6=0,0,'Demanda puesto sin sobrestock'!$P$204/(parametros_manuales!$M$32*I43*I71*parametros_manuales!$B$6))</f>
        <v>0.722784778625283</v>
      </c>
      <c r="J15" s="46" t="n">
        <f aca="false">IF(J43*J71*parametros_manuales!$M$32*parametros_manuales!$B$6=0,0,'Demanda puesto sin sobrestock'!$P$231/(parametros_manuales!$M$32*J43*J71*parametros_manuales!$B$6))</f>
        <v>0.815376205598699</v>
      </c>
      <c r="K15" s="46" t="n">
        <f aca="false">IF(K43*K71*parametros_manuales!$M$32*parametros_manuales!$B$6=0,0,'Demanda puesto sin sobrestock'!$P$258/(parametros_manuales!$M$32*K43*K71*parametros_manuales!$B$6))</f>
        <v>0.942108633267251</v>
      </c>
      <c r="L15" s="45" t="s">
        <v>81</v>
      </c>
    </row>
    <row r="16" customFormat="false" ht="14.25" hidden="false" customHeight="true" outlineLevel="0" collapsed="false">
      <c r="A16" s="45" t="str">
        <f aca="false">parametros_manuales!$B$33</f>
        <v>Secado</v>
      </c>
      <c r="B16" s="46" t="n">
        <f aca="false">IF(B44*B72*parametros_manuales!$M$33*parametros_manuales!$B$6=0,0,'Demanda puesto sin sobrestock'!$P$16/(parametros_manuales!$M$33*B44*B72*parametros_manuales!$B$6))</f>
        <v>0.176764090482289</v>
      </c>
      <c r="C16" s="46" t="n">
        <f aca="false">IF(C44*C72*parametros_manuales!$M$33*parametros_manuales!$B$6=0,0,'Demanda puesto sin sobrestock'!$P$43/(parametros_manuales!$M$33*C44*C72*parametros_manuales!$B$6))</f>
        <v>0.277710083626667</v>
      </c>
      <c r="D16" s="46" t="n">
        <f aca="false">IF(D44*D72*parametros_manuales!$M$33*parametros_manuales!$B$6=0,0,'Demanda puesto sin sobrestock'!$P$70/(parametros_manuales!$M$33*D44*D72*parametros_manuales!$B$6))</f>
        <v>0.591085248463111</v>
      </c>
      <c r="E16" s="47" t="n">
        <f aca="false">IF(E44*E72*parametros_manuales!$M$33*parametros_manuales!$B$6=0,0,'Demanda puesto sin sobrestock'!$P$97/(parametros_manuales!$M$33*E44*E72*parametros_manuales!$B$6))</f>
        <v>0.657419755977889</v>
      </c>
      <c r="F16" s="47" t="n">
        <f aca="false">IF(F44*F72*parametros_manuales!$M$33*parametros_manuales!$B$6=0,0,'Demanda puesto sin sobrestock'!$P$124/(parametros_manuales!$M$33*F44*F72*parametros_manuales!$B$6))</f>
        <v>0.76426715075326</v>
      </c>
      <c r="G16" s="47" t="n">
        <f aca="false">IF(G44*G72*parametros_manuales!$M$33*parametros_manuales!$B$6=0,0,'Demanda puesto sin sobrestock'!$P$151/(parametros_manuales!$M$33*G44*G72*parametros_manuales!$B$6))</f>
        <v>0.804985970088333</v>
      </c>
      <c r="H16" s="47" t="n">
        <f aca="false">IF(H44*H72*parametros_manuales!$M$33*parametros_manuales!$B$6=0,0,'Demanda puesto sin sobrestock'!$P$178/(parametros_manuales!$M$33*H44*H72*parametros_manuales!$B$6))</f>
        <v>0.555447642810833</v>
      </c>
      <c r="I16" s="46" t="n">
        <f aca="false">IF(I44*I72*parametros_manuales!$M$33*parametros_manuales!$B$6=0,0,'Demanda puesto sin sobrestock'!$P$205/(parametros_manuales!$M$33*I44*I72*parametros_manuales!$B$6))</f>
        <v>0.709935271449722</v>
      </c>
      <c r="J16" s="46" t="n">
        <f aca="false">IF(J44*J72*parametros_manuales!$M$33*parametros_manuales!$B$6=0,0,'Demanda puesto sin sobrestock'!$P$232/(parametros_manuales!$M$33*J44*J72*parametros_manuales!$B$6))</f>
        <v>0.800880628610278</v>
      </c>
      <c r="K16" s="46" t="n">
        <f aca="false">IF(K44*K72*parametros_manuales!$M$33*parametros_manuales!$B$6=0,0,'Demanda puesto sin sobrestock'!$P$259/(parametros_manuales!$M$33*K44*K72*parametros_manuales!$B$6))</f>
        <v>0.9253600353425</v>
      </c>
      <c r="L16" s="45" t="s">
        <v>81</v>
      </c>
    </row>
    <row r="17" customFormat="false" ht="14.25" hidden="false" customHeight="true" outlineLevel="0" collapsed="false">
      <c r="A17" s="45" t="str">
        <f aca="false">parametros_manuales!$B$34</f>
        <v>Granallado</v>
      </c>
      <c r="B17" s="46" t="n">
        <f aca="false">IF(B45*B73*parametros_manuales!$M$34*parametros_manuales!$B$6=0,0,'Demanda puesto sin sobrestock'!$P$17/(parametros_manuales!$M$34*B45*B73*parametros_manuales!$B$6))</f>
        <v>0.0441910226205722</v>
      </c>
      <c r="C17" s="46" t="n">
        <f aca="false">IF(C45*C73*parametros_manuales!$M$34*parametros_manuales!$B$6=0,0,'Demanda puesto sin sobrestock'!$P$44/(parametros_manuales!$M$34*C45*C73*parametros_manuales!$B$6))</f>
        <v>0.0694275209066667</v>
      </c>
      <c r="D17" s="46" t="n">
        <f aca="false">IF(D45*D73*parametros_manuales!$M$34*parametros_manuales!$B$6=0,0,'Demanda puesto sin sobrestock'!$P$71/(parametros_manuales!$M$34*D45*D73*parametros_manuales!$B$6))</f>
        <v>0.147771312115778</v>
      </c>
      <c r="E17" s="46" t="n">
        <f aca="false">IF(E45*E73*parametros_manuales!$M$34*parametros_manuales!$B$6=0,0,'Demanda puesto sin sobrestock'!$P$98/(parametros_manuales!$M$34*E45*E73*parametros_manuales!$B$6))</f>
        <v>0.328709877988944</v>
      </c>
      <c r="F17" s="46" t="n">
        <f aca="false">IF(F45*F73*parametros_manuales!$M$34*parametros_manuales!$B$6=0,0,'Demanda puesto sin sobrestock'!$P$125/(parametros_manuales!$M$34*F45*F73*parametros_manuales!$B$6))</f>
        <v>0.573200363064945</v>
      </c>
      <c r="G17" s="46" t="n">
        <f aca="false">IF(G45*G73*parametros_manuales!$M$34*parametros_manuales!$B$6=0,0,'Demanda puesto sin sobrestock'!$P$152/(parametros_manuales!$M$34*G45*G73*parametros_manuales!$B$6))</f>
        <v>0.804985970088333</v>
      </c>
      <c r="H17" s="47" t="n">
        <f aca="false">IF(H45*H73*parametros_manuales!$M$34*parametros_manuales!$B$6=0,0,'Demanda puesto sin sobrestock'!$P$179/(parametros_manuales!$M$34*H45*H73*parametros_manuales!$B$6))</f>
        <v>0.555447642810833</v>
      </c>
      <c r="I17" s="46" t="n">
        <f aca="false">IF(I45*I73*parametros_manuales!$M$34*parametros_manuales!$B$6=0,0,'Demanda puesto sin sobrestock'!$P$206/(parametros_manuales!$M$34*I45*I73*parametros_manuales!$B$6))</f>
        <v>0.709935271449722</v>
      </c>
      <c r="J17" s="46" t="n">
        <f aca="false">IF(J45*J73*parametros_manuales!$M$34*parametros_manuales!$B$6=0,0,'Demanda puesto sin sobrestock'!$P$233/(parametros_manuales!$M$34*J45*J73*parametros_manuales!$B$6))</f>
        <v>0.800880628610278</v>
      </c>
      <c r="K17" s="46" t="n">
        <f aca="false">IF(K45*K73*parametros_manuales!$M$34*parametros_manuales!$B$6=0,0,'Demanda puesto sin sobrestock'!$P$260/(parametros_manuales!$M$34*K45*K73*parametros_manuales!$B$6))</f>
        <v>0.9253600353425</v>
      </c>
      <c r="L17" s="45" t="s">
        <v>81</v>
      </c>
    </row>
    <row r="18" customFormat="false" ht="14.25" hidden="false" customHeight="true" outlineLevel="0" collapsed="false">
      <c r="A18" s="45" t="str">
        <f aca="false">parametros_manuales!$B$35</f>
        <v>Detección de defectos</v>
      </c>
      <c r="B18" s="46" t="n">
        <f aca="false">IF(B46*B74*parametros_manuales!$M$35*parametros_manuales!$B$6=0,0,'Demanda puesto sin sobrestock'!$P$18/(parametros_manuales!$M$35*B46*B74*parametros_manuales!$B$6))</f>
        <v>0.0294606817470482</v>
      </c>
      <c r="C18" s="46" t="n">
        <f aca="false">IF(C46*C74*parametros_manuales!$M$35*parametros_manuales!$B$6=0,0,'Demanda puesto sin sobrestock'!$P$45/(parametros_manuales!$M$35*C46*C74*parametros_manuales!$B$6))</f>
        <v>0.0462850139377778</v>
      </c>
      <c r="D18" s="46" t="n">
        <f aca="false">IF(D46*D74*parametros_manuales!$M$35*parametros_manuales!$B$6=0,0,'Demanda puesto sin sobrestock'!$P$72/(parametros_manuales!$M$35*D46*D74*parametros_manuales!$B$6))</f>
        <v>0.0985142080771852</v>
      </c>
      <c r="E18" s="46" t="n">
        <f aca="false">IF(E46*E74*parametros_manuales!$M$35*parametros_manuales!$B$6=0,0,'Demanda puesto sin sobrestock'!$P$99/(parametros_manuales!$M$35*E46*E74*parametros_manuales!$B$6))</f>
        <v>0.219139918659296</v>
      </c>
      <c r="F18" s="46" t="n">
        <f aca="false">IF(F46*F74*parametros_manuales!$M$35*parametros_manuales!$B$6=0,0,'Demanda puesto sin sobrestock'!$P$126/(parametros_manuales!$M$35*F46*F74*parametros_manuales!$B$6))</f>
        <v>0.38213357537663</v>
      </c>
      <c r="G18" s="46" t="n">
        <f aca="false">IF(G46*G74*parametros_manuales!$M$35*parametros_manuales!$B$6=0,0,'Demanda puesto sin sobrestock'!$P$153/(parametros_manuales!$M$35*G46*G74*parametros_manuales!$B$6))</f>
        <v>0.536657313392222</v>
      </c>
      <c r="H18" s="46" t="n">
        <f aca="false">IF(H46*H74*parametros_manuales!$M$35*parametros_manuales!$B$6=0,0,'Demanda puesto sin sobrestock'!$P$180/(parametros_manuales!$M$35*H46*H74*parametros_manuales!$B$6))</f>
        <v>0.740596857081111</v>
      </c>
      <c r="I18" s="47" t="n">
        <f aca="false">IF(I46*I74*parametros_manuales!$M$35*parametros_manuales!$B$6=0,0,'Demanda puesto sin sobrestock'!$P$207/(parametros_manuales!$M$35*I46*I74*parametros_manuales!$B$6))</f>
        <v>0.473290180966481</v>
      </c>
      <c r="J18" s="46" t="n">
        <f aca="false">IF(J46*J74*parametros_manuales!$M$35*parametros_manuales!$B$6=0,0,'Demanda puesto sin sobrestock'!$P$234/(parametros_manuales!$M$35*J46*J74*parametros_manuales!$B$6))</f>
        <v>0.533920419073519</v>
      </c>
      <c r="K18" s="46" t="n">
        <f aca="false">IF(K46*K74*parametros_manuales!$M$35*parametros_manuales!$B$6=0,0,'Demanda puesto sin sobrestock'!$P$261/(parametros_manuales!$M$35*K46*K74*parametros_manuales!$B$6))</f>
        <v>0.616906690228333</v>
      </c>
      <c r="L18" s="45" t="s">
        <v>212</v>
      </c>
    </row>
    <row r="19" customFormat="false" ht="14.25" hidden="false" customHeight="true" outlineLevel="0" collapsed="false">
      <c r="A19" s="45" t="str">
        <f aca="false">parametros_manuales!$B$36</f>
        <v>Corrección de defectos</v>
      </c>
      <c r="B19" s="46" t="n">
        <f aca="false">IF(B47*B75*parametros_manuales!$M$36*parametros_manuales!$B$6=0,0,'Demanda puesto sin sobrestock'!$P$19/(parametros_manuales!$M$36*B47*B75*parametros_manuales!$B$6))</f>
        <v>0.0132573067861717</v>
      </c>
      <c r="C19" s="46" t="n">
        <f aca="false">IF(C47*C75*parametros_manuales!$M$36*parametros_manuales!$B$6=0,0,'Demanda puesto sin sobrestock'!$P$46/(parametros_manuales!$M$36*C47*C75*parametros_manuales!$B$6))</f>
        <v>0.020828256272</v>
      </c>
      <c r="D19" s="46" t="n">
        <f aca="false">IF(D47*D75*parametros_manuales!$M$36*parametros_manuales!$B$6=0,0,'Demanda puesto sin sobrestock'!$P$73/(parametros_manuales!$M$36*D47*D75*parametros_manuales!$B$6))</f>
        <v>0.0443313936347333</v>
      </c>
      <c r="E19" s="46" t="n">
        <f aca="false">IF(E47*E75*parametros_manuales!$M$36*parametros_manuales!$B$6=0,0,'Demanda puesto sin sobrestock'!$P$100/(parametros_manuales!$M$36*E47*E75*parametros_manuales!$B$6))</f>
        <v>0.0986129633966833</v>
      </c>
      <c r="F19" s="46" t="n">
        <f aca="false">IF(F47*F75*parametros_manuales!$M$36*parametros_manuales!$B$6=0,0,'Demanda puesto sin sobrestock'!$P$127/(parametros_manuales!$M$36*F47*F75*parametros_manuales!$B$6))</f>
        <v>0.171960108919483</v>
      </c>
      <c r="G19" s="46" t="n">
        <f aca="false">IF(G47*G75*parametros_manuales!$M$36*parametros_manuales!$B$6=0,0,'Demanda puesto sin sobrestock'!$P$154/(parametros_manuales!$M$36*G47*G75*parametros_manuales!$B$6))</f>
        <v>0.2414957910265</v>
      </c>
      <c r="H19" s="46" t="n">
        <f aca="false">IF(H47*H75*parametros_manuales!$M$36*parametros_manuales!$B$6=0,0,'Demanda puesto sin sobrestock'!$P$181/(parametros_manuales!$M$36*H47*H75*parametros_manuales!$B$6))</f>
        <v>0.3332685856865</v>
      </c>
      <c r="I19" s="46" t="n">
        <f aca="false">IF(I47*I75*parametros_manuales!$M$36*parametros_manuales!$B$6=0,0,'Demanda puesto sin sobrestock'!$P$208/(parametros_manuales!$M$36*I47*I75*parametros_manuales!$B$6))</f>
        <v>0.425961162869833</v>
      </c>
      <c r="J19" s="46" t="n">
        <f aca="false">IF(J47*J75*parametros_manuales!$M$36*parametros_manuales!$B$6=0,0,'Demanda puesto sin sobrestock'!$P$235/(parametros_manuales!$M$36*J47*J75*parametros_manuales!$B$6))</f>
        <v>0.480528377166167</v>
      </c>
      <c r="K19" s="46" t="n">
        <f aca="false">IF(K47*K75*parametros_manuales!$M$36*parametros_manuales!$B$6=0,0,'Demanda puesto sin sobrestock'!$P$262/(parametros_manuales!$M$36*K47*K75*parametros_manuales!$B$6))</f>
        <v>0.5552160212055</v>
      </c>
      <c r="L19" s="45" t="s">
        <v>212</v>
      </c>
    </row>
    <row r="20" customFormat="false" ht="14.25" hidden="false" customHeight="true" outlineLevel="0" collapsed="false">
      <c r="A20" s="45" t="str">
        <f aca="false">parametros_manuales!$B$37</f>
        <v>Pintura en polvo + horno</v>
      </c>
      <c r="B20" s="47" t="n">
        <f aca="false">IF(B48*B76*parametros_manuales!$M$37*parametros_manuales!$B$6=0,0,'Demanda puesto sin sobrestock'!$P$20/(parametros_manuales!$M$37*B48*B76*parametros_manuales!$B$6))</f>
        <v>0</v>
      </c>
      <c r="C20" s="47" t="n">
        <f aca="false">IF(C48*C76*parametros_manuales!$M$37*parametros_manuales!$B$6=0,0,'Demanda puesto sin sobrestock'!$P$47/(parametros_manuales!$M$37*C48*C76*parametros_manuales!$B$6))</f>
        <v>0</v>
      </c>
      <c r="D20" s="47" t="n">
        <f aca="false">IF(D48*D76*parametros_manuales!$M$37*parametros_manuales!$B$6=0,0,'Demanda puesto sin sobrestock'!$P$74/(parametros_manuales!$M$37*D48*D76*parametros_manuales!$B$6))</f>
        <v>0</v>
      </c>
      <c r="E20" s="47" t="n">
        <f aca="false">IF(E48*E76*parametros_manuales!$M$37*parametros_manuales!$B$6=0,0,'Demanda puesto sin sobrestock'!$P$101/(parametros_manuales!$M$37*E48*E76*parametros_manuales!$B$6))</f>
        <v>0</v>
      </c>
      <c r="F20" s="46" t="n">
        <f aca="false">IF(F48*F76*parametros_manuales!$M$37*parametros_manuales!$B$6=0,0,'Demanda puesto sin sobrestock'!$P$128/(parametros_manuales!$M$37*F48*F76*parametros_manuales!$B$6))</f>
        <v>0.504577784388156</v>
      </c>
      <c r="G20" s="46" t="n">
        <f aca="false">IF(G48*G76*parametros_manuales!$M$37*parametros_manuales!$B$6=0,0,'Demanda puesto sin sobrestock'!$P$155/(parametros_manuales!$M$37*G48*G76*parametros_manuales!$B$6))</f>
        <v>0.708614410289026</v>
      </c>
      <c r="H20" s="47" t="n">
        <f aca="false">IF(H48*H76*parametros_manuales!$M$37*parametros_manuales!$B$6=0,0,'Demanda puesto sin sobrestock'!$P$182/(parametros_manuales!$M$37*H48*H76*parametros_manuales!$B$6))</f>
        <v>0.488950389798269</v>
      </c>
      <c r="I20" s="46" t="n">
        <f aca="false">IF(I48*I76*parametros_manuales!$M$37*parametros_manuales!$B$6=0,0,'Demanda puesto sin sobrestock'!$P$209/(parametros_manuales!$M$37*I48*I76*parametros_manuales!$B$6))</f>
        <v>0.624943020642361</v>
      </c>
      <c r="J20" s="46" t="n">
        <f aca="false">IF(J48*J76*parametros_manuales!$M$37*parametros_manuales!$B$6=0,0,'Demanda puesto sin sobrestock'!$P$236/(parametros_manuales!$M$37*J48*J76*parametros_manuales!$B$6))</f>
        <v>0.705000553354118</v>
      </c>
      <c r="K20" s="46" t="n">
        <f aca="false">IF(K48*K76*parametros_manuales!$M$37*parametros_manuales!$B$6=0,0,'Demanda puesto sin sobrestock'!$P$263/(parametros_manuales!$M$37*K48*K76*parametros_manuales!$B$6))</f>
        <v>0.814577495900088</v>
      </c>
      <c r="L20" s="45" t="s">
        <v>81</v>
      </c>
    </row>
    <row r="21" customFormat="false" ht="14.25" hidden="false" customHeight="true" outlineLevel="0" collapsed="false">
      <c r="A21" s="45" t="str">
        <f aca="false">parametros_manuales!$B$38</f>
        <v>Carga de polvo</v>
      </c>
      <c r="B21" s="46" t="n">
        <f aca="false">IF(B49*B77*parametros_manuales!$M$38*parametros_manuales!$B$6=0,0,'Demanda puesto sin sobrestock'!$P$21/(parametros_manuales!$M$38*B49*B77*parametros_manuales!$B$6))</f>
        <v>0.0661123672641917</v>
      </c>
      <c r="C21" s="46" t="n">
        <f aca="false">IF(C49*C77*parametros_manuales!$M$38*parametros_manuales!$B$6=0,0,'Demanda puesto sin sobrestock'!$P$48/(parametros_manuales!$M$38*C49*C77*parametros_manuales!$B$6))</f>
        <v>0.10362318136</v>
      </c>
      <c r="D21" s="46" t="n">
        <f aca="false">IF(D49*D77*parametros_manuales!$M$38*parametros_manuales!$B$6=0,0,'Demanda puesto sin sobrestock'!$P$75/(parametros_manuales!$M$38*D49*D77*parametros_manuales!$B$6))</f>
        <v>0.127023034840333</v>
      </c>
      <c r="E21" s="46" t="n">
        <f aca="false">IF(E49*E77*parametros_manuales!$M$38*parametros_manuales!$B$6=0,0,'Demanda puesto sin sobrestock'!$P$102/(parametros_manuales!$M$38*E49*E77*parametros_manuales!$B$6))</f>
        <v>0.164994216983417</v>
      </c>
      <c r="F21" s="46" t="n">
        <f aca="false">IF(F49*F77*parametros_manuales!$M$38*parametros_manuales!$B$6=0,0,'Demanda puesto sin sobrestock'!$P$129/(parametros_manuales!$M$38*F49*F77*parametros_manuales!$B$6))</f>
        <v>0.253464844597417</v>
      </c>
      <c r="G21" s="46" t="n">
        <f aca="false">IF(G49*G77*parametros_manuales!$M$38*parametros_manuales!$B$6=0,0,'Demanda puesto sin sobrestock'!$P$156/(parametros_manuales!$M$38*G49*G77*parametros_manuales!$B$6))</f>
        <v>0.328762088465833</v>
      </c>
      <c r="H21" s="46" t="n">
        <f aca="false">IF(H49*H77*parametros_manuales!$M$38*parametros_manuales!$B$6=0,0,'Demanda puesto sin sobrestock'!$P$183/(parametros_manuales!$M$38*H49*H77*parametros_manuales!$B$6))</f>
        <v>0.425016561765833</v>
      </c>
      <c r="I21" s="46" t="n">
        <f aca="false">IF(I49*I77*parametros_manuales!$M$38*parametros_manuales!$B$6=0,0,'Demanda puesto sin sobrestock'!$P$210/(parametros_manuales!$M$38*I49*I77*parametros_manuales!$B$6))</f>
        <v>0.525728781015833</v>
      </c>
      <c r="J21" s="46" t="n">
        <f aca="false">IF(J49*J77*parametros_manuales!$M$38*parametros_manuales!$B$6=0,0,'Demanda puesto sin sobrestock'!$P$237/(parametros_manuales!$M$38*J49*J77*parametros_manuales!$B$6))</f>
        <v>0.605080419164167</v>
      </c>
      <c r="K21" s="46" t="n">
        <f aca="false">IF(K49*K77*parametros_manuales!$M$38*parametros_manuales!$B$6=0,0,'Demanda puesto sin sobrestock'!$P$264/(parametros_manuales!$M$38*K49*K77*parametros_manuales!$B$6))</f>
        <v>0.688140739360833</v>
      </c>
      <c r="L21" s="45" t="s">
        <v>81</v>
      </c>
    </row>
    <row r="22" customFormat="false" ht="14.25" hidden="false" customHeight="true" outlineLevel="0" collapsed="false">
      <c r="A22" s="45" t="str">
        <f aca="false">parametros_manuales!$B$39</f>
        <v>Ensamblaje</v>
      </c>
      <c r="B22" s="46" t="n">
        <f aca="false">IF(B50*B78*parametros_manuales!$M$39*parametros_manuales!$B$6=0,0,'Demanda puesto sin sobrestock'!$P$22/(parametros_manuales!$M$39*B50*B78*parametros_manuales!$B$6))</f>
        <v>0.149575491547945</v>
      </c>
      <c r="C22" s="46" t="n">
        <f aca="false">IF(C50*C78*parametros_manuales!$M$39*parametros_manuales!$B$6=0,0,'Demanda puesto sin sobrestock'!$P$49/(parametros_manuales!$M$39*C50*C78*parametros_manuales!$B$6))</f>
        <v>0.23444158678733</v>
      </c>
      <c r="D22" s="46" t="n">
        <f aca="false">IF(D50*D78*parametros_manuales!$M$39*parametros_manuales!$B$6=0,0,'Demanda puesto sin sobrestock'!$P$76/(parametros_manuales!$M$39*D50*D78*parametros_manuales!$B$6))</f>
        <v>0.28738243176546</v>
      </c>
      <c r="E22" s="46" t="n">
        <f aca="false">IF(E50*E78*parametros_manuales!$M$39*parametros_manuales!$B$6=0,0,'Demanda puesto sin sobrestock'!$P$103/(parametros_manuales!$M$39*E50*E78*parametros_manuales!$B$6))</f>
        <v>0.373290083672888</v>
      </c>
      <c r="F22" s="46" t="n">
        <f aca="false">IF(F50*F78*parametros_manuales!$M$39*parametros_manuales!$B$6=0,0,'Demanda puesto sin sobrestock'!$P$130/(parametros_manuales!$M$39*F50*F78*parametros_manuales!$B$6))</f>
        <v>0.573449874654789</v>
      </c>
      <c r="G22" s="46" t="n">
        <f aca="false">IF(G50*G78*parametros_manuales!$M$39*parametros_manuales!$B$6=0,0,'Demanda puesto sin sobrestock'!$P$157/(parametros_manuales!$M$39*G50*G78*parametros_manuales!$B$6))</f>
        <v>0.743805630013198</v>
      </c>
      <c r="H22" s="47" t="n">
        <f aca="false">IF(H50*H78*parametros_manuales!$M$39*parametros_manuales!$B$6=0,0,'Demanda puesto sin sobrestock'!$P$184/(parametros_manuales!$M$39*H50*H78*parametros_manuales!$B$6))</f>
        <v>0.480787965798454</v>
      </c>
      <c r="I22" s="46" t="n">
        <f aca="false">IF(I50*I78*parametros_manuales!$M$39*parametros_manuales!$B$6=0,0,'Demanda puesto sin sobrestock'!$P$211/(parametros_manuales!$M$39*I50*I78*parametros_manuales!$B$6))</f>
        <v>0.594715815628771</v>
      </c>
      <c r="J22" s="46" t="n">
        <f aca="false">IF(J50*J78*parametros_manuales!$M$39*parametros_manuales!$B$6=0,0,'Demanda puesto sin sobrestock'!$P$238/(parametros_manuales!$M$39*J50*J78*parametros_manuales!$B$6))</f>
        <v>0.684480112176659</v>
      </c>
      <c r="K22" s="46" t="n">
        <f aca="false">IF(K50*K78*parametros_manuales!$M$39*parametros_manuales!$B$6=0,0,'Demanda puesto sin sobrestock'!$P$265/(parametros_manuales!$M$39*K50*K78*parametros_manuales!$B$6))</f>
        <v>0.778439750408183</v>
      </c>
      <c r="L22" s="45" t="s">
        <v>212</v>
      </c>
    </row>
    <row r="23" customFormat="false" ht="14.25" hidden="false" customHeight="true" outlineLevel="0" collapsed="false">
      <c r="A23" s="45" t="str">
        <f aca="false">parametros_manuales!$B$40</f>
        <v>Presurización</v>
      </c>
      <c r="B23" s="46" t="n">
        <f aca="false">IF(B51*B79*parametros_manuales!$M$40*parametros_manuales!$B$6=0,0,'Demanda puesto sin sobrestock'!$P$23/(parametros_manuales!$M$40*B51*B79*parametros_manuales!$B$6))</f>
        <v>0.0440749115094611</v>
      </c>
      <c r="C23" s="46" t="n">
        <f aca="false">IF(C51*C79*parametros_manuales!$M$40*parametros_manuales!$B$6=0,0,'Demanda puesto sin sobrestock'!$P$50/(parametros_manuales!$M$40*C51*C79*parametros_manuales!$B$6))</f>
        <v>0.0690821209066667</v>
      </c>
      <c r="D23" s="46" t="n">
        <f aca="false">IF(D51*D79*parametros_manuales!$M$40*parametros_manuales!$B$6=0,0,'Demanda puesto sin sobrestock'!$P$77/(parametros_manuales!$M$40*D51*D79*parametros_manuales!$B$6))</f>
        <v>0.0846820232268889</v>
      </c>
      <c r="E23" s="46" t="n">
        <f aca="false">IF(E51*E79*parametros_manuales!$M$40*parametros_manuales!$B$6=0,0,'Demanda puesto sin sobrestock'!$P$104/(parametros_manuales!$M$40*E51*E79*parametros_manuales!$B$6))</f>
        <v>0.109996144655611</v>
      </c>
      <c r="F23" s="46" t="n">
        <f aca="false">IF(F51*F79*parametros_manuales!$M$40*parametros_manuales!$B$6=0,0,'Demanda puesto sin sobrestock'!$P$131/(parametros_manuales!$M$40*F51*F79*parametros_manuales!$B$6))</f>
        <v>0.168976563064944</v>
      </c>
      <c r="G23" s="46" t="n">
        <f aca="false">IF(G51*G79*parametros_manuales!$M$40*parametros_manuales!$B$6=0,0,'Demanda puesto sin sobrestock'!$P$158/(parametros_manuales!$M$40*G51*G79*parametros_manuales!$B$6))</f>
        <v>0.219174725643889</v>
      </c>
      <c r="H23" s="46" t="n">
        <f aca="false">IF(H51*H79*parametros_manuales!$M$40*parametros_manuales!$B$6=0,0,'Demanda puesto sin sobrestock'!$P$185/(parametros_manuales!$M$40*H51*H79*parametros_manuales!$B$6))</f>
        <v>0.283344374510556</v>
      </c>
      <c r="I23" s="46" t="n">
        <f aca="false">IF(I51*I79*parametros_manuales!$M$40*parametros_manuales!$B$6=0,0,'Demanda puesto sin sobrestock'!$P$212/(parametros_manuales!$M$40*I51*I79*parametros_manuales!$B$6))</f>
        <v>0.350485854010556</v>
      </c>
      <c r="J23" s="46" t="n">
        <f aca="false">IF(J51*J79*parametros_manuales!$M$40*parametros_manuales!$B$6=0,0,'Demanda puesto sin sobrestock'!$P$239/(parametros_manuales!$M$40*J51*J79*parametros_manuales!$B$6))</f>
        <v>0.403386946109445</v>
      </c>
      <c r="K23" s="46" t="n">
        <f aca="false">IF(K51*K79*parametros_manuales!$M$40*parametros_manuales!$B$6=0,0,'Demanda puesto sin sobrestock'!$P$266/(parametros_manuales!$M$40*K51*K79*parametros_manuales!$B$6))</f>
        <v>0.458760492907222</v>
      </c>
      <c r="L23" s="45" t="s">
        <v>81</v>
      </c>
    </row>
    <row r="24" customFormat="false" ht="14.25" hidden="false" customHeight="true" outlineLevel="0" collapsed="false">
      <c r="A24" s="45" t="str">
        <f aca="false">parametros_manuales!$B$41</f>
        <v>Control de calidad — Ensayo de pérdidas</v>
      </c>
      <c r="B24" s="46" t="n">
        <f aca="false">IF(B52*B80*parametros_manuales!$M$41*parametros_manuales!$B$6=0,0,'Demanda puesto sin sobrestock'!$P$24/(parametros_manuales!$M$41*B52*B80*parametros_manuales!$B$6))</f>
        <v>0.080804004434012</v>
      </c>
      <c r="C24" s="46" t="n">
        <f aca="false">IF(C52*C80*parametros_manuales!$M$41*parametros_manuales!$B$6=0,0,'Demanda puesto sin sobrestock'!$P$51/(parametros_manuales!$M$41*C52*C80*parametros_manuales!$B$6))</f>
        <v>0.126650554995556</v>
      </c>
      <c r="D24" s="46" t="n">
        <f aca="false">IF(D52*D80*parametros_manuales!$M$41*parametros_manuales!$B$6=0,0,'Demanda puesto sin sobrestock'!$P$78/(parametros_manuales!$M$41*D52*D80*parametros_manuales!$B$6))</f>
        <v>0.155250375915963</v>
      </c>
      <c r="E24" s="46" t="n">
        <f aca="false">IF(E52*E80*parametros_manuales!$M$41*parametros_manuales!$B$6=0,0,'Demanda puesto sin sobrestock'!$P$105/(parametros_manuales!$M$41*E52*E80*parametros_manuales!$B$6))</f>
        <v>0.201659598535287</v>
      </c>
      <c r="F24" s="46" t="n">
        <f aca="false">IF(F52*F80*parametros_manuales!$M$41*parametros_manuales!$B$6=0,0,'Demanda puesto sin sobrestock'!$P$132/(parametros_manuales!$M$41*F52*F80*parametros_manuales!$B$6))</f>
        <v>0.309790365619065</v>
      </c>
      <c r="G24" s="46" t="n">
        <f aca="false">IF(G52*G80*parametros_manuales!$M$41*parametros_manuales!$B$6=0,0,'Demanda puesto sin sobrestock'!$P$159/(parametros_manuales!$M$41*G52*G80*parametros_manuales!$B$6))</f>
        <v>0.40182033034713</v>
      </c>
      <c r="H24" s="46" t="n">
        <f aca="false">IF(H52*H80*parametros_manuales!$M$41*parametros_manuales!$B$6=0,0,'Demanda puesto sin sobrestock'!$P$186/(parametros_manuales!$M$41*H52*H80*parametros_manuales!$B$6))</f>
        <v>0.519464686602685</v>
      </c>
      <c r="I24" s="46" t="n">
        <f aca="false">IF(I52*I80*parametros_manuales!$M$41*parametros_manuales!$B$6=0,0,'Demanda puesto sin sobrestock'!$P$213/(parametros_manuales!$M$41*I52*I80*parametros_manuales!$B$6))</f>
        <v>0.642557399019352</v>
      </c>
      <c r="J24" s="47" t="n">
        <f aca="false">IF(J52*J80*parametros_manuales!$M$41*parametros_manuales!$B$6=0,0,'Demanda puesto sin sobrestock'!$P$240/(parametros_manuales!$M$41*J52*J80*parametros_manuales!$B$6))</f>
        <v>0.369771367266991</v>
      </c>
      <c r="K24" s="46" t="n">
        <f aca="false">IF(K52*K80*parametros_manuales!$M$41*parametros_manuales!$B$6=0,0,'Demanda puesto sin sobrestock'!$P$267/(parametros_manuales!$M$41*K52*K80*parametros_manuales!$B$6))</f>
        <v>0.42053045183162</v>
      </c>
      <c r="L24" s="45" t="s">
        <v>81</v>
      </c>
    </row>
    <row r="25" customFormat="false" ht="14.25" hidden="false" customHeight="true" outlineLevel="0" collapsed="false">
      <c r="A25" s="45" t="str">
        <f aca="false">parametros_manuales!$B$42</f>
        <v>Etiquetado</v>
      </c>
      <c r="B25" s="46" t="n">
        <f aca="false">IF(B53*B81*parametros_manuales!$M$42*parametros_manuales!$B$6=0,0,'Demanda puesto sin sobrestock'!$P$25/(parametros_manuales!$M$42*B53*B81*parametros_manuales!$B$6))</f>
        <v>0.0881498230189222</v>
      </c>
      <c r="C25" s="46" t="n">
        <f aca="false">IF(C53*C81*parametros_manuales!$M$42*parametros_manuales!$B$6=0,0,'Demanda puesto sin sobrestock'!$P$52/(parametros_manuales!$M$42*C53*C81*parametros_manuales!$B$6))</f>
        <v>0.138164241813333</v>
      </c>
      <c r="D25" s="46" t="n">
        <f aca="false">IF(D53*D81*parametros_manuales!$M$42*parametros_manuales!$B$6=0,0,'Demanda puesto sin sobrestock'!$P$79/(parametros_manuales!$M$42*D53*D81*parametros_manuales!$B$6))</f>
        <v>0.169364046453778</v>
      </c>
      <c r="E25" s="46" t="n">
        <f aca="false">IF(E53*E81*parametros_manuales!$M$42*parametros_manuales!$B$6=0,0,'Demanda puesto sin sobrestock'!$P$106/(parametros_manuales!$M$42*E53*E81*parametros_manuales!$B$6))</f>
        <v>0.219992289311222</v>
      </c>
      <c r="F25" s="46" t="n">
        <f aca="false">IF(F53*F81*parametros_manuales!$M$42*parametros_manuales!$B$6=0,0,'Demanda puesto sin sobrestock'!$P$133/(parametros_manuales!$M$42*F53*F81*parametros_manuales!$B$6))</f>
        <v>0.337953126129889</v>
      </c>
      <c r="G25" s="46" t="n">
        <f aca="false">IF(G53*G81*parametros_manuales!$M$42*parametros_manuales!$B$6=0,0,'Demanda puesto sin sobrestock'!$P$160/(parametros_manuales!$M$42*G53*G81*parametros_manuales!$B$6))</f>
        <v>0.438349451287778</v>
      </c>
      <c r="H25" s="46" t="n">
        <f aca="false">IF(H53*H81*parametros_manuales!$M$42*parametros_manuales!$B$6=0,0,'Demanda puesto sin sobrestock'!$P$187/(parametros_manuales!$M$42*H53*H81*parametros_manuales!$B$6))</f>
        <v>0.566688749021111</v>
      </c>
      <c r="I25" s="46" t="n">
        <f aca="false">IF(I53*I81*parametros_manuales!$M$42*parametros_manuales!$B$6=0,0,'Demanda puesto sin sobrestock'!$P$214/(parametros_manuales!$M$42*I53*I81*parametros_manuales!$B$6))</f>
        <v>0.700971708021111</v>
      </c>
      <c r="J25" s="46" t="n">
        <f aca="false">IF(J53*J81*parametros_manuales!$M$42*parametros_manuales!$B$6=0,0,'Demanda puesto sin sobrestock'!$P$241/(parametros_manuales!$M$42*J53*J81*parametros_manuales!$B$6))</f>
        <v>0.806773892218889</v>
      </c>
      <c r="K25" s="46" t="n">
        <f aca="false">IF(K53*K81*parametros_manuales!$M$42*parametros_manuales!$B$6=0,0,'Demanda puesto sin sobrestock'!$P$268/(parametros_manuales!$M$42*K53*K81*parametros_manuales!$B$6))</f>
        <v>0.458760492907222</v>
      </c>
      <c r="L25" s="45" t="s">
        <v>81</v>
      </c>
    </row>
    <row r="26" customFormat="false" ht="14.25" hidden="false" customHeight="true" outlineLevel="0" collapsed="false">
      <c r="A26" s="45" t="str">
        <f aca="false">parametros_manuales!$B$43</f>
        <v>Embalaje y paletizado</v>
      </c>
      <c r="B26" s="46" t="n">
        <f aca="false">IF(B54*B82*parametros_manuales!$M$43*parametros_manuales!$B$6=0,0,'Demanda puesto sin sobrestock'!$P$26/(parametros_manuales!$M$43*B54*B82*parametros_manuales!$B$6))</f>
        <v>0.0668810319930185</v>
      </c>
      <c r="C26" s="46" t="n">
        <f aca="false">IF(C54*C82*parametros_manuales!$M$43*parametros_manuales!$B$6=0,0,'Demanda puesto sin sobrestock'!$P$53/(parametros_manuales!$M$43*C54*C82*parametros_manuales!$B$6))</f>
        <v>0.105075283883408</v>
      </c>
      <c r="D26" s="46" t="n">
        <f aca="false">IF(D54*D82*parametros_manuales!$M$43*parametros_manuales!$B$6=0,0,'Demanda puesto sin sobrestock'!$P$80/(parametros_manuales!$M$43*D54*D82*parametros_manuales!$B$6))</f>
        <v>0.223644923045179</v>
      </c>
      <c r="E26" s="46" t="n">
        <f aca="false">IF(E54*E82*parametros_manuales!$M$43*parametros_manuales!$B$6=0,0,'Demanda puesto sin sobrestock'!$P$107/(parametros_manuales!$M$43*E54*E82*parametros_manuales!$B$6))</f>
        <v>0.497486922965331</v>
      </c>
      <c r="F26" s="46" t="n">
        <f aca="false">IF(F54*F82*parametros_manuales!$M$43*parametros_manuales!$B$6=0,0,'Demanda puesto sin sobrestock'!$P$134/(parametros_manuales!$M$43*F54*F82*parametros_manuales!$B$6))</f>
        <v>0.86751176024403</v>
      </c>
      <c r="G26" s="47" t="n">
        <f aca="false">IF(G54*G82*parametros_manuales!$M$43*parametros_manuales!$B$6=0,0,'Demanda puesto sin sobrestock'!$P$161/(parametros_manuales!$M$43*G54*G82*parametros_manuales!$B$6))</f>
        <v>0.609154181400925</v>
      </c>
      <c r="H26" s="46" t="n">
        <f aca="false">IF(H54*H82*parametros_manuales!$M$43*parametros_manuales!$B$6=0,0,'Demanda puesto sin sobrestock'!$P$188/(parametros_manuales!$M$43*H54*H82*parametros_manuales!$B$6))</f>
        <v>0.840643854029848</v>
      </c>
      <c r="I26" s="47" t="n">
        <f aca="false">IF(I54*I82*parametros_manuales!$M$43*parametros_manuales!$B$6=0,0,'Demanda puesto sin sobrestock'!$P$215/(parametros_manuales!$M$43*I54*I82*parametros_manuales!$B$6))</f>
        <v>0.537226802946819</v>
      </c>
      <c r="J26" s="46" t="n">
        <f aca="false">IF(J54*J82*parametros_manuales!$M$43*parametros_manuales!$B$6=0,0,'Demanda puesto sin sobrestock'!$P$242/(parametros_manuales!$M$43*J54*J82*parametros_manuales!$B$6))</f>
        <v>0.606047560887822</v>
      </c>
      <c r="K26" s="46" t="n">
        <f aca="false">IF(K54*K82*parametros_manuales!$M$43*parametros_manuales!$B$6=0,0,'Demanda puesto sin sobrestock'!$P$269/(parametros_manuales!$M$43*K54*K82*parametros_manuales!$B$6))</f>
        <v>0.700244421363439</v>
      </c>
      <c r="L26" s="45" t="s">
        <v>212</v>
      </c>
    </row>
    <row r="27" customFormat="false" ht="14.25" hidden="false" customHeight="true" outlineLevel="0" collapsed="false">
      <c r="A27" s="10" t="s">
        <v>219</v>
      </c>
      <c r="B27" s="55" t="n">
        <f aca="false">MAX(B2:B26)</f>
        <v>0.176764090482289</v>
      </c>
      <c r="C27" s="55" t="n">
        <f aca="false">MAX(C2:C26)</f>
        <v>0.277710083626667</v>
      </c>
      <c r="D27" s="55" t="n">
        <f aca="false">MAX(D2:D26)</f>
        <v>0.591085248463111</v>
      </c>
      <c r="E27" s="55" t="n">
        <f aca="false">MAX(E2:E26)</f>
        <v>0.669318756086086</v>
      </c>
      <c r="F27" s="55" t="n">
        <f aca="false">MAX(F2:F26)</f>
        <v>0.86751176024403</v>
      </c>
      <c r="G27" s="55" t="n">
        <f aca="false">MAX(G2:G26)</f>
        <v>0.866318892111205</v>
      </c>
      <c r="H27" s="55" t="n">
        <f aca="false">MAX(H2:H26)</f>
        <v>0.871290420095425</v>
      </c>
      <c r="I27" s="55" t="n">
        <f aca="false">MAX(I2:I26)</f>
        <v>0.736200770249484</v>
      </c>
      <c r="J27" s="55" t="n">
        <f aca="false">MAX(J2:J26)</f>
        <v>0.840109350332723</v>
      </c>
      <c r="K27" s="55" t="n">
        <f aca="false">MAX(K2:K26)</f>
        <v>0.971120238667371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7" t="s">
        <v>220</v>
      </c>
      <c r="B29" s="7" t="n">
        <v>2026</v>
      </c>
      <c r="C29" s="7" t="n">
        <v>2027</v>
      </c>
      <c r="D29" s="7" t="n">
        <v>2028</v>
      </c>
      <c r="E29" s="7" t="n">
        <v>2029</v>
      </c>
      <c r="F29" s="7" t="n">
        <v>2030</v>
      </c>
      <c r="G29" s="7" t="n">
        <v>2031</v>
      </c>
      <c r="H29" s="7" t="n">
        <v>2032</v>
      </c>
      <c r="I29" s="7" t="n">
        <v>2033</v>
      </c>
      <c r="J29" s="7" t="n">
        <v>2034</v>
      </c>
      <c r="K29" s="7" t="n">
        <v>2035</v>
      </c>
    </row>
    <row r="30" customFormat="false" ht="14.25" hidden="false" customHeight="true" outlineLevel="0" collapsed="false">
      <c r="A30" s="8" t="str">
        <f aca="false">parametros_manuales!$B$19</f>
        <v>Recepción de materia prima</v>
      </c>
      <c r="B30" s="41" t="n">
        <v>1</v>
      </c>
      <c r="C30" s="41" t="n">
        <v>1</v>
      </c>
      <c r="D30" s="41" t="n">
        <v>1</v>
      </c>
      <c r="E30" s="41" t="n">
        <v>1</v>
      </c>
      <c r="F30" s="41" t="n">
        <v>2</v>
      </c>
      <c r="G30" s="41" t="n">
        <v>3</v>
      </c>
      <c r="H30" s="41" t="n">
        <v>3</v>
      </c>
      <c r="I30" s="41" t="n">
        <v>3</v>
      </c>
      <c r="J30" s="41" t="n">
        <v>3</v>
      </c>
      <c r="K30" s="41" t="n">
        <v>3</v>
      </c>
    </row>
    <row r="31" customFormat="false" ht="14.25" hidden="false" customHeight="true" outlineLevel="0" collapsed="false">
      <c r="A31" s="8" t="str">
        <f aca="false">parametros_manuales!$B$20</f>
        <v>Corte de chapa (guillotina) — 2,5 a 10 kg</v>
      </c>
      <c r="B31" s="41" t="n">
        <v>1</v>
      </c>
      <c r="C31" s="41" t="n">
        <v>1</v>
      </c>
      <c r="D31" s="41" t="n">
        <v>1</v>
      </c>
      <c r="E31" s="41" t="n">
        <v>1</v>
      </c>
      <c r="F31" s="41" t="n">
        <v>1</v>
      </c>
      <c r="G31" s="41" t="n">
        <v>1</v>
      </c>
      <c r="H31" s="41" t="n">
        <v>1</v>
      </c>
      <c r="I31" s="41" t="n">
        <v>1</v>
      </c>
      <c r="J31" s="41" t="n">
        <v>1</v>
      </c>
      <c r="K31" s="41" t="n">
        <v>1</v>
      </c>
    </row>
    <row r="32" customFormat="false" ht="14.25" hidden="false" customHeight="true" outlineLevel="0" collapsed="false">
      <c r="A32" s="8" t="str">
        <f aca="false">parametros_manuales!$B$21</f>
        <v>Corte de tubo — 1 kg</v>
      </c>
      <c r="B32" s="41" t="n">
        <v>1</v>
      </c>
      <c r="C32" s="41" t="n">
        <v>1</v>
      </c>
      <c r="D32" s="41" t="n">
        <v>1</v>
      </c>
      <c r="E32" s="41" t="n">
        <v>1</v>
      </c>
      <c r="F32" s="41" t="n">
        <v>1</v>
      </c>
      <c r="G32" s="41" t="n">
        <v>1</v>
      </c>
      <c r="H32" s="41" t="n">
        <v>1</v>
      </c>
      <c r="I32" s="41" t="n">
        <v>1</v>
      </c>
      <c r="J32" s="41" t="n">
        <v>1</v>
      </c>
      <c r="K32" s="41" t="n">
        <v>1</v>
      </c>
    </row>
    <row r="33" customFormat="false" ht="14.25" hidden="false" customHeight="true" outlineLevel="0" collapsed="false">
      <c r="A33" s="8" t="str">
        <f aca="false">parametros_manuales!$B$22</f>
        <v>Corte de disco y embutido (cúpula y fondo)</v>
      </c>
      <c r="B33" s="41" t="n">
        <v>1</v>
      </c>
      <c r="C33" s="41" t="n">
        <v>1</v>
      </c>
      <c r="D33" s="41" t="n">
        <v>1</v>
      </c>
      <c r="E33" s="41" t="n">
        <v>1</v>
      </c>
      <c r="F33" s="41" t="n">
        <v>1</v>
      </c>
      <c r="G33" s="41" t="n">
        <v>1</v>
      </c>
      <c r="H33" s="41" t="n">
        <v>1</v>
      </c>
      <c r="I33" s="41" t="n">
        <v>1</v>
      </c>
      <c r="J33" s="41" t="n">
        <v>1</v>
      </c>
      <c r="K33" s="41" t="n">
        <v>1</v>
      </c>
    </row>
    <row r="34" customFormat="false" ht="14.25" hidden="false" customHeight="true" outlineLevel="0" collapsed="false">
      <c r="A34" s="8" t="str">
        <f aca="false">parametros_manuales!$B$23</f>
        <v>Preparación de cuello</v>
      </c>
      <c r="B34" s="41" t="n">
        <v>1</v>
      </c>
      <c r="C34" s="41" t="n">
        <v>1</v>
      </c>
      <c r="D34" s="41" t="n">
        <v>1</v>
      </c>
      <c r="E34" s="41" t="n">
        <v>1</v>
      </c>
      <c r="F34" s="41" t="n">
        <v>2</v>
      </c>
      <c r="G34" s="41" t="n">
        <v>2</v>
      </c>
      <c r="H34" s="41" t="n">
        <v>2</v>
      </c>
      <c r="I34" s="41" t="n">
        <v>2</v>
      </c>
      <c r="J34" s="41" t="n">
        <v>2</v>
      </c>
      <c r="K34" s="41" t="n">
        <v>2</v>
      </c>
    </row>
    <row r="35" customFormat="false" ht="14.25" hidden="false" customHeight="true" outlineLevel="0" collapsed="false">
      <c r="A35" s="8" t="str">
        <f aca="false">parametros_manuales!$B$24</f>
        <v>Numerado de cúpula</v>
      </c>
      <c r="B35" s="41" t="n">
        <v>1</v>
      </c>
      <c r="C35" s="41" t="n">
        <v>1</v>
      </c>
      <c r="D35" s="41" t="n">
        <v>1</v>
      </c>
      <c r="E35" s="41" t="n">
        <v>1</v>
      </c>
      <c r="F35" s="41" t="n">
        <v>1</v>
      </c>
      <c r="G35" s="41" t="n">
        <v>1</v>
      </c>
      <c r="H35" s="41" t="n">
        <v>1</v>
      </c>
      <c r="I35" s="41" t="n">
        <v>1</v>
      </c>
      <c r="J35" s="41" t="n">
        <v>1</v>
      </c>
      <c r="K35" s="41" t="n">
        <v>1</v>
      </c>
    </row>
    <row r="36" customFormat="false" ht="14.25" hidden="false" customHeight="true" outlineLevel="0" collapsed="false">
      <c r="A36" s="8" t="str">
        <f aca="false">parametros_manuales!$B$25</f>
        <v>Soldadura del cuello a la cúpula</v>
      </c>
      <c r="B36" s="41" t="n">
        <v>1</v>
      </c>
      <c r="C36" s="41" t="n">
        <v>1</v>
      </c>
      <c r="D36" s="41" t="n">
        <v>1</v>
      </c>
      <c r="E36" s="41" t="n">
        <v>1</v>
      </c>
      <c r="F36" s="41" t="n">
        <v>1</v>
      </c>
      <c r="G36" s="41" t="n">
        <v>1</v>
      </c>
      <c r="H36" s="41" t="n">
        <v>1</v>
      </c>
      <c r="I36" s="41" t="n">
        <v>1</v>
      </c>
      <c r="J36" s="41" t="n">
        <v>1</v>
      </c>
      <c r="K36" s="41" t="n">
        <v>1</v>
      </c>
    </row>
    <row r="37" customFormat="false" ht="14.25" hidden="false" customHeight="true" outlineLevel="0" collapsed="false">
      <c r="A37" s="8" t="str">
        <f aca="false">parametros_manuales!$B$26</f>
        <v>Cilindrado</v>
      </c>
      <c r="B37" s="41" t="n">
        <v>1</v>
      </c>
      <c r="C37" s="41" t="n">
        <v>1</v>
      </c>
      <c r="D37" s="41" t="n">
        <v>1</v>
      </c>
      <c r="E37" s="41" t="n">
        <v>1</v>
      </c>
      <c r="F37" s="41" t="n">
        <v>1</v>
      </c>
      <c r="G37" s="41" t="n">
        <v>1</v>
      </c>
      <c r="H37" s="41" t="n">
        <v>1</v>
      </c>
      <c r="I37" s="41" t="n">
        <v>1</v>
      </c>
      <c r="J37" s="41" t="n">
        <v>1</v>
      </c>
      <c r="K37" s="41" t="n">
        <v>1</v>
      </c>
    </row>
    <row r="38" customFormat="false" ht="14.25" hidden="false" customHeight="true" outlineLevel="0" collapsed="false">
      <c r="A38" s="8" t="str">
        <f aca="false">parametros_manuales!$B$27</f>
        <v>Soldadura longitudinal</v>
      </c>
      <c r="B38" s="41" t="n">
        <v>1</v>
      </c>
      <c r="C38" s="41" t="n">
        <v>1</v>
      </c>
      <c r="D38" s="41" t="n">
        <v>1</v>
      </c>
      <c r="E38" s="41" t="n">
        <v>1</v>
      </c>
      <c r="F38" s="41" t="n">
        <v>1</v>
      </c>
      <c r="G38" s="41" t="n">
        <v>1</v>
      </c>
      <c r="H38" s="41" t="n">
        <v>1</v>
      </c>
      <c r="I38" s="41" t="n">
        <v>1</v>
      </c>
      <c r="J38" s="41" t="n">
        <v>1</v>
      </c>
      <c r="K38" s="41" t="n">
        <v>1</v>
      </c>
    </row>
    <row r="39" customFormat="false" ht="14.25" hidden="false" customHeight="true" outlineLevel="0" collapsed="false">
      <c r="A39" s="8" t="str">
        <f aca="false">parametros_manuales!$B$28</f>
        <v>Encastre de fondo</v>
      </c>
      <c r="B39" s="41" t="n">
        <v>1</v>
      </c>
      <c r="C39" s="41" t="n">
        <v>1</v>
      </c>
      <c r="D39" s="41" t="n">
        <v>1</v>
      </c>
      <c r="E39" s="41" t="n">
        <v>1</v>
      </c>
      <c r="F39" s="41" t="n">
        <v>1</v>
      </c>
      <c r="G39" s="41" t="n">
        <v>1</v>
      </c>
      <c r="H39" s="41" t="n">
        <v>1</v>
      </c>
      <c r="I39" s="41" t="n">
        <v>1</v>
      </c>
      <c r="J39" s="41" t="n">
        <v>1</v>
      </c>
      <c r="K39" s="41" t="n">
        <v>1</v>
      </c>
    </row>
    <row r="40" customFormat="false" ht="14.25" hidden="false" customHeight="true" outlineLevel="0" collapsed="false">
      <c r="A40" s="8" t="str">
        <f aca="false">parametros_manuales!$B$29</f>
        <v>Bordoneado</v>
      </c>
      <c r="B40" s="41" t="n">
        <v>1</v>
      </c>
      <c r="C40" s="41" t="n">
        <v>1</v>
      </c>
      <c r="D40" s="41" t="n">
        <v>1</v>
      </c>
      <c r="E40" s="41" t="n">
        <v>1</v>
      </c>
      <c r="F40" s="41" t="n">
        <v>1</v>
      </c>
      <c r="G40" s="41" t="n">
        <v>1</v>
      </c>
      <c r="H40" s="41" t="n">
        <v>1</v>
      </c>
      <c r="I40" s="41" t="n">
        <v>1</v>
      </c>
      <c r="J40" s="41" t="n">
        <v>1</v>
      </c>
      <c r="K40" s="41" t="n">
        <v>1</v>
      </c>
    </row>
    <row r="41" customFormat="false" ht="14.25" hidden="false" customHeight="true" outlineLevel="0" collapsed="false">
      <c r="A41" s="8" t="str">
        <f aca="false">parametros_manuales!$B$30</f>
        <v>Soldadura circunferencial de cúpula y fondo</v>
      </c>
      <c r="B41" s="41" t="n">
        <v>1</v>
      </c>
      <c r="C41" s="41" t="n">
        <v>1</v>
      </c>
      <c r="D41" s="41" t="n">
        <v>1</v>
      </c>
      <c r="E41" s="41" t="n">
        <v>1</v>
      </c>
      <c r="F41" s="41" t="n">
        <v>2</v>
      </c>
      <c r="G41" s="41" t="n">
        <v>2</v>
      </c>
      <c r="H41" s="41" t="n">
        <v>2</v>
      </c>
      <c r="I41" s="41" t="n">
        <v>2</v>
      </c>
      <c r="J41" s="41" t="n">
        <v>2</v>
      </c>
      <c r="K41" s="41" t="n">
        <v>2</v>
      </c>
    </row>
    <row r="42" customFormat="false" ht="14.25" hidden="false" customHeight="true" outlineLevel="0" collapsed="false">
      <c r="A42" s="8" t="str">
        <f aca="false">parametros_manuales!$B$31</f>
        <v>Control de calidad — Espesor</v>
      </c>
      <c r="B42" s="41" t="n">
        <v>1</v>
      </c>
      <c r="C42" s="41" t="n">
        <v>1</v>
      </c>
      <c r="D42" s="41" t="n">
        <v>1</v>
      </c>
      <c r="E42" s="41" t="n">
        <v>1</v>
      </c>
      <c r="F42" s="41" t="n">
        <v>1</v>
      </c>
      <c r="G42" s="41" t="n">
        <v>1</v>
      </c>
      <c r="H42" s="41" t="n">
        <v>1</v>
      </c>
      <c r="I42" s="41" t="n">
        <v>1</v>
      </c>
      <c r="J42" s="41" t="n">
        <v>1</v>
      </c>
      <c r="K42" s="41" t="n">
        <v>1</v>
      </c>
    </row>
    <row r="43" customFormat="false" ht="14.25" hidden="false" customHeight="true" outlineLevel="0" collapsed="false">
      <c r="A43" s="8" t="str">
        <f aca="false">parametros_manuales!$B$32</f>
        <v>Prueba hidráulica</v>
      </c>
      <c r="B43" s="41" t="n">
        <v>1</v>
      </c>
      <c r="C43" s="41" t="n">
        <v>1</v>
      </c>
      <c r="D43" s="41" t="n">
        <v>1</v>
      </c>
      <c r="E43" s="41" t="n">
        <v>1</v>
      </c>
      <c r="F43" s="41" t="n">
        <v>2</v>
      </c>
      <c r="G43" s="41" t="n">
        <v>2</v>
      </c>
      <c r="H43" s="41" t="n">
        <v>2</v>
      </c>
      <c r="I43" s="41" t="n">
        <v>2</v>
      </c>
      <c r="J43" s="41" t="n">
        <v>2</v>
      </c>
      <c r="K43" s="41" t="n">
        <v>2</v>
      </c>
    </row>
    <row r="44" customFormat="false" ht="14.25" hidden="false" customHeight="true" outlineLevel="0" collapsed="false">
      <c r="A44" s="8" t="str">
        <f aca="false">parametros_manuales!$B$33</f>
        <v>Secado</v>
      </c>
      <c r="B44" s="41" t="n">
        <v>1</v>
      </c>
      <c r="C44" s="41" t="n">
        <v>1</v>
      </c>
      <c r="D44" s="41" t="n">
        <v>1</v>
      </c>
      <c r="E44" s="41" t="n">
        <v>2</v>
      </c>
      <c r="F44" s="41" t="n">
        <v>3</v>
      </c>
      <c r="G44" s="41" t="n">
        <v>4</v>
      </c>
      <c r="H44" s="41" t="n">
        <v>4</v>
      </c>
      <c r="I44" s="41" t="n">
        <v>4</v>
      </c>
      <c r="J44" s="41" t="n">
        <v>4</v>
      </c>
      <c r="K44" s="41" t="n">
        <v>4</v>
      </c>
    </row>
    <row r="45" customFormat="false" ht="14.25" hidden="false" customHeight="true" outlineLevel="0" collapsed="false">
      <c r="A45" s="8" t="str">
        <f aca="false">parametros_manuales!$B$34</f>
        <v>Granallado</v>
      </c>
      <c r="B45" s="41" t="n">
        <v>1</v>
      </c>
      <c r="C45" s="41" t="n">
        <v>1</v>
      </c>
      <c r="D45" s="41" t="n">
        <v>1</v>
      </c>
      <c r="E45" s="41" t="n">
        <v>1</v>
      </c>
      <c r="F45" s="41" t="n">
        <v>1</v>
      </c>
      <c r="G45" s="41" t="n">
        <v>1</v>
      </c>
      <c r="H45" s="41" t="n">
        <v>1</v>
      </c>
      <c r="I45" s="41" t="n">
        <v>1</v>
      </c>
      <c r="J45" s="41" t="n">
        <v>1</v>
      </c>
      <c r="K45" s="41" t="n">
        <v>1</v>
      </c>
    </row>
    <row r="46" customFormat="false" ht="14.25" hidden="false" customHeight="true" outlineLevel="0" collapsed="false">
      <c r="A46" s="8" t="str">
        <f aca="false">parametros_manuales!$B$35</f>
        <v>Detección de defectos</v>
      </c>
      <c r="B46" s="41" t="n">
        <v>1</v>
      </c>
      <c r="C46" s="41" t="n">
        <v>1</v>
      </c>
      <c r="D46" s="41" t="n">
        <v>1</v>
      </c>
      <c r="E46" s="41" t="n">
        <v>1</v>
      </c>
      <c r="F46" s="41" t="n">
        <v>1</v>
      </c>
      <c r="G46" s="41" t="n">
        <v>1</v>
      </c>
      <c r="H46" s="41" t="n">
        <v>1</v>
      </c>
      <c r="I46" s="41" t="n">
        <v>1</v>
      </c>
      <c r="J46" s="41" t="n">
        <v>1</v>
      </c>
      <c r="K46" s="41" t="n">
        <v>1</v>
      </c>
    </row>
    <row r="47" customFormat="false" ht="14.25" hidden="false" customHeight="true" outlineLevel="0" collapsed="false">
      <c r="A47" s="8" t="str">
        <f aca="false">parametros_manuales!$B$36</f>
        <v>Corrección de defectos</v>
      </c>
      <c r="B47" s="41" t="n">
        <v>1</v>
      </c>
      <c r="C47" s="41" t="n">
        <v>1</v>
      </c>
      <c r="D47" s="41" t="n">
        <v>1</v>
      </c>
      <c r="E47" s="41" t="n">
        <v>1</v>
      </c>
      <c r="F47" s="41" t="n">
        <v>1</v>
      </c>
      <c r="G47" s="41" t="n">
        <v>1</v>
      </c>
      <c r="H47" s="41" t="n">
        <v>1</v>
      </c>
      <c r="I47" s="41" t="n">
        <v>1</v>
      </c>
      <c r="J47" s="41" t="n">
        <v>1</v>
      </c>
      <c r="K47" s="41" t="n">
        <v>1</v>
      </c>
    </row>
    <row r="48" customFormat="false" ht="14.25" hidden="false" customHeight="true" outlineLevel="0" collapsed="false">
      <c r="A48" s="8" t="str">
        <f aca="false">parametros_manuales!$B$37</f>
        <v>Pintura en polvo + horno</v>
      </c>
      <c r="B48" s="41" t="n">
        <v>0</v>
      </c>
      <c r="C48" s="41" t="n">
        <v>0</v>
      </c>
      <c r="D48" s="41" t="n">
        <v>0</v>
      </c>
      <c r="E48" s="41" t="n">
        <v>0</v>
      </c>
      <c r="F48" s="41" t="n">
        <v>1</v>
      </c>
      <c r="G48" s="41" t="n">
        <v>1</v>
      </c>
      <c r="H48" s="41" t="n">
        <v>1</v>
      </c>
      <c r="I48" s="41" t="n">
        <v>1</v>
      </c>
      <c r="J48" s="41" t="n">
        <v>1</v>
      </c>
      <c r="K48" s="41" t="n">
        <v>1</v>
      </c>
    </row>
    <row r="49" customFormat="false" ht="14.25" hidden="false" customHeight="true" outlineLevel="0" collapsed="false">
      <c r="A49" s="8" t="str">
        <f aca="false">parametros_manuales!$B$38</f>
        <v>Carga de polvo</v>
      </c>
      <c r="B49" s="41" t="n">
        <v>1</v>
      </c>
      <c r="C49" s="41" t="n">
        <v>1</v>
      </c>
      <c r="D49" s="41" t="n">
        <v>1</v>
      </c>
      <c r="E49" s="41" t="n">
        <v>1</v>
      </c>
      <c r="F49" s="41" t="n">
        <v>1</v>
      </c>
      <c r="G49" s="41" t="n">
        <v>1</v>
      </c>
      <c r="H49" s="41" t="n">
        <v>1</v>
      </c>
      <c r="I49" s="41" t="n">
        <v>1</v>
      </c>
      <c r="J49" s="41" t="n">
        <v>1</v>
      </c>
      <c r="K49" s="41" t="n">
        <v>1</v>
      </c>
    </row>
    <row r="50" customFormat="false" ht="14.25" hidden="false" customHeight="true" outlineLevel="0" collapsed="false">
      <c r="A50" s="8" t="str">
        <f aca="false">parametros_manuales!$B$39</f>
        <v>Ensamblaje</v>
      </c>
      <c r="B50" s="41" t="n">
        <v>1</v>
      </c>
      <c r="C50" s="41" t="n">
        <v>1</v>
      </c>
      <c r="D50" s="41" t="n">
        <v>1</v>
      </c>
      <c r="E50" s="41" t="n">
        <v>1</v>
      </c>
      <c r="F50" s="41" t="n">
        <v>1</v>
      </c>
      <c r="G50" s="41" t="n">
        <v>1</v>
      </c>
      <c r="H50" s="41" t="n">
        <v>1</v>
      </c>
      <c r="I50" s="41" t="n">
        <v>1</v>
      </c>
      <c r="J50" s="41" t="n">
        <v>1</v>
      </c>
      <c r="K50" s="41" t="n">
        <v>1</v>
      </c>
    </row>
    <row r="51" customFormat="false" ht="14.25" hidden="false" customHeight="true" outlineLevel="0" collapsed="false">
      <c r="A51" s="8" t="str">
        <f aca="false">parametros_manuales!$B$40</f>
        <v>Presurización</v>
      </c>
      <c r="B51" s="41" t="n">
        <v>1</v>
      </c>
      <c r="C51" s="41" t="n">
        <v>1</v>
      </c>
      <c r="D51" s="41" t="n">
        <v>1</v>
      </c>
      <c r="E51" s="41" t="n">
        <v>1</v>
      </c>
      <c r="F51" s="41" t="n">
        <v>1</v>
      </c>
      <c r="G51" s="41" t="n">
        <v>1</v>
      </c>
      <c r="H51" s="41" t="n">
        <v>1</v>
      </c>
      <c r="I51" s="41" t="n">
        <v>1</v>
      </c>
      <c r="J51" s="41" t="n">
        <v>1</v>
      </c>
      <c r="K51" s="41" t="n">
        <v>1</v>
      </c>
    </row>
    <row r="52" customFormat="false" ht="14.25" hidden="false" customHeight="true" outlineLevel="0" collapsed="false">
      <c r="A52" s="8" t="str">
        <f aca="false">parametros_manuales!$B$41</f>
        <v>Control de calidad — Ensayo de pérdidas</v>
      </c>
      <c r="B52" s="41" t="n">
        <v>1</v>
      </c>
      <c r="C52" s="41" t="n">
        <v>1</v>
      </c>
      <c r="D52" s="41" t="n">
        <v>1</v>
      </c>
      <c r="E52" s="41" t="n">
        <v>1</v>
      </c>
      <c r="F52" s="41" t="n">
        <v>1</v>
      </c>
      <c r="G52" s="41" t="n">
        <v>1</v>
      </c>
      <c r="H52" s="41" t="n">
        <v>1</v>
      </c>
      <c r="I52" s="41" t="n">
        <v>1</v>
      </c>
      <c r="J52" s="41" t="n">
        <v>1</v>
      </c>
      <c r="K52" s="41" t="n">
        <v>1</v>
      </c>
    </row>
    <row r="53" customFormat="false" ht="14.25" hidden="false" customHeight="true" outlineLevel="0" collapsed="false">
      <c r="A53" s="8" t="str">
        <f aca="false">parametros_manuales!$B$42</f>
        <v>Etiquetado</v>
      </c>
      <c r="B53" s="41" t="n">
        <v>1</v>
      </c>
      <c r="C53" s="41" t="n">
        <v>1</v>
      </c>
      <c r="D53" s="41" t="n">
        <v>1</v>
      </c>
      <c r="E53" s="41" t="n">
        <v>1</v>
      </c>
      <c r="F53" s="41" t="n">
        <v>1</v>
      </c>
      <c r="G53" s="41" t="n">
        <v>1</v>
      </c>
      <c r="H53" s="41" t="n">
        <v>1</v>
      </c>
      <c r="I53" s="41" t="n">
        <v>1</v>
      </c>
      <c r="J53" s="41" t="n">
        <v>1</v>
      </c>
      <c r="K53" s="41" t="n">
        <v>1</v>
      </c>
    </row>
    <row r="54" customFormat="false" ht="14.25" hidden="false" customHeight="true" outlineLevel="0" collapsed="false">
      <c r="A54" s="8" t="str">
        <f aca="false">parametros_manuales!$B$43</f>
        <v>Embalaje y paletizado</v>
      </c>
      <c r="B54" s="41" t="n">
        <v>1</v>
      </c>
      <c r="C54" s="41" t="n">
        <v>1</v>
      </c>
      <c r="D54" s="41" t="n">
        <v>1</v>
      </c>
      <c r="E54" s="41" t="n">
        <v>1</v>
      </c>
      <c r="F54" s="41" t="n">
        <v>1</v>
      </c>
      <c r="G54" s="41" t="n">
        <v>2</v>
      </c>
      <c r="H54" s="41" t="n">
        <v>2</v>
      </c>
      <c r="I54" s="41" t="n">
        <v>2</v>
      </c>
      <c r="J54" s="41" t="n">
        <v>2</v>
      </c>
      <c r="K54" s="41" t="n">
        <v>2</v>
      </c>
    </row>
    <row r="55" customFormat="false" ht="14.25" hidden="false" customHeight="true" outlineLevel="0" collapsed="false">
      <c r="A55" s="10" t="s">
        <v>221</v>
      </c>
      <c r="B55" s="56" t="n">
        <f aca="false">SUM(B30:B54)</f>
        <v>24</v>
      </c>
      <c r="C55" s="56" t="n">
        <f aca="false">SUM(C30:C54)</f>
        <v>24</v>
      </c>
      <c r="D55" s="56" t="n">
        <f aca="false">SUM(D30:D54)</f>
        <v>24</v>
      </c>
      <c r="E55" s="56" t="n">
        <f aca="false">SUM(E30:E54)</f>
        <v>25</v>
      </c>
      <c r="F55" s="56" t="n">
        <f aca="false">SUM(F30:F54)</f>
        <v>31</v>
      </c>
      <c r="G55" s="56" t="n">
        <f aca="false">SUM(G30:G54)</f>
        <v>34</v>
      </c>
      <c r="H55" s="56" t="n">
        <f aca="false">SUM(H30:H54)</f>
        <v>34</v>
      </c>
      <c r="I55" s="56" t="n">
        <f aca="false">SUM(I30:I54)</f>
        <v>34</v>
      </c>
      <c r="J55" s="56" t="n">
        <f aca="false">SUM(J30:J54)</f>
        <v>34</v>
      </c>
      <c r="K55" s="56" t="n">
        <f aca="false">SUM(K30:K54)</f>
        <v>34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7" t="s">
        <v>222</v>
      </c>
      <c r="B57" s="7" t="n">
        <v>2026</v>
      </c>
      <c r="C57" s="7" t="n">
        <v>2027</v>
      </c>
      <c r="D57" s="7" t="n">
        <v>2028</v>
      </c>
      <c r="E57" s="7" t="n">
        <v>2029</v>
      </c>
      <c r="F57" s="7" t="n">
        <v>2030</v>
      </c>
      <c r="G57" s="7" t="n">
        <v>2031</v>
      </c>
      <c r="H57" s="7" t="n">
        <v>2032</v>
      </c>
      <c r="I57" s="7" t="n">
        <v>2033</v>
      </c>
      <c r="J57" s="7" t="n">
        <v>2034</v>
      </c>
      <c r="K57" s="7" t="n">
        <v>2035</v>
      </c>
    </row>
    <row r="58" customFormat="false" ht="14.25" hidden="false" customHeight="true" outlineLevel="0" collapsed="false">
      <c r="A58" s="8" t="str">
        <f aca="false">parametros_manuales!$B$19</f>
        <v>Recepción de materia prima</v>
      </c>
      <c r="B58" s="41" t="n">
        <v>1</v>
      </c>
      <c r="C58" s="41" t="n">
        <v>1</v>
      </c>
      <c r="D58" s="41" t="n">
        <v>1</v>
      </c>
      <c r="E58" s="41" t="n">
        <v>1</v>
      </c>
      <c r="F58" s="41" t="n">
        <v>1</v>
      </c>
      <c r="G58" s="41" t="n">
        <v>1</v>
      </c>
      <c r="H58" s="41" t="n">
        <v>1</v>
      </c>
      <c r="I58" s="41" t="n">
        <v>2</v>
      </c>
      <c r="J58" s="41" t="n">
        <v>2</v>
      </c>
      <c r="K58" s="41" t="n">
        <v>2</v>
      </c>
    </row>
    <row r="59" customFormat="false" ht="14.25" hidden="false" customHeight="true" outlineLevel="0" collapsed="false">
      <c r="A59" s="8" t="str">
        <f aca="false">parametros_manuales!$B$20</f>
        <v>Corte de chapa (guillotina) — 2,5 a 10 kg</v>
      </c>
      <c r="B59" s="41" t="n">
        <v>1</v>
      </c>
      <c r="C59" s="41" t="n">
        <v>1</v>
      </c>
      <c r="D59" s="41" t="n">
        <v>1</v>
      </c>
      <c r="E59" s="41" t="n">
        <v>1</v>
      </c>
      <c r="F59" s="41" t="n">
        <v>1</v>
      </c>
      <c r="G59" s="41" t="n">
        <v>1</v>
      </c>
      <c r="H59" s="41" t="n">
        <v>2</v>
      </c>
      <c r="I59" s="41" t="n">
        <v>2</v>
      </c>
      <c r="J59" s="41" t="n">
        <v>2</v>
      </c>
      <c r="K59" s="41" t="n">
        <v>2</v>
      </c>
    </row>
    <row r="60" customFormat="false" ht="14.25" hidden="false" customHeight="true" outlineLevel="0" collapsed="false">
      <c r="A60" s="8" t="str">
        <f aca="false">parametros_manuales!$B$21</f>
        <v>Corte de tubo — 1 kg</v>
      </c>
      <c r="B60" s="41" t="n">
        <v>1</v>
      </c>
      <c r="C60" s="41" t="n">
        <v>1</v>
      </c>
      <c r="D60" s="41" t="n">
        <v>1</v>
      </c>
      <c r="E60" s="41" t="n">
        <v>1</v>
      </c>
      <c r="F60" s="41" t="n">
        <v>1</v>
      </c>
      <c r="G60" s="41" t="n">
        <v>1</v>
      </c>
      <c r="H60" s="41" t="n">
        <v>1</v>
      </c>
      <c r="I60" s="41" t="n">
        <v>2</v>
      </c>
      <c r="J60" s="41" t="n">
        <v>2</v>
      </c>
      <c r="K60" s="41" t="n">
        <v>2</v>
      </c>
    </row>
    <row r="61" customFormat="false" ht="14.25" hidden="false" customHeight="true" outlineLevel="0" collapsed="false">
      <c r="A61" s="8" t="str">
        <f aca="false">parametros_manuales!$B$22</f>
        <v>Corte de disco y embutido (cúpula y fondo)</v>
      </c>
      <c r="B61" s="41" t="n">
        <v>1</v>
      </c>
      <c r="C61" s="41" t="n">
        <v>1</v>
      </c>
      <c r="D61" s="41" t="n">
        <v>1</v>
      </c>
      <c r="E61" s="41" t="n">
        <v>1</v>
      </c>
      <c r="F61" s="41" t="n">
        <v>1</v>
      </c>
      <c r="G61" s="41" t="n">
        <v>1</v>
      </c>
      <c r="H61" s="41" t="n">
        <v>1</v>
      </c>
      <c r="I61" s="41" t="n">
        <v>2</v>
      </c>
      <c r="J61" s="41" t="n">
        <v>2</v>
      </c>
      <c r="K61" s="41" t="n">
        <v>2</v>
      </c>
    </row>
    <row r="62" customFormat="false" ht="14.25" hidden="false" customHeight="true" outlineLevel="0" collapsed="false">
      <c r="A62" s="8" t="str">
        <f aca="false">parametros_manuales!$B$23</f>
        <v>Preparación de cuello</v>
      </c>
      <c r="B62" s="41" t="n">
        <v>1</v>
      </c>
      <c r="C62" s="41" t="n">
        <v>1</v>
      </c>
      <c r="D62" s="41" t="n">
        <v>1</v>
      </c>
      <c r="E62" s="41" t="n">
        <v>1</v>
      </c>
      <c r="F62" s="41" t="n">
        <v>1</v>
      </c>
      <c r="G62" s="41" t="n">
        <v>1</v>
      </c>
      <c r="H62" s="41" t="n">
        <v>2</v>
      </c>
      <c r="I62" s="41" t="n">
        <v>2</v>
      </c>
      <c r="J62" s="41" t="n">
        <v>2</v>
      </c>
      <c r="K62" s="41" t="n">
        <v>2</v>
      </c>
    </row>
    <row r="63" customFormat="false" ht="14.25" hidden="false" customHeight="true" outlineLevel="0" collapsed="false">
      <c r="A63" s="8" t="str">
        <f aca="false">parametros_manuales!$B$24</f>
        <v>Numerado de cúpula</v>
      </c>
      <c r="B63" s="41" t="n">
        <v>1</v>
      </c>
      <c r="C63" s="41" t="n">
        <v>1</v>
      </c>
      <c r="D63" s="41" t="n">
        <v>1</v>
      </c>
      <c r="E63" s="41" t="n">
        <v>1</v>
      </c>
      <c r="F63" s="41" t="n">
        <v>1</v>
      </c>
      <c r="G63" s="41" t="n">
        <v>1</v>
      </c>
      <c r="H63" s="41" t="n">
        <v>1</v>
      </c>
      <c r="I63" s="41" t="n">
        <v>2</v>
      </c>
      <c r="J63" s="41" t="n">
        <v>2</v>
      </c>
      <c r="K63" s="41" t="n">
        <v>2</v>
      </c>
    </row>
    <row r="64" customFormat="false" ht="14.25" hidden="false" customHeight="true" outlineLevel="0" collapsed="false">
      <c r="A64" s="8" t="str">
        <f aca="false">parametros_manuales!$B$25</f>
        <v>Soldadura del cuello a la cúpula</v>
      </c>
      <c r="B64" s="41" t="n">
        <v>1</v>
      </c>
      <c r="C64" s="41" t="n">
        <v>1</v>
      </c>
      <c r="D64" s="41" t="n">
        <v>1</v>
      </c>
      <c r="E64" s="41" t="n">
        <v>1</v>
      </c>
      <c r="F64" s="41" t="n">
        <v>1</v>
      </c>
      <c r="G64" s="41" t="n">
        <v>1</v>
      </c>
      <c r="H64" s="41" t="n">
        <v>2</v>
      </c>
      <c r="I64" s="41" t="n">
        <v>2</v>
      </c>
      <c r="J64" s="41" t="n">
        <v>2</v>
      </c>
      <c r="K64" s="41" t="n">
        <v>2</v>
      </c>
    </row>
    <row r="65" customFormat="false" ht="14.25" hidden="false" customHeight="true" outlineLevel="0" collapsed="false">
      <c r="A65" s="8" t="str">
        <f aca="false">parametros_manuales!$B$26</f>
        <v>Cilindrado</v>
      </c>
      <c r="B65" s="41" t="n">
        <v>1</v>
      </c>
      <c r="C65" s="41" t="n">
        <v>1</v>
      </c>
      <c r="D65" s="41" t="n">
        <v>1</v>
      </c>
      <c r="E65" s="41" t="n">
        <v>1</v>
      </c>
      <c r="F65" s="41" t="n">
        <v>1</v>
      </c>
      <c r="G65" s="41" t="n">
        <v>1</v>
      </c>
      <c r="H65" s="41" t="n">
        <v>1</v>
      </c>
      <c r="I65" s="41" t="n">
        <v>2</v>
      </c>
      <c r="J65" s="41" t="n">
        <v>2</v>
      </c>
      <c r="K65" s="41" t="n">
        <v>2</v>
      </c>
    </row>
    <row r="66" customFormat="false" ht="14.25" hidden="false" customHeight="true" outlineLevel="0" collapsed="false">
      <c r="A66" s="8" t="str">
        <f aca="false">parametros_manuales!$B$27</f>
        <v>Soldadura longitudinal</v>
      </c>
      <c r="B66" s="41" t="n">
        <v>1</v>
      </c>
      <c r="C66" s="41" t="n">
        <v>1</v>
      </c>
      <c r="D66" s="41" t="n">
        <v>1</v>
      </c>
      <c r="E66" s="41" t="n">
        <v>1</v>
      </c>
      <c r="F66" s="41" t="n">
        <v>1</v>
      </c>
      <c r="G66" s="41" t="n">
        <v>1</v>
      </c>
      <c r="H66" s="41" t="n">
        <v>2</v>
      </c>
      <c r="I66" s="41" t="n">
        <v>2</v>
      </c>
      <c r="J66" s="41" t="n">
        <v>2</v>
      </c>
      <c r="K66" s="41" t="n">
        <v>2</v>
      </c>
    </row>
    <row r="67" customFormat="false" ht="14.25" hidden="false" customHeight="true" outlineLevel="0" collapsed="false">
      <c r="A67" s="8" t="str">
        <f aca="false">parametros_manuales!$B$28</f>
        <v>Encastre de fondo</v>
      </c>
      <c r="B67" s="41" t="n">
        <v>1</v>
      </c>
      <c r="C67" s="41" t="n">
        <v>1</v>
      </c>
      <c r="D67" s="41" t="n">
        <v>1</v>
      </c>
      <c r="E67" s="41" t="n">
        <v>1</v>
      </c>
      <c r="F67" s="41" t="n">
        <v>1</v>
      </c>
      <c r="G67" s="41" t="n">
        <v>1</v>
      </c>
      <c r="H67" s="41" t="n">
        <v>2</v>
      </c>
      <c r="I67" s="41" t="n">
        <v>2</v>
      </c>
      <c r="J67" s="41" t="n">
        <v>2</v>
      </c>
      <c r="K67" s="41" t="n">
        <v>2</v>
      </c>
    </row>
    <row r="68" customFormat="false" ht="14.25" hidden="false" customHeight="true" outlineLevel="0" collapsed="false">
      <c r="A68" s="8" t="str">
        <f aca="false">parametros_manuales!$B$29</f>
        <v>Bordoneado</v>
      </c>
      <c r="B68" s="41" t="n">
        <v>1</v>
      </c>
      <c r="C68" s="41" t="n">
        <v>1</v>
      </c>
      <c r="D68" s="41" t="n">
        <v>1</v>
      </c>
      <c r="E68" s="41" t="n">
        <v>1</v>
      </c>
      <c r="F68" s="41" t="n">
        <v>1</v>
      </c>
      <c r="G68" s="41" t="n">
        <v>1</v>
      </c>
      <c r="H68" s="41" t="n">
        <v>1</v>
      </c>
      <c r="I68" s="41" t="n">
        <v>2</v>
      </c>
      <c r="J68" s="41" t="n">
        <v>2</v>
      </c>
      <c r="K68" s="41" t="n">
        <v>2</v>
      </c>
    </row>
    <row r="69" customFormat="false" ht="14.25" hidden="false" customHeight="true" outlineLevel="0" collapsed="false">
      <c r="A69" s="8" t="str">
        <f aca="false">parametros_manuales!$B$30</f>
        <v>Soldadura circunferencial de cúpula y fondo</v>
      </c>
      <c r="B69" s="41" t="n">
        <v>1</v>
      </c>
      <c r="C69" s="41" t="n">
        <v>1</v>
      </c>
      <c r="D69" s="41" t="n">
        <v>1</v>
      </c>
      <c r="E69" s="41" t="n">
        <v>1</v>
      </c>
      <c r="F69" s="41" t="n">
        <v>1</v>
      </c>
      <c r="G69" s="41" t="n">
        <v>1</v>
      </c>
      <c r="H69" s="41" t="n">
        <v>2</v>
      </c>
      <c r="I69" s="41" t="n">
        <v>2</v>
      </c>
      <c r="J69" s="41" t="n">
        <v>2</v>
      </c>
      <c r="K69" s="41" t="n">
        <v>2</v>
      </c>
    </row>
    <row r="70" customFormat="false" ht="14.25" hidden="false" customHeight="true" outlineLevel="0" collapsed="false">
      <c r="A70" s="8" t="str">
        <f aca="false">parametros_manuales!$B$31</f>
        <v>Control de calidad — Espesor</v>
      </c>
      <c r="B70" s="41" t="n">
        <v>1</v>
      </c>
      <c r="C70" s="41" t="n">
        <v>1</v>
      </c>
      <c r="D70" s="41" t="n">
        <v>1</v>
      </c>
      <c r="E70" s="41" t="n">
        <v>1</v>
      </c>
      <c r="F70" s="41" t="n">
        <v>1</v>
      </c>
      <c r="G70" s="41" t="n">
        <v>1</v>
      </c>
      <c r="H70" s="41" t="n">
        <v>1</v>
      </c>
      <c r="I70" s="41" t="n">
        <v>1</v>
      </c>
      <c r="J70" s="41" t="n">
        <v>1</v>
      </c>
      <c r="K70" s="41" t="n">
        <v>1</v>
      </c>
    </row>
    <row r="71" customFormat="false" ht="14.25" hidden="false" customHeight="true" outlineLevel="0" collapsed="false">
      <c r="A71" s="8" t="str">
        <f aca="false">parametros_manuales!$B$32</f>
        <v>Prueba hidráulica</v>
      </c>
      <c r="B71" s="41" t="n">
        <v>1</v>
      </c>
      <c r="C71" s="41" t="n">
        <v>1</v>
      </c>
      <c r="D71" s="41" t="n">
        <v>1</v>
      </c>
      <c r="E71" s="41" t="n">
        <v>1</v>
      </c>
      <c r="F71" s="41" t="n">
        <v>1</v>
      </c>
      <c r="G71" s="41" t="n">
        <v>1</v>
      </c>
      <c r="H71" s="41" t="n">
        <v>2</v>
      </c>
      <c r="I71" s="41" t="n">
        <v>2</v>
      </c>
      <c r="J71" s="41" t="n">
        <v>2</v>
      </c>
      <c r="K71" s="41" t="n">
        <v>2</v>
      </c>
    </row>
    <row r="72" customFormat="false" ht="14.25" hidden="false" customHeight="true" outlineLevel="0" collapsed="false">
      <c r="A72" s="8" t="str">
        <f aca="false">parametros_manuales!$B$33</f>
        <v>Secado</v>
      </c>
      <c r="B72" s="41" t="n">
        <v>1</v>
      </c>
      <c r="C72" s="41" t="n">
        <v>1</v>
      </c>
      <c r="D72" s="41" t="n">
        <v>1</v>
      </c>
      <c r="E72" s="41" t="n">
        <v>1</v>
      </c>
      <c r="F72" s="41" t="n">
        <v>1</v>
      </c>
      <c r="G72" s="41" t="n">
        <v>1</v>
      </c>
      <c r="H72" s="41" t="n">
        <v>2</v>
      </c>
      <c r="I72" s="41" t="n">
        <v>2</v>
      </c>
      <c r="J72" s="41" t="n">
        <v>2</v>
      </c>
      <c r="K72" s="41" t="n">
        <v>2</v>
      </c>
    </row>
    <row r="73" customFormat="false" ht="14.25" hidden="false" customHeight="true" outlineLevel="0" collapsed="false">
      <c r="A73" s="8" t="str">
        <f aca="false">parametros_manuales!$B$34</f>
        <v>Granallado</v>
      </c>
      <c r="B73" s="41" t="n">
        <v>1</v>
      </c>
      <c r="C73" s="41" t="n">
        <v>1</v>
      </c>
      <c r="D73" s="41" t="n">
        <v>1</v>
      </c>
      <c r="E73" s="41" t="n">
        <v>1</v>
      </c>
      <c r="F73" s="41" t="n">
        <v>1</v>
      </c>
      <c r="G73" s="41" t="n">
        <v>1</v>
      </c>
      <c r="H73" s="41" t="n">
        <v>2</v>
      </c>
      <c r="I73" s="41" t="n">
        <v>2</v>
      </c>
      <c r="J73" s="41" t="n">
        <v>2</v>
      </c>
      <c r="K73" s="41" t="n">
        <v>2</v>
      </c>
    </row>
    <row r="74" customFormat="false" ht="14.25" hidden="false" customHeight="true" outlineLevel="0" collapsed="false">
      <c r="A74" s="8" t="str">
        <f aca="false">parametros_manuales!$B$35</f>
        <v>Detección de defectos</v>
      </c>
      <c r="B74" s="41" t="n">
        <v>1</v>
      </c>
      <c r="C74" s="41" t="n">
        <v>1</v>
      </c>
      <c r="D74" s="41" t="n">
        <v>1</v>
      </c>
      <c r="E74" s="41" t="n">
        <v>1</v>
      </c>
      <c r="F74" s="41" t="n">
        <v>1</v>
      </c>
      <c r="G74" s="41" t="n">
        <v>1</v>
      </c>
      <c r="H74" s="41" t="n">
        <v>1</v>
      </c>
      <c r="I74" s="41" t="n">
        <v>2</v>
      </c>
      <c r="J74" s="41" t="n">
        <v>2</v>
      </c>
      <c r="K74" s="41" t="n">
        <v>2</v>
      </c>
    </row>
    <row r="75" customFormat="false" ht="14.25" hidden="false" customHeight="true" outlineLevel="0" collapsed="false">
      <c r="A75" s="8" t="str">
        <f aca="false">parametros_manuales!$B$36</f>
        <v>Corrección de defectos</v>
      </c>
      <c r="B75" s="41" t="n">
        <v>1</v>
      </c>
      <c r="C75" s="41" t="n">
        <v>1</v>
      </c>
      <c r="D75" s="41" t="n">
        <v>1</v>
      </c>
      <c r="E75" s="41" t="n">
        <v>1</v>
      </c>
      <c r="F75" s="41" t="n">
        <v>1</v>
      </c>
      <c r="G75" s="41" t="n">
        <v>1</v>
      </c>
      <c r="H75" s="41" t="n">
        <v>1</v>
      </c>
      <c r="I75" s="41" t="n">
        <v>1</v>
      </c>
      <c r="J75" s="41" t="n">
        <v>1</v>
      </c>
      <c r="K75" s="41" t="n">
        <v>1</v>
      </c>
    </row>
    <row r="76" customFormat="false" ht="14.25" hidden="false" customHeight="true" outlineLevel="0" collapsed="false">
      <c r="A76" s="8" t="str">
        <f aca="false">parametros_manuales!$B$37</f>
        <v>Pintura en polvo + horno</v>
      </c>
      <c r="B76" s="41" t="n">
        <v>1</v>
      </c>
      <c r="C76" s="41" t="n">
        <v>1</v>
      </c>
      <c r="D76" s="41" t="n">
        <v>1</v>
      </c>
      <c r="E76" s="41" t="n">
        <v>1</v>
      </c>
      <c r="F76" s="41" t="n">
        <v>1</v>
      </c>
      <c r="G76" s="41" t="n">
        <v>1</v>
      </c>
      <c r="H76" s="41" t="n">
        <v>2</v>
      </c>
      <c r="I76" s="41" t="n">
        <v>2</v>
      </c>
      <c r="J76" s="41" t="n">
        <v>2</v>
      </c>
      <c r="K76" s="41" t="n">
        <v>2</v>
      </c>
    </row>
    <row r="77" customFormat="false" ht="14.25" hidden="false" customHeight="true" outlineLevel="0" collapsed="false">
      <c r="A77" s="8" t="str">
        <f aca="false">parametros_manuales!$B$38</f>
        <v>Carga de polvo</v>
      </c>
      <c r="B77" s="41" t="n">
        <v>1</v>
      </c>
      <c r="C77" s="41" t="n">
        <v>1</v>
      </c>
      <c r="D77" s="41" t="n">
        <v>1</v>
      </c>
      <c r="E77" s="41" t="n">
        <v>1</v>
      </c>
      <c r="F77" s="41" t="n">
        <v>1</v>
      </c>
      <c r="G77" s="41" t="n">
        <v>1</v>
      </c>
      <c r="H77" s="41" t="n">
        <v>1</v>
      </c>
      <c r="I77" s="41" t="n">
        <v>1</v>
      </c>
      <c r="J77" s="41" t="n">
        <v>1</v>
      </c>
      <c r="K77" s="41" t="n">
        <v>1</v>
      </c>
    </row>
    <row r="78" customFormat="false" ht="14.25" hidden="false" customHeight="true" outlineLevel="0" collapsed="false">
      <c r="A78" s="8" t="str">
        <f aca="false">parametros_manuales!$B$39</f>
        <v>Ensamblaje</v>
      </c>
      <c r="B78" s="41" t="n">
        <v>1</v>
      </c>
      <c r="C78" s="41" t="n">
        <v>1</v>
      </c>
      <c r="D78" s="41" t="n">
        <v>1</v>
      </c>
      <c r="E78" s="41" t="n">
        <v>1</v>
      </c>
      <c r="F78" s="41" t="n">
        <v>1</v>
      </c>
      <c r="G78" s="41" t="n">
        <v>1</v>
      </c>
      <c r="H78" s="41" t="n">
        <v>2</v>
      </c>
      <c r="I78" s="41" t="n">
        <v>2</v>
      </c>
      <c r="J78" s="41" t="n">
        <v>2</v>
      </c>
      <c r="K78" s="41" t="n">
        <v>2</v>
      </c>
    </row>
    <row r="79" customFormat="false" ht="14.25" hidden="false" customHeight="true" outlineLevel="0" collapsed="false">
      <c r="A79" s="8" t="str">
        <f aca="false">parametros_manuales!$B$40</f>
        <v>Presurización</v>
      </c>
      <c r="B79" s="41" t="n">
        <v>1</v>
      </c>
      <c r="C79" s="41" t="n">
        <v>1</v>
      </c>
      <c r="D79" s="41" t="n">
        <v>1</v>
      </c>
      <c r="E79" s="41" t="n">
        <v>1</v>
      </c>
      <c r="F79" s="41" t="n">
        <v>1</v>
      </c>
      <c r="G79" s="41" t="n">
        <v>1</v>
      </c>
      <c r="H79" s="41" t="n">
        <v>1</v>
      </c>
      <c r="I79" s="41" t="n">
        <v>1</v>
      </c>
      <c r="J79" s="41" t="n">
        <v>1</v>
      </c>
      <c r="K79" s="41" t="n">
        <v>1</v>
      </c>
    </row>
    <row r="80" customFormat="false" ht="14.25" hidden="false" customHeight="true" outlineLevel="0" collapsed="false">
      <c r="A80" s="8" t="str">
        <f aca="false">parametros_manuales!$B$41</f>
        <v>Control de calidad — Ensayo de pérdidas</v>
      </c>
      <c r="B80" s="41" t="n">
        <v>1</v>
      </c>
      <c r="C80" s="41" t="n">
        <v>1</v>
      </c>
      <c r="D80" s="41" t="n">
        <v>1</v>
      </c>
      <c r="E80" s="41" t="n">
        <v>1</v>
      </c>
      <c r="F80" s="41" t="n">
        <v>1</v>
      </c>
      <c r="G80" s="41" t="n">
        <v>1</v>
      </c>
      <c r="H80" s="41" t="n">
        <v>1</v>
      </c>
      <c r="I80" s="41" t="n">
        <v>1</v>
      </c>
      <c r="J80" s="41" t="n">
        <v>2</v>
      </c>
      <c r="K80" s="41" t="n">
        <v>2</v>
      </c>
    </row>
    <row r="81" customFormat="false" ht="14.25" hidden="false" customHeight="true" outlineLevel="0" collapsed="false">
      <c r="A81" s="8" t="str">
        <f aca="false">parametros_manuales!$B$42</f>
        <v>Etiquetado</v>
      </c>
      <c r="B81" s="41" t="n">
        <v>1</v>
      </c>
      <c r="C81" s="41" t="n">
        <v>1</v>
      </c>
      <c r="D81" s="41" t="n">
        <v>1</v>
      </c>
      <c r="E81" s="41" t="n">
        <v>1</v>
      </c>
      <c r="F81" s="41" t="n">
        <v>1</v>
      </c>
      <c r="G81" s="41" t="n">
        <v>1</v>
      </c>
      <c r="H81" s="41" t="n">
        <v>1</v>
      </c>
      <c r="I81" s="41" t="n">
        <v>1</v>
      </c>
      <c r="J81" s="41" t="n">
        <v>1</v>
      </c>
      <c r="K81" s="41" t="n">
        <v>2</v>
      </c>
    </row>
    <row r="82" customFormat="false" ht="14.25" hidden="false" customHeight="true" outlineLevel="0" collapsed="false">
      <c r="A82" s="8" t="str">
        <f aca="false">parametros_manuales!$B$43</f>
        <v>Embalaje y paletizado</v>
      </c>
      <c r="B82" s="41" t="n">
        <v>1</v>
      </c>
      <c r="C82" s="41" t="n">
        <v>1</v>
      </c>
      <c r="D82" s="41" t="n">
        <v>1</v>
      </c>
      <c r="E82" s="41" t="n">
        <v>1</v>
      </c>
      <c r="F82" s="41" t="n">
        <v>1</v>
      </c>
      <c r="G82" s="41" t="n">
        <v>1</v>
      </c>
      <c r="H82" s="41" t="n">
        <v>1</v>
      </c>
      <c r="I82" s="41" t="n">
        <v>2</v>
      </c>
      <c r="J82" s="41" t="n">
        <v>2</v>
      </c>
      <c r="K82" s="41" t="n">
        <v>2</v>
      </c>
    </row>
    <row r="83" customFormat="false" ht="14.25" hidden="false" customHeight="true" outlineLevel="0" collapsed="false">
      <c r="A83" s="10" t="s">
        <v>223</v>
      </c>
      <c r="B83" s="56" t="n">
        <f aca="false">MAX(B58:B82)</f>
        <v>1</v>
      </c>
      <c r="C83" s="56" t="n">
        <f aca="false">MAX(C58:C82)</f>
        <v>1</v>
      </c>
      <c r="D83" s="56" t="n">
        <f aca="false">MAX(D58:D82)</f>
        <v>1</v>
      </c>
      <c r="E83" s="56" t="n">
        <f aca="false">MAX(E58:E82)</f>
        <v>1</v>
      </c>
      <c r="F83" s="56" t="n">
        <f aca="false">MAX(F58:F82)</f>
        <v>1</v>
      </c>
      <c r="G83" s="56" t="n">
        <f aca="false">MAX(G58:G82)</f>
        <v>1</v>
      </c>
      <c r="H83" s="56" t="n">
        <f aca="false">MAX(H58:H82)</f>
        <v>2</v>
      </c>
      <c r="I83" s="56" t="n">
        <f aca="false">MAX(I58:I82)</f>
        <v>2</v>
      </c>
      <c r="J83" s="56" t="n">
        <f aca="false">MAX(J58:J82)</f>
        <v>2</v>
      </c>
      <c r="K83" s="56" t="n">
        <f aca="false">MAX(K58:K82)</f>
        <v>2</v>
      </c>
    </row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26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B30=0</formula>
    </cfRule>
    <cfRule type="expression" priority="4" aboveAverage="0" equalAverage="0" bottom="0" percent="0" rank="0" text="" dxfId="2">
      <formula>B58&gt;1</formula>
    </cfRule>
    <cfRule type="expression" priority="5" aboveAverage="0" equalAverage="0" bottom="0" percent="0" rank="0" text="" dxfId="3">
      <formula>AND(B30&gt;1,$L2&lt;&gt;"Manual")</formula>
    </cfRule>
    <cfRule type="expression" priority="6" aboveAverage="0" equalAverage="0" bottom="0" percent="0" rank="0" text="" dxfId="4">
      <formula>AND(B30&gt;1,$L2="Manual")</formula>
    </cfRule>
  </conditionalFormatting>
  <conditionalFormatting sqref="C2:K26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C30=0</formula>
    </cfRule>
    <cfRule type="expression" priority="9" aboveAverage="0" equalAverage="0" bottom="0" percent="0" rank="0" text="" dxfId="2">
      <formula>C58&gt;B58</formula>
    </cfRule>
    <cfRule type="expression" priority="10" aboveAverage="0" equalAverage="0" bottom="0" percent="0" rank="0" text="" dxfId="3">
      <formula>AND(C30&gt;B30,$L2&lt;&gt;"Manual")</formula>
    </cfRule>
    <cfRule type="expression" priority="11" aboveAverage="0" equalAverage="0" bottom="0" percent="0" rank="0" text="" dxfId="4">
      <formula>AND(C30&gt;B30,$L2="Manual")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  <col collapsed="false" customWidth="true" hidden="false" outlineLevel="0" max="19" min="18" style="1" width="8.57"/>
  </cols>
  <sheetData>
    <row r="1" customFormat="false" ht="14.25" hidden="false" customHeight="true" outlineLevel="0" collapsed="false">
      <c r="A1" s="7" t="s">
        <v>197</v>
      </c>
      <c r="B1" s="7" t="s">
        <v>59</v>
      </c>
      <c r="C1" s="7" t="s">
        <v>60</v>
      </c>
      <c r="D1" s="7" t="s">
        <v>61</v>
      </c>
      <c r="E1" s="7" t="s">
        <v>62</v>
      </c>
      <c r="F1" s="7" t="s">
        <v>63</v>
      </c>
      <c r="G1" s="7" t="s">
        <v>64</v>
      </c>
      <c r="H1" s="7" t="s">
        <v>65</v>
      </c>
      <c r="I1" s="7" t="s">
        <v>66</v>
      </c>
      <c r="J1" s="7" t="s">
        <v>67</v>
      </c>
      <c r="K1" s="7" t="s">
        <v>68</v>
      </c>
      <c r="L1" s="7" t="s">
        <v>69</v>
      </c>
      <c r="M1" s="7" t="s">
        <v>70</v>
      </c>
      <c r="N1" s="7" t="s">
        <v>181</v>
      </c>
      <c r="O1" s="7" t="s">
        <v>198</v>
      </c>
      <c r="P1" s="7" t="s">
        <v>199</v>
      </c>
      <c r="Q1" s="7" t="s">
        <v>200</v>
      </c>
      <c r="S1" s="57" t="s">
        <v>224</v>
      </c>
    </row>
    <row r="2" customFormat="false" ht="14.25" hidden="false" customHeight="true" outlineLevel="0" collapsed="false">
      <c r="A2" s="8" t="str">
        <f aca="false">parametros_manuales!$B$19</f>
        <v>Recepción de materia prima</v>
      </c>
      <c r="B2" s="9" t="n">
        <f aca="false">(parametros_manuales!$D$19*(datos_base!$B$2+IF(parametros_manuales!$H$19="Todos",datos_base!$B$9,0))*parametros_manuales!$B$95+parametros_manuales!$D$19*(datos_base!$B$18+IF(parametros_manuales!$H$19="Todos",datos_base!$B$23,0))*parametros_manuales!$B$12+parametros_manuales!$E$19*(datos_base!$B$3+IF(parametros_manuales!$H$19="Todos",datos_base!$B$10,0))*parametros_manuales!$B$100+parametros_manuales!$E$19*(datos_base!$B$19+IF(parametros_manuales!$H$19="Todos",datos_base!$B$24,0))*parametros_manuales!$B$13+parametros_manuales!$F$19*(datos_base!$B$4+IF(parametros_manuales!$H$19="Todos",datos_base!$B$11,0))*parametros_manuales!$B$105+parametros_manuales!$F$19*(datos_base!$B$20+IF(parametros_manuales!$H$19="Todos",datos_base!$B$25,0))*parametros_manuales!$B$14+parametros_manuales!$G$19*(datos_base!$B$5+IF(parametros_manuales!$H$19="Todos",datos_base!$B$12,0))*parametros_manuales!$B$110+parametros_manuales!$G$19*(datos_base!$B$21+IF(parametros_manuales!$H$19="Todos",datos_base!$B$26,0))*parametros_manuales!$B$15)*parametros_manuales!$I$19*parametros_manuales!$J$19</f>
        <v>616.9235796057</v>
      </c>
      <c r="C2" s="9" t="n">
        <f aca="false">(parametros_manuales!$D$19*(datos_base!$B$2+IF(parametros_manuales!$H$19="Todos",datos_base!$B$9,0))*parametros_manuales!$C$95+parametros_manuales!$D$19*(datos_base!$B$18+IF(parametros_manuales!$H$19="Todos",datos_base!$B$23,0))*parametros_manuales!$C$12+parametros_manuales!$E$19*(datos_base!$B$3+IF(parametros_manuales!$H$19="Todos",datos_base!$B$10,0))*parametros_manuales!$C$100+parametros_manuales!$E$19*(datos_base!$B$19+IF(parametros_manuales!$H$19="Todos",datos_base!$B$24,0))*parametros_manuales!$C$13+parametros_manuales!$F$19*(datos_base!$B$4+IF(parametros_manuales!$H$19="Todos",datos_base!$B$11,0))*parametros_manuales!$C$105+parametros_manuales!$F$19*(datos_base!$B$20+IF(parametros_manuales!$H$19="Todos",datos_base!$B$25,0))*parametros_manuales!$C$14+parametros_manuales!$G$19*(datos_base!$B$5+IF(parametros_manuales!$H$19="Todos",datos_base!$B$12,0))*parametros_manuales!$C$110+parametros_manuales!$G$19*(datos_base!$B$21+IF(parametros_manuales!$H$19="Todos",datos_base!$B$26,0))*parametros_manuales!$C$15)*parametros_manuales!$I$19*parametros_manuales!$J$19</f>
        <v>589.8972139684</v>
      </c>
      <c r="D2" s="9" t="n">
        <f aca="false">(parametros_manuales!$D$19*(datos_base!$B$2+IF(parametros_manuales!$H$19="Todos",datos_base!$B$9,0))*parametros_manuales!$D$95+parametros_manuales!$D$19*(datos_base!$B$18+IF(parametros_manuales!$H$19="Todos",datos_base!$B$23,0))*parametros_manuales!$D$12+parametros_manuales!$E$19*(datos_base!$B$3+IF(parametros_manuales!$H$19="Todos",datos_base!$B$10,0))*parametros_manuales!$D$100+parametros_manuales!$E$19*(datos_base!$B$19+IF(parametros_manuales!$H$19="Todos",datos_base!$B$24,0))*parametros_manuales!$D$13+parametros_manuales!$F$19*(datos_base!$B$4+IF(parametros_manuales!$H$19="Todos",datos_base!$B$11,0))*parametros_manuales!$D$105+parametros_manuales!$F$19*(datos_base!$B$20+IF(parametros_manuales!$H$19="Todos",datos_base!$B$25,0))*parametros_manuales!$D$14+parametros_manuales!$G$19*(datos_base!$B$5+IF(parametros_manuales!$H$19="Todos",datos_base!$B$12,0))*parametros_manuales!$D$110+parametros_manuales!$G$19*(datos_base!$B$21+IF(parametros_manuales!$H$19="Todos",datos_base!$B$26,0))*parametros_manuales!$D$15)*parametros_manuales!$I$19*parametros_manuales!$J$19</f>
        <v>561.47303135705</v>
      </c>
      <c r="E2" s="9" t="n">
        <f aca="false">(parametros_manuales!$D$19*(datos_base!$B$2+IF(parametros_manuales!$H$19="Todos",datos_base!$B$9,0))*parametros_manuales!$E$95+parametros_manuales!$D$19*(datos_base!$B$18+IF(parametros_manuales!$H$19="Todos",datos_base!$B$23,0))*parametros_manuales!$E$12+parametros_manuales!$E$19*(datos_base!$B$3+IF(parametros_manuales!$H$19="Todos",datos_base!$B$10,0))*parametros_manuales!$E$100+parametros_manuales!$E$19*(datos_base!$B$19+IF(parametros_manuales!$H$19="Todos",datos_base!$B$24,0))*parametros_manuales!$E$13+parametros_manuales!$F$19*(datos_base!$B$4+IF(parametros_manuales!$H$19="Todos",datos_base!$B$11,0))*parametros_manuales!$E$105+parametros_manuales!$F$19*(datos_base!$B$20+IF(parametros_manuales!$H$19="Todos",datos_base!$B$25,0))*parametros_manuales!$E$14+parametros_manuales!$G$19*(datos_base!$B$5+IF(parametros_manuales!$H$19="Todos",datos_base!$B$12,0))*parametros_manuales!$E$110+parametros_manuales!$G$19*(datos_base!$B$21+IF(parametros_manuales!$H$19="Todos",datos_base!$B$26,0))*parametros_manuales!$E$15)*parametros_manuales!$I$19*parametros_manuales!$J$19</f>
        <v>540.57934864205</v>
      </c>
      <c r="F2" s="9" t="n">
        <f aca="false">(parametros_manuales!$D$19*(datos_base!$B$2+IF(parametros_manuales!$H$19="Todos",datos_base!$B$9,0))*parametros_manuales!$F$95+parametros_manuales!$D$19*(datos_base!$B$18+IF(parametros_manuales!$H$19="Todos",datos_base!$B$23,0))*parametros_manuales!$F$12+parametros_manuales!$E$19*(datos_base!$B$3+IF(parametros_manuales!$H$19="Todos",datos_base!$B$10,0))*parametros_manuales!$F$100+parametros_manuales!$E$19*(datos_base!$B$19+IF(parametros_manuales!$H$19="Todos",datos_base!$B$24,0))*parametros_manuales!$F$13+parametros_manuales!$F$19*(datos_base!$B$4+IF(parametros_manuales!$H$19="Todos",datos_base!$B$11,0))*parametros_manuales!$F$105+parametros_manuales!$F$19*(datos_base!$B$20+IF(parametros_manuales!$H$19="Todos",datos_base!$B$25,0))*parametros_manuales!$F$14+parametros_manuales!$G$19*(datos_base!$B$5+IF(parametros_manuales!$H$19="Todos",datos_base!$B$12,0))*parametros_manuales!$F$110+parametros_manuales!$G$19*(datos_base!$B$21+IF(parametros_manuales!$H$19="Todos",datos_base!$B$26,0))*parametros_manuales!$F$15)*parametros_manuales!$I$19*parametros_manuales!$J$19</f>
        <v>506.3224831084</v>
      </c>
      <c r="G2" s="9" t="n">
        <f aca="false">(parametros_manuales!$D$19*(datos_base!$B$2+IF(parametros_manuales!$H$19="Todos",datos_base!$B$9,0))*parametros_manuales!$G$95+parametros_manuales!$D$19*(datos_base!$B$18+IF(parametros_manuales!$H$19="Todos",datos_base!$B$23,0))*parametros_manuales!$G$12+parametros_manuales!$E$19*(datos_base!$B$3+IF(parametros_manuales!$H$19="Todos",datos_base!$B$10,0))*parametros_manuales!$G$100+parametros_manuales!$E$19*(datos_base!$B$19+IF(parametros_manuales!$H$19="Todos",datos_base!$B$24,0))*parametros_manuales!$G$13+parametros_manuales!$F$19*(datos_base!$B$4+IF(parametros_manuales!$H$19="Todos",datos_base!$B$11,0))*parametros_manuales!$G$105+parametros_manuales!$F$19*(datos_base!$B$20+IF(parametros_manuales!$H$19="Todos",datos_base!$B$25,0))*parametros_manuales!$G$14+parametros_manuales!$G$19*(datos_base!$B$5+IF(parametros_manuales!$H$19="Todos",datos_base!$B$12,0))*parametros_manuales!$G$110+parametros_manuales!$G$19*(datos_base!$B$21+IF(parametros_manuales!$H$19="Todos",datos_base!$B$26,0))*parametros_manuales!$G$15)*parametros_manuales!$I$19*parametros_manuales!$J$19</f>
        <v>492.95930028975</v>
      </c>
      <c r="H2" s="9" t="n">
        <f aca="false">(parametros_manuales!$D$19*(datos_base!$B$2+IF(parametros_manuales!$H$19="Todos",datos_base!$B$9,0))*parametros_manuales!$H$95+parametros_manuales!$D$19*(datos_base!$B$18+IF(parametros_manuales!$H$19="Todos",datos_base!$B$23,0))*parametros_manuales!$H$12+parametros_manuales!$E$19*(datos_base!$B$3+IF(parametros_manuales!$H$19="Todos",datos_base!$B$10,0))*parametros_manuales!$H$100+parametros_manuales!$E$19*(datos_base!$B$19+IF(parametros_manuales!$H$19="Todos",datos_base!$B$24,0))*parametros_manuales!$H$13+parametros_manuales!$F$19*(datos_base!$B$4+IF(parametros_manuales!$H$19="Todos",datos_base!$B$11,0))*parametros_manuales!$H$105+parametros_manuales!$F$19*(datos_base!$B$20+IF(parametros_manuales!$H$19="Todos",datos_base!$B$25,0))*parametros_manuales!$H$14+parametros_manuales!$G$19*(datos_base!$B$5+IF(parametros_manuales!$H$19="Todos",datos_base!$B$12,0))*parametros_manuales!$H$110+parametros_manuales!$G$19*(datos_base!$B$21+IF(parametros_manuales!$H$19="Todos",datos_base!$B$26,0))*parametros_manuales!$H$15)*parametros_manuales!$I$19*parametros_manuales!$J$19</f>
        <v>527.2161658234</v>
      </c>
      <c r="I2" s="9" t="n">
        <f aca="false">(parametros_manuales!$D$19*(datos_base!$B$2+IF(parametros_manuales!$H$19="Todos",datos_base!$B$9,0))*parametros_manuales!$I$95+parametros_manuales!$D$19*(datos_base!$B$18+IF(parametros_manuales!$H$19="Todos",datos_base!$B$23,0))*parametros_manuales!$I$12+parametros_manuales!$E$19*(datos_base!$B$3+IF(parametros_manuales!$H$19="Todos",datos_base!$B$10,0))*parametros_manuales!$I$100+parametros_manuales!$E$19*(datos_base!$B$19+IF(parametros_manuales!$H$19="Todos",datos_base!$B$24,0))*parametros_manuales!$I$13+parametros_manuales!$F$19*(datos_base!$B$4+IF(parametros_manuales!$H$19="Todos",datos_base!$B$11,0))*parametros_manuales!$I$105+parametros_manuales!$F$19*(datos_base!$B$20+IF(parametros_manuales!$H$19="Todos",datos_base!$B$25,0))*parametros_manuales!$I$14+parametros_manuales!$G$19*(datos_base!$B$5+IF(parametros_manuales!$H$19="Todos",datos_base!$B$12,0))*parametros_manuales!$I$110+parametros_manuales!$G$19*(datos_base!$B$21+IF(parametros_manuales!$H$19="Todos",datos_base!$B$26,0))*parametros_manuales!$I$15)*parametros_manuales!$I$19*parametros_manuales!$J$19</f>
        <v>589.8972139684</v>
      </c>
      <c r="J2" s="9" t="n">
        <f aca="false">(parametros_manuales!$D$19*(datos_base!$B$2+IF(parametros_manuales!$H$19="Todos",datos_base!$B$9,0))*parametros_manuales!$J$95+parametros_manuales!$D$19*(datos_base!$B$18+IF(parametros_manuales!$H$19="Todos",datos_base!$B$23,0))*parametros_manuales!$J$12+parametros_manuales!$E$19*(datos_base!$B$3+IF(parametros_manuales!$H$19="Todos",datos_base!$B$10,0))*parametros_manuales!$J$100+parametros_manuales!$E$19*(datos_base!$B$19+IF(parametros_manuales!$H$19="Todos",datos_base!$B$24,0))*parametros_manuales!$J$13+parametros_manuales!$F$19*(datos_base!$B$4+IF(parametros_manuales!$H$19="Todos",datos_base!$B$11,0))*parametros_manuales!$J$105+parametros_manuales!$F$19*(datos_base!$B$20+IF(parametros_manuales!$H$19="Todos",datos_base!$B$25,0))*parametros_manuales!$J$14+parametros_manuales!$G$19*(datos_base!$B$5+IF(parametros_manuales!$H$19="Todos",datos_base!$B$12,0))*parametros_manuales!$J$110+parametros_manuales!$G$19*(datos_base!$B$21+IF(parametros_manuales!$H$19="Todos",datos_base!$B$26,0))*parametros_manuales!$J$15)*parametros_manuales!$I$19*parametros_manuales!$J$19</f>
        <v>589.8972139684</v>
      </c>
      <c r="K2" s="9" t="n">
        <f aca="false">(parametros_manuales!$D$19*(datos_base!$B$2+IF(parametros_manuales!$H$19="Todos",datos_base!$B$9,0))*parametros_manuales!$K$95+parametros_manuales!$D$19*(datos_base!$B$18+IF(parametros_manuales!$H$19="Todos",datos_base!$B$23,0))*parametros_manuales!$K$12+parametros_manuales!$E$19*(datos_base!$B$3+IF(parametros_manuales!$H$19="Todos",datos_base!$B$10,0))*parametros_manuales!$K$100+parametros_manuales!$E$19*(datos_base!$B$19+IF(parametros_manuales!$H$19="Todos",datos_base!$B$24,0))*parametros_manuales!$K$13+parametros_manuales!$F$19*(datos_base!$B$4+IF(parametros_manuales!$H$19="Todos",datos_base!$B$11,0))*parametros_manuales!$K$105+parametros_manuales!$F$19*(datos_base!$B$20+IF(parametros_manuales!$H$19="Todos",datos_base!$B$25,0))*parametros_manuales!$K$14+parametros_manuales!$G$19*(datos_base!$B$5+IF(parametros_manuales!$H$19="Todos",datos_base!$B$12,0))*parametros_manuales!$K$110+parametros_manuales!$G$19*(datos_base!$B$21+IF(parametros_manuales!$H$19="Todos",datos_base!$B$26,0))*parametros_manuales!$K$15)*parametros_manuales!$I$19*parametros_manuales!$J$19</f>
        <v>602.96039678705</v>
      </c>
      <c r="L2" s="9" t="n">
        <f aca="false">(parametros_manuales!$D$19*(datos_base!$B$2+IF(parametros_manuales!$H$19="Todos",datos_base!$B$9,0))*parametros_manuales!$L$95+parametros_manuales!$D$19*(datos_base!$B$18+IF(parametros_manuales!$H$19="Todos",datos_base!$B$23,0))*parametros_manuales!$L$12+parametros_manuales!$E$19*(datos_base!$B$3+IF(parametros_manuales!$H$19="Todos",datos_base!$B$10,0))*parametros_manuales!$L$100+parametros_manuales!$E$19*(datos_base!$B$19+IF(parametros_manuales!$H$19="Todos",datos_base!$B$24,0))*parametros_manuales!$L$13+parametros_manuales!$F$19*(datos_base!$B$4+IF(parametros_manuales!$H$19="Todos",datos_base!$B$11,0))*parametros_manuales!$L$105+parametros_manuales!$F$19*(datos_base!$B$20+IF(parametros_manuales!$H$19="Todos",datos_base!$B$25,0))*parametros_manuales!$L$14+parametros_manuales!$G$19*(datos_base!$B$5+IF(parametros_manuales!$H$19="Todos",datos_base!$B$12,0))*parametros_manuales!$L$110+parametros_manuales!$G$19*(datos_base!$B$21+IF(parametros_manuales!$H$19="Todos",datos_base!$B$26,0))*parametros_manuales!$L$15)*parametros_manuales!$I$19*parametros_manuales!$J$19</f>
        <v>616.0235796057</v>
      </c>
      <c r="M2" s="9" t="n">
        <f aca="false">(parametros_manuales!$D$19*(datos_base!$B$2+IF(parametros_manuales!$H$19="Todos",datos_base!$B$9,0))*parametros_manuales!$M$95+parametros_manuales!$D$19*(datos_base!$B$18+IF(parametros_manuales!$H$19="Todos",datos_base!$B$23,0))*parametros_manuales!$M$12+parametros_manuales!$E$19*(datos_base!$B$3+IF(parametros_manuales!$H$19="Todos",datos_base!$B$10,0))*parametros_manuales!$M$100+parametros_manuales!$E$19*(datos_base!$B$19+IF(parametros_manuales!$H$19="Todos",datos_base!$B$24,0))*parametros_manuales!$M$13+parametros_manuales!$F$19*(datos_base!$B$4+IF(parametros_manuales!$H$19="Todos",datos_base!$B$11,0))*parametros_manuales!$M$105+parametros_manuales!$F$19*(datos_base!$B$20+IF(parametros_manuales!$H$19="Todos",datos_base!$B$25,0))*parametros_manuales!$M$14+parametros_manuales!$G$19*(datos_base!$B$5+IF(parametros_manuales!$H$19="Todos",datos_base!$B$12,0))*parametros_manuales!$M$110+parametros_manuales!$G$19*(datos_base!$B$21+IF(parametros_manuales!$H$19="Todos",datos_base!$B$26,0))*parametros_manuales!$M$15)*parametros_manuales!$I$19*parametros_manuales!$J$19</f>
        <v>617.2235796057</v>
      </c>
      <c r="N2" s="9" t="n">
        <f aca="false">SUM(B2:M2)</f>
        <v>6851.37310673</v>
      </c>
      <c r="O2" s="9" t="n">
        <f aca="false">MAX(B2:M2)</f>
        <v>617.2235796057</v>
      </c>
      <c r="P2" s="44" t="n">
        <f aca="false">O2/(parametros_manuales!$B$7)</f>
        <v>4.114823864038</v>
      </c>
      <c r="Q2" s="8" t="str">
        <f aca="false">IF(O2=0,"-",INDEX($B$1:$M$1,MATCH(O2,B2:M2,0)))</f>
        <v>Dic</v>
      </c>
    </row>
    <row r="3" customFormat="false" ht="14.25" hidden="false" customHeight="true" outlineLevel="0" collapsed="false">
      <c r="A3" s="8" t="str">
        <f aca="false">parametros_manuales!$B$20</f>
        <v>Corte de chapa (guillotina) — 2,5 a 10 kg</v>
      </c>
      <c r="B3" s="9" t="n">
        <f aca="false">(parametros_manuales!$D$20*(datos_base!$B$2+IF(parametros_manuales!$H$20="Todos",datos_base!$B$9,0))*parametros_manuales!$B$95+parametros_manuales!$D$20*(datos_base!$B$18+IF(parametros_manuales!$H$20="Todos",datos_base!$B$23,0))*parametros_manuales!$B$12+parametros_manuales!$E$20*(datos_base!$B$3+IF(parametros_manuales!$H$20="Todos",datos_base!$B$10,0))*parametros_manuales!$B$100+parametros_manuales!$E$20*(datos_base!$B$19+IF(parametros_manuales!$H$20="Todos",datos_base!$B$24,0))*parametros_manuales!$B$13+parametros_manuales!$F$20*(datos_base!$B$4+IF(parametros_manuales!$H$20="Todos",datos_base!$B$11,0))*parametros_manuales!$B$105+parametros_manuales!$F$20*(datos_base!$B$20+IF(parametros_manuales!$H$20="Todos",datos_base!$B$25,0))*parametros_manuales!$B$14+parametros_manuales!$G$20*(datos_base!$B$5+IF(parametros_manuales!$H$20="Todos",datos_base!$B$12,0))*parametros_manuales!$B$110+parametros_manuales!$G$20*(datos_base!$B$21+IF(parametros_manuales!$H$20="Todos",datos_base!$B$26,0))*parametros_manuales!$B$15)*parametros_manuales!$I$20*parametros_manuales!$J$20</f>
        <v>240.8372907357</v>
      </c>
      <c r="C3" s="9" t="n">
        <f aca="false">(parametros_manuales!$D$20*(datos_base!$B$2+IF(parametros_manuales!$H$20="Todos",datos_base!$B$9,0))*parametros_manuales!$C$95+parametros_manuales!$D$20*(datos_base!$B$18+IF(parametros_manuales!$H$20="Todos",datos_base!$B$23,0))*parametros_manuales!$C$12+parametros_manuales!$E$20*(datos_base!$B$3+IF(parametros_manuales!$H$20="Todos",datos_base!$B$10,0))*parametros_manuales!$C$100+parametros_manuales!$E$20*(datos_base!$B$19+IF(parametros_manuales!$H$20="Todos",datos_base!$B$24,0))*parametros_manuales!$C$13+parametros_manuales!$F$20*(datos_base!$B$4+IF(parametros_manuales!$H$20="Todos",datos_base!$B$11,0))*parametros_manuales!$C$105+parametros_manuales!$F$20*(datos_base!$B$20+IF(parametros_manuales!$H$20="Todos",datos_base!$B$25,0))*parametros_manuales!$C$14+parametros_manuales!$G$20*(datos_base!$B$5+IF(parametros_manuales!$H$20="Todos",datos_base!$B$12,0))*parametros_manuales!$C$110+parametros_manuales!$G$20*(datos_base!$B$21+IF(parametros_manuales!$H$20="Todos",datos_base!$B$26,0))*parametros_manuales!$C$15)*parametros_manuales!$I$20*parametros_manuales!$J$20</f>
        <v>213.8109250984</v>
      </c>
      <c r="D3" s="9" t="n">
        <f aca="false">(parametros_manuales!$D$20*(datos_base!$B$2+IF(parametros_manuales!$H$20="Todos",datos_base!$B$9,0))*parametros_manuales!$D$95+parametros_manuales!$D$20*(datos_base!$B$18+IF(parametros_manuales!$H$20="Todos",datos_base!$B$23,0))*parametros_manuales!$D$12+parametros_manuales!$E$20*(datos_base!$B$3+IF(parametros_manuales!$H$20="Todos",datos_base!$B$10,0))*parametros_manuales!$D$100+parametros_manuales!$E$20*(datos_base!$B$19+IF(parametros_manuales!$H$20="Todos",datos_base!$B$24,0))*parametros_manuales!$D$13+parametros_manuales!$F$20*(datos_base!$B$4+IF(parametros_manuales!$H$20="Todos",datos_base!$B$11,0))*parametros_manuales!$D$105+parametros_manuales!$F$20*(datos_base!$B$20+IF(parametros_manuales!$H$20="Todos",datos_base!$B$25,0))*parametros_manuales!$D$14+parametros_manuales!$G$20*(datos_base!$B$5+IF(parametros_manuales!$H$20="Todos",datos_base!$B$12,0))*parametros_manuales!$D$110+parametros_manuales!$G$20*(datos_base!$B$21+IF(parametros_manuales!$H$20="Todos",datos_base!$B$26,0))*parametros_manuales!$D$15)*parametros_manuales!$I$20*parametros_manuales!$J$20</f>
        <v>227.17410791705</v>
      </c>
      <c r="E3" s="9" t="n">
        <f aca="false">(parametros_manuales!$D$20*(datos_base!$B$2+IF(parametros_manuales!$H$20="Todos",datos_base!$B$9,0))*parametros_manuales!$E$95+parametros_manuales!$D$20*(datos_base!$B$18+IF(parametros_manuales!$H$20="Todos",datos_base!$B$23,0))*parametros_manuales!$E$12+parametros_manuales!$E$20*(datos_base!$B$3+IF(parametros_manuales!$H$20="Todos",datos_base!$B$10,0))*parametros_manuales!$E$100+parametros_manuales!$E$20*(datos_base!$B$19+IF(parametros_manuales!$H$20="Todos",datos_base!$B$24,0))*parametros_manuales!$E$13+parametros_manuales!$F$20*(datos_base!$B$4+IF(parametros_manuales!$H$20="Todos",datos_base!$B$11,0))*parametros_manuales!$E$105+parametros_manuales!$F$20*(datos_base!$B$20+IF(parametros_manuales!$H$20="Todos",datos_base!$B$25,0))*parametros_manuales!$E$14+parametros_manuales!$G$20*(datos_base!$B$5+IF(parametros_manuales!$H$20="Todos",datos_base!$B$12,0))*parametros_manuales!$E$110+parametros_manuales!$G$20*(datos_base!$B$21+IF(parametros_manuales!$H$20="Todos",datos_base!$B$26,0))*parametros_manuales!$E$15)*parametros_manuales!$I$20*parametros_manuales!$J$20</f>
        <v>227.17410791705</v>
      </c>
      <c r="F3" s="9" t="n">
        <f aca="false">(parametros_manuales!$D$20*(datos_base!$B$2+IF(parametros_manuales!$H$20="Todos",datos_base!$B$9,0))*parametros_manuales!$F$95+parametros_manuales!$D$20*(datos_base!$B$18+IF(parametros_manuales!$H$20="Todos",datos_base!$B$23,0))*parametros_manuales!$F$12+parametros_manuales!$E$20*(datos_base!$B$3+IF(parametros_manuales!$H$20="Todos",datos_base!$B$10,0))*parametros_manuales!$F$100+parametros_manuales!$E$20*(datos_base!$B$19+IF(parametros_manuales!$H$20="Todos",datos_base!$B$24,0))*parametros_manuales!$F$13+parametros_manuales!$F$20*(datos_base!$B$4+IF(parametros_manuales!$H$20="Todos",datos_base!$B$11,0))*parametros_manuales!$F$105+parametros_manuales!$F$20*(datos_base!$B$20+IF(parametros_manuales!$H$20="Todos",datos_base!$B$25,0))*parametros_manuales!$F$14+parametros_manuales!$G$20*(datos_base!$B$5+IF(parametros_manuales!$H$20="Todos",datos_base!$B$12,0))*parametros_manuales!$F$110+parametros_manuales!$G$20*(datos_base!$B$21+IF(parametros_manuales!$H$20="Todos",datos_base!$B$26,0))*parametros_manuales!$F$15)*parametros_manuales!$I$20*parametros_manuales!$J$20</f>
        <v>213.8109250984</v>
      </c>
      <c r="G3" s="9" t="n">
        <f aca="false">(parametros_manuales!$D$20*(datos_base!$B$2+IF(parametros_manuales!$H$20="Todos",datos_base!$B$9,0))*parametros_manuales!$G$95+parametros_manuales!$D$20*(datos_base!$B$18+IF(parametros_manuales!$H$20="Todos",datos_base!$B$23,0))*parametros_manuales!$G$12+parametros_manuales!$E$20*(datos_base!$B$3+IF(parametros_manuales!$H$20="Todos",datos_base!$B$10,0))*parametros_manuales!$G$100+parametros_manuales!$E$20*(datos_base!$B$19+IF(parametros_manuales!$H$20="Todos",datos_base!$B$24,0))*parametros_manuales!$G$13+parametros_manuales!$F$20*(datos_base!$B$4+IF(parametros_manuales!$H$20="Todos",datos_base!$B$11,0))*parametros_manuales!$G$105+parametros_manuales!$F$20*(datos_base!$B$20+IF(parametros_manuales!$H$20="Todos",datos_base!$B$25,0))*parametros_manuales!$G$14+parametros_manuales!$G$20*(datos_base!$B$5+IF(parametros_manuales!$H$20="Todos",datos_base!$B$12,0))*parametros_manuales!$G$110+parametros_manuales!$G$20*(datos_base!$B$21+IF(parametros_manuales!$H$20="Todos",datos_base!$B$26,0))*parametros_manuales!$G$15)*parametros_manuales!$I$20*parametros_manuales!$J$20</f>
        <v>200.44774227975</v>
      </c>
      <c r="H3" s="9" t="n">
        <f aca="false">(parametros_manuales!$D$20*(datos_base!$B$2+IF(parametros_manuales!$H$20="Todos",datos_base!$B$9,0))*parametros_manuales!$H$95+parametros_manuales!$D$20*(datos_base!$B$18+IF(parametros_manuales!$H$20="Todos",datos_base!$B$23,0))*parametros_manuales!$H$12+parametros_manuales!$E$20*(datos_base!$B$3+IF(parametros_manuales!$H$20="Todos",datos_base!$B$10,0))*parametros_manuales!$H$100+parametros_manuales!$E$20*(datos_base!$B$19+IF(parametros_manuales!$H$20="Todos",datos_base!$B$24,0))*parametros_manuales!$H$13+parametros_manuales!$F$20*(datos_base!$B$4+IF(parametros_manuales!$H$20="Todos",datos_base!$B$11,0))*parametros_manuales!$H$105+parametros_manuales!$F$20*(datos_base!$B$20+IF(parametros_manuales!$H$20="Todos",datos_base!$B$25,0))*parametros_manuales!$H$14+parametros_manuales!$G$20*(datos_base!$B$5+IF(parametros_manuales!$H$20="Todos",datos_base!$B$12,0))*parametros_manuales!$H$110+parametros_manuales!$G$20*(datos_base!$B$21+IF(parametros_manuales!$H$20="Todos",datos_base!$B$26,0))*parametros_manuales!$H$15)*parametros_manuales!$I$20*parametros_manuales!$J$20</f>
        <v>213.8109250984</v>
      </c>
      <c r="I3" s="9" t="n">
        <f aca="false">(parametros_manuales!$D$20*(datos_base!$B$2+IF(parametros_manuales!$H$20="Todos",datos_base!$B$9,0))*parametros_manuales!$I$95+parametros_manuales!$D$20*(datos_base!$B$18+IF(parametros_manuales!$H$20="Todos",datos_base!$B$23,0))*parametros_manuales!$I$12+parametros_manuales!$E$20*(datos_base!$B$3+IF(parametros_manuales!$H$20="Todos",datos_base!$B$10,0))*parametros_manuales!$I$100+parametros_manuales!$E$20*(datos_base!$B$19+IF(parametros_manuales!$H$20="Todos",datos_base!$B$24,0))*parametros_manuales!$I$13+parametros_manuales!$F$20*(datos_base!$B$4+IF(parametros_manuales!$H$20="Todos",datos_base!$B$11,0))*parametros_manuales!$I$105+parametros_manuales!$F$20*(datos_base!$B$20+IF(parametros_manuales!$H$20="Todos",datos_base!$B$25,0))*parametros_manuales!$I$14+parametros_manuales!$G$20*(datos_base!$B$5+IF(parametros_manuales!$H$20="Todos",datos_base!$B$12,0))*parametros_manuales!$I$110+parametros_manuales!$G$20*(datos_base!$B$21+IF(parametros_manuales!$H$20="Todos",datos_base!$B$26,0))*parametros_manuales!$I$15)*parametros_manuales!$I$20*parametros_manuales!$J$20</f>
        <v>213.8109250984</v>
      </c>
      <c r="J3" s="9" t="n">
        <f aca="false">(parametros_manuales!$D$20*(datos_base!$B$2+IF(parametros_manuales!$H$20="Todos",datos_base!$B$9,0))*parametros_manuales!$J$95+parametros_manuales!$D$20*(datos_base!$B$18+IF(parametros_manuales!$H$20="Todos",datos_base!$B$23,0))*parametros_manuales!$J$12+parametros_manuales!$E$20*(datos_base!$B$3+IF(parametros_manuales!$H$20="Todos",datos_base!$B$10,0))*parametros_manuales!$J$100+parametros_manuales!$E$20*(datos_base!$B$19+IF(parametros_manuales!$H$20="Todos",datos_base!$B$24,0))*parametros_manuales!$J$13+parametros_manuales!$F$20*(datos_base!$B$4+IF(parametros_manuales!$H$20="Todos",datos_base!$B$11,0))*parametros_manuales!$J$105+parametros_manuales!$F$20*(datos_base!$B$20+IF(parametros_manuales!$H$20="Todos",datos_base!$B$25,0))*parametros_manuales!$J$14+parametros_manuales!$G$20*(datos_base!$B$5+IF(parametros_manuales!$H$20="Todos",datos_base!$B$12,0))*parametros_manuales!$J$110+parametros_manuales!$G$20*(datos_base!$B$21+IF(parametros_manuales!$H$20="Todos",datos_base!$B$26,0))*parametros_manuales!$J$15)*parametros_manuales!$I$20*parametros_manuales!$J$20</f>
        <v>213.8109250984</v>
      </c>
      <c r="K3" s="9" t="n">
        <f aca="false">(parametros_manuales!$D$20*(datos_base!$B$2+IF(parametros_manuales!$H$20="Todos",datos_base!$B$9,0))*parametros_manuales!$K$95+parametros_manuales!$D$20*(datos_base!$B$18+IF(parametros_manuales!$H$20="Todos",datos_base!$B$23,0))*parametros_manuales!$K$12+parametros_manuales!$E$20*(datos_base!$B$3+IF(parametros_manuales!$H$20="Todos",datos_base!$B$10,0))*parametros_manuales!$K$100+parametros_manuales!$E$20*(datos_base!$B$19+IF(parametros_manuales!$H$20="Todos",datos_base!$B$24,0))*parametros_manuales!$K$13+parametros_manuales!$F$20*(datos_base!$B$4+IF(parametros_manuales!$H$20="Todos",datos_base!$B$11,0))*parametros_manuales!$K$105+parametros_manuales!$F$20*(datos_base!$B$20+IF(parametros_manuales!$H$20="Todos",datos_base!$B$25,0))*parametros_manuales!$K$14+parametros_manuales!$G$20*(datos_base!$B$5+IF(parametros_manuales!$H$20="Todos",datos_base!$B$12,0))*parametros_manuales!$K$110+parametros_manuales!$G$20*(datos_base!$B$21+IF(parametros_manuales!$H$20="Todos",datos_base!$B$26,0))*parametros_manuales!$K$15)*parametros_manuales!$I$20*parametros_manuales!$J$20</f>
        <v>226.87410791705</v>
      </c>
      <c r="L3" s="9" t="n">
        <f aca="false">(parametros_manuales!$D$20*(datos_base!$B$2+IF(parametros_manuales!$H$20="Todos",datos_base!$B$9,0))*parametros_manuales!$L$95+parametros_manuales!$D$20*(datos_base!$B$18+IF(parametros_manuales!$H$20="Todos",datos_base!$B$23,0))*parametros_manuales!$L$12+parametros_manuales!$E$20*(datos_base!$B$3+IF(parametros_manuales!$H$20="Todos",datos_base!$B$10,0))*parametros_manuales!$L$100+parametros_manuales!$E$20*(datos_base!$B$19+IF(parametros_manuales!$H$20="Todos",datos_base!$B$24,0))*parametros_manuales!$L$13+parametros_manuales!$F$20*(datos_base!$B$4+IF(parametros_manuales!$H$20="Todos",datos_base!$B$11,0))*parametros_manuales!$L$105+parametros_manuales!$F$20*(datos_base!$B$20+IF(parametros_manuales!$H$20="Todos",datos_base!$B$25,0))*parametros_manuales!$L$14+parametros_manuales!$G$20*(datos_base!$B$5+IF(parametros_manuales!$H$20="Todos",datos_base!$B$12,0))*parametros_manuales!$L$110+parametros_manuales!$G$20*(datos_base!$B$21+IF(parametros_manuales!$H$20="Todos",datos_base!$B$26,0))*parametros_manuales!$L$15)*parametros_manuales!$I$20*parametros_manuales!$J$20</f>
        <v>239.9372907357</v>
      </c>
      <c r="M3" s="9" t="n">
        <f aca="false">(parametros_manuales!$D$20*(datos_base!$B$2+IF(parametros_manuales!$H$20="Todos",datos_base!$B$9,0))*parametros_manuales!$M$95+parametros_manuales!$D$20*(datos_base!$B$18+IF(parametros_manuales!$H$20="Todos",datos_base!$B$23,0))*parametros_manuales!$M$12+parametros_manuales!$E$20*(datos_base!$B$3+IF(parametros_manuales!$H$20="Todos",datos_base!$B$10,0))*parametros_manuales!$M$100+parametros_manuales!$E$20*(datos_base!$B$19+IF(parametros_manuales!$H$20="Todos",datos_base!$B$24,0))*parametros_manuales!$M$13+parametros_manuales!$F$20*(datos_base!$B$4+IF(parametros_manuales!$H$20="Todos",datos_base!$B$11,0))*parametros_manuales!$M$105+parametros_manuales!$F$20*(datos_base!$B$20+IF(parametros_manuales!$H$20="Todos",datos_base!$B$25,0))*parametros_manuales!$M$14+parametros_manuales!$G$20*(datos_base!$B$5+IF(parametros_manuales!$H$20="Todos",datos_base!$B$12,0))*parametros_manuales!$M$110+parametros_manuales!$G$20*(datos_base!$B$21+IF(parametros_manuales!$H$20="Todos",datos_base!$B$26,0))*parametros_manuales!$M$15)*parametros_manuales!$I$20*parametros_manuales!$J$20</f>
        <v>241.1372907357</v>
      </c>
      <c r="N3" s="9" t="n">
        <f aca="false">SUM(B3:M3)</f>
        <v>2672.63656373</v>
      </c>
      <c r="O3" s="9" t="n">
        <f aca="false">MAX(B3:M3)</f>
        <v>241.1372907357</v>
      </c>
      <c r="P3" s="44" t="n">
        <f aca="false">O3/(parametros_manuales!$B$7)</f>
        <v>1.607581938238</v>
      </c>
      <c r="Q3" s="8" t="str">
        <f aca="false">IF(O3=0,"-",INDEX($B$1:$M$1,MATCH(O3,B3:M3,0)))</f>
        <v>Dic</v>
      </c>
    </row>
    <row r="4" customFormat="false" ht="14.25" hidden="false" customHeight="true" outlineLevel="0" collapsed="false">
      <c r="A4" s="8" t="str">
        <f aca="false">parametros_manuales!$B$21</f>
        <v>Corte de tubo — 1 kg</v>
      </c>
      <c r="B4" s="9" t="n">
        <f aca="false">(parametros_manuales!$D$21*(datos_base!$B$2+IF(parametros_manuales!$H$21="Todos",datos_base!$B$9,0))*parametros_manuales!$B$95+parametros_manuales!$D$21*(datos_base!$B$18+IF(parametros_manuales!$H$21="Todos",datos_base!$B$23,0))*parametros_manuales!$B$12+parametros_manuales!$E$21*(datos_base!$B$3+IF(parametros_manuales!$H$21="Todos",datos_base!$B$10,0))*parametros_manuales!$B$100+parametros_manuales!$E$21*(datos_base!$B$19+IF(parametros_manuales!$H$21="Todos",datos_base!$B$24,0))*parametros_manuales!$B$13+parametros_manuales!$F$21*(datos_base!$B$4+IF(parametros_manuales!$H$21="Todos",datos_base!$B$11,0))*parametros_manuales!$B$105+parametros_manuales!$F$21*(datos_base!$B$20+IF(parametros_manuales!$H$21="Todos",datos_base!$B$25,0))*parametros_manuales!$B$14+parametros_manuales!$G$21*(datos_base!$B$5+IF(parametros_manuales!$H$21="Todos",datos_base!$B$12,0))*parametros_manuales!$B$110+parametros_manuales!$G$21*(datos_base!$B$21+IF(parametros_manuales!$H$21="Todos",datos_base!$B$26,0))*parametros_manuales!$B$15)*parametros_manuales!$I$21*parametros_manuales!$J$21</f>
        <v>376.08628887</v>
      </c>
      <c r="C4" s="9" t="n">
        <f aca="false">(parametros_manuales!$D$21*(datos_base!$B$2+IF(parametros_manuales!$H$21="Todos",datos_base!$B$9,0))*parametros_manuales!$C$95+parametros_manuales!$D$21*(datos_base!$B$18+IF(parametros_manuales!$H$21="Todos",datos_base!$B$23,0))*parametros_manuales!$C$12+parametros_manuales!$E$21*(datos_base!$B$3+IF(parametros_manuales!$H$21="Todos",datos_base!$B$10,0))*parametros_manuales!$C$100+parametros_manuales!$E$21*(datos_base!$B$19+IF(parametros_manuales!$H$21="Todos",datos_base!$B$24,0))*parametros_manuales!$C$13+parametros_manuales!$F$21*(datos_base!$B$4+IF(parametros_manuales!$H$21="Todos",datos_base!$B$11,0))*parametros_manuales!$C$105+parametros_manuales!$F$21*(datos_base!$B$20+IF(parametros_manuales!$H$21="Todos",datos_base!$B$25,0))*parametros_manuales!$C$14+parametros_manuales!$G$21*(datos_base!$B$5+IF(parametros_manuales!$H$21="Todos",datos_base!$B$12,0))*parametros_manuales!$C$110+parametros_manuales!$G$21*(datos_base!$B$21+IF(parametros_manuales!$H$21="Todos",datos_base!$B$26,0))*parametros_manuales!$C$15)*parametros_manuales!$I$21*parametros_manuales!$J$21</f>
        <v>376.08628887</v>
      </c>
      <c r="D4" s="9" t="n">
        <f aca="false">(parametros_manuales!$D$21*(datos_base!$B$2+IF(parametros_manuales!$H$21="Todos",datos_base!$B$9,0))*parametros_manuales!$D$95+parametros_manuales!$D$21*(datos_base!$B$18+IF(parametros_manuales!$H$21="Todos",datos_base!$B$23,0))*parametros_manuales!$D$12+parametros_manuales!$E$21*(datos_base!$B$3+IF(parametros_manuales!$H$21="Todos",datos_base!$B$10,0))*parametros_manuales!$D$100+parametros_manuales!$E$21*(datos_base!$B$19+IF(parametros_manuales!$H$21="Todos",datos_base!$B$24,0))*parametros_manuales!$D$13+parametros_manuales!$F$21*(datos_base!$B$4+IF(parametros_manuales!$H$21="Todos",datos_base!$B$11,0))*parametros_manuales!$D$105+parametros_manuales!$F$21*(datos_base!$B$20+IF(parametros_manuales!$H$21="Todos",datos_base!$B$25,0))*parametros_manuales!$D$14+parametros_manuales!$G$21*(datos_base!$B$5+IF(parametros_manuales!$H$21="Todos",datos_base!$B$12,0))*parametros_manuales!$D$110+parametros_manuales!$G$21*(datos_base!$B$21+IF(parametros_manuales!$H$21="Todos",datos_base!$B$26,0))*parametros_manuales!$D$15)*parametros_manuales!$I$21*parametros_manuales!$J$21</f>
        <v>334.29892344</v>
      </c>
      <c r="E4" s="9" t="n">
        <f aca="false">(parametros_manuales!$D$21*(datos_base!$B$2+IF(parametros_manuales!$H$21="Todos",datos_base!$B$9,0))*parametros_manuales!$E$95+parametros_manuales!$D$21*(datos_base!$B$18+IF(parametros_manuales!$H$21="Todos",datos_base!$B$23,0))*parametros_manuales!$E$12+parametros_manuales!$E$21*(datos_base!$B$3+IF(parametros_manuales!$H$21="Todos",datos_base!$B$10,0))*parametros_manuales!$E$100+parametros_manuales!$E$21*(datos_base!$B$19+IF(parametros_manuales!$H$21="Todos",datos_base!$B$24,0))*parametros_manuales!$E$13+parametros_manuales!$F$21*(datos_base!$B$4+IF(parametros_manuales!$H$21="Todos",datos_base!$B$11,0))*parametros_manuales!$E$105+parametros_manuales!$F$21*(datos_base!$B$20+IF(parametros_manuales!$H$21="Todos",datos_base!$B$25,0))*parametros_manuales!$E$14+parametros_manuales!$G$21*(datos_base!$B$5+IF(parametros_manuales!$H$21="Todos",datos_base!$B$12,0))*parametros_manuales!$E$110+parametros_manuales!$G$21*(datos_base!$B$21+IF(parametros_manuales!$H$21="Todos",datos_base!$B$26,0))*parametros_manuales!$E$15)*parametros_manuales!$I$21*parametros_manuales!$J$21</f>
        <v>313.405240725</v>
      </c>
      <c r="F4" s="9" t="n">
        <f aca="false">(parametros_manuales!$D$21*(datos_base!$B$2+IF(parametros_manuales!$H$21="Todos",datos_base!$B$9,0))*parametros_manuales!$F$95+parametros_manuales!$D$21*(datos_base!$B$18+IF(parametros_manuales!$H$21="Todos",datos_base!$B$23,0))*parametros_manuales!$F$12+parametros_manuales!$E$21*(datos_base!$B$3+IF(parametros_manuales!$H$21="Todos",datos_base!$B$10,0))*parametros_manuales!$F$100+parametros_manuales!$E$21*(datos_base!$B$19+IF(parametros_manuales!$H$21="Todos",datos_base!$B$24,0))*parametros_manuales!$F$13+parametros_manuales!$F$21*(datos_base!$B$4+IF(parametros_manuales!$H$21="Todos",datos_base!$B$11,0))*parametros_manuales!$F$105+parametros_manuales!$F$21*(datos_base!$B$20+IF(parametros_manuales!$H$21="Todos",datos_base!$B$25,0))*parametros_manuales!$F$14+parametros_manuales!$G$21*(datos_base!$B$5+IF(parametros_manuales!$H$21="Todos",datos_base!$B$12,0))*parametros_manuales!$F$110+parametros_manuales!$G$21*(datos_base!$B$21+IF(parametros_manuales!$H$21="Todos",datos_base!$B$26,0))*parametros_manuales!$F$15)*parametros_manuales!$I$21*parametros_manuales!$J$21</f>
        <v>292.51155801</v>
      </c>
      <c r="G4" s="9" t="n">
        <f aca="false">(parametros_manuales!$D$21*(datos_base!$B$2+IF(parametros_manuales!$H$21="Todos",datos_base!$B$9,0))*parametros_manuales!$G$95+parametros_manuales!$D$21*(datos_base!$B$18+IF(parametros_manuales!$H$21="Todos",datos_base!$B$23,0))*parametros_manuales!$G$12+parametros_manuales!$E$21*(datos_base!$B$3+IF(parametros_manuales!$H$21="Todos",datos_base!$B$10,0))*parametros_manuales!$G$100+parametros_manuales!$E$21*(datos_base!$B$19+IF(parametros_manuales!$H$21="Todos",datos_base!$B$24,0))*parametros_manuales!$G$13+parametros_manuales!$F$21*(datos_base!$B$4+IF(parametros_manuales!$H$21="Todos",datos_base!$B$11,0))*parametros_manuales!$G$105+parametros_manuales!$F$21*(datos_base!$B$20+IF(parametros_manuales!$H$21="Todos",datos_base!$B$25,0))*parametros_manuales!$G$14+parametros_manuales!$G$21*(datos_base!$B$5+IF(parametros_manuales!$H$21="Todos",datos_base!$B$12,0))*parametros_manuales!$G$110+parametros_manuales!$G$21*(datos_base!$B$21+IF(parametros_manuales!$H$21="Todos",datos_base!$B$26,0))*parametros_manuales!$G$15)*parametros_manuales!$I$21*parametros_manuales!$J$21</f>
        <v>292.51155801</v>
      </c>
      <c r="H4" s="9" t="n">
        <f aca="false">(parametros_manuales!$D$21*(datos_base!$B$2+IF(parametros_manuales!$H$21="Todos",datos_base!$B$9,0))*parametros_manuales!$H$95+parametros_manuales!$D$21*(datos_base!$B$18+IF(parametros_manuales!$H$21="Todos",datos_base!$B$23,0))*parametros_manuales!$H$12+parametros_manuales!$E$21*(datos_base!$B$3+IF(parametros_manuales!$H$21="Todos",datos_base!$B$10,0))*parametros_manuales!$H$100+parametros_manuales!$E$21*(datos_base!$B$19+IF(parametros_manuales!$H$21="Todos",datos_base!$B$24,0))*parametros_manuales!$H$13+parametros_manuales!$F$21*(datos_base!$B$4+IF(parametros_manuales!$H$21="Todos",datos_base!$B$11,0))*parametros_manuales!$H$105+parametros_manuales!$F$21*(datos_base!$B$20+IF(parametros_manuales!$H$21="Todos",datos_base!$B$25,0))*parametros_manuales!$H$14+parametros_manuales!$G$21*(datos_base!$B$5+IF(parametros_manuales!$H$21="Todos",datos_base!$B$12,0))*parametros_manuales!$H$110+parametros_manuales!$G$21*(datos_base!$B$21+IF(parametros_manuales!$H$21="Todos",datos_base!$B$26,0))*parametros_manuales!$H$15)*parametros_manuales!$I$21*parametros_manuales!$J$21</f>
        <v>313.405240725</v>
      </c>
      <c r="I4" s="9" t="n">
        <f aca="false">(parametros_manuales!$D$21*(datos_base!$B$2+IF(parametros_manuales!$H$21="Todos",datos_base!$B$9,0))*parametros_manuales!$I$95+parametros_manuales!$D$21*(datos_base!$B$18+IF(parametros_manuales!$H$21="Todos",datos_base!$B$23,0))*parametros_manuales!$I$12+parametros_manuales!$E$21*(datos_base!$B$3+IF(parametros_manuales!$H$21="Todos",datos_base!$B$10,0))*parametros_manuales!$I$100+parametros_manuales!$E$21*(datos_base!$B$19+IF(parametros_manuales!$H$21="Todos",datos_base!$B$24,0))*parametros_manuales!$I$13+parametros_manuales!$F$21*(datos_base!$B$4+IF(parametros_manuales!$H$21="Todos",datos_base!$B$11,0))*parametros_manuales!$I$105+parametros_manuales!$F$21*(datos_base!$B$20+IF(parametros_manuales!$H$21="Todos",datos_base!$B$25,0))*parametros_manuales!$I$14+parametros_manuales!$G$21*(datos_base!$B$5+IF(parametros_manuales!$H$21="Todos",datos_base!$B$12,0))*parametros_manuales!$I$110+parametros_manuales!$G$21*(datos_base!$B$21+IF(parametros_manuales!$H$21="Todos",datos_base!$B$26,0))*parametros_manuales!$I$15)*parametros_manuales!$I$21*parametros_manuales!$J$21</f>
        <v>376.08628887</v>
      </c>
      <c r="J4" s="9" t="n">
        <f aca="false">(parametros_manuales!$D$21*(datos_base!$B$2+IF(parametros_manuales!$H$21="Todos",datos_base!$B$9,0))*parametros_manuales!$J$95+parametros_manuales!$D$21*(datos_base!$B$18+IF(parametros_manuales!$H$21="Todos",datos_base!$B$23,0))*parametros_manuales!$J$12+parametros_manuales!$E$21*(datos_base!$B$3+IF(parametros_manuales!$H$21="Todos",datos_base!$B$10,0))*parametros_manuales!$J$100+parametros_manuales!$E$21*(datos_base!$B$19+IF(parametros_manuales!$H$21="Todos",datos_base!$B$24,0))*parametros_manuales!$J$13+parametros_manuales!$F$21*(datos_base!$B$4+IF(parametros_manuales!$H$21="Todos",datos_base!$B$11,0))*parametros_manuales!$J$105+parametros_manuales!$F$21*(datos_base!$B$20+IF(parametros_manuales!$H$21="Todos",datos_base!$B$25,0))*parametros_manuales!$J$14+parametros_manuales!$G$21*(datos_base!$B$5+IF(parametros_manuales!$H$21="Todos",datos_base!$B$12,0))*parametros_manuales!$J$110+parametros_manuales!$G$21*(datos_base!$B$21+IF(parametros_manuales!$H$21="Todos",datos_base!$B$26,0))*parametros_manuales!$J$15)*parametros_manuales!$I$21*parametros_manuales!$J$21</f>
        <v>376.08628887</v>
      </c>
      <c r="K4" s="9" t="n">
        <f aca="false">(parametros_manuales!$D$21*(datos_base!$B$2+IF(parametros_manuales!$H$21="Todos",datos_base!$B$9,0))*parametros_manuales!$K$95+parametros_manuales!$D$21*(datos_base!$B$18+IF(parametros_manuales!$H$21="Todos",datos_base!$B$23,0))*parametros_manuales!$K$12+parametros_manuales!$E$21*(datos_base!$B$3+IF(parametros_manuales!$H$21="Todos",datos_base!$B$10,0))*parametros_manuales!$K$100+parametros_manuales!$E$21*(datos_base!$B$19+IF(parametros_manuales!$H$21="Todos",datos_base!$B$24,0))*parametros_manuales!$K$13+parametros_manuales!$F$21*(datos_base!$B$4+IF(parametros_manuales!$H$21="Todos",datos_base!$B$11,0))*parametros_manuales!$K$105+parametros_manuales!$F$21*(datos_base!$B$20+IF(parametros_manuales!$H$21="Todos",datos_base!$B$25,0))*parametros_manuales!$K$14+parametros_manuales!$G$21*(datos_base!$B$5+IF(parametros_manuales!$H$21="Todos",datos_base!$B$12,0))*parametros_manuales!$K$110+parametros_manuales!$G$21*(datos_base!$B$21+IF(parametros_manuales!$H$21="Todos",datos_base!$B$26,0))*parametros_manuales!$K$15)*parametros_manuales!$I$21*parametros_manuales!$J$21</f>
        <v>376.08628887</v>
      </c>
      <c r="L4" s="9" t="n">
        <f aca="false">(parametros_manuales!$D$21*(datos_base!$B$2+IF(parametros_manuales!$H$21="Todos",datos_base!$B$9,0))*parametros_manuales!$L$95+parametros_manuales!$D$21*(datos_base!$B$18+IF(parametros_manuales!$H$21="Todos",datos_base!$B$23,0))*parametros_manuales!$L$12+parametros_manuales!$E$21*(datos_base!$B$3+IF(parametros_manuales!$H$21="Todos",datos_base!$B$10,0))*parametros_manuales!$L$100+parametros_manuales!$E$21*(datos_base!$B$19+IF(parametros_manuales!$H$21="Todos",datos_base!$B$24,0))*parametros_manuales!$L$13+parametros_manuales!$F$21*(datos_base!$B$4+IF(parametros_manuales!$H$21="Todos",datos_base!$B$11,0))*parametros_manuales!$L$105+parametros_manuales!$F$21*(datos_base!$B$20+IF(parametros_manuales!$H$21="Todos",datos_base!$B$25,0))*parametros_manuales!$L$14+parametros_manuales!$G$21*(datos_base!$B$5+IF(parametros_manuales!$H$21="Todos",datos_base!$B$12,0))*parametros_manuales!$L$110+parametros_manuales!$G$21*(datos_base!$B$21+IF(parametros_manuales!$H$21="Todos",datos_base!$B$26,0))*parametros_manuales!$L$15)*parametros_manuales!$I$21*parametros_manuales!$J$21</f>
        <v>376.08628887</v>
      </c>
      <c r="M4" s="9" t="n">
        <f aca="false">(parametros_manuales!$D$21*(datos_base!$B$2+IF(parametros_manuales!$H$21="Todos",datos_base!$B$9,0))*parametros_manuales!$M$95+parametros_manuales!$D$21*(datos_base!$B$18+IF(parametros_manuales!$H$21="Todos",datos_base!$B$23,0))*parametros_manuales!$M$12+parametros_manuales!$E$21*(datos_base!$B$3+IF(parametros_manuales!$H$21="Todos",datos_base!$B$10,0))*parametros_manuales!$M$100+parametros_manuales!$E$21*(datos_base!$B$19+IF(parametros_manuales!$H$21="Todos",datos_base!$B$24,0))*parametros_manuales!$M$13+parametros_manuales!$F$21*(datos_base!$B$4+IF(parametros_manuales!$H$21="Todos",datos_base!$B$11,0))*parametros_manuales!$M$105+parametros_manuales!$F$21*(datos_base!$B$20+IF(parametros_manuales!$H$21="Todos",datos_base!$B$25,0))*parametros_manuales!$M$14+parametros_manuales!$G$21*(datos_base!$B$5+IF(parametros_manuales!$H$21="Todos",datos_base!$B$12,0))*parametros_manuales!$M$110+parametros_manuales!$G$21*(datos_base!$B$21+IF(parametros_manuales!$H$21="Todos",datos_base!$B$26,0))*parametros_manuales!$M$15)*parametros_manuales!$I$21*parametros_manuales!$J$21</f>
        <v>376.08628887</v>
      </c>
      <c r="N4" s="9" t="n">
        <f aca="false">SUM(B4:M4)</f>
        <v>4178.736543</v>
      </c>
      <c r="O4" s="9" t="n">
        <f aca="false">MAX(B4:M4)</f>
        <v>376.08628887</v>
      </c>
      <c r="P4" s="44" t="n">
        <f aca="false">O4/(parametros_manuales!$B$7)</f>
        <v>2.5072419258</v>
      </c>
      <c r="Q4" s="8" t="str">
        <f aca="false">IF(O4=0,"-",INDEX($B$1:$M$1,MATCH(O4,B4:M4,0)))</f>
        <v>Ene</v>
      </c>
    </row>
    <row r="5" customFormat="false" ht="14.25" hidden="false" customHeight="true" outlineLevel="0" collapsed="false">
      <c r="A5" s="8" t="str">
        <f aca="false">parametros_manuales!$B$22</f>
        <v>Corte de disco y embutido (cúpula y fondo)</v>
      </c>
      <c r="B5" s="9" t="n">
        <f aca="false">(parametros_manuales!$D$22*(datos_base!$B$2+IF(parametros_manuales!$H$22="Todos",datos_base!$B$9,0))*parametros_manuales!$B$95+parametros_manuales!$D$22*(datos_base!$B$18+IF(parametros_manuales!$H$22="Todos",datos_base!$B$23,0))*parametros_manuales!$B$12+parametros_manuales!$E$22*(datos_base!$B$3+IF(parametros_manuales!$H$22="Todos",datos_base!$B$10,0))*parametros_manuales!$B$100+parametros_manuales!$E$22*(datos_base!$B$19+IF(parametros_manuales!$H$22="Todos",datos_base!$B$24,0))*parametros_manuales!$B$13+parametros_manuales!$F$22*(datos_base!$B$4+IF(parametros_manuales!$H$22="Todos",datos_base!$B$11,0))*parametros_manuales!$B$105+parametros_manuales!$F$22*(datos_base!$B$20+IF(parametros_manuales!$H$22="Todos",datos_base!$B$25,0))*parametros_manuales!$B$14+parametros_manuales!$G$22*(datos_base!$B$5+IF(parametros_manuales!$H$22="Todos",datos_base!$B$12,0))*parametros_manuales!$B$110+parametros_manuales!$G$22*(datos_base!$B$21+IF(parametros_manuales!$H$22="Todos",datos_base!$B$26,0))*parametros_manuales!$B$15)*parametros_manuales!$I$22*parametros_manuales!$J$22</f>
        <v>1233.8471592114</v>
      </c>
      <c r="C5" s="9" t="n">
        <f aca="false">(parametros_manuales!$D$22*(datos_base!$B$2+IF(parametros_manuales!$H$22="Todos",datos_base!$B$9,0))*parametros_manuales!$C$95+parametros_manuales!$D$22*(datos_base!$B$18+IF(parametros_manuales!$H$22="Todos",datos_base!$B$23,0))*parametros_manuales!$C$12+parametros_manuales!$E$22*(datos_base!$B$3+IF(parametros_manuales!$H$22="Todos",datos_base!$B$10,0))*parametros_manuales!$C$100+parametros_manuales!$E$22*(datos_base!$B$19+IF(parametros_manuales!$H$22="Todos",datos_base!$B$24,0))*parametros_manuales!$C$13+parametros_manuales!$F$22*(datos_base!$B$4+IF(parametros_manuales!$H$22="Todos",datos_base!$B$11,0))*parametros_manuales!$C$105+parametros_manuales!$F$22*(datos_base!$B$20+IF(parametros_manuales!$H$22="Todos",datos_base!$B$25,0))*parametros_manuales!$C$14+parametros_manuales!$G$22*(datos_base!$B$5+IF(parametros_manuales!$H$22="Todos",datos_base!$B$12,0))*parametros_manuales!$C$110+parametros_manuales!$G$22*(datos_base!$B$21+IF(parametros_manuales!$H$22="Todos",datos_base!$B$26,0))*parametros_manuales!$C$15)*parametros_manuales!$I$22*parametros_manuales!$J$22</f>
        <v>1179.7944279368</v>
      </c>
      <c r="D5" s="9" t="n">
        <f aca="false">(parametros_manuales!$D$22*(datos_base!$B$2+IF(parametros_manuales!$H$22="Todos",datos_base!$B$9,0))*parametros_manuales!$D$95+parametros_manuales!$D$22*(datos_base!$B$18+IF(parametros_manuales!$H$22="Todos",datos_base!$B$23,0))*parametros_manuales!$D$12+parametros_manuales!$E$22*(datos_base!$B$3+IF(parametros_manuales!$H$22="Todos",datos_base!$B$10,0))*parametros_manuales!$D$100+parametros_manuales!$E$22*(datos_base!$B$19+IF(parametros_manuales!$H$22="Todos",datos_base!$B$24,0))*parametros_manuales!$D$13+parametros_manuales!$F$22*(datos_base!$B$4+IF(parametros_manuales!$H$22="Todos",datos_base!$B$11,0))*parametros_manuales!$D$105+parametros_manuales!$F$22*(datos_base!$B$20+IF(parametros_manuales!$H$22="Todos",datos_base!$B$25,0))*parametros_manuales!$D$14+parametros_manuales!$G$22*(datos_base!$B$5+IF(parametros_manuales!$H$22="Todos",datos_base!$B$12,0))*parametros_manuales!$D$110+parametros_manuales!$G$22*(datos_base!$B$21+IF(parametros_manuales!$H$22="Todos",datos_base!$B$26,0))*parametros_manuales!$D$15)*parametros_manuales!$I$22*parametros_manuales!$J$22</f>
        <v>1122.9460627141</v>
      </c>
      <c r="E5" s="9" t="n">
        <f aca="false">(parametros_manuales!$D$22*(datos_base!$B$2+IF(parametros_manuales!$H$22="Todos",datos_base!$B$9,0))*parametros_manuales!$E$95+parametros_manuales!$D$22*(datos_base!$B$18+IF(parametros_manuales!$H$22="Todos",datos_base!$B$23,0))*parametros_manuales!$E$12+parametros_manuales!$E$22*(datos_base!$B$3+IF(parametros_manuales!$H$22="Todos",datos_base!$B$10,0))*parametros_manuales!$E$100+parametros_manuales!$E$22*(datos_base!$B$19+IF(parametros_manuales!$H$22="Todos",datos_base!$B$24,0))*parametros_manuales!$E$13+parametros_manuales!$F$22*(datos_base!$B$4+IF(parametros_manuales!$H$22="Todos",datos_base!$B$11,0))*parametros_manuales!$E$105+parametros_manuales!$F$22*(datos_base!$B$20+IF(parametros_manuales!$H$22="Todos",datos_base!$B$25,0))*parametros_manuales!$E$14+parametros_manuales!$G$22*(datos_base!$B$5+IF(parametros_manuales!$H$22="Todos",datos_base!$B$12,0))*parametros_manuales!$E$110+parametros_manuales!$G$22*(datos_base!$B$21+IF(parametros_manuales!$H$22="Todos",datos_base!$B$26,0))*parametros_manuales!$E$15)*parametros_manuales!$I$22*parametros_manuales!$J$22</f>
        <v>1081.1586972841</v>
      </c>
      <c r="F5" s="9" t="n">
        <f aca="false">(parametros_manuales!$D$22*(datos_base!$B$2+IF(parametros_manuales!$H$22="Todos",datos_base!$B$9,0))*parametros_manuales!$F$95+parametros_manuales!$D$22*(datos_base!$B$18+IF(parametros_manuales!$H$22="Todos",datos_base!$B$23,0))*parametros_manuales!$F$12+parametros_manuales!$E$22*(datos_base!$B$3+IF(parametros_manuales!$H$22="Todos",datos_base!$B$10,0))*parametros_manuales!$F$100+parametros_manuales!$E$22*(datos_base!$B$19+IF(parametros_manuales!$H$22="Todos",datos_base!$B$24,0))*parametros_manuales!$F$13+parametros_manuales!$F$22*(datos_base!$B$4+IF(parametros_manuales!$H$22="Todos",datos_base!$B$11,0))*parametros_manuales!$F$105+parametros_manuales!$F$22*(datos_base!$B$20+IF(parametros_manuales!$H$22="Todos",datos_base!$B$25,0))*parametros_manuales!$F$14+parametros_manuales!$G$22*(datos_base!$B$5+IF(parametros_manuales!$H$22="Todos",datos_base!$B$12,0))*parametros_manuales!$F$110+parametros_manuales!$G$22*(datos_base!$B$21+IF(parametros_manuales!$H$22="Todos",datos_base!$B$26,0))*parametros_manuales!$F$15)*parametros_manuales!$I$22*parametros_manuales!$J$22</f>
        <v>1012.6449662168</v>
      </c>
      <c r="G5" s="9" t="n">
        <f aca="false">(parametros_manuales!$D$22*(datos_base!$B$2+IF(parametros_manuales!$H$22="Todos",datos_base!$B$9,0))*parametros_manuales!$G$95+parametros_manuales!$D$22*(datos_base!$B$18+IF(parametros_manuales!$H$22="Todos",datos_base!$B$23,0))*parametros_manuales!$G$12+parametros_manuales!$E$22*(datos_base!$B$3+IF(parametros_manuales!$H$22="Todos",datos_base!$B$10,0))*parametros_manuales!$G$100+parametros_manuales!$E$22*(datos_base!$B$19+IF(parametros_manuales!$H$22="Todos",datos_base!$B$24,0))*parametros_manuales!$G$13+parametros_manuales!$F$22*(datos_base!$B$4+IF(parametros_manuales!$H$22="Todos",datos_base!$B$11,0))*parametros_manuales!$G$105+parametros_manuales!$F$22*(datos_base!$B$20+IF(parametros_manuales!$H$22="Todos",datos_base!$B$25,0))*parametros_manuales!$G$14+parametros_manuales!$G$22*(datos_base!$B$5+IF(parametros_manuales!$H$22="Todos",datos_base!$B$12,0))*parametros_manuales!$G$110+parametros_manuales!$G$22*(datos_base!$B$21+IF(parametros_manuales!$H$22="Todos",datos_base!$B$26,0))*parametros_manuales!$G$15)*parametros_manuales!$I$22*parametros_manuales!$J$22</f>
        <v>985.9186005795</v>
      </c>
      <c r="H5" s="9" t="n">
        <f aca="false">(parametros_manuales!$D$22*(datos_base!$B$2+IF(parametros_manuales!$H$22="Todos",datos_base!$B$9,0))*parametros_manuales!$H$95+parametros_manuales!$D$22*(datos_base!$B$18+IF(parametros_manuales!$H$22="Todos",datos_base!$B$23,0))*parametros_manuales!$H$12+parametros_manuales!$E$22*(datos_base!$B$3+IF(parametros_manuales!$H$22="Todos",datos_base!$B$10,0))*parametros_manuales!$H$100+parametros_manuales!$E$22*(datos_base!$B$19+IF(parametros_manuales!$H$22="Todos",datos_base!$B$24,0))*parametros_manuales!$H$13+parametros_manuales!$F$22*(datos_base!$B$4+IF(parametros_manuales!$H$22="Todos",datos_base!$B$11,0))*parametros_manuales!$H$105+parametros_manuales!$F$22*(datos_base!$B$20+IF(parametros_manuales!$H$22="Todos",datos_base!$B$25,0))*parametros_manuales!$H$14+parametros_manuales!$G$22*(datos_base!$B$5+IF(parametros_manuales!$H$22="Todos",datos_base!$B$12,0))*parametros_manuales!$H$110+parametros_manuales!$G$22*(datos_base!$B$21+IF(parametros_manuales!$H$22="Todos",datos_base!$B$26,0))*parametros_manuales!$H$15)*parametros_manuales!$I$22*parametros_manuales!$J$22</f>
        <v>1054.4323316468</v>
      </c>
      <c r="I5" s="9" t="n">
        <f aca="false">(parametros_manuales!$D$22*(datos_base!$B$2+IF(parametros_manuales!$H$22="Todos",datos_base!$B$9,0))*parametros_manuales!$I$95+parametros_manuales!$D$22*(datos_base!$B$18+IF(parametros_manuales!$H$22="Todos",datos_base!$B$23,0))*parametros_manuales!$I$12+parametros_manuales!$E$22*(datos_base!$B$3+IF(parametros_manuales!$H$22="Todos",datos_base!$B$10,0))*parametros_manuales!$I$100+parametros_manuales!$E$22*(datos_base!$B$19+IF(parametros_manuales!$H$22="Todos",datos_base!$B$24,0))*parametros_manuales!$I$13+parametros_manuales!$F$22*(datos_base!$B$4+IF(parametros_manuales!$H$22="Todos",datos_base!$B$11,0))*parametros_manuales!$I$105+parametros_manuales!$F$22*(datos_base!$B$20+IF(parametros_manuales!$H$22="Todos",datos_base!$B$25,0))*parametros_manuales!$I$14+parametros_manuales!$G$22*(datos_base!$B$5+IF(parametros_manuales!$H$22="Todos",datos_base!$B$12,0))*parametros_manuales!$I$110+parametros_manuales!$G$22*(datos_base!$B$21+IF(parametros_manuales!$H$22="Todos",datos_base!$B$26,0))*parametros_manuales!$I$15)*parametros_manuales!$I$22*parametros_manuales!$J$22</f>
        <v>1179.7944279368</v>
      </c>
      <c r="J5" s="9" t="n">
        <f aca="false">(parametros_manuales!$D$22*(datos_base!$B$2+IF(parametros_manuales!$H$22="Todos",datos_base!$B$9,0))*parametros_manuales!$J$95+parametros_manuales!$D$22*(datos_base!$B$18+IF(parametros_manuales!$H$22="Todos",datos_base!$B$23,0))*parametros_manuales!$J$12+parametros_manuales!$E$22*(datos_base!$B$3+IF(parametros_manuales!$H$22="Todos",datos_base!$B$10,0))*parametros_manuales!$J$100+parametros_manuales!$E$22*(datos_base!$B$19+IF(parametros_manuales!$H$22="Todos",datos_base!$B$24,0))*parametros_manuales!$J$13+parametros_manuales!$F$22*(datos_base!$B$4+IF(parametros_manuales!$H$22="Todos",datos_base!$B$11,0))*parametros_manuales!$J$105+parametros_manuales!$F$22*(datos_base!$B$20+IF(parametros_manuales!$H$22="Todos",datos_base!$B$25,0))*parametros_manuales!$J$14+parametros_manuales!$G$22*(datos_base!$B$5+IF(parametros_manuales!$H$22="Todos",datos_base!$B$12,0))*parametros_manuales!$J$110+parametros_manuales!$G$22*(datos_base!$B$21+IF(parametros_manuales!$H$22="Todos",datos_base!$B$26,0))*parametros_manuales!$J$15)*parametros_manuales!$I$22*parametros_manuales!$J$22</f>
        <v>1179.7944279368</v>
      </c>
      <c r="K5" s="9" t="n">
        <f aca="false">(parametros_manuales!$D$22*(datos_base!$B$2+IF(parametros_manuales!$H$22="Todos",datos_base!$B$9,0))*parametros_manuales!$K$95+parametros_manuales!$D$22*(datos_base!$B$18+IF(parametros_manuales!$H$22="Todos",datos_base!$B$23,0))*parametros_manuales!$K$12+parametros_manuales!$E$22*(datos_base!$B$3+IF(parametros_manuales!$H$22="Todos",datos_base!$B$10,0))*parametros_manuales!$K$100+parametros_manuales!$E$22*(datos_base!$B$19+IF(parametros_manuales!$H$22="Todos",datos_base!$B$24,0))*parametros_manuales!$K$13+parametros_manuales!$F$22*(datos_base!$B$4+IF(parametros_manuales!$H$22="Todos",datos_base!$B$11,0))*parametros_manuales!$K$105+parametros_manuales!$F$22*(datos_base!$B$20+IF(parametros_manuales!$H$22="Todos",datos_base!$B$25,0))*parametros_manuales!$K$14+parametros_manuales!$G$22*(datos_base!$B$5+IF(parametros_manuales!$H$22="Todos",datos_base!$B$12,0))*parametros_manuales!$K$110+parametros_manuales!$G$22*(datos_base!$B$21+IF(parametros_manuales!$H$22="Todos",datos_base!$B$26,0))*parametros_manuales!$K$15)*parametros_manuales!$I$22*parametros_manuales!$J$22</f>
        <v>1205.9207935741</v>
      </c>
      <c r="L5" s="9" t="n">
        <f aca="false">(parametros_manuales!$D$22*(datos_base!$B$2+IF(parametros_manuales!$H$22="Todos",datos_base!$B$9,0))*parametros_manuales!$L$95+parametros_manuales!$D$22*(datos_base!$B$18+IF(parametros_manuales!$H$22="Todos",datos_base!$B$23,0))*parametros_manuales!$L$12+parametros_manuales!$E$22*(datos_base!$B$3+IF(parametros_manuales!$H$22="Todos",datos_base!$B$10,0))*parametros_manuales!$L$100+parametros_manuales!$E$22*(datos_base!$B$19+IF(parametros_manuales!$H$22="Todos",datos_base!$B$24,0))*parametros_manuales!$L$13+parametros_manuales!$F$22*(datos_base!$B$4+IF(parametros_manuales!$H$22="Todos",datos_base!$B$11,0))*parametros_manuales!$L$105+parametros_manuales!$F$22*(datos_base!$B$20+IF(parametros_manuales!$H$22="Todos",datos_base!$B$25,0))*parametros_manuales!$L$14+parametros_manuales!$G$22*(datos_base!$B$5+IF(parametros_manuales!$H$22="Todos",datos_base!$B$12,0))*parametros_manuales!$L$110+parametros_manuales!$G$22*(datos_base!$B$21+IF(parametros_manuales!$H$22="Todos",datos_base!$B$26,0))*parametros_manuales!$L$15)*parametros_manuales!$I$22*parametros_manuales!$J$22</f>
        <v>1232.0471592114</v>
      </c>
      <c r="M5" s="9" t="n">
        <f aca="false">(parametros_manuales!$D$22*(datos_base!$B$2+IF(parametros_manuales!$H$22="Todos",datos_base!$B$9,0))*parametros_manuales!$M$95+parametros_manuales!$D$22*(datos_base!$B$18+IF(parametros_manuales!$H$22="Todos",datos_base!$B$23,0))*parametros_manuales!$M$12+parametros_manuales!$E$22*(datos_base!$B$3+IF(parametros_manuales!$H$22="Todos",datos_base!$B$10,0))*parametros_manuales!$M$100+parametros_manuales!$E$22*(datos_base!$B$19+IF(parametros_manuales!$H$22="Todos",datos_base!$B$24,0))*parametros_manuales!$M$13+parametros_manuales!$F$22*(datos_base!$B$4+IF(parametros_manuales!$H$22="Todos",datos_base!$B$11,0))*parametros_manuales!$M$105+parametros_manuales!$F$22*(datos_base!$B$20+IF(parametros_manuales!$H$22="Todos",datos_base!$B$25,0))*parametros_manuales!$M$14+parametros_manuales!$G$22*(datos_base!$B$5+IF(parametros_manuales!$H$22="Todos",datos_base!$B$12,0))*parametros_manuales!$M$110+parametros_manuales!$G$22*(datos_base!$B$21+IF(parametros_manuales!$H$22="Todos",datos_base!$B$26,0))*parametros_manuales!$M$15)*parametros_manuales!$I$22*parametros_manuales!$J$22</f>
        <v>1234.4471592114</v>
      </c>
      <c r="N5" s="9" t="n">
        <f aca="false">SUM(B5:M5)</f>
        <v>13702.74621346</v>
      </c>
      <c r="O5" s="9" t="n">
        <f aca="false">MAX(B5:M5)</f>
        <v>1234.4471592114</v>
      </c>
      <c r="P5" s="44" t="n">
        <f aca="false">O5/(parametros_manuales!$B$7)</f>
        <v>8.229647728076</v>
      </c>
      <c r="Q5" s="8" t="str">
        <f aca="false">IF(O5=0,"-",INDEX($B$1:$M$1,MATCH(O5,B5:M5,0)))</f>
        <v>Dic</v>
      </c>
    </row>
    <row r="6" customFormat="false" ht="14.25" hidden="false" customHeight="true" outlineLevel="0" collapsed="false">
      <c r="A6" s="8" t="str">
        <f aca="false">parametros_manuales!$B$23</f>
        <v>Preparación de cuello</v>
      </c>
      <c r="B6" s="9" t="n">
        <f aca="false">(parametros_manuales!$D$23*(datos_base!$B$2+IF(parametros_manuales!$H$23="Todos",datos_base!$B$9,0))*parametros_manuales!$B$95+parametros_manuales!$D$23*(datos_base!$B$18+IF(parametros_manuales!$H$23="Todos",datos_base!$B$23,0))*parametros_manuales!$B$12+parametros_manuales!$E$23*(datos_base!$B$3+IF(parametros_manuales!$H$23="Todos",datos_base!$B$10,0))*parametros_manuales!$B$100+parametros_manuales!$E$23*(datos_base!$B$19+IF(parametros_manuales!$H$23="Todos",datos_base!$B$24,0))*parametros_manuales!$B$13+parametros_manuales!$F$23*(datos_base!$B$4+IF(parametros_manuales!$H$23="Todos",datos_base!$B$11,0))*parametros_manuales!$B$105+parametros_manuales!$F$23*(datos_base!$B$20+IF(parametros_manuales!$H$23="Todos",datos_base!$B$25,0))*parametros_manuales!$B$14+parametros_manuales!$G$23*(datos_base!$B$5+IF(parametros_manuales!$H$23="Todos",datos_base!$B$12,0))*parametros_manuales!$B$110+parametros_manuales!$G$23*(datos_base!$B$21+IF(parametros_manuales!$H$23="Todos",datos_base!$B$26,0))*parametros_manuales!$B$15)*parametros_manuales!$I$23*parametros_manuales!$J$23</f>
        <v>616.9235796057</v>
      </c>
      <c r="C6" s="9" t="n">
        <f aca="false">(parametros_manuales!$D$23*(datos_base!$B$2+IF(parametros_manuales!$H$23="Todos",datos_base!$B$9,0))*parametros_manuales!$C$95+parametros_manuales!$D$23*(datos_base!$B$18+IF(parametros_manuales!$H$23="Todos",datos_base!$B$23,0))*parametros_manuales!$C$12+parametros_manuales!$E$23*(datos_base!$B$3+IF(parametros_manuales!$H$23="Todos",datos_base!$B$10,0))*parametros_manuales!$C$100+parametros_manuales!$E$23*(datos_base!$B$19+IF(parametros_manuales!$H$23="Todos",datos_base!$B$24,0))*parametros_manuales!$C$13+parametros_manuales!$F$23*(datos_base!$B$4+IF(parametros_manuales!$H$23="Todos",datos_base!$B$11,0))*parametros_manuales!$C$105+parametros_manuales!$F$23*(datos_base!$B$20+IF(parametros_manuales!$H$23="Todos",datos_base!$B$25,0))*parametros_manuales!$C$14+parametros_manuales!$G$23*(datos_base!$B$5+IF(parametros_manuales!$H$23="Todos",datos_base!$B$12,0))*parametros_manuales!$C$110+parametros_manuales!$G$23*(datos_base!$B$21+IF(parametros_manuales!$H$23="Todos",datos_base!$B$26,0))*parametros_manuales!$C$15)*parametros_manuales!$I$23*parametros_manuales!$J$23</f>
        <v>589.8972139684</v>
      </c>
      <c r="D6" s="9" t="n">
        <f aca="false">(parametros_manuales!$D$23*(datos_base!$B$2+IF(parametros_manuales!$H$23="Todos",datos_base!$B$9,0))*parametros_manuales!$D$95+parametros_manuales!$D$23*(datos_base!$B$18+IF(parametros_manuales!$H$23="Todos",datos_base!$B$23,0))*parametros_manuales!$D$12+parametros_manuales!$E$23*(datos_base!$B$3+IF(parametros_manuales!$H$23="Todos",datos_base!$B$10,0))*parametros_manuales!$D$100+parametros_manuales!$E$23*(datos_base!$B$19+IF(parametros_manuales!$H$23="Todos",datos_base!$B$24,0))*parametros_manuales!$D$13+parametros_manuales!$F$23*(datos_base!$B$4+IF(parametros_manuales!$H$23="Todos",datos_base!$B$11,0))*parametros_manuales!$D$105+parametros_manuales!$F$23*(datos_base!$B$20+IF(parametros_manuales!$H$23="Todos",datos_base!$B$25,0))*parametros_manuales!$D$14+parametros_manuales!$G$23*(datos_base!$B$5+IF(parametros_manuales!$H$23="Todos",datos_base!$B$12,0))*parametros_manuales!$D$110+parametros_manuales!$G$23*(datos_base!$B$21+IF(parametros_manuales!$H$23="Todos",datos_base!$B$26,0))*parametros_manuales!$D$15)*parametros_manuales!$I$23*parametros_manuales!$J$23</f>
        <v>561.47303135705</v>
      </c>
      <c r="E6" s="9" t="n">
        <f aca="false">(parametros_manuales!$D$23*(datos_base!$B$2+IF(parametros_manuales!$H$23="Todos",datos_base!$B$9,0))*parametros_manuales!$E$95+parametros_manuales!$D$23*(datos_base!$B$18+IF(parametros_manuales!$H$23="Todos",datos_base!$B$23,0))*parametros_manuales!$E$12+parametros_manuales!$E$23*(datos_base!$B$3+IF(parametros_manuales!$H$23="Todos",datos_base!$B$10,0))*parametros_manuales!$E$100+parametros_manuales!$E$23*(datos_base!$B$19+IF(parametros_manuales!$H$23="Todos",datos_base!$B$24,0))*parametros_manuales!$E$13+parametros_manuales!$F$23*(datos_base!$B$4+IF(parametros_manuales!$H$23="Todos",datos_base!$B$11,0))*parametros_manuales!$E$105+parametros_manuales!$F$23*(datos_base!$B$20+IF(parametros_manuales!$H$23="Todos",datos_base!$B$25,0))*parametros_manuales!$E$14+parametros_manuales!$G$23*(datos_base!$B$5+IF(parametros_manuales!$H$23="Todos",datos_base!$B$12,0))*parametros_manuales!$E$110+parametros_manuales!$G$23*(datos_base!$B$21+IF(parametros_manuales!$H$23="Todos",datos_base!$B$26,0))*parametros_manuales!$E$15)*parametros_manuales!$I$23*parametros_manuales!$J$23</f>
        <v>540.57934864205</v>
      </c>
      <c r="F6" s="9" t="n">
        <f aca="false">(parametros_manuales!$D$23*(datos_base!$B$2+IF(parametros_manuales!$H$23="Todos",datos_base!$B$9,0))*parametros_manuales!$F$95+parametros_manuales!$D$23*(datos_base!$B$18+IF(parametros_manuales!$H$23="Todos",datos_base!$B$23,0))*parametros_manuales!$F$12+parametros_manuales!$E$23*(datos_base!$B$3+IF(parametros_manuales!$H$23="Todos",datos_base!$B$10,0))*parametros_manuales!$F$100+parametros_manuales!$E$23*(datos_base!$B$19+IF(parametros_manuales!$H$23="Todos",datos_base!$B$24,0))*parametros_manuales!$F$13+parametros_manuales!$F$23*(datos_base!$B$4+IF(parametros_manuales!$H$23="Todos",datos_base!$B$11,0))*parametros_manuales!$F$105+parametros_manuales!$F$23*(datos_base!$B$20+IF(parametros_manuales!$H$23="Todos",datos_base!$B$25,0))*parametros_manuales!$F$14+parametros_manuales!$G$23*(datos_base!$B$5+IF(parametros_manuales!$H$23="Todos",datos_base!$B$12,0))*parametros_manuales!$F$110+parametros_manuales!$G$23*(datos_base!$B$21+IF(parametros_manuales!$H$23="Todos",datos_base!$B$26,0))*parametros_manuales!$F$15)*parametros_manuales!$I$23*parametros_manuales!$J$23</f>
        <v>506.3224831084</v>
      </c>
      <c r="G6" s="9" t="n">
        <f aca="false">(parametros_manuales!$D$23*(datos_base!$B$2+IF(parametros_manuales!$H$23="Todos",datos_base!$B$9,0))*parametros_manuales!$G$95+parametros_manuales!$D$23*(datos_base!$B$18+IF(parametros_manuales!$H$23="Todos",datos_base!$B$23,0))*parametros_manuales!$G$12+parametros_manuales!$E$23*(datos_base!$B$3+IF(parametros_manuales!$H$23="Todos",datos_base!$B$10,0))*parametros_manuales!$G$100+parametros_manuales!$E$23*(datos_base!$B$19+IF(parametros_manuales!$H$23="Todos",datos_base!$B$24,0))*parametros_manuales!$G$13+parametros_manuales!$F$23*(datos_base!$B$4+IF(parametros_manuales!$H$23="Todos",datos_base!$B$11,0))*parametros_manuales!$G$105+parametros_manuales!$F$23*(datos_base!$B$20+IF(parametros_manuales!$H$23="Todos",datos_base!$B$25,0))*parametros_manuales!$G$14+parametros_manuales!$G$23*(datos_base!$B$5+IF(parametros_manuales!$H$23="Todos",datos_base!$B$12,0))*parametros_manuales!$G$110+parametros_manuales!$G$23*(datos_base!$B$21+IF(parametros_manuales!$H$23="Todos",datos_base!$B$26,0))*parametros_manuales!$G$15)*parametros_manuales!$I$23*parametros_manuales!$J$23</f>
        <v>492.95930028975</v>
      </c>
      <c r="H6" s="9" t="n">
        <f aca="false">(parametros_manuales!$D$23*(datos_base!$B$2+IF(parametros_manuales!$H$23="Todos",datos_base!$B$9,0))*parametros_manuales!$H$95+parametros_manuales!$D$23*(datos_base!$B$18+IF(parametros_manuales!$H$23="Todos",datos_base!$B$23,0))*parametros_manuales!$H$12+parametros_manuales!$E$23*(datos_base!$B$3+IF(parametros_manuales!$H$23="Todos",datos_base!$B$10,0))*parametros_manuales!$H$100+parametros_manuales!$E$23*(datos_base!$B$19+IF(parametros_manuales!$H$23="Todos",datos_base!$B$24,0))*parametros_manuales!$H$13+parametros_manuales!$F$23*(datos_base!$B$4+IF(parametros_manuales!$H$23="Todos",datos_base!$B$11,0))*parametros_manuales!$H$105+parametros_manuales!$F$23*(datos_base!$B$20+IF(parametros_manuales!$H$23="Todos",datos_base!$B$25,0))*parametros_manuales!$H$14+parametros_manuales!$G$23*(datos_base!$B$5+IF(parametros_manuales!$H$23="Todos",datos_base!$B$12,0))*parametros_manuales!$H$110+parametros_manuales!$G$23*(datos_base!$B$21+IF(parametros_manuales!$H$23="Todos",datos_base!$B$26,0))*parametros_manuales!$H$15)*parametros_manuales!$I$23*parametros_manuales!$J$23</f>
        <v>527.2161658234</v>
      </c>
      <c r="I6" s="9" t="n">
        <f aca="false">(parametros_manuales!$D$23*(datos_base!$B$2+IF(parametros_manuales!$H$23="Todos",datos_base!$B$9,0))*parametros_manuales!$I$95+parametros_manuales!$D$23*(datos_base!$B$18+IF(parametros_manuales!$H$23="Todos",datos_base!$B$23,0))*parametros_manuales!$I$12+parametros_manuales!$E$23*(datos_base!$B$3+IF(parametros_manuales!$H$23="Todos",datos_base!$B$10,0))*parametros_manuales!$I$100+parametros_manuales!$E$23*(datos_base!$B$19+IF(parametros_manuales!$H$23="Todos",datos_base!$B$24,0))*parametros_manuales!$I$13+parametros_manuales!$F$23*(datos_base!$B$4+IF(parametros_manuales!$H$23="Todos",datos_base!$B$11,0))*parametros_manuales!$I$105+parametros_manuales!$F$23*(datos_base!$B$20+IF(parametros_manuales!$H$23="Todos",datos_base!$B$25,0))*parametros_manuales!$I$14+parametros_manuales!$G$23*(datos_base!$B$5+IF(parametros_manuales!$H$23="Todos",datos_base!$B$12,0))*parametros_manuales!$I$110+parametros_manuales!$G$23*(datos_base!$B$21+IF(parametros_manuales!$H$23="Todos",datos_base!$B$26,0))*parametros_manuales!$I$15)*parametros_manuales!$I$23*parametros_manuales!$J$23</f>
        <v>589.8972139684</v>
      </c>
      <c r="J6" s="9" t="n">
        <f aca="false">(parametros_manuales!$D$23*(datos_base!$B$2+IF(parametros_manuales!$H$23="Todos",datos_base!$B$9,0))*parametros_manuales!$J$95+parametros_manuales!$D$23*(datos_base!$B$18+IF(parametros_manuales!$H$23="Todos",datos_base!$B$23,0))*parametros_manuales!$J$12+parametros_manuales!$E$23*(datos_base!$B$3+IF(parametros_manuales!$H$23="Todos",datos_base!$B$10,0))*parametros_manuales!$J$100+parametros_manuales!$E$23*(datos_base!$B$19+IF(parametros_manuales!$H$23="Todos",datos_base!$B$24,0))*parametros_manuales!$J$13+parametros_manuales!$F$23*(datos_base!$B$4+IF(parametros_manuales!$H$23="Todos",datos_base!$B$11,0))*parametros_manuales!$J$105+parametros_manuales!$F$23*(datos_base!$B$20+IF(parametros_manuales!$H$23="Todos",datos_base!$B$25,0))*parametros_manuales!$J$14+parametros_manuales!$G$23*(datos_base!$B$5+IF(parametros_manuales!$H$23="Todos",datos_base!$B$12,0))*parametros_manuales!$J$110+parametros_manuales!$G$23*(datos_base!$B$21+IF(parametros_manuales!$H$23="Todos",datos_base!$B$26,0))*parametros_manuales!$J$15)*parametros_manuales!$I$23*parametros_manuales!$J$23</f>
        <v>589.8972139684</v>
      </c>
      <c r="K6" s="9" t="n">
        <f aca="false">(parametros_manuales!$D$23*(datos_base!$B$2+IF(parametros_manuales!$H$23="Todos",datos_base!$B$9,0))*parametros_manuales!$K$95+parametros_manuales!$D$23*(datos_base!$B$18+IF(parametros_manuales!$H$23="Todos",datos_base!$B$23,0))*parametros_manuales!$K$12+parametros_manuales!$E$23*(datos_base!$B$3+IF(parametros_manuales!$H$23="Todos",datos_base!$B$10,0))*parametros_manuales!$K$100+parametros_manuales!$E$23*(datos_base!$B$19+IF(parametros_manuales!$H$23="Todos",datos_base!$B$24,0))*parametros_manuales!$K$13+parametros_manuales!$F$23*(datos_base!$B$4+IF(parametros_manuales!$H$23="Todos",datos_base!$B$11,0))*parametros_manuales!$K$105+parametros_manuales!$F$23*(datos_base!$B$20+IF(parametros_manuales!$H$23="Todos",datos_base!$B$25,0))*parametros_manuales!$K$14+parametros_manuales!$G$23*(datos_base!$B$5+IF(parametros_manuales!$H$23="Todos",datos_base!$B$12,0))*parametros_manuales!$K$110+parametros_manuales!$G$23*(datos_base!$B$21+IF(parametros_manuales!$H$23="Todos",datos_base!$B$26,0))*parametros_manuales!$K$15)*parametros_manuales!$I$23*parametros_manuales!$J$23</f>
        <v>602.96039678705</v>
      </c>
      <c r="L6" s="9" t="n">
        <f aca="false">(parametros_manuales!$D$23*(datos_base!$B$2+IF(parametros_manuales!$H$23="Todos",datos_base!$B$9,0))*parametros_manuales!$L$95+parametros_manuales!$D$23*(datos_base!$B$18+IF(parametros_manuales!$H$23="Todos",datos_base!$B$23,0))*parametros_manuales!$L$12+parametros_manuales!$E$23*(datos_base!$B$3+IF(parametros_manuales!$H$23="Todos",datos_base!$B$10,0))*parametros_manuales!$L$100+parametros_manuales!$E$23*(datos_base!$B$19+IF(parametros_manuales!$H$23="Todos",datos_base!$B$24,0))*parametros_manuales!$L$13+parametros_manuales!$F$23*(datos_base!$B$4+IF(parametros_manuales!$H$23="Todos",datos_base!$B$11,0))*parametros_manuales!$L$105+parametros_manuales!$F$23*(datos_base!$B$20+IF(parametros_manuales!$H$23="Todos",datos_base!$B$25,0))*parametros_manuales!$L$14+parametros_manuales!$G$23*(datos_base!$B$5+IF(parametros_manuales!$H$23="Todos",datos_base!$B$12,0))*parametros_manuales!$L$110+parametros_manuales!$G$23*(datos_base!$B$21+IF(parametros_manuales!$H$23="Todos",datos_base!$B$26,0))*parametros_manuales!$L$15)*parametros_manuales!$I$23*parametros_manuales!$J$23</f>
        <v>616.0235796057</v>
      </c>
      <c r="M6" s="9" t="n">
        <f aca="false">(parametros_manuales!$D$23*(datos_base!$B$2+IF(parametros_manuales!$H$23="Todos",datos_base!$B$9,0))*parametros_manuales!$M$95+parametros_manuales!$D$23*(datos_base!$B$18+IF(parametros_manuales!$H$23="Todos",datos_base!$B$23,0))*parametros_manuales!$M$12+parametros_manuales!$E$23*(datos_base!$B$3+IF(parametros_manuales!$H$23="Todos",datos_base!$B$10,0))*parametros_manuales!$M$100+parametros_manuales!$E$23*(datos_base!$B$19+IF(parametros_manuales!$H$23="Todos",datos_base!$B$24,0))*parametros_manuales!$M$13+parametros_manuales!$F$23*(datos_base!$B$4+IF(parametros_manuales!$H$23="Todos",datos_base!$B$11,0))*parametros_manuales!$M$105+parametros_manuales!$F$23*(datos_base!$B$20+IF(parametros_manuales!$H$23="Todos",datos_base!$B$25,0))*parametros_manuales!$M$14+parametros_manuales!$G$23*(datos_base!$B$5+IF(parametros_manuales!$H$23="Todos",datos_base!$B$12,0))*parametros_manuales!$M$110+parametros_manuales!$G$23*(datos_base!$B$21+IF(parametros_manuales!$H$23="Todos",datos_base!$B$26,0))*parametros_manuales!$M$15)*parametros_manuales!$I$23*parametros_manuales!$J$23</f>
        <v>617.2235796057</v>
      </c>
      <c r="N6" s="9" t="n">
        <f aca="false">SUM(B6:M6)</f>
        <v>6851.37310673</v>
      </c>
      <c r="O6" s="9" t="n">
        <f aca="false">MAX(B6:M6)</f>
        <v>617.2235796057</v>
      </c>
      <c r="P6" s="44" t="n">
        <f aca="false">O6/(parametros_manuales!$B$7)</f>
        <v>4.114823864038</v>
      </c>
      <c r="Q6" s="8" t="str">
        <f aca="false">IF(O6=0,"-",INDEX($B$1:$M$1,MATCH(O6,B6:M6,0)))</f>
        <v>Dic</v>
      </c>
    </row>
    <row r="7" customFormat="false" ht="14.25" hidden="false" customHeight="true" outlineLevel="0" collapsed="false">
      <c r="A7" s="8" t="str">
        <f aca="false">parametros_manuales!$B$24</f>
        <v>Numerado de cúpula</v>
      </c>
      <c r="B7" s="9" t="n">
        <f aca="false">(parametros_manuales!$D$24*(datos_base!$B$2+IF(parametros_manuales!$H$24="Todos",datos_base!$B$9,0))*parametros_manuales!$B$95+parametros_manuales!$D$24*(datos_base!$B$18+IF(parametros_manuales!$H$24="Todos",datos_base!$B$23,0))*parametros_manuales!$B$12+parametros_manuales!$E$24*(datos_base!$B$3+IF(parametros_manuales!$H$24="Todos",datos_base!$B$10,0))*parametros_manuales!$B$100+parametros_manuales!$E$24*(datos_base!$B$19+IF(parametros_manuales!$H$24="Todos",datos_base!$B$24,0))*parametros_manuales!$B$13+parametros_manuales!$F$24*(datos_base!$B$4+IF(parametros_manuales!$H$24="Todos",datos_base!$B$11,0))*parametros_manuales!$B$105+parametros_manuales!$F$24*(datos_base!$B$20+IF(parametros_manuales!$H$24="Todos",datos_base!$B$25,0))*parametros_manuales!$B$14+parametros_manuales!$G$24*(datos_base!$B$5+IF(parametros_manuales!$H$24="Todos",datos_base!$B$12,0))*parametros_manuales!$B$110+parametros_manuales!$G$24*(datos_base!$B$21+IF(parametros_manuales!$H$24="Todos",datos_base!$B$26,0))*parametros_manuales!$B$15)*parametros_manuales!$I$24*parametros_manuales!$J$24</f>
        <v>616.9235796057</v>
      </c>
      <c r="C7" s="9" t="n">
        <f aca="false">(parametros_manuales!$D$24*(datos_base!$B$2+IF(parametros_manuales!$H$24="Todos",datos_base!$B$9,0))*parametros_manuales!$C$95+parametros_manuales!$D$24*(datos_base!$B$18+IF(parametros_manuales!$H$24="Todos",datos_base!$B$23,0))*parametros_manuales!$C$12+parametros_manuales!$E$24*(datos_base!$B$3+IF(parametros_manuales!$H$24="Todos",datos_base!$B$10,0))*parametros_manuales!$C$100+parametros_manuales!$E$24*(datos_base!$B$19+IF(parametros_manuales!$H$24="Todos",datos_base!$B$24,0))*parametros_manuales!$C$13+parametros_manuales!$F$24*(datos_base!$B$4+IF(parametros_manuales!$H$24="Todos",datos_base!$B$11,0))*parametros_manuales!$C$105+parametros_manuales!$F$24*(datos_base!$B$20+IF(parametros_manuales!$H$24="Todos",datos_base!$B$25,0))*parametros_manuales!$C$14+parametros_manuales!$G$24*(datos_base!$B$5+IF(parametros_manuales!$H$24="Todos",datos_base!$B$12,0))*parametros_manuales!$C$110+parametros_manuales!$G$24*(datos_base!$B$21+IF(parametros_manuales!$H$24="Todos",datos_base!$B$26,0))*parametros_manuales!$C$15)*parametros_manuales!$I$24*parametros_manuales!$J$24</f>
        <v>589.8972139684</v>
      </c>
      <c r="D7" s="9" t="n">
        <f aca="false">(parametros_manuales!$D$24*(datos_base!$B$2+IF(parametros_manuales!$H$24="Todos",datos_base!$B$9,0))*parametros_manuales!$D$95+parametros_manuales!$D$24*(datos_base!$B$18+IF(parametros_manuales!$H$24="Todos",datos_base!$B$23,0))*parametros_manuales!$D$12+parametros_manuales!$E$24*(datos_base!$B$3+IF(parametros_manuales!$H$24="Todos",datos_base!$B$10,0))*parametros_manuales!$D$100+parametros_manuales!$E$24*(datos_base!$B$19+IF(parametros_manuales!$H$24="Todos",datos_base!$B$24,0))*parametros_manuales!$D$13+parametros_manuales!$F$24*(datos_base!$B$4+IF(parametros_manuales!$H$24="Todos",datos_base!$B$11,0))*parametros_manuales!$D$105+parametros_manuales!$F$24*(datos_base!$B$20+IF(parametros_manuales!$H$24="Todos",datos_base!$B$25,0))*parametros_manuales!$D$14+parametros_manuales!$G$24*(datos_base!$B$5+IF(parametros_manuales!$H$24="Todos",datos_base!$B$12,0))*parametros_manuales!$D$110+parametros_manuales!$G$24*(datos_base!$B$21+IF(parametros_manuales!$H$24="Todos",datos_base!$B$26,0))*parametros_manuales!$D$15)*parametros_manuales!$I$24*parametros_manuales!$J$24</f>
        <v>561.47303135705</v>
      </c>
      <c r="E7" s="9" t="n">
        <f aca="false">(parametros_manuales!$D$24*(datos_base!$B$2+IF(parametros_manuales!$H$24="Todos",datos_base!$B$9,0))*parametros_manuales!$E$95+parametros_manuales!$D$24*(datos_base!$B$18+IF(parametros_manuales!$H$24="Todos",datos_base!$B$23,0))*parametros_manuales!$E$12+parametros_manuales!$E$24*(datos_base!$B$3+IF(parametros_manuales!$H$24="Todos",datos_base!$B$10,0))*parametros_manuales!$E$100+parametros_manuales!$E$24*(datos_base!$B$19+IF(parametros_manuales!$H$24="Todos",datos_base!$B$24,0))*parametros_manuales!$E$13+parametros_manuales!$F$24*(datos_base!$B$4+IF(parametros_manuales!$H$24="Todos",datos_base!$B$11,0))*parametros_manuales!$E$105+parametros_manuales!$F$24*(datos_base!$B$20+IF(parametros_manuales!$H$24="Todos",datos_base!$B$25,0))*parametros_manuales!$E$14+parametros_manuales!$G$24*(datos_base!$B$5+IF(parametros_manuales!$H$24="Todos",datos_base!$B$12,0))*parametros_manuales!$E$110+parametros_manuales!$G$24*(datos_base!$B$21+IF(parametros_manuales!$H$24="Todos",datos_base!$B$26,0))*parametros_manuales!$E$15)*parametros_manuales!$I$24*parametros_manuales!$J$24</f>
        <v>540.57934864205</v>
      </c>
      <c r="F7" s="9" t="n">
        <f aca="false">(parametros_manuales!$D$24*(datos_base!$B$2+IF(parametros_manuales!$H$24="Todos",datos_base!$B$9,0))*parametros_manuales!$F$95+parametros_manuales!$D$24*(datos_base!$B$18+IF(parametros_manuales!$H$24="Todos",datos_base!$B$23,0))*parametros_manuales!$F$12+parametros_manuales!$E$24*(datos_base!$B$3+IF(parametros_manuales!$H$24="Todos",datos_base!$B$10,0))*parametros_manuales!$F$100+parametros_manuales!$E$24*(datos_base!$B$19+IF(parametros_manuales!$H$24="Todos",datos_base!$B$24,0))*parametros_manuales!$F$13+parametros_manuales!$F$24*(datos_base!$B$4+IF(parametros_manuales!$H$24="Todos",datos_base!$B$11,0))*parametros_manuales!$F$105+parametros_manuales!$F$24*(datos_base!$B$20+IF(parametros_manuales!$H$24="Todos",datos_base!$B$25,0))*parametros_manuales!$F$14+parametros_manuales!$G$24*(datos_base!$B$5+IF(parametros_manuales!$H$24="Todos",datos_base!$B$12,0))*parametros_manuales!$F$110+parametros_manuales!$G$24*(datos_base!$B$21+IF(parametros_manuales!$H$24="Todos",datos_base!$B$26,0))*parametros_manuales!$F$15)*parametros_manuales!$I$24*parametros_manuales!$J$24</f>
        <v>506.3224831084</v>
      </c>
      <c r="G7" s="9" t="n">
        <f aca="false">(parametros_manuales!$D$24*(datos_base!$B$2+IF(parametros_manuales!$H$24="Todos",datos_base!$B$9,0))*parametros_manuales!$G$95+parametros_manuales!$D$24*(datos_base!$B$18+IF(parametros_manuales!$H$24="Todos",datos_base!$B$23,0))*parametros_manuales!$G$12+parametros_manuales!$E$24*(datos_base!$B$3+IF(parametros_manuales!$H$24="Todos",datos_base!$B$10,0))*parametros_manuales!$G$100+parametros_manuales!$E$24*(datos_base!$B$19+IF(parametros_manuales!$H$24="Todos",datos_base!$B$24,0))*parametros_manuales!$G$13+parametros_manuales!$F$24*(datos_base!$B$4+IF(parametros_manuales!$H$24="Todos",datos_base!$B$11,0))*parametros_manuales!$G$105+parametros_manuales!$F$24*(datos_base!$B$20+IF(parametros_manuales!$H$24="Todos",datos_base!$B$25,0))*parametros_manuales!$G$14+parametros_manuales!$G$24*(datos_base!$B$5+IF(parametros_manuales!$H$24="Todos",datos_base!$B$12,0))*parametros_manuales!$G$110+parametros_manuales!$G$24*(datos_base!$B$21+IF(parametros_manuales!$H$24="Todos",datos_base!$B$26,0))*parametros_manuales!$G$15)*parametros_manuales!$I$24*parametros_manuales!$J$24</f>
        <v>492.95930028975</v>
      </c>
      <c r="H7" s="9" t="n">
        <f aca="false">(parametros_manuales!$D$24*(datos_base!$B$2+IF(parametros_manuales!$H$24="Todos",datos_base!$B$9,0))*parametros_manuales!$H$95+parametros_manuales!$D$24*(datos_base!$B$18+IF(parametros_manuales!$H$24="Todos",datos_base!$B$23,0))*parametros_manuales!$H$12+parametros_manuales!$E$24*(datos_base!$B$3+IF(parametros_manuales!$H$24="Todos",datos_base!$B$10,0))*parametros_manuales!$H$100+parametros_manuales!$E$24*(datos_base!$B$19+IF(parametros_manuales!$H$24="Todos",datos_base!$B$24,0))*parametros_manuales!$H$13+parametros_manuales!$F$24*(datos_base!$B$4+IF(parametros_manuales!$H$24="Todos",datos_base!$B$11,0))*parametros_manuales!$H$105+parametros_manuales!$F$24*(datos_base!$B$20+IF(parametros_manuales!$H$24="Todos",datos_base!$B$25,0))*parametros_manuales!$H$14+parametros_manuales!$G$24*(datos_base!$B$5+IF(parametros_manuales!$H$24="Todos",datos_base!$B$12,0))*parametros_manuales!$H$110+parametros_manuales!$G$24*(datos_base!$B$21+IF(parametros_manuales!$H$24="Todos",datos_base!$B$26,0))*parametros_manuales!$H$15)*parametros_manuales!$I$24*parametros_manuales!$J$24</f>
        <v>527.2161658234</v>
      </c>
      <c r="I7" s="9" t="n">
        <f aca="false">(parametros_manuales!$D$24*(datos_base!$B$2+IF(parametros_manuales!$H$24="Todos",datos_base!$B$9,0))*parametros_manuales!$I$95+parametros_manuales!$D$24*(datos_base!$B$18+IF(parametros_manuales!$H$24="Todos",datos_base!$B$23,0))*parametros_manuales!$I$12+parametros_manuales!$E$24*(datos_base!$B$3+IF(parametros_manuales!$H$24="Todos",datos_base!$B$10,0))*parametros_manuales!$I$100+parametros_manuales!$E$24*(datos_base!$B$19+IF(parametros_manuales!$H$24="Todos",datos_base!$B$24,0))*parametros_manuales!$I$13+parametros_manuales!$F$24*(datos_base!$B$4+IF(parametros_manuales!$H$24="Todos",datos_base!$B$11,0))*parametros_manuales!$I$105+parametros_manuales!$F$24*(datos_base!$B$20+IF(parametros_manuales!$H$24="Todos",datos_base!$B$25,0))*parametros_manuales!$I$14+parametros_manuales!$G$24*(datos_base!$B$5+IF(parametros_manuales!$H$24="Todos",datos_base!$B$12,0))*parametros_manuales!$I$110+parametros_manuales!$G$24*(datos_base!$B$21+IF(parametros_manuales!$H$24="Todos",datos_base!$B$26,0))*parametros_manuales!$I$15)*parametros_manuales!$I$24*parametros_manuales!$J$24</f>
        <v>589.8972139684</v>
      </c>
      <c r="J7" s="9" t="n">
        <f aca="false">(parametros_manuales!$D$24*(datos_base!$B$2+IF(parametros_manuales!$H$24="Todos",datos_base!$B$9,0))*parametros_manuales!$J$95+parametros_manuales!$D$24*(datos_base!$B$18+IF(parametros_manuales!$H$24="Todos",datos_base!$B$23,0))*parametros_manuales!$J$12+parametros_manuales!$E$24*(datos_base!$B$3+IF(parametros_manuales!$H$24="Todos",datos_base!$B$10,0))*parametros_manuales!$J$100+parametros_manuales!$E$24*(datos_base!$B$19+IF(parametros_manuales!$H$24="Todos",datos_base!$B$24,0))*parametros_manuales!$J$13+parametros_manuales!$F$24*(datos_base!$B$4+IF(parametros_manuales!$H$24="Todos",datos_base!$B$11,0))*parametros_manuales!$J$105+parametros_manuales!$F$24*(datos_base!$B$20+IF(parametros_manuales!$H$24="Todos",datos_base!$B$25,0))*parametros_manuales!$J$14+parametros_manuales!$G$24*(datos_base!$B$5+IF(parametros_manuales!$H$24="Todos",datos_base!$B$12,0))*parametros_manuales!$J$110+parametros_manuales!$G$24*(datos_base!$B$21+IF(parametros_manuales!$H$24="Todos",datos_base!$B$26,0))*parametros_manuales!$J$15)*parametros_manuales!$I$24*parametros_manuales!$J$24</f>
        <v>589.8972139684</v>
      </c>
      <c r="K7" s="9" t="n">
        <f aca="false">(parametros_manuales!$D$24*(datos_base!$B$2+IF(parametros_manuales!$H$24="Todos",datos_base!$B$9,0))*parametros_manuales!$K$95+parametros_manuales!$D$24*(datos_base!$B$18+IF(parametros_manuales!$H$24="Todos",datos_base!$B$23,0))*parametros_manuales!$K$12+parametros_manuales!$E$24*(datos_base!$B$3+IF(parametros_manuales!$H$24="Todos",datos_base!$B$10,0))*parametros_manuales!$K$100+parametros_manuales!$E$24*(datos_base!$B$19+IF(parametros_manuales!$H$24="Todos",datos_base!$B$24,0))*parametros_manuales!$K$13+parametros_manuales!$F$24*(datos_base!$B$4+IF(parametros_manuales!$H$24="Todos",datos_base!$B$11,0))*parametros_manuales!$K$105+parametros_manuales!$F$24*(datos_base!$B$20+IF(parametros_manuales!$H$24="Todos",datos_base!$B$25,0))*parametros_manuales!$K$14+parametros_manuales!$G$24*(datos_base!$B$5+IF(parametros_manuales!$H$24="Todos",datos_base!$B$12,0))*parametros_manuales!$K$110+parametros_manuales!$G$24*(datos_base!$B$21+IF(parametros_manuales!$H$24="Todos",datos_base!$B$26,0))*parametros_manuales!$K$15)*parametros_manuales!$I$24*parametros_manuales!$J$24</f>
        <v>602.96039678705</v>
      </c>
      <c r="L7" s="9" t="n">
        <f aca="false">(parametros_manuales!$D$24*(datos_base!$B$2+IF(parametros_manuales!$H$24="Todos",datos_base!$B$9,0))*parametros_manuales!$L$95+parametros_manuales!$D$24*(datos_base!$B$18+IF(parametros_manuales!$H$24="Todos",datos_base!$B$23,0))*parametros_manuales!$L$12+parametros_manuales!$E$24*(datos_base!$B$3+IF(parametros_manuales!$H$24="Todos",datos_base!$B$10,0))*parametros_manuales!$L$100+parametros_manuales!$E$24*(datos_base!$B$19+IF(parametros_manuales!$H$24="Todos",datos_base!$B$24,0))*parametros_manuales!$L$13+parametros_manuales!$F$24*(datos_base!$B$4+IF(parametros_manuales!$H$24="Todos",datos_base!$B$11,0))*parametros_manuales!$L$105+parametros_manuales!$F$24*(datos_base!$B$20+IF(parametros_manuales!$H$24="Todos",datos_base!$B$25,0))*parametros_manuales!$L$14+parametros_manuales!$G$24*(datos_base!$B$5+IF(parametros_manuales!$H$24="Todos",datos_base!$B$12,0))*parametros_manuales!$L$110+parametros_manuales!$G$24*(datos_base!$B$21+IF(parametros_manuales!$H$24="Todos",datos_base!$B$26,0))*parametros_manuales!$L$15)*parametros_manuales!$I$24*parametros_manuales!$J$24</f>
        <v>616.0235796057</v>
      </c>
      <c r="M7" s="9" t="n">
        <f aca="false">(parametros_manuales!$D$24*(datos_base!$B$2+IF(parametros_manuales!$H$24="Todos",datos_base!$B$9,0))*parametros_manuales!$M$95+parametros_manuales!$D$24*(datos_base!$B$18+IF(parametros_manuales!$H$24="Todos",datos_base!$B$23,0))*parametros_manuales!$M$12+parametros_manuales!$E$24*(datos_base!$B$3+IF(parametros_manuales!$H$24="Todos",datos_base!$B$10,0))*parametros_manuales!$M$100+parametros_manuales!$E$24*(datos_base!$B$19+IF(parametros_manuales!$H$24="Todos",datos_base!$B$24,0))*parametros_manuales!$M$13+parametros_manuales!$F$24*(datos_base!$B$4+IF(parametros_manuales!$H$24="Todos",datos_base!$B$11,0))*parametros_manuales!$M$105+parametros_manuales!$F$24*(datos_base!$B$20+IF(parametros_manuales!$H$24="Todos",datos_base!$B$25,0))*parametros_manuales!$M$14+parametros_manuales!$G$24*(datos_base!$B$5+IF(parametros_manuales!$H$24="Todos",datos_base!$B$12,0))*parametros_manuales!$M$110+parametros_manuales!$G$24*(datos_base!$B$21+IF(parametros_manuales!$H$24="Todos",datos_base!$B$26,0))*parametros_manuales!$M$15)*parametros_manuales!$I$24*parametros_manuales!$J$24</f>
        <v>617.2235796057</v>
      </c>
      <c r="N7" s="9" t="n">
        <f aca="false">SUM(B7:M7)</f>
        <v>6851.37310673</v>
      </c>
      <c r="O7" s="9" t="n">
        <f aca="false">MAX(B7:M7)</f>
        <v>617.2235796057</v>
      </c>
      <c r="P7" s="44" t="n">
        <f aca="false">O7/(parametros_manuales!$B$7)</f>
        <v>4.114823864038</v>
      </c>
      <c r="Q7" s="8" t="str">
        <f aca="false">IF(O7=0,"-",INDEX($B$1:$M$1,MATCH(O7,B7:M7,0)))</f>
        <v>Dic</v>
      </c>
    </row>
    <row r="8" customFormat="false" ht="14.25" hidden="false" customHeight="true" outlineLevel="0" collapsed="false">
      <c r="A8" s="8" t="str">
        <f aca="false">parametros_manuales!$B$25</f>
        <v>Soldadura del cuello a la cúpula</v>
      </c>
      <c r="B8" s="9" t="n">
        <f aca="false">(parametros_manuales!$D$25*(datos_base!$B$2+IF(parametros_manuales!$H$25="Todos",datos_base!$B$9,0))*parametros_manuales!$B$95+parametros_manuales!$D$25*(datos_base!$B$18+IF(parametros_manuales!$H$25="Todos",datos_base!$B$23,0))*parametros_manuales!$B$12+parametros_manuales!$E$25*(datos_base!$B$3+IF(parametros_manuales!$H$25="Todos",datos_base!$B$10,0))*parametros_manuales!$B$100+parametros_manuales!$E$25*(datos_base!$B$19+IF(parametros_manuales!$H$25="Todos",datos_base!$B$24,0))*parametros_manuales!$B$13+parametros_manuales!$F$25*(datos_base!$B$4+IF(parametros_manuales!$H$25="Todos",datos_base!$B$11,0))*parametros_manuales!$B$105+parametros_manuales!$F$25*(datos_base!$B$20+IF(parametros_manuales!$H$25="Todos",datos_base!$B$25,0))*parametros_manuales!$B$14+parametros_manuales!$G$25*(datos_base!$B$5+IF(parametros_manuales!$H$25="Todos",datos_base!$B$12,0))*parametros_manuales!$B$110+parametros_manuales!$G$25*(datos_base!$B$21+IF(parametros_manuales!$H$25="Todos",datos_base!$B$26,0))*parametros_manuales!$B$15)*parametros_manuales!$I$25*parametros_manuales!$J$25</f>
        <v>616.9235796057</v>
      </c>
      <c r="C8" s="9" t="n">
        <f aca="false">(parametros_manuales!$D$25*(datos_base!$B$2+IF(parametros_manuales!$H$25="Todos",datos_base!$B$9,0))*parametros_manuales!$C$95+parametros_manuales!$D$25*(datos_base!$B$18+IF(parametros_manuales!$H$25="Todos",datos_base!$B$23,0))*parametros_manuales!$C$12+parametros_manuales!$E$25*(datos_base!$B$3+IF(parametros_manuales!$H$25="Todos",datos_base!$B$10,0))*parametros_manuales!$C$100+parametros_manuales!$E$25*(datos_base!$B$19+IF(parametros_manuales!$H$25="Todos",datos_base!$B$24,0))*parametros_manuales!$C$13+parametros_manuales!$F$25*(datos_base!$B$4+IF(parametros_manuales!$H$25="Todos",datos_base!$B$11,0))*parametros_manuales!$C$105+parametros_manuales!$F$25*(datos_base!$B$20+IF(parametros_manuales!$H$25="Todos",datos_base!$B$25,0))*parametros_manuales!$C$14+parametros_manuales!$G$25*(datos_base!$B$5+IF(parametros_manuales!$H$25="Todos",datos_base!$B$12,0))*parametros_manuales!$C$110+parametros_manuales!$G$25*(datos_base!$B$21+IF(parametros_manuales!$H$25="Todos",datos_base!$B$26,0))*parametros_manuales!$C$15)*parametros_manuales!$I$25*parametros_manuales!$J$25</f>
        <v>589.8972139684</v>
      </c>
      <c r="D8" s="9" t="n">
        <f aca="false">(parametros_manuales!$D$25*(datos_base!$B$2+IF(parametros_manuales!$H$25="Todos",datos_base!$B$9,0))*parametros_manuales!$D$95+parametros_manuales!$D$25*(datos_base!$B$18+IF(parametros_manuales!$H$25="Todos",datos_base!$B$23,0))*parametros_manuales!$D$12+parametros_manuales!$E$25*(datos_base!$B$3+IF(parametros_manuales!$H$25="Todos",datos_base!$B$10,0))*parametros_manuales!$D$100+parametros_manuales!$E$25*(datos_base!$B$19+IF(parametros_manuales!$H$25="Todos",datos_base!$B$24,0))*parametros_manuales!$D$13+parametros_manuales!$F$25*(datos_base!$B$4+IF(parametros_manuales!$H$25="Todos",datos_base!$B$11,0))*parametros_manuales!$D$105+parametros_manuales!$F$25*(datos_base!$B$20+IF(parametros_manuales!$H$25="Todos",datos_base!$B$25,0))*parametros_manuales!$D$14+parametros_manuales!$G$25*(datos_base!$B$5+IF(parametros_manuales!$H$25="Todos",datos_base!$B$12,0))*parametros_manuales!$D$110+parametros_manuales!$G$25*(datos_base!$B$21+IF(parametros_manuales!$H$25="Todos",datos_base!$B$26,0))*parametros_manuales!$D$15)*parametros_manuales!$I$25*parametros_manuales!$J$25</f>
        <v>561.47303135705</v>
      </c>
      <c r="E8" s="9" t="n">
        <f aca="false">(parametros_manuales!$D$25*(datos_base!$B$2+IF(parametros_manuales!$H$25="Todos",datos_base!$B$9,0))*parametros_manuales!$E$95+parametros_manuales!$D$25*(datos_base!$B$18+IF(parametros_manuales!$H$25="Todos",datos_base!$B$23,0))*parametros_manuales!$E$12+parametros_manuales!$E$25*(datos_base!$B$3+IF(parametros_manuales!$H$25="Todos",datos_base!$B$10,0))*parametros_manuales!$E$100+parametros_manuales!$E$25*(datos_base!$B$19+IF(parametros_manuales!$H$25="Todos",datos_base!$B$24,0))*parametros_manuales!$E$13+parametros_manuales!$F$25*(datos_base!$B$4+IF(parametros_manuales!$H$25="Todos",datos_base!$B$11,0))*parametros_manuales!$E$105+parametros_manuales!$F$25*(datos_base!$B$20+IF(parametros_manuales!$H$25="Todos",datos_base!$B$25,0))*parametros_manuales!$E$14+parametros_manuales!$G$25*(datos_base!$B$5+IF(parametros_manuales!$H$25="Todos",datos_base!$B$12,0))*parametros_manuales!$E$110+parametros_manuales!$G$25*(datos_base!$B$21+IF(parametros_manuales!$H$25="Todos",datos_base!$B$26,0))*parametros_manuales!$E$15)*parametros_manuales!$I$25*parametros_manuales!$J$25</f>
        <v>540.57934864205</v>
      </c>
      <c r="F8" s="9" t="n">
        <f aca="false">(parametros_manuales!$D$25*(datos_base!$B$2+IF(parametros_manuales!$H$25="Todos",datos_base!$B$9,0))*parametros_manuales!$F$95+parametros_manuales!$D$25*(datos_base!$B$18+IF(parametros_manuales!$H$25="Todos",datos_base!$B$23,0))*parametros_manuales!$F$12+parametros_manuales!$E$25*(datos_base!$B$3+IF(parametros_manuales!$H$25="Todos",datos_base!$B$10,0))*parametros_manuales!$F$100+parametros_manuales!$E$25*(datos_base!$B$19+IF(parametros_manuales!$H$25="Todos",datos_base!$B$24,0))*parametros_manuales!$F$13+parametros_manuales!$F$25*(datos_base!$B$4+IF(parametros_manuales!$H$25="Todos",datos_base!$B$11,0))*parametros_manuales!$F$105+parametros_manuales!$F$25*(datos_base!$B$20+IF(parametros_manuales!$H$25="Todos",datos_base!$B$25,0))*parametros_manuales!$F$14+parametros_manuales!$G$25*(datos_base!$B$5+IF(parametros_manuales!$H$25="Todos",datos_base!$B$12,0))*parametros_manuales!$F$110+parametros_manuales!$G$25*(datos_base!$B$21+IF(parametros_manuales!$H$25="Todos",datos_base!$B$26,0))*parametros_manuales!$F$15)*parametros_manuales!$I$25*parametros_manuales!$J$25</f>
        <v>506.3224831084</v>
      </c>
      <c r="G8" s="9" t="n">
        <f aca="false">(parametros_manuales!$D$25*(datos_base!$B$2+IF(parametros_manuales!$H$25="Todos",datos_base!$B$9,0))*parametros_manuales!$G$95+parametros_manuales!$D$25*(datos_base!$B$18+IF(parametros_manuales!$H$25="Todos",datos_base!$B$23,0))*parametros_manuales!$G$12+parametros_manuales!$E$25*(datos_base!$B$3+IF(parametros_manuales!$H$25="Todos",datos_base!$B$10,0))*parametros_manuales!$G$100+parametros_manuales!$E$25*(datos_base!$B$19+IF(parametros_manuales!$H$25="Todos",datos_base!$B$24,0))*parametros_manuales!$G$13+parametros_manuales!$F$25*(datos_base!$B$4+IF(parametros_manuales!$H$25="Todos",datos_base!$B$11,0))*parametros_manuales!$G$105+parametros_manuales!$F$25*(datos_base!$B$20+IF(parametros_manuales!$H$25="Todos",datos_base!$B$25,0))*parametros_manuales!$G$14+parametros_manuales!$G$25*(datos_base!$B$5+IF(parametros_manuales!$H$25="Todos",datos_base!$B$12,0))*parametros_manuales!$G$110+parametros_manuales!$G$25*(datos_base!$B$21+IF(parametros_manuales!$H$25="Todos",datos_base!$B$26,0))*parametros_manuales!$G$15)*parametros_manuales!$I$25*parametros_manuales!$J$25</f>
        <v>492.95930028975</v>
      </c>
      <c r="H8" s="9" t="n">
        <f aca="false">(parametros_manuales!$D$25*(datos_base!$B$2+IF(parametros_manuales!$H$25="Todos",datos_base!$B$9,0))*parametros_manuales!$H$95+parametros_manuales!$D$25*(datos_base!$B$18+IF(parametros_manuales!$H$25="Todos",datos_base!$B$23,0))*parametros_manuales!$H$12+parametros_manuales!$E$25*(datos_base!$B$3+IF(parametros_manuales!$H$25="Todos",datos_base!$B$10,0))*parametros_manuales!$H$100+parametros_manuales!$E$25*(datos_base!$B$19+IF(parametros_manuales!$H$25="Todos",datos_base!$B$24,0))*parametros_manuales!$H$13+parametros_manuales!$F$25*(datos_base!$B$4+IF(parametros_manuales!$H$25="Todos",datos_base!$B$11,0))*parametros_manuales!$H$105+parametros_manuales!$F$25*(datos_base!$B$20+IF(parametros_manuales!$H$25="Todos",datos_base!$B$25,0))*parametros_manuales!$H$14+parametros_manuales!$G$25*(datos_base!$B$5+IF(parametros_manuales!$H$25="Todos",datos_base!$B$12,0))*parametros_manuales!$H$110+parametros_manuales!$G$25*(datos_base!$B$21+IF(parametros_manuales!$H$25="Todos",datos_base!$B$26,0))*parametros_manuales!$H$15)*parametros_manuales!$I$25*parametros_manuales!$J$25</f>
        <v>527.2161658234</v>
      </c>
      <c r="I8" s="9" t="n">
        <f aca="false">(parametros_manuales!$D$25*(datos_base!$B$2+IF(parametros_manuales!$H$25="Todos",datos_base!$B$9,0))*parametros_manuales!$I$95+parametros_manuales!$D$25*(datos_base!$B$18+IF(parametros_manuales!$H$25="Todos",datos_base!$B$23,0))*parametros_manuales!$I$12+parametros_manuales!$E$25*(datos_base!$B$3+IF(parametros_manuales!$H$25="Todos",datos_base!$B$10,0))*parametros_manuales!$I$100+parametros_manuales!$E$25*(datos_base!$B$19+IF(parametros_manuales!$H$25="Todos",datos_base!$B$24,0))*parametros_manuales!$I$13+parametros_manuales!$F$25*(datos_base!$B$4+IF(parametros_manuales!$H$25="Todos",datos_base!$B$11,0))*parametros_manuales!$I$105+parametros_manuales!$F$25*(datos_base!$B$20+IF(parametros_manuales!$H$25="Todos",datos_base!$B$25,0))*parametros_manuales!$I$14+parametros_manuales!$G$25*(datos_base!$B$5+IF(parametros_manuales!$H$25="Todos",datos_base!$B$12,0))*parametros_manuales!$I$110+parametros_manuales!$G$25*(datos_base!$B$21+IF(parametros_manuales!$H$25="Todos",datos_base!$B$26,0))*parametros_manuales!$I$15)*parametros_manuales!$I$25*parametros_manuales!$J$25</f>
        <v>589.8972139684</v>
      </c>
      <c r="J8" s="9" t="n">
        <f aca="false">(parametros_manuales!$D$25*(datos_base!$B$2+IF(parametros_manuales!$H$25="Todos",datos_base!$B$9,0))*parametros_manuales!$J$95+parametros_manuales!$D$25*(datos_base!$B$18+IF(parametros_manuales!$H$25="Todos",datos_base!$B$23,0))*parametros_manuales!$J$12+parametros_manuales!$E$25*(datos_base!$B$3+IF(parametros_manuales!$H$25="Todos",datos_base!$B$10,0))*parametros_manuales!$J$100+parametros_manuales!$E$25*(datos_base!$B$19+IF(parametros_manuales!$H$25="Todos",datos_base!$B$24,0))*parametros_manuales!$J$13+parametros_manuales!$F$25*(datos_base!$B$4+IF(parametros_manuales!$H$25="Todos",datos_base!$B$11,0))*parametros_manuales!$J$105+parametros_manuales!$F$25*(datos_base!$B$20+IF(parametros_manuales!$H$25="Todos",datos_base!$B$25,0))*parametros_manuales!$J$14+parametros_manuales!$G$25*(datos_base!$B$5+IF(parametros_manuales!$H$25="Todos",datos_base!$B$12,0))*parametros_manuales!$J$110+parametros_manuales!$G$25*(datos_base!$B$21+IF(parametros_manuales!$H$25="Todos",datos_base!$B$26,0))*parametros_manuales!$J$15)*parametros_manuales!$I$25*parametros_manuales!$J$25</f>
        <v>589.8972139684</v>
      </c>
      <c r="K8" s="9" t="n">
        <f aca="false">(parametros_manuales!$D$25*(datos_base!$B$2+IF(parametros_manuales!$H$25="Todos",datos_base!$B$9,0))*parametros_manuales!$K$95+parametros_manuales!$D$25*(datos_base!$B$18+IF(parametros_manuales!$H$25="Todos",datos_base!$B$23,0))*parametros_manuales!$K$12+parametros_manuales!$E$25*(datos_base!$B$3+IF(parametros_manuales!$H$25="Todos",datos_base!$B$10,0))*parametros_manuales!$K$100+parametros_manuales!$E$25*(datos_base!$B$19+IF(parametros_manuales!$H$25="Todos",datos_base!$B$24,0))*parametros_manuales!$K$13+parametros_manuales!$F$25*(datos_base!$B$4+IF(parametros_manuales!$H$25="Todos",datos_base!$B$11,0))*parametros_manuales!$K$105+parametros_manuales!$F$25*(datos_base!$B$20+IF(parametros_manuales!$H$25="Todos",datos_base!$B$25,0))*parametros_manuales!$K$14+parametros_manuales!$G$25*(datos_base!$B$5+IF(parametros_manuales!$H$25="Todos",datos_base!$B$12,0))*parametros_manuales!$K$110+parametros_manuales!$G$25*(datos_base!$B$21+IF(parametros_manuales!$H$25="Todos",datos_base!$B$26,0))*parametros_manuales!$K$15)*parametros_manuales!$I$25*parametros_manuales!$J$25</f>
        <v>602.96039678705</v>
      </c>
      <c r="L8" s="9" t="n">
        <f aca="false">(parametros_manuales!$D$25*(datos_base!$B$2+IF(parametros_manuales!$H$25="Todos",datos_base!$B$9,0))*parametros_manuales!$L$95+parametros_manuales!$D$25*(datos_base!$B$18+IF(parametros_manuales!$H$25="Todos",datos_base!$B$23,0))*parametros_manuales!$L$12+parametros_manuales!$E$25*(datos_base!$B$3+IF(parametros_manuales!$H$25="Todos",datos_base!$B$10,0))*parametros_manuales!$L$100+parametros_manuales!$E$25*(datos_base!$B$19+IF(parametros_manuales!$H$25="Todos",datos_base!$B$24,0))*parametros_manuales!$L$13+parametros_manuales!$F$25*(datos_base!$B$4+IF(parametros_manuales!$H$25="Todos",datos_base!$B$11,0))*parametros_manuales!$L$105+parametros_manuales!$F$25*(datos_base!$B$20+IF(parametros_manuales!$H$25="Todos",datos_base!$B$25,0))*parametros_manuales!$L$14+parametros_manuales!$G$25*(datos_base!$B$5+IF(parametros_manuales!$H$25="Todos",datos_base!$B$12,0))*parametros_manuales!$L$110+parametros_manuales!$G$25*(datos_base!$B$21+IF(parametros_manuales!$H$25="Todos",datos_base!$B$26,0))*parametros_manuales!$L$15)*parametros_manuales!$I$25*parametros_manuales!$J$25</f>
        <v>616.0235796057</v>
      </c>
      <c r="M8" s="9" t="n">
        <f aca="false">(parametros_manuales!$D$25*(datos_base!$B$2+IF(parametros_manuales!$H$25="Todos",datos_base!$B$9,0))*parametros_manuales!$M$95+parametros_manuales!$D$25*(datos_base!$B$18+IF(parametros_manuales!$H$25="Todos",datos_base!$B$23,0))*parametros_manuales!$M$12+parametros_manuales!$E$25*(datos_base!$B$3+IF(parametros_manuales!$H$25="Todos",datos_base!$B$10,0))*parametros_manuales!$M$100+parametros_manuales!$E$25*(datos_base!$B$19+IF(parametros_manuales!$H$25="Todos",datos_base!$B$24,0))*parametros_manuales!$M$13+parametros_manuales!$F$25*(datos_base!$B$4+IF(parametros_manuales!$H$25="Todos",datos_base!$B$11,0))*parametros_manuales!$M$105+parametros_manuales!$F$25*(datos_base!$B$20+IF(parametros_manuales!$H$25="Todos",datos_base!$B$25,0))*parametros_manuales!$M$14+parametros_manuales!$G$25*(datos_base!$B$5+IF(parametros_manuales!$H$25="Todos",datos_base!$B$12,0))*parametros_manuales!$M$110+parametros_manuales!$G$25*(datos_base!$B$21+IF(parametros_manuales!$H$25="Todos",datos_base!$B$26,0))*parametros_manuales!$M$15)*parametros_manuales!$I$25*parametros_manuales!$J$25</f>
        <v>617.2235796057</v>
      </c>
      <c r="N8" s="9" t="n">
        <f aca="false">SUM(B8:M8)</f>
        <v>6851.37310673</v>
      </c>
      <c r="O8" s="9" t="n">
        <f aca="false">MAX(B8:M8)</f>
        <v>617.2235796057</v>
      </c>
      <c r="P8" s="44" t="n">
        <f aca="false">O8/(parametros_manuales!$B$7)</f>
        <v>4.114823864038</v>
      </c>
      <c r="Q8" s="8" t="str">
        <f aca="false">IF(O8=0,"-",INDEX($B$1:$M$1,MATCH(O8,B8:M8,0)))</f>
        <v>Dic</v>
      </c>
    </row>
    <row r="9" customFormat="false" ht="14.25" hidden="false" customHeight="true" outlineLevel="0" collapsed="false">
      <c r="A9" s="8" t="str">
        <f aca="false">parametros_manuales!$B$26</f>
        <v>Cilindrado</v>
      </c>
      <c r="B9" s="9" t="n">
        <f aca="false">(parametros_manuales!$D$26*(datos_base!$B$2+IF(parametros_manuales!$H$26="Todos",datos_base!$B$9,0))*parametros_manuales!$B$95+parametros_manuales!$D$26*(datos_base!$B$18+IF(parametros_manuales!$H$26="Todos",datos_base!$B$23,0))*parametros_manuales!$B$12+parametros_manuales!$E$26*(datos_base!$B$3+IF(parametros_manuales!$H$26="Todos",datos_base!$B$10,0))*parametros_manuales!$B$100+parametros_manuales!$E$26*(datos_base!$B$19+IF(parametros_manuales!$H$26="Todos",datos_base!$B$24,0))*parametros_manuales!$B$13+parametros_manuales!$F$26*(datos_base!$B$4+IF(parametros_manuales!$H$26="Todos",datos_base!$B$11,0))*parametros_manuales!$B$105+parametros_manuales!$F$26*(datos_base!$B$20+IF(parametros_manuales!$H$26="Todos",datos_base!$B$25,0))*parametros_manuales!$B$14+parametros_manuales!$G$26*(datos_base!$B$5+IF(parametros_manuales!$H$26="Todos",datos_base!$B$12,0))*parametros_manuales!$B$110+parametros_manuales!$G$26*(datos_base!$B$21+IF(parametros_manuales!$H$26="Todos",datos_base!$B$26,0))*parametros_manuales!$B$15)*parametros_manuales!$I$26*parametros_manuales!$J$26</f>
        <v>240.8372907357</v>
      </c>
      <c r="C9" s="9" t="n">
        <f aca="false">(parametros_manuales!$D$26*(datos_base!$B$2+IF(parametros_manuales!$H$26="Todos",datos_base!$B$9,0))*parametros_manuales!$C$95+parametros_manuales!$D$26*(datos_base!$B$18+IF(parametros_manuales!$H$26="Todos",datos_base!$B$23,0))*parametros_manuales!$C$12+parametros_manuales!$E$26*(datos_base!$B$3+IF(parametros_manuales!$H$26="Todos",datos_base!$B$10,0))*parametros_manuales!$C$100+parametros_manuales!$E$26*(datos_base!$B$19+IF(parametros_manuales!$H$26="Todos",datos_base!$B$24,0))*parametros_manuales!$C$13+parametros_manuales!$F$26*(datos_base!$B$4+IF(parametros_manuales!$H$26="Todos",datos_base!$B$11,0))*parametros_manuales!$C$105+parametros_manuales!$F$26*(datos_base!$B$20+IF(parametros_manuales!$H$26="Todos",datos_base!$B$25,0))*parametros_manuales!$C$14+parametros_manuales!$G$26*(datos_base!$B$5+IF(parametros_manuales!$H$26="Todos",datos_base!$B$12,0))*parametros_manuales!$C$110+parametros_manuales!$G$26*(datos_base!$B$21+IF(parametros_manuales!$H$26="Todos",datos_base!$B$26,0))*parametros_manuales!$C$15)*parametros_manuales!$I$26*parametros_manuales!$J$26</f>
        <v>213.8109250984</v>
      </c>
      <c r="D9" s="9" t="n">
        <f aca="false">(parametros_manuales!$D$26*(datos_base!$B$2+IF(parametros_manuales!$H$26="Todos",datos_base!$B$9,0))*parametros_manuales!$D$95+parametros_manuales!$D$26*(datos_base!$B$18+IF(parametros_manuales!$H$26="Todos",datos_base!$B$23,0))*parametros_manuales!$D$12+parametros_manuales!$E$26*(datos_base!$B$3+IF(parametros_manuales!$H$26="Todos",datos_base!$B$10,0))*parametros_manuales!$D$100+parametros_manuales!$E$26*(datos_base!$B$19+IF(parametros_manuales!$H$26="Todos",datos_base!$B$24,0))*parametros_manuales!$D$13+parametros_manuales!$F$26*(datos_base!$B$4+IF(parametros_manuales!$H$26="Todos",datos_base!$B$11,0))*parametros_manuales!$D$105+parametros_manuales!$F$26*(datos_base!$B$20+IF(parametros_manuales!$H$26="Todos",datos_base!$B$25,0))*parametros_manuales!$D$14+parametros_manuales!$G$26*(datos_base!$B$5+IF(parametros_manuales!$H$26="Todos",datos_base!$B$12,0))*parametros_manuales!$D$110+parametros_manuales!$G$26*(datos_base!$B$21+IF(parametros_manuales!$H$26="Todos",datos_base!$B$26,0))*parametros_manuales!$D$15)*parametros_manuales!$I$26*parametros_manuales!$J$26</f>
        <v>227.17410791705</v>
      </c>
      <c r="E9" s="9" t="n">
        <f aca="false">(parametros_manuales!$D$26*(datos_base!$B$2+IF(parametros_manuales!$H$26="Todos",datos_base!$B$9,0))*parametros_manuales!$E$95+parametros_manuales!$D$26*(datos_base!$B$18+IF(parametros_manuales!$H$26="Todos",datos_base!$B$23,0))*parametros_manuales!$E$12+parametros_manuales!$E$26*(datos_base!$B$3+IF(parametros_manuales!$H$26="Todos",datos_base!$B$10,0))*parametros_manuales!$E$100+parametros_manuales!$E$26*(datos_base!$B$19+IF(parametros_manuales!$H$26="Todos",datos_base!$B$24,0))*parametros_manuales!$E$13+parametros_manuales!$F$26*(datos_base!$B$4+IF(parametros_manuales!$H$26="Todos",datos_base!$B$11,0))*parametros_manuales!$E$105+parametros_manuales!$F$26*(datos_base!$B$20+IF(parametros_manuales!$H$26="Todos",datos_base!$B$25,0))*parametros_manuales!$E$14+parametros_manuales!$G$26*(datos_base!$B$5+IF(parametros_manuales!$H$26="Todos",datos_base!$B$12,0))*parametros_manuales!$E$110+parametros_manuales!$G$26*(datos_base!$B$21+IF(parametros_manuales!$H$26="Todos",datos_base!$B$26,0))*parametros_manuales!$E$15)*parametros_manuales!$I$26*parametros_manuales!$J$26</f>
        <v>227.17410791705</v>
      </c>
      <c r="F9" s="9" t="n">
        <f aca="false">(parametros_manuales!$D$26*(datos_base!$B$2+IF(parametros_manuales!$H$26="Todos",datos_base!$B$9,0))*parametros_manuales!$F$95+parametros_manuales!$D$26*(datos_base!$B$18+IF(parametros_manuales!$H$26="Todos",datos_base!$B$23,0))*parametros_manuales!$F$12+parametros_manuales!$E$26*(datos_base!$B$3+IF(parametros_manuales!$H$26="Todos",datos_base!$B$10,0))*parametros_manuales!$F$100+parametros_manuales!$E$26*(datos_base!$B$19+IF(parametros_manuales!$H$26="Todos",datos_base!$B$24,0))*parametros_manuales!$F$13+parametros_manuales!$F$26*(datos_base!$B$4+IF(parametros_manuales!$H$26="Todos",datos_base!$B$11,0))*parametros_manuales!$F$105+parametros_manuales!$F$26*(datos_base!$B$20+IF(parametros_manuales!$H$26="Todos",datos_base!$B$25,0))*parametros_manuales!$F$14+parametros_manuales!$G$26*(datos_base!$B$5+IF(parametros_manuales!$H$26="Todos",datos_base!$B$12,0))*parametros_manuales!$F$110+parametros_manuales!$G$26*(datos_base!$B$21+IF(parametros_manuales!$H$26="Todos",datos_base!$B$26,0))*parametros_manuales!$F$15)*parametros_manuales!$I$26*parametros_manuales!$J$26</f>
        <v>213.8109250984</v>
      </c>
      <c r="G9" s="9" t="n">
        <f aca="false">(parametros_manuales!$D$26*(datos_base!$B$2+IF(parametros_manuales!$H$26="Todos",datos_base!$B$9,0))*parametros_manuales!$G$95+parametros_manuales!$D$26*(datos_base!$B$18+IF(parametros_manuales!$H$26="Todos",datos_base!$B$23,0))*parametros_manuales!$G$12+parametros_manuales!$E$26*(datos_base!$B$3+IF(parametros_manuales!$H$26="Todos",datos_base!$B$10,0))*parametros_manuales!$G$100+parametros_manuales!$E$26*(datos_base!$B$19+IF(parametros_manuales!$H$26="Todos",datos_base!$B$24,0))*parametros_manuales!$G$13+parametros_manuales!$F$26*(datos_base!$B$4+IF(parametros_manuales!$H$26="Todos",datos_base!$B$11,0))*parametros_manuales!$G$105+parametros_manuales!$F$26*(datos_base!$B$20+IF(parametros_manuales!$H$26="Todos",datos_base!$B$25,0))*parametros_manuales!$G$14+parametros_manuales!$G$26*(datos_base!$B$5+IF(parametros_manuales!$H$26="Todos",datos_base!$B$12,0))*parametros_manuales!$G$110+parametros_manuales!$G$26*(datos_base!$B$21+IF(parametros_manuales!$H$26="Todos",datos_base!$B$26,0))*parametros_manuales!$G$15)*parametros_manuales!$I$26*parametros_manuales!$J$26</f>
        <v>200.44774227975</v>
      </c>
      <c r="H9" s="9" t="n">
        <f aca="false">(parametros_manuales!$D$26*(datos_base!$B$2+IF(parametros_manuales!$H$26="Todos",datos_base!$B$9,0))*parametros_manuales!$H$95+parametros_manuales!$D$26*(datos_base!$B$18+IF(parametros_manuales!$H$26="Todos",datos_base!$B$23,0))*parametros_manuales!$H$12+parametros_manuales!$E$26*(datos_base!$B$3+IF(parametros_manuales!$H$26="Todos",datos_base!$B$10,0))*parametros_manuales!$H$100+parametros_manuales!$E$26*(datos_base!$B$19+IF(parametros_manuales!$H$26="Todos",datos_base!$B$24,0))*parametros_manuales!$H$13+parametros_manuales!$F$26*(datos_base!$B$4+IF(parametros_manuales!$H$26="Todos",datos_base!$B$11,0))*parametros_manuales!$H$105+parametros_manuales!$F$26*(datos_base!$B$20+IF(parametros_manuales!$H$26="Todos",datos_base!$B$25,0))*parametros_manuales!$H$14+parametros_manuales!$G$26*(datos_base!$B$5+IF(parametros_manuales!$H$26="Todos",datos_base!$B$12,0))*parametros_manuales!$H$110+parametros_manuales!$G$26*(datos_base!$B$21+IF(parametros_manuales!$H$26="Todos",datos_base!$B$26,0))*parametros_manuales!$H$15)*parametros_manuales!$I$26*parametros_manuales!$J$26</f>
        <v>213.8109250984</v>
      </c>
      <c r="I9" s="9" t="n">
        <f aca="false">(parametros_manuales!$D$26*(datos_base!$B$2+IF(parametros_manuales!$H$26="Todos",datos_base!$B$9,0))*parametros_manuales!$I$95+parametros_manuales!$D$26*(datos_base!$B$18+IF(parametros_manuales!$H$26="Todos",datos_base!$B$23,0))*parametros_manuales!$I$12+parametros_manuales!$E$26*(datos_base!$B$3+IF(parametros_manuales!$H$26="Todos",datos_base!$B$10,0))*parametros_manuales!$I$100+parametros_manuales!$E$26*(datos_base!$B$19+IF(parametros_manuales!$H$26="Todos",datos_base!$B$24,0))*parametros_manuales!$I$13+parametros_manuales!$F$26*(datos_base!$B$4+IF(parametros_manuales!$H$26="Todos",datos_base!$B$11,0))*parametros_manuales!$I$105+parametros_manuales!$F$26*(datos_base!$B$20+IF(parametros_manuales!$H$26="Todos",datos_base!$B$25,0))*parametros_manuales!$I$14+parametros_manuales!$G$26*(datos_base!$B$5+IF(parametros_manuales!$H$26="Todos",datos_base!$B$12,0))*parametros_manuales!$I$110+parametros_manuales!$G$26*(datos_base!$B$21+IF(parametros_manuales!$H$26="Todos",datos_base!$B$26,0))*parametros_manuales!$I$15)*parametros_manuales!$I$26*parametros_manuales!$J$26</f>
        <v>213.8109250984</v>
      </c>
      <c r="J9" s="9" t="n">
        <f aca="false">(parametros_manuales!$D$26*(datos_base!$B$2+IF(parametros_manuales!$H$26="Todos",datos_base!$B$9,0))*parametros_manuales!$J$95+parametros_manuales!$D$26*(datos_base!$B$18+IF(parametros_manuales!$H$26="Todos",datos_base!$B$23,0))*parametros_manuales!$J$12+parametros_manuales!$E$26*(datos_base!$B$3+IF(parametros_manuales!$H$26="Todos",datos_base!$B$10,0))*parametros_manuales!$J$100+parametros_manuales!$E$26*(datos_base!$B$19+IF(parametros_manuales!$H$26="Todos",datos_base!$B$24,0))*parametros_manuales!$J$13+parametros_manuales!$F$26*(datos_base!$B$4+IF(parametros_manuales!$H$26="Todos",datos_base!$B$11,0))*parametros_manuales!$J$105+parametros_manuales!$F$26*(datos_base!$B$20+IF(parametros_manuales!$H$26="Todos",datos_base!$B$25,0))*parametros_manuales!$J$14+parametros_manuales!$G$26*(datos_base!$B$5+IF(parametros_manuales!$H$26="Todos",datos_base!$B$12,0))*parametros_manuales!$J$110+parametros_manuales!$G$26*(datos_base!$B$21+IF(parametros_manuales!$H$26="Todos",datos_base!$B$26,0))*parametros_manuales!$J$15)*parametros_manuales!$I$26*parametros_manuales!$J$26</f>
        <v>213.8109250984</v>
      </c>
      <c r="K9" s="9" t="n">
        <f aca="false">(parametros_manuales!$D$26*(datos_base!$B$2+IF(parametros_manuales!$H$26="Todos",datos_base!$B$9,0))*parametros_manuales!$K$95+parametros_manuales!$D$26*(datos_base!$B$18+IF(parametros_manuales!$H$26="Todos",datos_base!$B$23,0))*parametros_manuales!$K$12+parametros_manuales!$E$26*(datos_base!$B$3+IF(parametros_manuales!$H$26="Todos",datos_base!$B$10,0))*parametros_manuales!$K$100+parametros_manuales!$E$26*(datos_base!$B$19+IF(parametros_manuales!$H$26="Todos",datos_base!$B$24,0))*parametros_manuales!$K$13+parametros_manuales!$F$26*(datos_base!$B$4+IF(parametros_manuales!$H$26="Todos",datos_base!$B$11,0))*parametros_manuales!$K$105+parametros_manuales!$F$26*(datos_base!$B$20+IF(parametros_manuales!$H$26="Todos",datos_base!$B$25,0))*parametros_manuales!$K$14+parametros_manuales!$G$26*(datos_base!$B$5+IF(parametros_manuales!$H$26="Todos",datos_base!$B$12,0))*parametros_manuales!$K$110+parametros_manuales!$G$26*(datos_base!$B$21+IF(parametros_manuales!$H$26="Todos",datos_base!$B$26,0))*parametros_manuales!$K$15)*parametros_manuales!$I$26*parametros_manuales!$J$26</f>
        <v>226.87410791705</v>
      </c>
      <c r="L9" s="9" t="n">
        <f aca="false">(parametros_manuales!$D$26*(datos_base!$B$2+IF(parametros_manuales!$H$26="Todos",datos_base!$B$9,0))*parametros_manuales!$L$95+parametros_manuales!$D$26*(datos_base!$B$18+IF(parametros_manuales!$H$26="Todos",datos_base!$B$23,0))*parametros_manuales!$L$12+parametros_manuales!$E$26*(datos_base!$B$3+IF(parametros_manuales!$H$26="Todos",datos_base!$B$10,0))*parametros_manuales!$L$100+parametros_manuales!$E$26*(datos_base!$B$19+IF(parametros_manuales!$H$26="Todos",datos_base!$B$24,0))*parametros_manuales!$L$13+parametros_manuales!$F$26*(datos_base!$B$4+IF(parametros_manuales!$H$26="Todos",datos_base!$B$11,0))*parametros_manuales!$L$105+parametros_manuales!$F$26*(datos_base!$B$20+IF(parametros_manuales!$H$26="Todos",datos_base!$B$25,0))*parametros_manuales!$L$14+parametros_manuales!$G$26*(datos_base!$B$5+IF(parametros_manuales!$H$26="Todos",datos_base!$B$12,0))*parametros_manuales!$L$110+parametros_manuales!$G$26*(datos_base!$B$21+IF(parametros_manuales!$H$26="Todos",datos_base!$B$26,0))*parametros_manuales!$L$15)*parametros_manuales!$I$26*parametros_manuales!$J$26</f>
        <v>239.9372907357</v>
      </c>
      <c r="M9" s="9" t="n">
        <f aca="false">(parametros_manuales!$D$26*(datos_base!$B$2+IF(parametros_manuales!$H$26="Todos",datos_base!$B$9,0))*parametros_manuales!$M$95+parametros_manuales!$D$26*(datos_base!$B$18+IF(parametros_manuales!$H$26="Todos",datos_base!$B$23,0))*parametros_manuales!$M$12+parametros_manuales!$E$26*(datos_base!$B$3+IF(parametros_manuales!$H$26="Todos",datos_base!$B$10,0))*parametros_manuales!$M$100+parametros_manuales!$E$26*(datos_base!$B$19+IF(parametros_manuales!$H$26="Todos",datos_base!$B$24,0))*parametros_manuales!$M$13+parametros_manuales!$F$26*(datos_base!$B$4+IF(parametros_manuales!$H$26="Todos",datos_base!$B$11,0))*parametros_manuales!$M$105+parametros_manuales!$F$26*(datos_base!$B$20+IF(parametros_manuales!$H$26="Todos",datos_base!$B$25,0))*parametros_manuales!$M$14+parametros_manuales!$G$26*(datos_base!$B$5+IF(parametros_manuales!$H$26="Todos",datos_base!$B$12,0))*parametros_manuales!$M$110+parametros_manuales!$G$26*(datos_base!$B$21+IF(parametros_manuales!$H$26="Todos",datos_base!$B$26,0))*parametros_manuales!$M$15)*parametros_manuales!$I$26*parametros_manuales!$J$26</f>
        <v>241.1372907357</v>
      </c>
      <c r="N9" s="9" t="n">
        <f aca="false">SUM(B9:M9)</f>
        <v>2672.63656373</v>
      </c>
      <c r="O9" s="9" t="n">
        <f aca="false">MAX(B9:M9)</f>
        <v>241.1372907357</v>
      </c>
      <c r="P9" s="44" t="n">
        <f aca="false">O9/(parametros_manuales!$B$7)</f>
        <v>1.607581938238</v>
      </c>
      <c r="Q9" s="8" t="str">
        <f aca="false">IF(O9=0,"-",INDEX($B$1:$M$1,MATCH(O9,B9:M9,0)))</f>
        <v>Dic</v>
      </c>
    </row>
    <row r="10" customFormat="false" ht="14.25" hidden="false" customHeight="true" outlineLevel="0" collapsed="false">
      <c r="A10" s="8" t="str">
        <f aca="false">parametros_manuales!$B$27</f>
        <v>Soldadura longitudinal</v>
      </c>
      <c r="B10" s="9" t="n">
        <f aca="false">(parametros_manuales!$D$27*(datos_base!$B$2+IF(parametros_manuales!$H$27="Todos",datos_base!$B$9,0))*parametros_manuales!$B$95+parametros_manuales!$D$27*(datos_base!$B$18+IF(parametros_manuales!$H$27="Todos",datos_base!$B$23,0))*parametros_manuales!$B$12+parametros_manuales!$E$27*(datos_base!$B$3+IF(parametros_manuales!$H$27="Todos",datos_base!$B$10,0))*parametros_manuales!$B$100+parametros_manuales!$E$27*(datos_base!$B$19+IF(parametros_manuales!$H$27="Todos",datos_base!$B$24,0))*parametros_manuales!$B$13+parametros_manuales!$F$27*(datos_base!$B$4+IF(parametros_manuales!$H$27="Todos",datos_base!$B$11,0))*parametros_manuales!$B$105+parametros_manuales!$F$27*(datos_base!$B$20+IF(parametros_manuales!$H$27="Todos",datos_base!$B$25,0))*parametros_manuales!$B$14+parametros_manuales!$G$27*(datos_base!$B$5+IF(parametros_manuales!$H$27="Todos",datos_base!$B$12,0))*parametros_manuales!$B$110+parametros_manuales!$G$27*(datos_base!$B$21+IF(parametros_manuales!$H$27="Todos",datos_base!$B$26,0))*parametros_manuales!$B$15)*parametros_manuales!$I$27*parametros_manuales!$J$27</f>
        <v>240.8372907357</v>
      </c>
      <c r="C10" s="9" t="n">
        <f aca="false">(parametros_manuales!$D$27*(datos_base!$B$2+IF(parametros_manuales!$H$27="Todos",datos_base!$B$9,0))*parametros_manuales!$C$95+parametros_manuales!$D$27*(datos_base!$B$18+IF(parametros_manuales!$H$27="Todos",datos_base!$B$23,0))*parametros_manuales!$C$12+parametros_manuales!$E$27*(datos_base!$B$3+IF(parametros_manuales!$H$27="Todos",datos_base!$B$10,0))*parametros_manuales!$C$100+parametros_manuales!$E$27*(datos_base!$B$19+IF(parametros_manuales!$H$27="Todos",datos_base!$B$24,0))*parametros_manuales!$C$13+parametros_manuales!$F$27*(datos_base!$B$4+IF(parametros_manuales!$H$27="Todos",datos_base!$B$11,0))*parametros_manuales!$C$105+parametros_manuales!$F$27*(datos_base!$B$20+IF(parametros_manuales!$H$27="Todos",datos_base!$B$25,0))*parametros_manuales!$C$14+parametros_manuales!$G$27*(datos_base!$B$5+IF(parametros_manuales!$H$27="Todos",datos_base!$B$12,0))*parametros_manuales!$C$110+parametros_manuales!$G$27*(datos_base!$B$21+IF(parametros_manuales!$H$27="Todos",datos_base!$B$26,0))*parametros_manuales!$C$15)*parametros_manuales!$I$27*parametros_manuales!$J$27</f>
        <v>213.8109250984</v>
      </c>
      <c r="D10" s="9" t="n">
        <f aca="false">(parametros_manuales!$D$27*(datos_base!$B$2+IF(parametros_manuales!$H$27="Todos",datos_base!$B$9,0))*parametros_manuales!$D$95+parametros_manuales!$D$27*(datos_base!$B$18+IF(parametros_manuales!$H$27="Todos",datos_base!$B$23,0))*parametros_manuales!$D$12+parametros_manuales!$E$27*(datos_base!$B$3+IF(parametros_manuales!$H$27="Todos",datos_base!$B$10,0))*parametros_manuales!$D$100+parametros_manuales!$E$27*(datos_base!$B$19+IF(parametros_manuales!$H$27="Todos",datos_base!$B$24,0))*parametros_manuales!$D$13+parametros_manuales!$F$27*(datos_base!$B$4+IF(parametros_manuales!$H$27="Todos",datos_base!$B$11,0))*parametros_manuales!$D$105+parametros_manuales!$F$27*(datos_base!$B$20+IF(parametros_manuales!$H$27="Todos",datos_base!$B$25,0))*parametros_manuales!$D$14+parametros_manuales!$G$27*(datos_base!$B$5+IF(parametros_manuales!$H$27="Todos",datos_base!$B$12,0))*parametros_manuales!$D$110+parametros_manuales!$G$27*(datos_base!$B$21+IF(parametros_manuales!$H$27="Todos",datos_base!$B$26,0))*parametros_manuales!$D$15)*parametros_manuales!$I$27*parametros_manuales!$J$27</f>
        <v>227.17410791705</v>
      </c>
      <c r="E10" s="9" t="n">
        <f aca="false">(parametros_manuales!$D$27*(datos_base!$B$2+IF(parametros_manuales!$H$27="Todos",datos_base!$B$9,0))*parametros_manuales!$E$95+parametros_manuales!$D$27*(datos_base!$B$18+IF(parametros_manuales!$H$27="Todos",datos_base!$B$23,0))*parametros_manuales!$E$12+parametros_manuales!$E$27*(datos_base!$B$3+IF(parametros_manuales!$H$27="Todos",datos_base!$B$10,0))*parametros_manuales!$E$100+parametros_manuales!$E$27*(datos_base!$B$19+IF(parametros_manuales!$H$27="Todos",datos_base!$B$24,0))*parametros_manuales!$E$13+parametros_manuales!$F$27*(datos_base!$B$4+IF(parametros_manuales!$H$27="Todos",datos_base!$B$11,0))*parametros_manuales!$E$105+parametros_manuales!$F$27*(datos_base!$B$20+IF(parametros_manuales!$H$27="Todos",datos_base!$B$25,0))*parametros_manuales!$E$14+parametros_manuales!$G$27*(datos_base!$B$5+IF(parametros_manuales!$H$27="Todos",datos_base!$B$12,0))*parametros_manuales!$E$110+parametros_manuales!$G$27*(datos_base!$B$21+IF(parametros_manuales!$H$27="Todos",datos_base!$B$26,0))*parametros_manuales!$E$15)*parametros_manuales!$I$27*parametros_manuales!$J$27</f>
        <v>227.17410791705</v>
      </c>
      <c r="F10" s="9" t="n">
        <f aca="false">(parametros_manuales!$D$27*(datos_base!$B$2+IF(parametros_manuales!$H$27="Todos",datos_base!$B$9,0))*parametros_manuales!$F$95+parametros_manuales!$D$27*(datos_base!$B$18+IF(parametros_manuales!$H$27="Todos",datos_base!$B$23,0))*parametros_manuales!$F$12+parametros_manuales!$E$27*(datos_base!$B$3+IF(parametros_manuales!$H$27="Todos",datos_base!$B$10,0))*parametros_manuales!$F$100+parametros_manuales!$E$27*(datos_base!$B$19+IF(parametros_manuales!$H$27="Todos",datos_base!$B$24,0))*parametros_manuales!$F$13+parametros_manuales!$F$27*(datos_base!$B$4+IF(parametros_manuales!$H$27="Todos",datos_base!$B$11,0))*parametros_manuales!$F$105+parametros_manuales!$F$27*(datos_base!$B$20+IF(parametros_manuales!$H$27="Todos",datos_base!$B$25,0))*parametros_manuales!$F$14+parametros_manuales!$G$27*(datos_base!$B$5+IF(parametros_manuales!$H$27="Todos",datos_base!$B$12,0))*parametros_manuales!$F$110+parametros_manuales!$G$27*(datos_base!$B$21+IF(parametros_manuales!$H$27="Todos",datos_base!$B$26,0))*parametros_manuales!$F$15)*parametros_manuales!$I$27*parametros_manuales!$J$27</f>
        <v>213.8109250984</v>
      </c>
      <c r="G10" s="9" t="n">
        <f aca="false">(parametros_manuales!$D$27*(datos_base!$B$2+IF(parametros_manuales!$H$27="Todos",datos_base!$B$9,0))*parametros_manuales!$G$95+parametros_manuales!$D$27*(datos_base!$B$18+IF(parametros_manuales!$H$27="Todos",datos_base!$B$23,0))*parametros_manuales!$G$12+parametros_manuales!$E$27*(datos_base!$B$3+IF(parametros_manuales!$H$27="Todos",datos_base!$B$10,0))*parametros_manuales!$G$100+parametros_manuales!$E$27*(datos_base!$B$19+IF(parametros_manuales!$H$27="Todos",datos_base!$B$24,0))*parametros_manuales!$G$13+parametros_manuales!$F$27*(datos_base!$B$4+IF(parametros_manuales!$H$27="Todos",datos_base!$B$11,0))*parametros_manuales!$G$105+parametros_manuales!$F$27*(datos_base!$B$20+IF(parametros_manuales!$H$27="Todos",datos_base!$B$25,0))*parametros_manuales!$G$14+parametros_manuales!$G$27*(datos_base!$B$5+IF(parametros_manuales!$H$27="Todos",datos_base!$B$12,0))*parametros_manuales!$G$110+parametros_manuales!$G$27*(datos_base!$B$21+IF(parametros_manuales!$H$27="Todos",datos_base!$B$26,0))*parametros_manuales!$G$15)*parametros_manuales!$I$27*parametros_manuales!$J$27</f>
        <v>200.44774227975</v>
      </c>
      <c r="H10" s="9" t="n">
        <f aca="false">(parametros_manuales!$D$27*(datos_base!$B$2+IF(parametros_manuales!$H$27="Todos",datos_base!$B$9,0))*parametros_manuales!$H$95+parametros_manuales!$D$27*(datos_base!$B$18+IF(parametros_manuales!$H$27="Todos",datos_base!$B$23,0))*parametros_manuales!$H$12+parametros_manuales!$E$27*(datos_base!$B$3+IF(parametros_manuales!$H$27="Todos",datos_base!$B$10,0))*parametros_manuales!$H$100+parametros_manuales!$E$27*(datos_base!$B$19+IF(parametros_manuales!$H$27="Todos",datos_base!$B$24,0))*parametros_manuales!$H$13+parametros_manuales!$F$27*(datos_base!$B$4+IF(parametros_manuales!$H$27="Todos",datos_base!$B$11,0))*parametros_manuales!$H$105+parametros_manuales!$F$27*(datos_base!$B$20+IF(parametros_manuales!$H$27="Todos",datos_base!$B$25,0))*parametros_manuales!$H$14+parametros_manuales!$G$27*(datos_base!$B$5+IF(parametros_manuales!$H$27="Todos",datos_base!$B$12,0))*parametros_manuales!$H$110+parametros_manuales!$G$27*(datos_base!$B$21+IF(parametros_manuales!$H$27="Todos",datos_base!$B$26,0))*parametros_manuales!$H$15)*parametros_manuales!$I$27*parametros_manuales!$J$27</f>
        <v>213.8109250984</v>
      </c>
      <c r="I10" s="9" t="n">
        <f aca="false">(parametros_manuales!$D$27*(datos_base!$B$2+IF(parametros_manuales!$H$27="Todos",datos_base!$B$9,0))*parametros_manuales!$I$95+parametros_manuales!$D$27*(datos_base!$B$18+IF(parametros_manuales!$H$27="Todos",datos_base!$B$23,0))*parametros_manuales!$I$12+parametros_manuales!$E$27*(datos_base!$B$3+IF(parametros_manuales!$H$27="Todos",datos_base!$B$10,0))*parametros_manuales!$I$100+parametros_manuales!$E$27*(datos_base!$B$19+IF(parametros_manuales!$H$27="Todos",datos_base!$B$24,0))*parametros_manuales!$I$13+parametros_manuales!$F$27*(datos_base!$B$4+IF(parametros_manuales!$H$27="Todos",datos_base!$B$11,0))*parametros_manuales!$I$105+parametros_manuales!$F$27*(datos_base!$B$20+IF(parametros_manuales!$H$27="Todos",datos_base!$B$25,0))*parametros_manuales!$I$14+parametros_manuales!$G$27*(datos_base!$B$5+IF(parametros_manuales!$H$27="Todos",datos_base!$B$12,0))*parametros_manuales!$I$110+parametros_manuales!$G$27*(datos_base!$B$21+IF(parametros_manuales!$H$27="Todos",datos_base!$B$26,0))*parametros_manuales!$I$15)*parametros_manuales!$I$27*parametros_manuales!$J$27</f>
        <v>213.8109250984</v>
      </c>
      <c r="J10" s="9" t="n">
        <f aca="false">(parametros_manuales!$D$27*(datos_base!$B$2+IF(parametros_manuales!$H$27="Todos",datos_base!$B$9,0))*parametros_manuales!$J$95+parametros_manuales!$D$27*(datos_base!$B$18+IF(parametros_manuales!$H$27="Todos",datos_base!$B$23,0))*parametros_manuales!$J$12+parametros_manuales!$E$27*(datos_base!$B$3+IF(parametros_manuales!$H$27="Todos",datos_base!$B$10,0))*parametros_manuales!$J$100+parametros_manuales!$E$27*(datos_base!$B$19+IF(parametros_manuales!$H$27="Todos",datos_base!$B$24,0))*parametros_manuales!$J$13+parametros_manuales!$F$27*(datos_base!$B$4+IF(parametros_manuales!$H$27="Todos",datos_base!$B$11,0))*parametros_manuales!$J$105+parametros_manuales!$F$27*(datos_base!$B$20+IF(parametros_manuales!$H$27="Todos",datos_base!$B$25,0))*parametros_manuales!$J$14+parametros_manuales!$G$27*(datos_base!$B$5+IF(parametros_manuales!$H$27="Todos",datos_base!$B$12,0))*parametros_manuales!$J$110+parametros_manuales!$G$27*(datos_base!$B$21+IF(parametros_manuales!$H$27="Todos",datos_base!$B$26,0))*parametros_manuales!$J$15)*parametros_manuales!$I$27*parametros_manuales!$J$27</f>
        <v>213.8109250984</v>
      </c>
      <c r="K10" s="9" t="n">
        <f aca="false">(parametros_manuales!$D$27*(datos_base!$B$2+IF(parametros_manuales!$H$27="Todos",datos_base!$B$9,0))*parametros_manuales!$K$95+parametros_manuales!$D$27*(datos_base!$B$18+IF(parametros_manuales!$H$27="Todos",datos_base!$B$23,0))*parametros_manuales!$K$12+parametros_manuales!$E$27*(datos_base!$B$3+IF(parametros_manuales!$H$27="Todos",datos_base!$B$10,0))*parametros_manuales!$K$100+parametros_manuales!$E$27*(datos_base!$B$19+IF(parametros_manuales!$H$27="Todos",datos_base!$B$24,0))*parametros_manuales!$K$13+parametros_manuales!$F$27*(datos_base!$B$4+IF(parametros_manuales!$H$27="Todos",datos_base!$B$11,0))*parametros_manuales!$K$105+parametros_manuales!$F$27*(datos_base!$B$20+IF(parametros_manuales!$H$27="Todos",datos_base!$B$25,0))*parametros_manuales!$K$14+parametros_manuales!$G$27*(datos_base!$B$5+IF(parametros_manuales!$H$27="Todos",datos_base!$B$12,0))*parametros_manuales!$K$110+parametros_manuales!$G$27*(datos_base!$B$21+IF(parametros_manuales!$H$27="Todos",datos_base!$B$26,0))*parametros_manuales!$K$15)*parametros_manuales!$I$27*parametros_manuales!$J$27</f>
        <v>226.87410791705</v>
      </c>
      <c r="L10" s="9" t="n">
        <f aca="false">(parametros_manuales!$D$27*(datos_base!$B$2+IF(parametros_manuales!$H$27="Todos",datos_base!$B$9,0))*parametros_manuales!$L$95+parametros_manuales!$D$27*(datos_base!$B$18+IF(parametros_manuales!$H$27="Todos",datos_base!$B$23,0))*parametros_manuales!$L$12+parametros_manuales!$E$27*(datos_base!$B$3+IF(parametros_manuales!$H$27="Todos",datos_base!$B$10,0))*parametros_manuales!$L$100+parametros_manuales!$E$27*(datos_base!$B$19+IF(parametros_manuales!$H$27="Todos",datos_base!$B$24,0))*parametros_manuales!$L$13+parametros_manuales!$F$27*(datos_base!$B$4+IF(parametros_manuales!$H$27="Todos",datos_base!$B$11,0))*parametros_manuales!$L$105+parametros_manuales!$F$27*(datos_base!$B$20+IF(parametros_manuales!$H$27="Todos",datos_base!$B$25,0))*parametros_manuales!$L$14+parametros_manuales!$G$27*(datos_base!$B$5+IF(parametros_manuales!$H$27="Todos",datos_base!$B$12,0))*parametros_manuales!$L$110+parametros_manuales!$G$27*(datos_base!$B$21+IF(parametros_manuales!$H$27="Todos",datos_base!$B$26,0))*parametros_manuales!$L$15)*parametros_manuales!$I$27*parametros_manuales!$J$27</f>
        <v>239.9372907357</v>
      </c>
      <c r="M10" s="9" t="n">
        <f aca="false">(parametros_manuales!$D$27*(datos_base!$B$2+IF(parametros_manuales!$H$27="Todos",datos_base!$B$9,0))*parametros_manuales!$M$95+parametros_manuales!$D$27*(datos_base!$B$18+IF(parametros_manuales!$H$27="Todos",datos_base!$B$23,0))*parametros_manuales!$M$12+parametros_manuales!$E$27*(datos_base!$B$3+IF(parametros_manuales!$H$27="Todos",datos_base!$B$10,0))*parametros_manuales!$M$100+parametros_manuales!$E$27*(datos_base!$B$19+IF(parametros_manuales!$H$27="Todos",datos_base!$B$24,0))*parametros_manuales!$M$13+parametros_manuales!$F$27*(datos_base!$B$4+IF(parametros_manuales!$H$27="Todos",datos_base!$B$11,0))*parametros_manuales!$M$105+parametros_manuales!$F$27*(datos_base!$B$20+IF(parametros_manuales!$H$27="Todos",datos_base!$B$25,0))*parametros_manuales!$M$14+parametros_manuales!$G$27*(datos_base!$B$5+IF(parametros_manuales!$H$27="Todos",datos_base!$B$12,0))*parametros_manuales!$M$110+parametros_manuales!$G$27*(datos_base!$B$21+IF(parametros_manuales!$H$27="Todos",datos_base!$B$26,0))*parametros_manuales!$M$15)*parametros_manuales!$I$27*parametros_manuales!$J$27</f>
        <v>241.1372907357</v>
      </c>
      <c r="N10" s="9" t="n">
        <f aca="false">SUM(B10:M10)</f>
        <v>2672.63656373</v>
      </c>
      <c r="O10" s="9" t="n">
        <f aca="false">MAX(B10:M10)</f>
        <v>241.1372907357</v>
      </c>
      <c r="P10" s="44" t="n">
        <f aca="false">O10/(parametros_manuales!$B$7)</f>
        <v>1.607581938238</v>
      </c>
      <c r="Q10" s="8" t="str">
        <f aca="false">IF(O10=0,"-",INDEX($B$1:$M$1,MATCH(O10,B10:M10,0)))</f>
        <v>Dic</v>
      </c>
    </row>
    <row r="11" customFormat="false" ht="14.25" hidden="false" customHeight="true" outlineLevel="0" collapsed="false">
      <c r="A11" s="8" t="str">
        <f aca="false">parametros_manuales!$B$28</f>
        <v>Encastre de fondo</v>
      </c>
      <c r="B11" s="9" t="n">
        <f aca="false">(parametros_manuales!$D$28*(datos_base!$B$2+IF(parametros_manuales!$H$28="Todos",datos_base!$B$9,0))*parametros_manuales!$B$95+parametros_manuales!$D$28*(datos_base!$B$18+IF(parametros_manuales!$H$28="Todos",datos_base!$B$23,0))*parametros_manuales!$B$12+parametros_manuales!$E$28*(datos_base!$B$3+IF(parametros_manuales!$H$28="Todos",datos_base!$B$10,0))*parametros_manuales!$B$100+parametros_manuales!$E$28*(datos_base!$B$19+IF(parametros_manuales!$H$28="Todos",datos_base!$B$24,0))*parametros_manuales!$B$13+parametros_manuales!$F$28*(datos_base!$B$4+IF(parametros_manuales!$H$28="Todos",datos_base!$B$11,0))*parametros_manuales!$B$105+parametros_manuales!$F$28*(datos_base!$B$20+IF(parametros_manuales!$H$28="Todos",datos_base!$B$25,0))*parametros_manuales!$B$14+parametros_manuales!$G$28*(datos_base!$B$5+IF(parametros_manuales!$H$28="Todos",datos_base!$B$12,0))*parametros_manuales!$B$110+parametros_manuales!$G$28*(datos_base!$B$21+IF(parametros_manuales!$H$28="Todos",datos_base!$B$26,0))*parametros_manuales!$B$15)*parametros_manuales!$I$28*parametros_manuales!$J$28</f>
        <v>616.9235796057</v>
      </c>
      <c r="C11" s="9" t="n">
        <f aca="false">(parametros_manuales!$D$28*(datos_base!$B$2+IF(parametros_manuales!$H$28="Todos",datos_base!$B$9,0))*parametros_manuales!$C$95+parametros_manuales!$D$28*(datos_base!$B$18+IF(parametros_manuales!$H$28="Todos",datos_base!$B$23,0))*parametros_manuales!$C$12+parametros_manuales!$E$28*(datos_base!$B$3+IF(parametros_manuales!$H$28="Todos",datos_base!$B$10,0))*parametros_manuales!$C$100+parametros_manuales!$E$28*(datos_base!$B$19+IF(parametros_manuales!$H$28="Todos",datos_base!$B$24,0))*parametros_manuales!$C$13+parametros_manuales!$F$28*(datos_base!$B$4+IF(parametros_manuales!$H$28="Todos",datos_base!$B$11,0))*parametros_manuales!$C$105+parametros_manuales!$F$28*(datos_base!$B$20+IF(parametros_manuales!$H$28="Todos",datos_base!$B$25,0))*parametros_manuales!$C$14+parametros_manuales!$G$28*(datos_base!$B$5+IF(parametros_manuales!$H$28="Todos",datos_base!$B$12,0))*parametros_manuales!$C$110+parametros_manuales!$G$28*(datos_base!$B$21+IF(parametros_manuales!$H$28="Todos",datos_base!$B$26,0))*parametros_manuales!$C$15)*parametros_manuales!$I$28*parametros_manuales!$J$28</f>
        <v>589.8972139684</v>
      </c>
      <c r="D11" s="9" t="n">
        <f aca="false">(parametros_manuales!$D$28*(datos_base!$B$2+IF(parametros_manuales!$H$28="Todos",datos_base!$B$9,0))*parametros_manuales!$D$95+parametros_manuales!$D$28*(datos_base!$B$18+IF(parametros_manuales!$H$28="Todos",datos_base!$B$23,0))*parametros_manuales!$D$12+parametros_manuales!$E$28*(datos_base!$B$3+IF(parametros_manuales!$H$28="Todos",datos_base!$B$10,0))*parametros_manuales!$D$100+parametros_manuales!$E$28*(datos_base!$B$19+IF(parametros_manuales!$H$28="Todos",datos_base!$B$24,0))*parametros_manuales!$D$13+parametros_manuales!$F$28*(datos_base!$B$4+IF(parametros_manuales!$H$28="Todos",datos_base!$B$11,0))*parametros_manuales!$D$105+parametros_manuales!$F$28*(datos_base!$B$20+IF(parametros_manuales!$H$28="Todos",datos_base!$B$25,0))*parametros_manuales!$D$14+parametros_manuales!$G$28*(datos_base!$B$5+IF(parametros_manuales!$H$28="Todos",datos_base!$B$12,0))*parametros_manuales!$D$110+parametros_manuales!$G$28*(datos_base!$B$21+IF(parametros_manuales!$H$28="Todos",datos_base!$B$26,0))*parametros_manuales!$D$15)*parametros_manuales!$I$28*parametros_manuales!$J$28</f>
        <v>561.47303135705</v>
      </c>
      <c r="E11" s="9" t="n">
        <f aca="false">(parametros_manuales!$D$28*(datos_base!$B$2+IF(parametros_manuales!$H$28="Todos",datos_base!$B$9,0))*parametros_manuales!$E$95+parametros_manuales!$D$28*(datos_base!$B$18+IF(parametros_manuales!$H$28="Todos",datos_base!$B$23,0))*parametros_manuales!$E$12+parametros_manuales!$E$28*(datos_base!$B$3+IF(parametros_manuales!$H$28="Todos",datos_base!$B$10,0))*parametros_manuales!$E$100+parametros_manuales!$E$28*(datos_base!$B$19+IF(parametros_manuales!$H$28="Todos",datos_base!$B$24,0))*parametros_manuales!$E$13+parametros_manuales!$F$28*(datos_base!$B$4+IF(parametros_manuales!$H$28="Todos",datos_base!$B$11,0))*parametros_manuales!$E$105+parametros_manuales!$F$28*(datos_base!$B$20+IF(parametros_manuales!$H$28="Todos",datos_base!$B$25,0))*parametros_manuales!$E$14+parametros_manuales!$G$28*(datos_base!$B$5+IF(parametros_manuales!$H$28="Todos",datos_base!$B$12,0))*parametros_manuales!$E$110+parametros_manuales!$G$28*(datos_base!$B$21+IF(parametros_manuales!$H$28="Todos",datos_base!$B$26,0))*parametros_manuales!$E$15)*parametros_manuales!$I$28*parametros_manuales!$J$28</f>
        <v>540.57934864205</v>
      </c>
      <c r="F11" s="9" t="n">
        <f aca="false">(parametros_manuales!$D$28*(datos_base!$B$2+IF(parametros_manuales!$H$28="Todos",datos_base!$B$9,0))*parametros_manuales!$F$95+parametros_manuales!$D$28*(datos_base!$B$18+IF(parametros_manuales!$H$28="Todos",datos_base!$B$23,0))*parametros_manuales!$F$12+parametros_manuales!$E$28*(datos_base!$B$3+IF(parametros_manuales!$H$28="Todos",datos_base!$B$10,0))*parametros_manuales!$F$100+parametros_manuales!$E$28*(datos_base!$B$19+IF(parametros_manuales!$H$28="Todos",datos_base!$B$24,0))*parametros_manuales!$F$13+parametros_manuales!$F$28*(datos_base!$B$4+IF(parametros_manuales!$H$28="Todos",datos_base!$B$11,0))*parametros_manuales!$F$105+parametros_manuales!$F$28*(datos_base!$B$20+IF(parametros_manuales!$H$28="Todos",datos_base!$B$25,0))*parametros_manuales!$F$14+parametros_manuales!$G$28*(datos_base!$B$5+IF(parametros_manuales!$H$28="Todos",datos_base!$B$12,0))*parametros_manuales!$F$110+parametros_manuales!$G$28*(datos_base!$B$21+IF(parametros_manuales!$H$28="Todos",datos_base!$B$26,0))*parametros_manuales!$F$15)*parametros_manuales!$I$28*parametros_manuales!$J$28</f>
        <v>506.3224831084</v>
      </c>
      <c r="G11" s="9" t="n">
        <f aca="false">(parametros_manuales!$D$28*(datos_base!$B$2+IF(parametros_manuales!$H$28="Todos",datos_base!$B$9,0))*parametros_manuales!$G$95+parametros_manuales!$D$28*(datos_base!$B$18+IF(parametros_manuales!$H$28="Todos",datos_base!$B$23,0))*parametros_manuales!$G$12+parametros_manuales!$E$28*(datos_base!$B$3+IF(parametros_manuales!$H$28="Todos",datos_base!$B$10,0))*parametros_manuales!$G$100+parametros_manuales!$E$28*(datos_base!$B$19+IF(parametros_manuales!$H$28="Todos",datos_base!$B$24,0))*parametros_manuales!$G$13+parametros_manuales!$F$28*(datos_base!$B$4+IF(parametros_manuales!$H$28="Todos",datos_base!$B$11,0))*parametros_manuales!$G$105+parametros_manuales!$F$28*(datos_base!$B$20+IF(parametros_manuales!$H$28="Todos",datos_base!$B$25,0))*parametros_manuales!$G$14+parametros_manuales!$G$28*(datos_base!$B$5+IF(parametros_manuales!$H$28="Todos",datos_base!$B$12,0))*parametros_manuales!$G$110+parametros_manuales!$G$28*(datos_base!$B$21+IF(parametros_manuales!$H$28="Todos",datos_base!$B$26,0))*parametros_manuales!$G$15)*parametros_manuales!$I$28*parametros_manuales!$J$28</f>
        <v>492.95930028975</v>
      </c>
      <c r="H11" s="9" t="n">
        <f aca="false">(parametros_manuales!$D$28*(datos_base!$B$2+IF(parametros_manuales!$H$28="Todos",datos_base!$B$9,0))*parametros_manuales!$H$95+parametros_manuales!$D$28*(datos_base!$B$18+IF(parametros_manuales!$H$28="Todos",datos_base!$B$23,0))*parametros_manuales!$H$12+parametros_manuales!$E$28*(datos_base!$B$3+IF(parametros_manuales!$H$28="Todos",datos_base!$B$10,0))*parametros_manuales!$H$100+parametros_manuales!$E$28*(datos_base!$B$19+IF(parametros_manuales!$H$28="Todos",datos_base!$B$24,0))*parametros_manuales!$H$13+parametros_manuales!$F$28*(datos_base!$B$4+IF(parametros_manuales!$H$28="Todos",datos_base!$B$11,0))*parametros_manuales!$H$105+parametros_manuales!$F$28*(datos_base!$B$20+IF(parametros_manuales!$H$28="Todos",datos_base!$B$25,0))*parametros_manuales!$H$14+parametros_manuales!$G$28*(datos_base!$B$5+IF(parametros_manuales!$H$28="Todos",datos_base!$B$12,0))*parametros_manuales!$H$110+parametros_manuales!$G$28*(datos_base!$B$21+IF(parametros_manuales!$H$28="Todos",datos_base!$B$26,0))*parametros_manuales!$H$15)*parametros_manuales!$I$28*parametros_manuales!$J$28</f>
        <v>527.2161658234</v>
      </c>
      <c r="I11" s="9" t="n">
        <f aca="false">(parametros_manuales!$D$28*(datos_base!$B$2+IF(parametros_manuales!$H$28="Todos",datos_base!$B$9,0))*parametros_manuales!$I$95+parametros_manuales!$D$28*(datos_base!$B$18+IF(parametros_manuales!$H$28="Todos",datos_base!$B$23,0))*parametros_manuales!$I$12+parametros_manuales!$E$28*(datos_base!$B$3+IF(parametros_manuales!$H$28="Todos",datos_base!$B$10,0))*parametros_manuales!$I$100+parametros_manuales!$E$28*(datos_base!$B$19+IF(parametros_manuales!$H$28="Todos",datos_base!$B$24,0))*parametros_manuales!$I$13+parametros_manuales!$F$28*(datos_base!$B$4+IF(parametros_manuales!$H$28="Todos",datos_base!$B$11,0))*parametros_manuales!$I$105+parametros_manuales!$F$28*(datos_base!$B$20+IF(parametros_manuales!$H$28="Todos",datos_base!$B$25,0))*parametros_manuales!$I$14+parametros_manuales!$G$28*(datos_base!$B$5+IF(parametros_manuales!$H$28="Todos",datos_base!$B$12,0))*parametros_manuales!$I$110+parametros_manuales!$G$28*(datos_base!$B$21+IF(parametros_manuales!$H$28="Todos",datos_base!$B$26,0))*parametros_manuales!$I$15)*parametros_manuales!$I$28*parametros_manuales!$J$28</f>
        <v>589.8972139684</v>
      </c>
      <c r="J11" s="9" t="n">
        <f aca="false">(parametros_manuales!$D$28*(datos_base!$B$2+IF(parametros_manuales!$H$28="Todos",datos_base!$B$9,0))*parametros_manuales!$J$95+parametros_manuales!$D$28*(datos_base!$B$18+IF(parametros_manuales!$H$28="Todos",datos_base!$B$23,0))*parametros_manuales!$J$12+parametros_manuales!$E$28*(datos_base!$B$3+IF(parametros_manuales!$H$28="Todos",datos_base!$B$10,0))*parametros_manuales!$J$100+parametros_manuales!$E$28*(datos_base!$B$19+IF(parametros_manuales!$H$28="Todos",datos_base!$B$24,0))*parametros_manuales!$J$13+parametros_manuales!$F$28*(datos_base!$B$4+IF(parametros_manuales!$H$28="Todos",datos_base!$B$11,0))*parametros_manuales!$J$105+parametros_manuales!$F$28*(datos_base!$B$20+IF(parametros_manuales!$H$28="Todos",datos_base!$B$25,0))*parametros_manuales!$J$14+parametros_manuales!$G$28*(datos_base!$B$5+IF(parametros_manuales!$H$28="Todos",datos_base!$B$12,0))*parametros_manuales!$J$110+parametros_manuales!$G$28*(datos_base!$B$21+IF(parametros_manuales!$H$28="Todos",datos_base!$B$26,0))*parametros_manuales!$J$15)*parametros_manuales!$I$28*parametros_manuales!$J$28</f>
        <v>589.8972139684</v>
      </c>
      <c r="K11" s="9" t="n">
        <f aca="false">(parametros_manuales!$D$28*(datos_base!$B$2+IF(parametros_manuales!$H$28="Todos",datos_base!$B$9,0))*parametros_manuales!$K$95+parametros_manuales!$D$28*(datos_base!$B$18+IF(parametros_manuales!$H$28="Todos",datos_base!$B$23,0))*parametros_manuales!$K$12+parametros_manuales!$E$28*(datos_base!$B$3+IF(parametros_manuales!$H$28="Todos",datos_base!$B$10,0))*parametros_manuales!$K$100+parametros_manuales!$E$28*(datos_base!$B$19+IF(parametros_manuales!$H$28="Todos",datos_base!$B$24,0))*parametros_manuales!$K$13+parametros_manuales!$F$28*(datos_base!$B$4+IF(parametros_manuales!$H$28="Todos",datos_base!$B$11,0))*parametros_manuales!$K$105+parametros_manuales!$F$28*(datos_base!$B$20+IF(parametros_manuales!$H$28="Todos",datos_base!$B$25,0))*parametros_manuales!$K$14+parametros_manuales!$G$28*(datos_base!$B$5+IF(parametros_manuales!$H$28="Todos",datos_base!$B$12,0))*parametros_manuales!$K$110+parametros_manuales!$G$28*(datos_base!$B$21+IF(parametros_manuales!$H$28="Todos",datos_base!$B$26,0))*parametros_manuales!$K$15)*parametros_manuales!$I$28*parametros_manuales!$J$28</f>
        <v>602.96039678705</v>
      </c>
      <c r="L11" s="9" t="n">
        <f aca="false">(parametros_manuales!$D$28*(datos_base!$B$2+IF(parametros_manuales!$H$28="Todos",datos_base!$B$9,0))*parametros_manuales!$L$95+parametros_manuales!$D$28*(datos_base!$B$18+IF(parametros_manuales!$H$28="Todos",datos_base!$B$23,0))*parametros_manuales!$L$12+parametros_manuales!$E$28*(datos_base!$B$3+IF(parametros_manuales!$H$28="Todos",datos_base!$B$10,0))*parametros_manuales!$L$100+parametros_manuales!$E$28*(datos_base!$B$19+IF(parametros_manuales!$H$28="Todos",datos_base!$B$24,0))*parametros_manuales!$L$13+parametros_manuales!$F$28*(datos_base!$B$4+IF(parametros_manuales!$H$28="Todos",datos_base!$B$11,0))*parametros_manuales!$L$105+parametros_manuales!$F$28*(datos_base!$B$20+IF(parametros_manuales!$H$28="Todos",datos_base!$B$25,0))*parametros_manuales!$L$14+parametros_manuales!$G$28*(datos_base!$B$5+IF(parametros_manuales!$H$28="Todos",datos_base!$B$12,0))*parametros_manuales!$L$110+parametros_manuales!$G$28*(datos_base!$B$21+IF(parametros_manuales!$H$28="Todos",datos_base!$B$26,0))*parametros_manuales!$L$15)*parametros_manuales!$I$28*parametros_manuales!$J$28</f>
        <v>616.0235796057</v>
      </c>
      <c r="M11" s="9" t="n">
        <f aca="false">(parametros_manuales!$D$28*(datos_base!$B$2+IF(parametros_manuales!$H$28="Todos",datos_base!$B$9,0))*parametros_manuales!$M$95+parametros_manuales!$D$28*(datos_base!$B$18+IF(parametros_manuales!$H$28="Todos",datos_base!$B$23,0))*parametros_manuales!$M$12+parametros_manuales!$E$28*(datos_base!$B$3+IF(parametros_manuales!$H$28="Todos",datos_base!$B$10,0))*parametros_manuales!$M$100+parametros_manuales!$E$28*(datos_base!$B$19+IF(parametros_manuales!$H$28="Todos",datos_base!$B$24,0))*parametros_manuales!$M$13+parametros_manuales!$F$28*(datos_base!$B$4+IF(parametros_manuales!$H$28="Todos",datos_base!$B$11,0))*parametros_manuales!$M$105+parametros_manuales!$F$28*(datos_base!$B$20+IF(parametros_manuales!$H$28="Todos",datos_base!$B$25,0))*parametros_manuales!$M$14+parametros_manuales!$G$28*(datos_base!$B$5+IF(parametros_manuales!$H$28="Todos",datos_base!$B$12,0))*parametros_manuales!$M$110+parametros_manuales!$G$28*(datos_base!$B$21+IF(parametros_manuales!$H$28="Todos",datos_base!$B$26,0))*parametros_manuales!$M$15)*parametros_manuales!$I$28*parametros_manuales!$J$28</f>
        <v>617.2235796057</v>
      </c>
      <c r="N11" s="9" t="n">
        <f aca="false">SUM(B11:M11)</f>
        <v>6851.37310673</v>
      </c>
      <c r="O11" s="9" t="n">
        <f aca="false">MAX(B11:M11)</f>
        <v>617.2235796057</v>
      </c>
      <c r="P11" s="44" t="n">
        <f aca="false">O11/(parametros_manuales!$B$7)</f>
        <v>4.114823864038</v>
      </c>
      <c r="Q11" s="8" t="str">
        <f aca="false">IF(O11=0,"-",INDEX($B$1:$M$1,MATCH(O11,B11:M11,0)))</f>
        <v>Dic</v>
      </c>
    </row>
    <row r="12" customFormat="false" ht="14.25" hidden="false" customHeight="true" outlineLevel="0" collapsed="false">
      <c r="A12" s="8" t="str">
        <f aca="false">parametros_manuales!$B$29</f>
        <v>Bordoneado</v>
      </c>
      <c r="B12" s="9" t="n">
        <f aca="false">(parametros_manuales!$D$29*(datos_base!$B$2+IF(parametros_manuales!$H$29="Todos",datos_base!$B$9,0))*parametros_manuales!$B$95+parametros_manuales!$D$29*(datos_base!$B$18+IF(parametros_manuales!$H$29="Todos",datos_base!$B$23,0))*parametros_manuales!$B$12+parametros_manuales!$E$29*(datos_base!$B$3+IF(parametros_manuales!$H$29="Todos",datos_base!$B$10,0))*parametros_manuales!$B$100+parametros_manuales!$E$29*(datos_base!$B$19+IF(parametros_manuales!$H$29="Todos",datos_base!$B$24,0))*parametros_manuales!$B$13+parametros_manuales!$F$29*(datos_base!$B$4+IF(parametros_manuales!$H$29="Todos",datos_base!$B$11,0))*parametros_manuales!$B$105+parametros_manuales!$F$29*(datos_base!$B$20+IF(parametros_manuales!$H$29="Todos",datos_base!$B$25,0))*parametros_manuales!$B$14+parametros_manuales!$G$29*(datos_base!$B$5+IF(parametros_manuales!$H$29="Todos",datos_base!$B$12,0))*parametros_manuales!$B$110+parametros_manuales!$G$29*(datos_base!$B$21+IF(parametros_manuales!$H$29="Todos",datos_base!$B$26,0))*parametros_manuales!$B$15)*parametros_manuales!$I$29*parametros_manuales!$J$29</f>
        <v>616.9235796057</v>
      </c>
      <c r="C12" s="9" t="n">
        <f aca="false">(parametros_manuales!$D$29*(datos_base!$B$2+IF(parametros_manuales!$H$29="Todos",datos_base!$B$9,0))*parametros_manuales!$C$95+parametros_manuales!$D$29*(datos_base!$B$18+IF(parametros_manuales!$H$29="Todos",datos_base!$B$23,0))*parametros_manuales!$C$12+parametros_manuales!$E$29*(datos_base!$B$3+IF(parametros_manuales!$H$29="Todos",datos_base!$B$10,0))*parametros_manuales!$C$100+parametros_manuales!$E$29*(datos_base!$B$19+IF(parametros_manuales!$H$29="Todos",datos_base!$B$24,0))*parametros_manuales!$C$13+parametros_manuales!$F$29*(datos_base!$B$4+IF(parametros_manuales!$H$29="Todos",datos_base!$B$11,0))*parametros_manuales!$C$105+parametros_manuales!$F$29*(datos_base!$B$20+IF(parametros_manuales!$H$29="Todos",datos_base!$B$25,0))*parametros_manuales!$C$14+parametros_manuales!$G$29*(datos_base!$B$5+IF(parametros_manuales!$H$29="Todos",datos_base!$B$12,0))*parametros_manuales!$C$110+parametros_manuales!$G$29*(datos_base!$B$21+IF(parametros_manuales!$H$29="Todos",datos_base!$B$26,0))*parametros_manuales!$C$15)*parametros_manuales!$I$29*parametros_manuales!$J$29</f>
        <v>589.8972139684</v>
      </c>
      <c r="D12" s="9" t="n">
        <f aca="false">(parametros_manuales!$D$29*(datos_base!$B$2+IF(parametros_manuales!$H$29="Todos",datos_base!$B$9,0))*parametros_manuales!$D$95+parametros_manuales!$D$29*(datos_base!$B$18+IF(parametros_manuales!$H$29="Todos",datos_base!$B$23,0))*parametros_manuales!$D$12+parametros_manuales!$E$29*(datos_base!$B$3+IF(parametros_manuales!$H$29="Todos",datos_base!$B$10,0))*parametros_manuales!$D$100+parametros_manuales!$E$29*(datos_base!$B$19+IF(parametros_manuales!$H$29="Todos",datos_base!$B$24,0))*parametros_manuales!$D$13+parametros_manuales!$F$29*(datos_base!$B$4+IF(parametros_manuales!$H$29="Todos",datos_base!$B$11,0))*parametros_manuales!$D$105+parametros_manuales!$F$29*(datos_base!$B$20+IF(parametros_manuales!$H$29="Todos",datos_base!$B$25,0))*parametros_manuales!$D$14+parametros_manuales!$G$29*(datos_base!$B$5+IF(parametros_manuales!$H$29="Todos",datos_base!$B$12,0))*parametros_manuales!$D$110+parametros_manuales!$G$29*(datos_base!$B$21+IF(parametros_manuales!$H$29="Todos",datos_base!$B$26,0))*parametros_manuales!$D$15)*parametros_manuales!$I$29*parametros_manuales!$J$29</f>
        <v>561.47303135705</v>
      </c>
      <c r="E12" s="9" t="n">
        <f aca="false">(parametros_manuales!$D$29*(datos_base!$B$2+IF(parametros_manuales!$H$29="Todos",datos_base!$B$9,0))*parametros_manuales!$E$95+parametros_manuales!$D$29*(datos_base!$B$18+IF(parametros_manuales!$H$29="Todos",datos_base!$B$23,0))*parametros_manuales!$E$12+parametros_manuales!$E$29*(datos_base!$B$3+IF(parametros_manuales!$H$29="Todos",datos_base!$B$10,0))*parametros_manuales!$E$100+parametros_manuales!$E$29*(datos_base!$B$19+IF(parametros_manuales!$H$29="Todos",datos_base!$B$24,0))*parametros_manuales!$E$13+parametros_manuales!$F$29*(datos_base!$B$4+IF(parametros_manuales!$H$29="Todos",datos_base!$B$11,0))*parametros_manuales!$E$105+parametros_manuales!$F$29*(datos_base!$B$20+IF(parametros_manuales!$H$29="Todos",datos_base!$B$25,0))*parametros_manuales!$E$14+parametros_manuales!$G$29*(datos_base!$B$5+IF(parametros_manuales!$H$29="Todos",datos_base!$B$12,0))*parametros_manuales!$E$110+parametros_manuales!$G$29*(datos_base!$B$21+IF(parametros_manuales!$H$29="Todos",datos_base!$B$26,0))*parametros_manuales!$E$15)*parametros_manuales!$I$29*parametros_manuales!$J$29</f>
        <v>540.57934864205</v>
      </c>
      <c r="F12" s="9" t="n">
        <f aca="false">(parametros_manuales!$D$29*(datos_base!$B$2+IF(parametros_manuales!$H$29="Todos",datos_base!$B$9,0))*parametros_manuales!$F$95+parametros_manuales!$D$29*(datos_base!$B$18+IF(parametros_manuales!$H$29="Todos",datos_base!$B$23,0))*parametros_manuales!$F$12+parametros_manuales!$E$29*(datos_base!$B$3+IF(parametros_manuales!$H$29="Todos",datos_base!$B$10,0))*parametros_manuales!$F$100+parametros_manuales!$E$29*(datos_base!$B$19+IF(parametros_manuales!$H$29="Todos",datos_base!$B$24,0))*parametros_manuales!$F$13+parametros_manuales!$F$29*(datos_base!$B$4+IF(parametros_manuales!$H$29="Todos",datos_base!$B$11,0))*parametros_manuales!$F$105+parametros_manuales!$F$29*(datos_base!$B$20+IF(parametros_manuales!$H$29="Todos",datos_base!$B$25,0))*parametros_manuales!$F$14+parametros_manuales!$G$29*(datos_base!$B$5+IF(parametros_manuales!$H$29="Todos",datos_base!$B$12,0))*parametros_manuales!$F$110+parametros_manuales!$G$29*(datos_base!$B$21+IF(parametros_manuales!$H$29="Todos",datos_base!$B$26,0))*parametros_manuales!$F$15)*parametros_manuales!$I$29*parametros_manuales!$J$29</f>
        <v>506.3224831084</v>
      </c>
      <c r="G12" s="9" t="n">
        <f aca="false">(parametros_manuales!$D$29*(datos_base!$B$2+IF(parametros_manuales!$H$29="Todos",datos_base!$B$9,0))*parametros_manuales!$G$95+parametros_manuales!$D$29*(datos_base!$B$18+IF(parametros_manuales!$H$29="Todos",datos_base!$B$23,0))*parametros_manuales!$G$12+parametros_manuales!$E$29*(datos_base!$B$3+IF(parametros_manuales!$H$29="Todos",datos_base!$B$10,0))*parametros_manuales!$G$100+parametros_manuales!$E$29*(datos_base!$B$19+IF(parametros_manuales!$H$29="Todos",datos_base!$B$24,0))*parametros_manuales!$G$13+parametros_manuales!$F$29*(datos_base!$B$4+IF(parametros_manuales!$H$29="Todos",datos_base!$B$11,0))*parametros_manuales!$G$105+parametros_manuales!$F$29*(datos_base!$B$20+IF(parametros_manuales!$H$29="Todos",datos_base!$B$25,0))*parametros_manuales!$G$14+parametros_manuales!$G$29*(datos_base!$B$5+IF(parametros_manuales!$H$29="Todos",datos_base!$B$12,0))*parametros_manuales!$G$110+parametros_manuales!$G$29*(datos_base!$B$21+IF(parametros_manuales!$H$29="Todos",datos_base!$B$26,0))*parametros_manuales!$G$15)*parametros_manuales!$I$29*parametros_manuales!$J$29</f>
        <v>492.95930028975</v>
      </c>
      <c r="H12" s="9" t="n">
        <f aca="false">(parametros_manuales!$D$29*(datos_base!$B$2+IF(parametros_manuales!$H$29="Todos",datos_base!$B$9,0))*parametros_manuales!$H$95+parametros_manuales!$D$29*(datos_base!$B$18+IF(parametros_manuales!$H$29="Todos",datos_base!$B$23,0))*parametros_manuales!$H$12+parametros_manuales!$E$29*(datos_base!$B$3+IF(parametros_manuales!$H$29="Todos",datos_base!$B$10,0))*parametros_manuales!$H$100+parametros_manuales!$E$29*(datos_base!$B$19+IF(parametros_manuales!$H$29="Todos",datos_base!$B$24,0))*parametros_manuales!$H$13+parametros_manuales!$F$29*(datos_base!$B$4+IF(parametros_manuales!$H$29="Todos",datos_base!$B$11,0))*parametros_manuales!$H$105+parametros_manuales!$F$29*(datos_base!$B$20+IF(parametros_manuales!$H$29="Todos",datos_base!$B$25,0))*parametros_manuales!$H$14+parametros_manuales!$G$29*(datos_base!$B$5+IF(parametros_manuales!$H$29="Todos",datos_base!$B$12,0))*parametros_manuales!$H$110+parametros_manuales!$G$29*(datos_base!$B$21+IF(parametros_manuales!$H$29="Todos",datos_base!$B$26,0))*parametros_manuales!$H$15)*parametros_manuales!$I$29*parametros_manuales!$J$29</f>
        <v>527.2161658234</v>
      </c>
      <c r="I12" s="9" t="n">
        <f aca="false">(parametros_manuales!$D$29*(datos_base!$B$2+IF(parametros_manuales!$H$29="Todos",datos_base!$B$9,0))*parametros_manuales!$I$95+parametros_manuales!$D$29*(datos_base!$B$18+IF(parametros_manuales!$H$29="Todos",datos_base!$B$23,0))*parametros_manuales!$I$12+parametros_manuales!$E$29*(datos_base!$B$3+IF(parametros_manuales!$H$29="Todos",datos_base!$B$10,0))*parametros_manuales!$I$100+parametros_manuales!$E$29*(datos_base!$B$19+IF(parametros_manuales!$H$29="Todos",datos_base!$B$24,0))*parametros_manuales!$I$13+parametros_manuales!$F$29*(datos_base!$B$4+IF(parametros_manuales!$H$29="Todos",datos_base!$B$11,0))*parametros_manuales!$I$105+parametros_manuales!$F$29*(datos_base!$B$20+IF(parametros_manuales!$H$29="Todos",datos_base!$B$25,0))*parametros_manuales!$I$14+parametros_manuales!$G$29*(datos_base!$B$5+IF(parametros_manuales!$H$29="Todos",datos_base!$B$12,0))*parametros_manuales!$I$110+parametros_manuales!$G$29*(datos_base!$B$21+IF(parametros_manuales!$H$29="Todos",datos_base!$B$26,0))*parametros_manuales!$I$15)*parametros_manuales!$I$29*parametros_manuales!$J$29</f>
        <v>589.8972139684</v>
      </c>
      <c r="J12" s="9" t="n">
        <f aca="false">(parametros_manuales!$D$29*(datos_base!$B$2+IF(parametros_manuales!$H$29="Todos",datos_base!$B$9,0))*parametros_manuales!$J$95+parametros_manuales!$D$29*(datos_base!$B$18+IF(parametros_manuales!$H$29="Todos",datos_base!$B$23,0))*parametros_manuales!$J$12+parametros_manuales!$E$29*(datos_base!$B$3+IF(parametros_manuales!$H$29="Todos",datos_base!$B$10,0))*parametros_manuales!$J$100+parametros_manuales!$E$29*(datos_base!$B$19+IF(parametros_manuales!$H$29="Todos",datos_base!$B$24,0))*parametros_manuales!$J$13+parametros_manuales!$F$29*(datos_base!$B$4+IF(parametros_manuales!$H$29="Todos",datos_base!$B$11,0))*parametros_manuales!$J$105+parametros_manuales!$F$29*(datos_base!$B$20+IF(parametros_manuales!$H$29="Todos",datos_base!$B$25,0))*parametros_manuales!$J$14+parametros_manuales!$G$29*(datos_base!$B$5+IF(parametros_manuales!$H$29="Todos",datos_base!$B$12,0))*parametros_manuales!$J$110+parametros_manuales!$G$29*(datos_base!$B$21+IF(parametros_manuales!$H$29="Todos",datos_base!$B$26,0))*parametros_manuales!$J$15)*parametros_manuales!$I$29*parametros_manuales!$J$29</f>
        <v>589.8972139684</v>
      </c>
      <c r="K12" s="9" t="n">
        <f aca="false">(parametros_manuales!$D$29*(datos_base!$B$2+IF(parametros_manuales!$H$29="Todos",datos_base!$B$9,0))*parametros_manuales!$K$95+parametros_manuales!$D$29*(datos_base!$B$18+IF(parametros_manuales!$H$29="Todos",datos_base!$B$23,0))*parametros_manuales!$K$12+parametros_manuales!$E$29*(datos_base!$B$3+IF(parametros_manuales!$H$29="Todos",datos_base!$B$10,0))*parametros_manuales!$K$100+parametros_manuales!$E$29*(datos_base!$B$19+IF(parametros_manuales!$H$29="Todos",datos_base!$B$24,0))*parametros_manuales!$K$13+parametros_manuales!$F$29*(datos_base!$B$4+IF(parametros_manuales!$H$29="Todos",datos_base!$B$11,0))*parametros_manuales!$K$105+parametros_manuales!$F$29*(datos_base!$B$20+IF(parametros_manuales!$H$29="Todos",datos_base!$B$25,0))*parametros_manuales!$K$14+parametros_manuales!$G$29*(datos_base!$B$5+IF(parametros_manuales!$H$29="Todos",datos_base!$B$12,0))*parametros_manuales!$K$110+parametros_manuales!$G$29*(datos_base!$B$21+IF(parametros_manuales!$H$29="Todos",datos_base!$B$26,0))*parametros_manuales!$K$15)*parametros_manuales!$I$29*parametros_manuales!$J$29</f>
        <v>602.96039678705</v>
      </c>
      <c r="L12" s="9" t="n">
        <f aca="false">(parametros_manuales!$D$29*(datos_base!$B$2+IF(parametros_manuales!$H$29="Todos",datos_base!$B$9,0))*parametros_manuales!$L$95+parametros_manuales!$D$29*(datos_base!$B$18+IF(parametros_manuales!$H$29="Todos",datos_base!$B$23,0))*parametros_manuales!$L$12+parametros_manuales!$E$29*(datos_base!$B$3+IF(parametros_manuales!$H$29="Todos",datos_base!$B$10,0))*parametros_manuales!$L$100+parametros_manuales!$E$29*(datos_base!$B$19+IF(parametros_manuales!$H$29="Todos",datos_base!$B$24,0))*parametros_manuales!$L$13+parametros_manuales!$F$29*(datos_base!$B$4+IF(parametros_manuales!$H$29="Todos",datos_base!$B$11,0))*parametros_manuales!$L$105+parametros_manuales!$F$29*(datos_base!$B$20+IF(parametros_manuales!$H$29="Todos",datos_base!$B$25,0))*parametros_manuales!$L$14+parametros_manuales!$G$29*(datos_base!$B$5+IF(parametros_manuales!$H$29="Todos",datos_base!$B$12,0))*parametros_manuales!$L$110+parametros_manuales!$G$29*(datos_base!$B$21+IF(parametros_manuales!$H$29="Todos",datos_base!$B$26,0))*parametros_manuales!$L$15)*parametros_manuales!$I$29*parametros_manuales!$J$29</f>
        <v>616.0235796057</v>
      </c>
      <c r="M12" s="9" t="n">
        <f aca="false">(parametros_manuales!$D$29*(datos_base!$B$2+IF(parametros_manuales!$H$29="Todos",datos_base!$B$9,0))*parametros_manuales!$M$95+parametros_manuales!$D$29*(datos_base!$B$18+IF(parametros_manuales!$H$29="Todos",datos_base!$B$23,0))*parametros_manuales!$M$12+parametros_manuales!$E$29*(datos_base!$B$3+IF(parametros_manuales!$H$29="Todos",datos_base!$B$10,0))*parametros_manuales!$M$100+parametros_manuales!$E$29*(datos_base!$B$19+IF(parametros_manuales!$H$29="Todos",datos_base!$B$24,0))*parametros_manuales!$M$13+parametros_manuales!$F$29*(datos_base!$B$4+IF(parametros_manuales!$H$29="Todos",datos_base!$B$11,0))*parametros_manuales!$M$105+parametros_manuales!$F$29*(datos_base!$B$20+IF(parametros_manuales!$H$29="Todos",datos_base!$B$25,0))*parametros_manuales!$M$14+parametros_manuales!$G$29*(datos_base!$B$5+IF(parametros_manuales!$H$29="Todos",datos_base!$B$12,0))*parametros_manuales!$M$110+parametros_manuales!$G$29*(datos_base!$B$21+IF(parametros_manuales!$H$29="Todos",datos_base!$B$26,0))*parametros_manuales!$M$15)*parametros_manuales!$I$29*parametros_manuales!$J$29</f>
        <v>617.2235796057</v>
      </c>
      <c r="N12" s="9" t="n">
        <f aca="false">SUM(B12:M12)</f>
        <v>6851.37310673</v>
      </c>
      <c r="O12" s="9" t="n">
        <f aca="false">MAX(B12:M12)</f>
        <v>617.2235796057</v>
      </c>
      <c r="P12" s="44" t="n">
        <f aca="false">O12/(parametros_manuales!$B$7)</f>
        <v>4.114823864038</v>
      </c>
      <c r="Q12" s="8" t="str">
        <f aca="false">IF(O12=0,"-",INDEX($B$1:$M$1,MATCH(O12,B12:M12,0)))</f>
        <v>Dic</v>
      </c>
    </row>
    <row r="13" customFormat="false" ht="14.25" hidden="false" customHeight="true" outlineLevel="0" collapsed="false">
      <c r="A13" s="8" t="str">
        <f aca="false">parametros_manuales!$B$30</f>
        <v>Soldadura circunferencial de cúpula y fondo</v>
      </c>
      <c r="B13" s="9" t="n">
        <f aca="false">(parametros_manuales!$D$30*(datos_base!$B$2+IF(parametros_manuales!$H$30="Todos",datos_base!$B$9,0))*parametros_manuales!$B$95+parametros_manuales!$D$30*(datos_base!$B$18+IF(parametros_manuales!$H$30="Todos",datos_base!$B$23,0))*parametros_manuales!$B$12+parametros_manuales!$E$30*(datos_base!$B$3+IF(parametros_manuales!$H$30="Todos",datos_base!$B$10,0))*parametros_manuales!$B$100+parametros_manuales!$E$30*(datos_base!$B$19+IF(parametros_manuales!$H$30="Todos",datos_base!$B$24,0))*parametros_manuales!$B$13+parametros_manuales!$F$30*(datos_base!$B$4+IF(parametros_manuales!$H$30="Todos",datos_base!$B$11,0))*parametros_manuales!$B$105+parametros_manuales!$F$30*(datos_base!$B$20+IF(parametros_manuales!$H$30="Todos",datos_base!$B$25,0))*parametros_manuales!$B$14+parametros_manuales!$G$30*(datos_base!$B$5+IF(parametros_manuales!$H$30="Todos",datos_base!$B$12,0))*parametros_manuales!$B$110+parametros_manuales!$G$30*(datos_base!$B$21+IF(parametros_manuales!$H$30="Todos",datos_base!$B$26,0))*parametros_manuales!$B$15)*parametros_manuales!$I$30*parametros_manuales!$J$30</f>
        <v>616.9235796057</v>
      </c>
      <c r="C13" s="9" t="n">
        <f aca="false">(parametros_manuales!$D$30*(datos_base!$B$2+IF(parametros_manuales!$H$30="Todos",datos_base!$B$9,0))*parametros_manuales!$C$95+parametros_manuales!$D$30*(datos_base!$B$18+IF(parametros_manuales!$H$30="Todos",datos_base!$B$23,0))*parametros_manuales!$C$12+parametros_manuales!$E$30*(datos_base!$B$3+IF(parametros_manuales!$H$30="Todos",datos_base!$B$10,0))*parametros_manuales!$C$100+parametros_manuales!$E$30*(datos_base!$B$19+IF(parametros_manuales!$H$30="Todos",datos_base!$B$24,0))*parametros_manuales!$C$13+parametros_manuales!$F$30*(datos_base!$B$4+IF(parametros_manuales!$H$30="Todos",datos_base!$B$11,0))*parametros_manuales!$C$105+parametros_manuales!$F$30*(datos_base!$B$20+IF(parametros_manuales!$H$30="Todos",datos_base!$B$25,0))*parametros_manuales!$C$14+parametros_manuales!$G$30*(datos_base!$B$5+IF(parametros_manuales!$H$30="Todos",datos_base!$B$12,0))*parametros_manuales!$C$110+parametros_manuales!$G$30*(datos_base!$B$21+IF(parametros_manuales!$H$30="Todos",datos_base!$B$26,0))*parametros_manuales!$C$15)*parametros_manuales!$I$30*parametros_manuales!$J$30</f>
        <v>589.8972139684</v>
      </c>
      <c r="D13" s="9" t="n">
        <f aca="false">(parametros_manuales!$D$30*(datos_base!$B$2+IF(parametros_manuales!$H$30="Todos",datos_base!$B$9,0))*parametros_manuales!$D$95+parametros_manuales!$D$30*(datos_base!$B$18+IF(parametros_manuales!$H$30="Todos",datos_base!$B$23,0))*parametros_manuales!$D$12+parametros_manuales!$E$30*(datos_base!$B$3+IF(parametros_manuales!$H$30="Todos",datos_base!$B$10,0))*parametros_manuales!$D$100+parametros_manuales!$E$30*(datos_base!$B$19+IF(parametros_manuales!$H$30="Todos",datos_base!$B$24,0))*parametros_manuales!$D$13+parametros_manuales!$F$30*(datos_base!$B$4+IF(parametros_manuales!$H$30="Todos",datos_base!$B$11,0))*parametros_manuales!$D$105+parametros_manuales!$F$30*(datos_base!$B$20+IF(parametros_manuales!$H$30="Todos",datos_base!$B$25,0))*parametros_manuales!$D$14+parametros_manuales!$G$30*(datos_base!$B$5+IF(parametros_manuales!$H$30="Todos",datos_base!$B$12,0))*parametros_manuales!$D$110+parametros_manuales!$G$30*(datos_base!$B$21+IF(parametros_manuales!$H$30="Todos",datos_base!$B$26,0))*parametros_manuales!$D$15)*parametros_manuales!$I$30*parametros_manuales!$J$30</f>
        <v>561.47303135705</v>
      </c>
      <c r="E13" s="9" t="n">
        <f aca="false">(parametros_manuales!$D$30*(datos_base!$B$2+IF(parametros_manuales!$H$30="Todos",datos_base!$B$9,0))*parametros_manuales!$E$95+parametros_manuales!$D$30*(datos_base!$B$18+IF(parametros_manuales!$H$30="Todos",datos_base!$B$23,0))*parametros_manuales!$E$12+parametros_manuales!$E$30*(datos_base!$B$3+IF(parametros_manuales!$H$30="Todos",datos_base!$B$10,0))*parametros_manuales!$E$100+parametros_manuales!$E$30*(datos_base!$B$19+IF(parametros_manuales!$H$30="Todos",datos_base!$B$24,0))*parametros_manuales!$E$13+parametros_manuales!$F$30*(datos_base!$B$4+IF(parametros_manuales!$H$30="Todos",datos_base!$B$11,0))*parametros_manuales!$E$105+parametros_manuales!$F$30*(datos_base!$B$20+IF(parametros_manuales!$H$30="Todos",datos_base!$B$25,0))*parametros_manuales!$E$14+parametros_manuales!$G$30*(datos_base!$B$5+IF(parametros_manuales!$H$30="Todos",datos_base!$B$12,0))*parametros_manuales!$E$110+parametros_manuales!$G$30*(datos_base!$B$21+IF(parametros_manuales!$H$30="Todos",datos_base!$B$26,0))*parametros_manuales!$E$15)*parametros_manuales!$I$30*parametros_manuales!$J$30</f>
        <v>540.57934864205</v>
      </c>
      <c r="F13" s="9" t="n">
        <f aca="false">(parametros_manuales!$D$30*(datos_base!$B$2+IF(parametros_manuales!$H$30="Todos",datos_base!$B$9,0))*parametros_manuales!$F$95+parametros_manuales!$D$30*(datos_base!$B$18+IF(parametros_manuales!$H$30="Todos",datos_base!$B$23,0))*parametros_manuales!$F$12+parametros_manuales!$E$30*(datos_base!$B$3+IF(parametros_manuales!$H$30="Todos",datos_base!$B$10,0))*parametros_manuales!$F$100+parametros_manuales!$E$30*(datos_base!$B$19+IF(parametros_manuales!$H$30="Todos",datos_base!$B$24,0))*parametros_manuales!$F$13+parametros_manuales!$F$30*(datos_base!$B$4+IF(parametros_manuales!$H$30="Todos",datos_base!$B$11,0))*parametros_manuales!$F$105+parametros_manuales!$F$30*(datos_base!$B$20+IF(parametros_manuales!$H$30="Todos",datos_base!$B$25,0))*parametros_manuales!$F$14+parametros_manuales!$G$30*(datos_base!$B$5+IF(parametros_manuales!$H$30="Todos",datos_base!$B$12,0))*parametros_manuales!$F$110+parametros_manuales!$G$30*(datos_base!$B$21+IF(parametros_manuales!$H$30="Todos",datos_base!$B$26,0))*parametros_manuales!$F$15)*parametros_manuales!$I$30*parametros_manuales!$J$30</f>
        <v>506.3224831084</v>
      </c>
      <c r="G13" s="9" t="n">
        <f aca="false">(parametros_manuales!$D$30*(datos_base!$B$2+IF(parametros_manuales!$H$30="Todos",datos_base!$B$9,0))*parametros_manuales!$G$95+parametros_manuales!$D$30*(datos_base!$B$18+IF(parametros_manuales!$H$30="Todos",datos_base!$B$23,0))*parametros_manuales!$G$12+parametros_manuales!$E$30*(datos_base!$B$3+IF(parametros_manuales!$H$30="Todos",datos_base!$B$10,0))*parametros_manuales!$G$100+parametros_manuales!$E$30*(datos_base!$B$19+IF(parametros_manuales!$H$30="Todos",datos_base!$B$24,0))*parametros_manuales!$G$13+parametros_manuales!$F$30*(datos_base!$B$4+IF(parametros_manuales!$H$30="Todos",datos_base!$B$11,0))*parametros_manuales!$G$105+parametros_manuales!$F$30*(datos_base!$B$20+IF(parametros_manuales!$H$30="Todos",datos_base!$B$25,0))*parametros_manuales!$G$14+parametros_manuales!$G$30*(datos_base!$B$5+IF(parametros_manuales!$H$30="Todos",datos_base!$B$12,0))*parametros_manuales!$G$110+parametros_manuales!$G$30*(datos_base!$B$21+IF(parametros_manuales!$H$30="Todos",datos_base!$B$26,0))*parametros_manuales!$G$15)*parametros_manuales!$I$30*parametros_manuales!$J$30</f>
        <v>492.95930028975</v>
      </c>
      <c r="H13" s="9" t="n">
        <f aca="false">(parametros_manuales!$D$30*(datos_base!$B$2+IF(parametros_manuales!$H$30="Todos",datos_base!$B$9,0))*parametros_manuales!$H$95+parametros_manuales!$D$30*(datos_base!$B$18+IF(parametros_manuales!$H$30="Todos",datos_base!$B$23,0))*parametros_manuales!$H$12+parametros_manuales!$E$30*(datos_base!$B$3+IF(parametros_manuales!$H$30="Todos",datos_base!$B$10,0))*parametros_manuales!$H$100+parametros_manuales!$E$30*(datos_base!$B$19+IF(parametros_manuales!$H$30="Todos",datos_base!$B$24,0))*parametros_manuales!$H$13+parametros_manuales!$F$30*(datos_base!$B$4+IF(parametros_manuales!$H$30="Todos",datos_base!$B$11,0))*parametros_manuales!$H$105+parametros_manuales!$F$30*(datos_base!$B$20+IF(parametros_manuales!$H$30="Todos",datos_base!$B$25,0))*parametros_manuales!$H$14+parametros_manuales!$G$30*(datos_base!$B$5+IF(parametros_manuales!$H$30="Todos",datos_base!$B$12,0))*parametros_manuales!$H$110+parametros_manuales!$G$30*(datos_base!$B$21+IF(parametros_manuales!$H$30="Todos",datos_base!$B$26,0))*parametros_manuales!$H$15)*parametros_manuales!$I$30*parametros_manuales!$J$30</f>
        <v>527.2161658234</v>
      </c>
      <c r="I13" s="9" t="n">
        <f aca="false">(parametros_manuales!$D$30*(datos_base!$B$2+IF(parametros_manuales!$H$30="Todos",datos_base!$B$9,0))*parametros_manuales!$I$95+parametros_manuales!$D$30*(datos_base!$B$18+IF(parametros_manuales!$H$30="Todos",datos_base!$B$23,0))*parametros_manuales!$I$12+parametros_manuales!$E$30*(datos_base!$B$3+IF(parametros_manuales!$H$30="Todos",datos_base!$B$10,0))*parametros_manuales!$I$100+parametros_manuales!$E$30*(datos_base!$B$19+IF(parametros_manuales!$H$30="Todos",datos_base!$B$24,0))*parametros_manuales!$I$13+parametros_manuales!$F$30*(datos_base!$B$4+IF(parametros_manuales!$H$30="Todos",datos_base!$B$11,0))*parametros_manuales!$I$105+parametros_manuales!$F$30*(datos_base!$B$20+IF(parametros_manuales!$H$30="Todos",datos_base!$B$25,0))*parametros_manuales!$I$14+parametros_manuales!$G$30*(datos_base!$B$5+IF(parametros_manuales!$H$30="Todos",datos_base!$B$12,0))*parametros_manuales!$I$110+parametros_manuales!$G$30*(datos_base!$B$21+IF(parametros_manuales!$H$30="Todos",datos_base!$B$26,0))*parametros_manuales!$I$15)*parametros_manuales!$I$30*parametros_manuales!$J$30</f>
        <v>589.8972139684</v>
      </c>
      <c r="J13" s="9" t="n">
        <f aca="false">(parametros_manuales!$D$30*(datos_base!$B$2+IF(parametros_manuales!$H$30="Todos",datos_base!$B$9,0))*parametros_manuales!$J$95+parametros_manuales!$D$30*(datos_base!$B$18+IF(parametros_manuales!$H$30="Todos",datos_base!$B$23,0))*parametros_manuales!$J$12+parametros_manuales!$E$30*(datos_base!$B$3+IF(parametros_manuales!$H$30="Todos",datos_base!$B$10,0))*parametros_manuales!$J$100+parametros_manuales!$E$30*(datos_base!$B$19+IF(parametros_manuales!$H$30="Todos",datos_base!$B$24,0))*parametros_manuales!$J$13+parametros_manuales!$F$30*(datos_base!$B$4+IF(parametros_manuales!$H$30="Todos",datos_base!$B$11,0))*parametros_manuales!$J$105+parametros_manuales!$F$30*(datos_base!$B$20+IF(parametros_manuales!$H$30="Todos",datos_base!$B$25,0))*parametros_manuales!$J$14+parametros_manuales!$G$30*(datos_base!$B$5+IF(parametros_manuales!$H$30="Todos",datos_base!$B$12,0))*parametros_manuales!$J$110+parametros_manuales!$G$30*(datos_base!$B$21+IF(parametros_manuales!$H$30="Todos",datos_base!$B$26,0))*parametros_manuales!$J$15)*parametros_manuales!$I$30*parametros_manuales!$J$30</f>
        <v>589.8972139684</v>
      </c>
      <c r="K13" s="9" t="n">
        <f aca="false">(parametros_manuales!$D$30*(datos_base!$B$2+IF(parametros_manuales!$H$30="Todos",datos_base!$B$9,0))*parametros_manuales!$K$95+parametros_manuales!$D$30*(datos_base!$B$18+IF(parametros_manuales!$H$30="Todos",datos_base!$B$23,0))*parametros_manuales!$K$12+parametros_manuales!$E$30*(datos_base!$B$3+IF(parametros_manuales!$H$30="Todos",datos_base!$B$10,0))*parametros_manuales!$K$100+parametros_manuales!$E$30*(datos_base!$B$19+IF(parametros_manuales!$H$30="Todos",datos_base!$B$24,0))*parametros_manuales!$K$13+parametros_manuales!$F$30*(datos_base!$B$4+IF(parametros_manuales!$H$30="Todos",datos_base!$B$11,0))*parametros_manuales!$K$105+parametros_manuales!$F$30*(datos_base!$B$20+IF(parametros_manuales!$H$30="Todos",datos_base!$B$25,0))*parametros_manuales!$K$14+parametros_manuales!$G$30*(datos_base!$B$5+IF(parametros_manuales!$H$30="Todos",datos_base!$B$12,0))*parametros_manuales!$K$110+parametros_manuales!$G$30*(datos_base!$B$21+IF(parametros_manuales!$H$30="Todos",datos_base!$B$26,0))*parametros_manuales!$K$15)*parametros_manuales!$I$30*parametros_manuales!$J$30</f>
        <v>602.96039678705</v>
      </c>
      <c r="L13" s="9" t="n">
        <f aca="false">(parametros_manuales!$D$30*(datos_base!$B$2+IF(parametros_manuales!$H$30="Todos",datos_base!$B$9,0))*parametros_manuales!$L$95+parametros_manuales!$D$30*(datos_base!$B$18+IF(parametros_manuales!$H$30="Todos",datos_base!$B$23,0))*parametros_manuales!$L$12+parametros_manuales!$E$30*(datos_base!$B$3+IF(parametros_manuales!$H$30="Todos",datos_base!$B$10,0))*parametros_manuales!$L$100+parametros_manuales!$E$30*(datos_base!$B$19+IF(parametros_manuales!$H$30="Todos",datos_base!$B$24,0))*parametros_manuales!$L$13+parametros_manuales!$F$30*(datos_base!$B$4+IF(parametros_manuales!$H$30="Todos",datos_base!$B$11,0))*parametros_manuales!$L$105+parametros_manuales!$F$30*(datos_base!$B$20+IF(parametros_manuales!$H$30="Todos",datos_base!$B$25,0))*parametros_manuales!$L$14+parametros_manuales!$G$30*(datos_base!$B$5+IF(parametros_manuales!$H$30="Todos",datos_base!$B$12,0))*parametros_manuales!$L$110+parametros_manuales!$G$30*(datos_base!$B$21+IF(parametros_manuales!$H$30="Todos",datos_base!$B$26,0))*parametros_manuales!$L$15)*parametros_manuales!$I$30*parametros_manuales!$J$30</f>
        <v>616.0235796057</v>
      </c>
      <c r="M13" s="9" t="n">
        <f aca="false">(parametros_manuales!$D$30*(datos_base!$B$2+IF(parametros_manuales!$H$30="Todos",datos_base!$B$9,0))*parametros_manuales!$M$95+parametros_manuales!$D$30*(datos_base!$B$18+IF(parametros_manuales!$H$30="Todos",datos_base!$B$23,0))*parametros_manuales!$M$12+parametros_manuales!$E$30*(datos_base!$B$3+IF(parametros_manuales!$H$30="Todos",datos_base!$B$10,0))*parametros_manuales!$M$100+parametros_manuales!$E$30*(datos_base!$B$19+IF(parametros_manuales!$H$30="Todos",datos_base!$B$24,0))*parametros_manuales!$M$13+parametros_manuales!$F$30*(datos_base!$B$4+IF(parametros_manuales!$H$30="Todos",datos_base!$B$11,0))*parametros_manuales!$M$105+parametros_manuales!$F$30*(datos_base!$B$20+IF(parametros_manuales!$H$30="Todos",datos_base!$B$25,0))*parametros_manuales!$M$14+parametros_manuales!$G$30*(datos_base!$B$5+IF(parametros_manuales!$H$30="Todos",datos_base!$B$12,0))*parametros_manuales!$M$110+parametros_manuales!$G$30*(datos_base!$B$21+IF(parametros_manuales!$H$30="Todos",datos_base!$B$26,0))*parametros_manuales!$M$15)*parametros_manuales!$I$30*parametros_manuales!$J$30</f>
        <v>617.2235796057</v>
      </c>
      <c r="N13" s="9" t="n">
        <f aca="false">SUM(B13:M13)</f>
        <v>6851.37310673</v>
      </c>
      <c r="O13" s="9" t="n">
        <f aca="false">MAX(B13:M13)</f>
        <v>617.2235796057</v>
      </c>
      <c r="P13" s="44" t="n">
        <f aca="false">O13/(parametros_manuales!$B$7)</f>
        <v>4.114823864038</v>
      </c>
      <c r="Q13" s="8" t="str">
        <f aca="false">IF(O13=0,"-",INDEX($B$1:$M$1,MATCH(O13,B13:M13,0)))</f>
        <v>Dic</v>
      </c>
    </row>
    <row r="14" customFormat="false" ht="14.25" hidden="false" customHeight="true" outlineLevel="0" collapsed="false">
      <c r="A14" s="8" t="str">
        <f aca="false">parametros_manuales!$B$31</f>
        <v>Control de calidad — Espesor</v>
      </c>
      <c r="B14" s="9" t="n">
        <f aca="false">(parametros_manuales!$D$31*(datos_base!$B$2+IF(parametros_manuales!$H$31="Todos",datos_base!$B$9,0))*parametros_manuales!$B$95+parametros_manuales!$D$31*(datos_base!$B$18+IF(parametros_manuales!$H$31="Todos",datos_base!$B$23,0))*parametros_manuales!$B$12+parametros_manuales!$E$31*(datos_base!$B$3+IF(parametros_manuales!$H$31="Todos",datos_base!$B$10,0))*parametros_manuales!$B$100+parametros_manuales!$E$31*(datos_base!$B$19+IF(parametros_manuales!$H$31="Todos",datos_base!$B$24,0))*parametros_manuales!$B$13+parametros_manuales!$F$31*(datos_base!$B$4+IF(parametros_manuales!$H$31="Todos",datos_base!$B$11,0))*parametros_manuales!$B$105+parametros_manuales!$F$31*(datos_base!$B$20+IF(parametros_manuales!$H$31="Todos",datos_base!$B$25,0))*parametros_manuales!$B$14+parametros_manuales!$G$31*(datos_base!$B$5+IF(parametros_manuales!$H$31="Todos",datos_base!$B$12,0))*parametros_manuales!$B$110+parametros_manuales!$G$31*(datos_base!$B$21+IF(parametros_manuales!$H$31="Todos",datos_base!$B$26,0))*parametros_manuales!$B$15)*parametros_manuales!$I$31*parametros_manuales!$J$31</f>
        <v>12.338471592114</v>
      </c>
      <c r="C14" s="9" t="n">
        <f aca="false">(parametros_manuales!$D$31*(datos_base!$B$2+IF(parametros_manuales!$H$31="Todos",datos_base!$B$9,0))*parametros_manuales!$C$95+parametros_manuales!$D$31*(datos_base!$B$18+IF(parametros_manuales!$H$31="Todos",datos_base!$B$23,0))*parametros_manuales!$C$12+parametros_manuales!$E$31*(datos_base!$B$3+IF(parametros_manuales!$H$31="Todos",datos_base!$B$10,0))*parametros_manuales!$C$100+parametros_manuales!$E$31*(datos_base!$B$19+IF(parametros_manuales!$H$31="Todos",datos_base!$B$24,0))*parametros_manuales!$C$13+parametros_manuales!$F$31*(datos_base!$B$4+IF(parametros_manuales!$H$31="Todos",datos_base!$B$11,0))*parametros_manuales!$C$105+parametros_manuales!$F$31*(datos_base!$B$20+IF(parametros_manuales!$H$31="Todos",datos_base!$B$25,0))*parametros_manuales!$C$14+parametros_manuales!$G$31*(datos_base!$B$5+IF(parametros_manuales!$H$31="Todos",datos_base!$B$12,0))*parametros_manuales!$C$110+parametros_manuales!$G$31*(datos_base!$B$21+IF(parametros_manuales!$H$31="Todos",datos_base!$B$26,0))*parametros_manuales!$C$15)*parametros_manuales!$I$31*parametros_manuales!$J$31</f>
        <v>11.797944279368</v>
      </c>
      <c r="D14" s="9" t="n">
        <f aca="false">(parametros_manuales!$D$31*(datos_base!$B$2+IF(parametros_manuales!$H$31="Todos",datos_base!$B$9,0))*parametros_manuales!$D$95+parametros_manuales!$D$31*(datos_base!$B$18+IF(parametros_manuales!$H$31="Todos",datos_base!$B$23,0))*parametros_manuales!$D$12+parametros_manuales!$E$31*(datos_base!$B$3+IF(parametros_manuales!$H$31="Todos",datos_base!$B$10,0))*parametros_manuales!$D$100+parametros_manuales!$E$31*(datos_base!$B$19+IF(parametros_manuales!$H$31="Todos",datos_base!$B$24,0))*parametros_manuales!$D$13+parametros_manuales!$F$31*(datos_base!$B$4+IF(parametros_manuales!$H$31="Todos",datos_base!$B$11,0))*parametros_manuales!$D$105+parametros_manuales!$F$31*(datos_base!$B$20+IF(parametros_manuales!$H$31="Todos",datos_base!$B$25,0))*parametros_manuales!$D$14+parametros_manuales!$G$31*(datos_base!$B$5+IF(parametros_manuales!$H$31="Todos",datos_base!$B$12,0))*parametros_manuales!$D$110+parametros_manuales!$G$31*(datos_base!$B$21+IF(parametros_manuales!$H$31="Todos",datos_base!$B$26,0))*parametros_manuales!$D$15)*parametros_manuales!$I$31*parametros_manuales!$J$31</f>
        <v>11.229460627141</v>
      </c>
      <c r="E14" s="9" t="n">
        <f aca="false">(parametros_manuales!$D$31*(datos_base!$B$2+IF(parametros_manuales!$H$31="Todos",datos_base!$B$9,0))*parametros_manuales!$E$95+parametros_manuales!$D$31*(datos_base!$B$18+IF(parametros_manuales!$H$31="Todos",datos_base!$B$23,0))*parametros_manuales!$E$12+parametros_manuales!$E$31*(datos_base!$B$3+IF(parametros_manuales!$H$31="Todos",datos_base!$B$10,0))*parametros_manuales!$E$100+parametros_manuales!$E$31*(datos_base!$B$19+IF(parametros_manuales!$H$31="Todos",datos_base!$B$24,0))*parametros_manuales!$E$13+parametros_manuales!$F$31*(datos_base!$B$4+IF(parametros_manuales!$H$31="Todos",datos_base!$B$11,0))*parametros_manuales!$E$105+parametros_manuales!$F$31*(datos_base!$B$20+IF(parametros_manuales!$H$31="Todos",datos_base!$B$25,0))*parametros_manuales!$E$14+parametros_manuales!$G$31*(datos_base!$B$5+IF(parametros_manuales!$H$31="Todos",datos_base!$B$12,0))*parametros_manuales!$E$110+parametros_manuales!$G$31*(datos_base!$B$21+IF(parametros_manuales!$H$31="Todos",datos_base!$B$26,0))*parametros_manuales!$E$15)*parametros_manuales!$I$31*parametros_manuales!$J$31</f>
        <v>10.811586972841</v>
      </c>
      <c r="F14" s="9" t="n">
        <f aca="false">(parametros_manuales!$D$31*(datos_base!$B$2+IF(parametros_manuales!$H$31="Todos",datos_base!$B$9,0))*parametros_manuales!$F$95+parametros_manuales!$D$31*(datos_base!$B$18+IF(parametros_manuales!$H$31="Todos",datos_base!$B$23,0))*parametros_manuales!$F$12+parametros_manuales!$E$31*(datos_base!$B$3+IF(parametros_manuales!$H$31="Todos",datos_base!$B$10,0))*parametros_manuales!$F$100+parametros_manuales!$E$31*(datos_base!$B$19+IF(parametros_manuales!$H$31="Todos",datos_base!$B$24,0))*parametros_manuales!$F$13+parametros_manuales!$F$31*(datos_base!$B$4+IF(parametros_manuales!$H$31="Todos",datos_base!$B$11,0))*parametros_manuales!$F$105+parametros_manuales!$F$31*(datos_base!$B$20+IF(parametros_manuales!$H$31="Todos",datos_base!$B$25,0))*parametros_manuales!$F$14+parametros_manuales!$G$31*(datos_base!$B$5+IF(parametros_manuales!$H$31="Todos",datos_base!$B$12,0))*parametros_manuales!$F$110+parametros_manuales!$G$31*(datos_base!$B$21+IF(parametros_manuales!$H$31="Todos",datos_base!$B$26,0))*parametros_manuales!$F$15)*parametros_manuales!$I$31*parametros_manuales!$J$31</f>
        <v>10.126449662168</v>
      </c>
      <c r="G14" s="9" t="n">
        <f aca="false">(parametros_manuales!$D$31*(datos_base!$B$2+IF(parametros_manuales!$H$31="Todos",datos_base!$B$9,0))*parametros_manuales!$G$95+parametros_manuales!$D$31*(datos_base!$B$18+IF(parametros_manuales!$H$31="Todos",datos_base!$B$23,0))*parametros_manuales!$G$12+parametros_manuales!$E$31*(datos_base!$B$3+IF(parametros_manuales!$H$31="Todos",datos_base!$B$10,0))*parametros_manuales!$G$100+parametros_manuales!$E$31*(datos_base!$B$19+IF(parametros_manuales!$H$31="Todos",datos_base!$B$24,0))*parametros_manuales!$G$13+parametros_manuales!$F$31*(datos_base!$B$4+IF(parametros_manuales!$H$31="Todos",datos_base!$B$11,0))*parametros_manuales!$G$105+parametros_manuales!$F$31*(datos_base!$B$20+IF(parametros_manuales!$H$31="Todos",datos_base!$B$25,0))*parametros_manuales!$G$14+parametros_manuales!$G$31*(datos_base!$B$5+IF(parametros_manuales!$H$31="Todos",datos_base!$B$12,0))*parametros_manuales!$G$110+parametros_manuales!$G$31*(datos_base!$B$21+IF(parametros_manuales!$H$31="Todos",datos_base!$B$26,0))*parametros_manuales!$G$15)*parametros_manuales!$I$31*parametros_manuales!$J$31</f>
        <v>9.859186005795</v>
      </c>
      <c r="H14" s="9" t="n">
        <f aca="false">(parametros_manuales!$D$31*(datos_base!$B$2+IF(parametros_manuales!$H$31="Todos",datos_base!$B$9,0))*parametros_manuales!$H$95+parametros_manuales!$D$31*(datos_base!$B$18+IF(parametros_manuales!$H$31="Todos",datos_base!$B$23,0))*parametros_manuales!$H$12+parametros_manuales!$E$31*(datos_base!$B$3+IF(parametros_manuales!$H$31="Todos",datos_base!$B$10,0))*parametros_manuales!$H$100+parametros_manuales!$E$31*(datos_base!$B$19+IF(parametros_manuales!$H$31="Todos",datos_base!$B$24,0))*parametros_manuales!$H$13+parametros_manuales!$F$31*(datos_base!$B$4+IF(parametros_manuales!$H$31="Todos",datos_base!$B$11,0))*parametros_manuales!$H$105+parametros_manuales!$F$31*(datos_base!$B$20+IF(parametros_manuales!$H$31="Todos",datos_base!$B$25,0))*parametros_manuales!$H$14+parametros_manuales!$G$31*(datos_base!$B$5+IF(parametros_manuales!$H$31="Todos",datos_base!$B$12,0))*parametros_manuales!$H$110+parametros_manuales!$G$31*(datos_base!$B$21+IF(parametros_manuales!$H$31="Todos",datos_base!$B$26,0))*parametros_manuales!$H$15)*parametros_manuales!$I$31*parametros_manuales!$J$31</f>
        <v>10.544323316468</v>
      </c>
      <c r="I14" s="9" t="n">
        <f aca="false">(parametros_manuales!$D$31*(datos_base!$B$2+IF(parametros_manuales!$H$31="Todos",datos_base!$B$9,0))*parametros_manuales!$I$95+parametros_manuales!$D$31*(datos_base!$B$18+IF(parametros_manuales!$H$31="Todos",datos_base!$B$23,0))*parametros_manuales!$I$12+parametros_manuales!$E$31*(datos_base!$B$3+IF(parametros_manuales!$H$31="Todos",datos_base!$B$10,0))*parametros_manuales!$I$100+parametros_manuales!$E$31*(datos_base!$B$19+IF(parametros_manuales!$H$31="Todos",datos_base!$B$24,0))*parametros_manuales!$I$13+parametros_manuales!$F$31*(datos_base!$B$4+IF(parametros_manuales!$H$31="Todos",datos_base!$B$11,0))*parametros_manuales!$I$105+parametros_manuales!$F$31*(datos_base!$B$20+IF(parametros_manuales!$H$31="Todos",datos_base!$B$25,0))*parametros_manuales!$I$14+parametros_manuales!$G$31*(datos_base!$B$5+IF(parametros_manuales!$H$31="Todos",datos_base!$B$12,0))*parametros_manuales!$I$110+parametros_manuales!$G$31*(datos_base!$B$21+IF(parametros_manuales!$H$31="Todos",datos_base!$B$26,0))*parametros_manuales!$I$15)*parametros_manuales!$I$31*parametros_manuales!$J$31</f>
        <v>11.797944279368</v>
      </c>
      <c r="J14" s="9" t="n">
        <f aca="false">(parametros_manuales!$D$31*(datos_base!$B$2+IF(parametros_manuales!$H$31="Todos",datos_base!$B$9,0))*parametros_manuales!$J$95+parametros_manuales!$D$31*(datos_base!$B$18+IF(parametros_manuales!$H$31="Todos",datos_base!$B$23,0))*parametros_manuales!$J$12+parametros_manuales!$E$31*(datos_base!$B$3+IF(parametros_manuales!$H$31="Todos",datos_base!$B$10,0))*parametros_manuales!$J$100+parametros_manuales!$E$31*(datos_base!$B$19+IF(parametros_manuales!$H$31="Todos",datos_base!$B$24,0))*parametros_manuales!$J$13+parametros_manuales!$F$31*(datos_base!$B$4+IF(parametros_manuales!$H$31="Todos",datos_base!$B$11,0))*parametros_manuales!$J$105+parametros_manuales!$F$31*(datos_base!$B$20+IF(parametros_manuales!$H$31="Todos",datos_base!$B$25,0))*parametros_manuales!$J$14+parametros_manuales!$G$31*(datos_base!$B$5+IF(parametros_manuales!$H$31="Todos",datos_base!$B$12,0))*parametros_manuales!$J$110+parametros_manuales!$G$31*(datos_base!$B$21+IF(parametros_manuales!$H$31="Todos",datos_base!$B$26,0))*parametros_manuales!$J$15)*parametros_manuales!$I$31*parametros_manuales!$J$31</f>
        <v>11.797944279368</v>
      </c>
      <c r="K14" s="9" t="n">
        <f aca="false">(parametros_manuales!$D$31*(datos_base!$B$2+IF(parametros_manuales!$H$31="Todos",datos_base!$B$9,0))*parametros_manuales!$K$95+parametros_manuales!$D$31*(datos_base!$B$18+IF(parametros_manuales!$H$31="Todos",datos_base!$B$23,0))*parametros_manuales!$K$12+parametros_manuales!$E$31*(datos_base!$B$3+IF(parametros_manuales!$H$31="Todos",datos_base!$B$10,0))*parametros_manuales!$K$100+parametros_manuales!$E$31*(datos_base!$B$19+IF(parametros_manuales!$H$31="Todos",datos_base!$B$24,0))*parametros_manuales!$K$13+parametros_manuales!$F$31*(datos_base!$B$4+IF(parametros_manuales!$H$31="Todos",datos_base!$B$11,0))*parametros_manuales!$K$105+parametros_manuales!$F$31*(datos_base!$B$20+IF(parametros_manuales!$H$31="Todos",datos_base!$B$25,0))*parametros_manuales!$K$14+parametros_manuales!$G$31*(datos_base!$B$5+IF(parametros_manuales!$H$31="Todos",datos_base!$B$12,0))*parametros_manuales!$K$110+parametros_manuales!$G$31*(datos_base!$B$21+IF(parametros_manuales!$H$31="Todos",datos_base!$B$26,0))*parametros_manuales!$K$15)*parametros_manuales!$I$31*parametros_manuales!$J$31</f>
        <v>12.059207935741</v>
      </c>
      <c r="L14" s="9" t="n">
        <f aca="false">(parametros_manuales!$D$31*(datos_base!$B$2+IF(parametros_manuales!$H$31="Todos",datos_base!$B$9,0))*parametros_manuales!$L$95+parametros_manuales!$D$31*(datos_base!$B$18+IF(parametros_manuales!$H$31="Todos",datos_base!$B$23,0))*parametros_manuales!$L$12+parametros_manuales!$E$31*(datos_base!$B$3+IF(parametros_manuales!$H$31="Todos",datos_base!$B$10,0))*parametros_manuales!$L$100+parametros_manuales!$E$31*(datos_base!$B$19+IF(parametros_manuales!$H$31="Todos",datos_base!$B$24,0))*parametros_manuales!$L$13+parametros_manuales!$F$31*(datos_base!$B$4+IF(parametros_manuales!$H$31="Todos",datos_base!$B$11,0))*parametros_manuales!$L$105+parametros_manuales!$F$31*(datos_base!$B$20+IF(parametros_manuales!$H$31="Todos",datos_base!$B$25,0))*parametros_manuales!$L$14+parametros_manuales!$G$31*(datos_base!$B$5+IF(parametros_manuales!$H$31="Todos",datos_base!$B$12,0))*parametros_manuales!$L$110+parametros_manuales!$G$31*(datos_base!$B$21+IF(parametros_manuales!$H$31="Todos",datos_base!$B$26,0))*parametros_manuales!$L$15)*parametros_manuales!$I$31*parametros_manuales!$J$31</f>
        <v>12.320471592114</v>
      </c>
      <c r="M14" s="9" t="n">
        <f aca="false">(parametros_manuales!$D$31*(datos_base!$B$2+IF(parametros_manuales!$H$31="Todos",datos_base!$B$9,0))*parametros_manuales!$M$95+parametros_manuales!$D$31*(datos_base!$B$18+IF(parametros_manuales!$H$31="Todos",datos_base!$B$23,0))*parametros_manuales!$M$12+parametros_manuales!$E$31*(datos_base!$B$3+IF(parametros_manuales!$H$31="Todos",datos_base!$B$10,0))*parametros_manuales!$M$100+parametros_manuales!$E$31*(datos_base!$B$19+IF(parametros_manuales!$H$31="Todos",datos_base!$B$24,0))*parametros_manuales!$M$13+parametros_manuales!$F$31*(datos_base!$B$4+IF(parametros_manuales!$H$31="Todos",datos_base!$B$11,0))*parametros_manuales!$M$105+parametros_manuales!$F$31*(datos_base!$B$20+IF(parametros_manuales!$H$31="Todos",datos_base!$B$25,0))*parametros_manuales!$M$14+parametros_manuales!$G$31*(datos_base!$B$5+IF(parametros_manuales!$H$31="Todos",datos_base!$B$12,0))*parametros_manuales!$M$110+parametros_manuales!$G$31*(datos_base!$B$21+IF(parametros_manuales!$H$31="Todos",datos_base!$B$26,0))*parametros_manuales!$M$15)*parametros_manuales!$I$31*parametros_manuales!$J$31</f>
        <v>12.344471592114</v>
      </c>
      <c r="N14" s="9" t="n">
        <f aca="false">SUM(B14:M14)</f>
        <v>137.0274621346</v>
      </c>
      <c r="O14" s="9" t="n">
        <f aca="false">MAX(B14:M14)</f>
        <v>12.344471592114</v>
      </c>
      <c r="P14" s="44" t="n">
        <f aca="false">O14/(parametros_manuales!$B$7)</f>
        <v>0.08229647728076</v>
      </c>
      <c r="Q14" s="8" t="str">
        <f aca="false">IF(O14=0,"-",INDEX($B$1:$M$1,MATCH(O14,B14:M14,0)))</f>
        <v>Dic</v>
      </c>
    </row>
    <row r="15" customFormat="false" ht="14.25" hidden="false" customHeight="true" outlineLevel="0" collapsed="false">
      <c r="A15" s="8" t="str">
        <f aca="false">parametros_manuales!$B$32</f>
        <v>Prueba hidráulica</v>
      </c>
      <c r="B15" s="9" t="n">
        <f aca="false">(parametros_manuales!$D$32*(datos_base!$B$2+IF(parametros_manuales!$H$32="Todos",datos_base!$B$9,0))*parametros_manuales!$B$95+parametros_manuales!$D$32*(datos_base!$B$18+IF(parametros_manuales!$H$32="Todos",datos_base!$B$23,0))*parametros_manuales!$B$12+parametros_manuales!$E$32*(datos_base!$B$3+IF(parametros_manuales!$H$32="Todos",datos_base!$B$10,0))*parametros_manuales!$B$100+parametros_manuales!$E$32*(datos_base!$B$19+IF(parametros_manuales!$H$32="Todos",datos_base!$B$24,0))*parametros_manuales!$B$13+parametros_manuales!$F$32*(datos_base!$B$4+IF(parametros_manuales!$H$32="Todos",datos_base!$B$11,0))*parametros_manuales!$B$105+parametros_manuales!$F$32*(datos_base!$B$20+IF(parametros_manuales!$H$32="Todos",datos_base!$B$25,0))*parametros_manuales!$B$14+parametros_manuales!$G$32*(datos_base!$B$5+IF(parametros_manuales!$H$32="Todos",datos_base!$B$12,0))*parametros_manuales!$B$110+parametros_manuales!$G$32*(datos_base!$B$21+IF(parametros_manuales!$H$32="Todos",datos_base!$B$26,0))*parametros_manuales!$B$15)*parametros_manuales!$I$32*parametros_manuales!$J$32</f>
        <v>616.9235796057</v>
      </c>
      <c r="C15" s="9" t="n">
        <f aca="false">(parametros_manuales!$D$32*(datos_base!$B$2+IF(parametros_manuales!$H$32="Todos",datos_base!$B$9,0))*parametros_manuales!$C$95+parametros_manuales!$D$32*(datos_base!$B$18+IF(parametros_manuales!$H$32="Todos",datos_base!$B$23,0))*parametros_manuales!$C$12+parametros_manuales!$E$32*(datos_base!$B$3+IF(parametros_manuales!$H$32="Todos",datos_base!$B$10,0))*parametros_manuales!$C$100+parametros_manuales!$E$32*(datos_base!$B$19+IF(parametros_manuales!$H$32="Todos",datos_base!$B$24,0))*parametros_manuales!$C$13+parametros_manuales!$F$32*(datos_base!$B$4+IF(parametros_manuales!$H$32="Todos",datos_base!$B$11,0))*parametros_manuales!$C$105+parametros_manuales!$F$32*(datos_base!$B$20+IF(parametros_manuales!$H$32="Todos",datos_base!$B$25,0))*parametros_manuales!$C$14+parametros_manuales!$G$32*(datos_base!$B$5+IF(parametros_manuales!$H$32="Todos",datos_base!$B$12,0))*parametros_manuales!$C$110+parametros_manuales!$G$32*(datos_base!$B$21+IF(parametros_manuales!$H$32="Todos",datos_base!$B$26,0))*parametros_manuales!$C$15)*parametros_manuales!$I$32*parametros_manuales!$J$32</f>
        <v>589.8972139684</v>
      </c>
      <c r="D15" s="9" t="n">
        <f aca="false">(parametros_manuales!$D$32*(datos_base!$B$2+IF(parametros_manuales!$H$32="Todos",datos_base!$B$9,0))*parametros_manuales!$D$95+parametros_manuales!$D$32*(datos_base!$B$18+IF(parametros_manuales!$H$32="Todos",datos_base!$B$23,0))*parametros_manuales!$D$12+parametros_manuales!$E$32*(datos_base!$B$3+IF(parametros_manuales!$H$32="Todos",datos_base!$B$10,0))*parametros_manuales!$D$100+parametros_manuales!$E$32*(datos_base!$B$19+IF(parametros_manuales!$H$32="Todos",datos_base!$B$24,0))*parametros_manuales!$D$13+parametros_manuales!$F$32*(datos_base!$B$4+IF(parametros_manuales!$H$32="Todos",datos_base!$B$11,0))*parametros_manuales!$D$105+parametros_manuales!$F$32*(datos_base!$B$20+IF(parametros_manuales!$H$32="Todos",datos_base!$B$25,0))*parametros_manuales!$D$14+parametros_manuales!$G$32*(datos_base!$B$5+IF(parametros_manuales!$H$32="Todos",datos_base!$B$12,0))*parametros_manuales!$D$110+parametros_manuales!$G$32*(datos_base!$B$21+IF(parametros_manuales!$H$32="Todos",datos_base!$B$26,0))*parametros_manuales!$D$15)*parametros_manuales!$I$32*parametros_manuales!$J$32</f>
        <v>561.47303135705</v>
      </c>
      <c r="E15" s="9" t="n">
        <f aca="false">(parametros_manuales!$D$32*(datos_base!$B$2+IF(parametros_manuales!$H$32="Todos",datos_base!$B$9,0))*parametros_manuales!$E$95+parametros_manuales!$D$32*(datos_base!$B$18+IF(parametros_manuales!$H$32="Todos",datos_base!$B$23,0))*parametros_manuales!$E$12+parametros_manuales!$E$32*(datos_base!$B$3+IF(parametros_manuales!$H$32="Todos",datos_base!$B$10,0))*parametros_manuales!$E$100+parametros_manuales!$E$32*(datos_base!$B$19+IF(parametros_manuales!$H$32="Todos",datos_base!$B$24,0))*parametros_manuales!$E$13+parametros_manuales!$F$32*(datos_base!$B$4+IF(parametros_manuales!$H$32="Todos",datos_base!$B$11,0))*parametros_manuales!$E$105+parametros_manuales!$F$32*(datos_base!$B$20+IF(parametros_manuales!$H$32="Todos",datos_base!$B$25,0))*parametros_manuales!$E$14+parametros_manuales!$G$32*(datos_base!$B$5+IF(parametros_manuales!$H$32="Todos",datos_base!$B$12,0))*parametros_manuales!$E$110+parametros_manuales!$G$32*(datos_base!$B$21+IF(parametros_manuales!$H$32="Todos",datos_base!$B$26,0))*parametros_manuales!$E$15)*parametros_manuales!$I$32*parametros_manuales!$J$32</f>
        <v>540.57934864205</v>
      </c>
      <c r="F15" s="9" t="n">
        <f aca="false">(parametros_manuales!$D$32*(datos_base!$B$2+IF(parametros_manuales!$H$32="Todos",datos_base!$B$9,0))*parametros_manuales!$F$95+parametros_manuales!$D$32*(datos_base!$B$18+IF(parametros_manuales!$H$32="Todos",datos_base!$B$23,0))*parametros_manuales!$F$12+parametros_manuales!$E$32*(datos_base!$B$3+IF(parametros_manuales!$H$32="Todos",datos_base!$B$10,0))*parametros_manuales!$F$100+parametros_manuales!$E$32*(datos_base!$B$19+IF(parametros_manuales!$H$32="Todos",datos_base!$B$24,0))*parametros_manuales!$F$13+parametros_manuales!$F$32*(datos_base!$B$4+IF(parametros_manuales!$H$32="Todos",datos_base!$B$11,0))*parametros_manuales!$F$105+parametros_manuales!$F$32*(datos_base!$B$20+IF(parametros_manuales!$H$32="Todos",datos_base!$B$25,0))*parametros_manuales!$F$14+parametros_manuales!$G$32*(datos_base!$B$5+IF(parametros_manuales!$H$32="Todos",datos_base!$B$12,0))*parametros_manuales!$F$110+parametros_manuales!$G$32*(datos_base!$B$21+IF(parametros_manuales!$H$32="Todos",datos_base!$B$26,0))*parametros_manuales!$F$15)*parametros_manuales!$I$32*parametros_manuales!$J$32</f>
        <v>506.3224831084</v>
      </c>
      <c r="G15" s="9" t="n">
        <f aca="false">(parametros_manuales!$D$32*(datos_base!$B$2+IF(parametros_manuales!$H$32="Todos",datos_base!$B$9,0))*parametros_manuales!$G$95+parametros_manuales!$D$32*(datos_base!$B$18+IF(parametros_manuales!$H$32="Todos",datos_base!$B$23,0))*parametros_manuales!$G$12+parametros_manuales!$E$32*(datos_base!$B$3+IF(parametros_manuales!$H$32="Todos",datos_base!$B$10,0))*parametros_manuales!$G$100+parametros_manuales!$E$32*(datos_base!$B$19+IF(parametros_manuales!$H$32="Todos",datos_base!$B$24,0))*parametros_manuales!$G$13+parametros_manuales!$F$32*(datos_base!$B$4+IF(parametros_manuales!$H$32="Todos",datos_base!$B$11,0))*parametros_manuales!$G$105+parametros_manuales!$F$32*(datos_base!$B$20+IF(parametros_manuales!$H$32="Todos",datos_base!$B$25,0))*parametros_manuales!$G$14+parametros_manuales!$G$32*(datos_base!$B$5+IF(parametros_manuales!$H$32="Todos",datos_base!$B$12,0))*parametros_manuales!$G$110+parametros_manuales!$G$32*(datos_base!$B$21+IF(parametros_manuales!$H$32="Todos",datos_base!$B$26,0))*parametros_manuales!$G$15)*parametros_manuales!$I$32*parametros_manuales!$J$32</f>
        <v>492.95930028975</v>
      </c>
      <c r="H15" s="9" t="n">
        <f aca="false">(parametros_manuales!$D$32*(datos_base!$B$2+IF(parametros_manuales!$H$32="Todos",datos_base!$B$9,0))*parametros_manuales!$H$95+parametros_manuales!$D$32*(datos_base!$B$18+IF(parametros_manuales!$H$32="Todos",datos_base!$B$23,0))*parametros_manuales!$H$12+parametros_manuales!$E$32*(datos_base!$B$3+IF(parametros_manuales!$H$32="Todos",datos_base!$B$10,0))*parametros_manuales!$H$100+parametros_manuales!$E$32*(datos_base!$B$19+IF(parametros_manuales!$H$32="Todos",datos_base!$B$24,0))*parametros_manuales!$H$13+parametros_manuales!$F$32*(datos_base!$B$4+IF(parametros_manuales!$H$32="Todos",datos_base!$B$11,0))*parametros_manuales!$H$105+parametros_manuales!$F$32*(datos_base!$B$20+IF(parametros_manuales!$H$32="Todos",datos_base!$B$25,0))*parametros_manuales!$H$14+parametros_manuales!$G$32*(datos_base!$B$5+IF(parametros_manuales!$H$32="Todos",datos_base!$B$12,0))*parametros_manuales!$H$110+parametros_manuales!$G$32*(datos_base!$B$21+IF(parametros_manuales!$H$32="Todos",datos_base!$B$26,0))*parametros_manuales!$H$15)*parametros_manuales!$I$32*parametros_manuales!$J$32</f>
        <v>527.2161658234</v>
      </c>
      <c r="I15" s="9" t="n">
        <f aca="false">(parametros_manuales!$D$32*(datos_base!$B$2+IF(parametros_manuales!$H$32="Todos",datos_base!$B$9,0))*parametros_manuales!$I$95+parametros_manuales!$D$32*(datos_base!$B$18+IF(parametros_manuales!$H$32="Todos",datos_base!$B$23,0))*parametros_manuales!$I$12+parametros_manuales!$E$32*(datos_base!$B$3+IF(parametros_manuales!$H$32="Todos",datos_base!$B$10,0))*parametros_manuales!$I$100+parametros_manuales!$E$32*(datos_base!$B$19+IF(parametros_manuales!$H$32="Todos",datos_base!$B$24,0))*parametros_manuales!$I$13+parametros_manuales!$F$32*(datos_base!$B$4+IF(parametros_manuales!$H$32="Todos",datos_base!$B$11,0))*parametros_manuales!$I$105+parametros_manuales!$F$32*(datos_base!$B$20+IF(parametros_manuales!$H$32="Todos",datos_base!$B$25,0))*parametros_manuales!$I$14+parametros_manuales!$G$32*(datos_base!$B$5+IF(parametros_manuales!$H$32="Todos",datos_base!$B$12,0))*parametros_manuales!$I$110+parametros_manuales!$G$32*(datos_base!$B$21+IF(parametros_manuales!$H$32="Todos",datos_base!$B$26,0))*parametros_manuales!$I$15)*parametros_manuales!$I$32*parametros_manuales!$J$32</f>
        <v>589.8972139684</v>
      </c>
      <c r="J15" s="9" t="n">
        <f aca="false">(parametros_manuales!$D$32*(datos_base!$B$2+IF(parametros_manuales!$H$32="Todos",datos_base!$B$9,0))*parametros_manuales!$J$95+parametros_manuales!$D$32*(datos_base!$B$18+IF(parametros_manuales!$H$32="Todos",datos_base!$B$23,0))*parametros_manuales!$J$12+parametros_manuales!$E$32*(datos_base!$B$3+IF(parametros_manuales!$H$32="Todos",datos_base!$B$10,0))*parametros_manuales!$J$100+parametros_manuales!$E$32*(datos_base!$B$19+IF(parametros_manuales!$H$32="Todos",datos_base!$B$24,0))*parametros_manuales!$J$13+parametros_manuales!$F$32*(datos_base!$B$4+IF(parametros_manuales!$H$32="Todos",datos_base!$B$11,0))*parametros_manuales!$J$105+parametros_manuales!$F$32*(datos_base!$B$20+IF(parametros_manuales!$H$32="Todos",datos_base!$B$25,0))*parametros_manuales!$J$14+parametros_manuales!$G$32*(datos_base!$B$5+IF(parametros_manuales!$H$32="Todos",datos_base!$B$12,0))*parametros_manuales!$J$110+parametros_manuales!$G$32*(datos_base!$B$21+IF(parametros_manuales!$H$32="Todos",datos_base!$B$26,0))*parametros_manuales!$J$15)*parametros_manuales!$I$32*parametros_manuales!$J$32</f>
        <v>589.8972139684</v>
      </c>
      <c r="K15" s="9" t="n">
        <f aca="false">(parametros_manuales!$D$32*(datos_base!$B$2+IF(parametros_manuales!$H$32="Todos",datos_base!$B$9,0))*parametros_manuales!$K$95+parametros_manuales!$D$32*(datos_base!$B$18+IF(parametros_manuales!$H$32="Todos",datos_base!$B$23,0))*parametros_manuales!$K$12+parametros_manuales!$E$32*(datos_base!$B$3+IF(parametros_manuales!$H$32="Todos",datos_base!$B$10,0))*parametros_manuales!$K$100+parametros_manuales!$E$32*(datos_base!$B$19+IF(parametros_manuales!$H$32="Todos",datos_base!$B$24,0))*parametros_manuales!$K$13+parametros_manuales!$F$32*(datos_base!$B$4+IF(parametros_manuales!$H$32="Todos",datos_base!$B$11,0))*parametros_manuales!$K$105+parametros_manuales!$F$32*(datos_base!$B$20+IF(parametros_manuales!$H$32="Todos",datos_base!$B$25,0))*parametros_manuales!$K$14+parametros_manuales!$G$32*(datos_base!$B$5+IF(parametros_manuales!$H$32="Todos",datos_base!$B$12,0))*parametros_manuales!$K$110+parametros_manuales!$G$32*(datos_base!$B$21+IF(parametros_manuales!$H$32="Todos",datos_base!$B$26,0))*parametros_manuales!$K$15)*parametros_manuales!$I$32*parametros_manuales!$J$32</f>
        <v>602.96039678705</v>
      </c>
      <c r="L15" s="9" t="n">
        <f aca="false">(parametros_manuales!$D$32*(datos_base!$B$2+IF(parametros_manuales!$H$32="Todos",datos_base!$B$9,0))*parametros_manuales!$L$95+parametros_manuales!$D$32*(datos_base!$B$18+IF(parametros_manuales!$H$32="Todos",datos_base!$B$23,0))*parametros_manuales!$L$12+parametros_manuales!$E$32*(datos_base!$B$3+IF(parametros_manuales!$H$32="Todos",datos_base!$B$10,0))*parametros_manuales!$L$100+parametros_manuales!$E$32*(datos_base!$B$19+IF(parametros_manuales!$H$32="Todos",datos_base!$B$24,0))*parametros_manuales!$L$13+parametros_manuales!$F$32*(datos_base!$B$4+IF(parametros_manuales!$H$32="Todos",datos_base!$B$11,0))*parametros_manuales!$L$105+parametros_manuales!$F$32*(datos_base!$B$20+IF(parametros_manuales!$H$32="Todos",datos_base!$B$25,0))*parametros_manuales!$L$14+parametros_manuales!$G$32*(datos_base!$B$5+IF(parametros_manuales!$H$32="Todos",datos_base!$B$12,0))*parametros_manuales!$L$110+parametros_manuales!$G$32*(datos_base!$B$21+IF(parametros_manuales!$H$32="Todos",datos_base!$B$26,0))*parametros_manuales!$L$15)*parametros_manuales!$I$32*parametros_manuales!$J$32</f>
        <v>616.0235796057</v>
      </c>
      <c r="M15" s="9" t="n">
        <f aca="false">(parametros_manuales!$D$32*(datos_base!$B$2+IF(parametros_manuales!$H$32="Todos",datos_base!$B$9,0))*parametros_manuales!$M$95+parametros_manuales!$D$32*(datos_base!$B$18+IF(parametros_manuales!$H$32="Todos",datos_base!$B$23,0))*parametros_manuales!$M$12+parametros_manuales!$E$32*(datos_base!$B$3+IF(parametros_manuales!$H$32="Todos",datos_base!$B$10,0))*parametros_manuales!$M$100+parametros_manuales!$E$32*(datos_base!$B$19+IF(parametros_manuales!$H$32="Todos",datos_base!$B$24,0))*parametros_manuales!$M$13+parametros_manuales!$F$32*(datos_base!$B$4+IF(parametros_manuales!$H$32="Todos",datos_base!$B$11,0))*parametros_manuales!$M$105+parametros_manuales!$F$32*(datos_base!$B$20+IF(parametros_manuales!$H$32="Todos",datos_base!$B$25,0))*parametros_manuales!$M$14+parametros_manuales!$G$32*(datos_base!$B$5+IF(parametros_manuales!$H$32="Todos",datos_base!$B$12,0))*parametros_manuales!$M$110+parametros_manuales!$G$32*(datos_base!$B$21+IF(parametros_manuales!$H$32="Todos",datos_base!$B$26,0))*parametros_manuales!$M$15)*parametros_manuales!$I$32*parametros_manuales!$J$32</f>
        <v>617.2235796057</v>
      </c>
      <c r="N15" s="9" t="n">
        <f aca="false">SUM(B15:M15)</f>
        <v>6851.37310673</v>
      </c>
      <c r="O15" s="9" t="n">
        <f aca="false">MAX(B15:M15)</f>
        <v>617.2235796057</v>
      </c>
      <c r="P15" s="44" t="n">
        <f aca="false">O15/(parametros_manuales!$B$7)</f>
        <v>4.114823864038</v>
      </c>
      <c r="Q15" s="8" t="str">
        <f aca="false">IF(O15=0,"-",INDEX($B$1:$M$1,MATCH(O15,B15:M15,0)))</f>
        <v>Dic</v>
      </c>
    </row>
    <row r="16" customFormat="false" ht="14.25" hidden="false" customHeight="true" outlineLevel="0" collapsed="false">
      <c r="A16" s="8" t="str">
        <f aca="false">parametros_manuales!$B$33</f>
        <v>Secado</v>
      </c>
      <c r="B16" s="9" t="n">
        <f aca="false">(parametros_manuales!$D$33*(datos_base!$B$2+IF(parametros_manuales!$H$33="Todos",datos_base!$B$9,0))*parametros_manuales!$B$95+parametros_manuales!$D$33*(datos_base!$B$18+IF(parametros_manuales!$H$33="Todos",datos_base!$B$23,0))*parametros_manuales!$B$12+parametros_manuales!$E$33*(datos_base!$B$3+IF(parametros_manuales!$H$33="Todos",datos_base!$B$10,0))*parametros_manuales!$B$100+parametros_manuales!$E$33*(datos_base!$B$19+IF(parametros_manuales!$H$33="Todos",datos_base!$B$24,0))*parametros_manuales!$B$13+parametros_manuales!$F$33*(datos_base!$B$4+IF(parametros_manuales!$H$33="Todos",datos_base!$B$11,0))*parametros_manuales!$B$105+parametros_manuales!$F$33*(datos_base!$B$20+IF(parametros_manuales!$H$33="Todos",datos_base!$B$25,0))*parametros_manuales!$B$14+parametros_manuales!$G$33*(datos_base!$B$5+IF(parametros_manuales!$H$33="Todos",datos_base!$B$12,0))*parametros_manuales!$B$110+parametros_manuales!$G$33*(datos_base!$B$21+IF(parametros_manuales!$H$33="Todos",datos_base!$B$26,0))*parametros_manuales!$B$15)*parametros_manuales!$I$33*parametros_manuales!$J$33</f>
        <v>616.9235796057</v>
      </c>
      <c r="C16" s="9" t="n">
        <f aca="false">(parametros_manuales!$D$33*(datos_base!$B$2+IF(parametros_manuales!$H$33="Todos",datos_base!$B$9,0))*parametros_manuales!$C$95+parametros_manuales!$D$33*(datos_base!$B$18+IF(parametros_manuales!$H$33="Todos",datos_base!$B$23,0))*parametros_manuales!$C$12+parametros_manuales!$E$33*(datos_base!$B$3+IF(parametros_manuales!$H$33="Todos",datos_base!$B$10,0))*parametros_manuales!$C$100+parametros_manuales!$E$33*(datos_base!$B$19+IF(parametros_manuales!$H$33="Todos",datos_base!$B$24,0))*parametros_manuales!$C$13+parametros_manuales!$F$33*(datos_base!$B$4+IF(parametros_manuales!$H$33="Todos",datos_base!$B$11,0))*parametros_manuales!$C$105+parametros_manuales!$F$33*(datos_base!$B$20+IF(parametros_manuales!$H$33="Todos",datos_base!$B$25,0))*parametros_manuales!$C$14+parametros_manuales!$G$33*(datos_base!$B$5+IF(parametros_manuales!$H$33="Todos",datos_base!$B$12,0))*parametros_manuales!$C$110+parametros_manuales!$G$33*(datos_base!$B$21+IF(parametros_manuales!$H$33="Todos",datos_base!$B$26,0))*parametros_manuales!$C$15)*parametros_manuales!$I$33*parametros_manuales!$J$33</f>
        <v>589.8972139684</v>
      </c>
      <c r="D16" s="9" t="n">
        <f aca="false">(parametros_manuales!$D$33*(datos_base!$B$2+IF(parametros_manuales!$H$33="Todos",datos_base!$B$9,0))*parametros_manuales!$D$95+parametros_manuales!$D$33*(datos_base!$B$18+IF(parametros_manuales!$H$33="Todos",datos_base!$B$23,0))*parametros_manuales!$D$12+parametros_manuales!$E$33*(datos_base!$B$3+IF(parametros_manuales!$H$33="Todos",datos_base!$B$10,0))*parametros_manuales!$D$100+parametros_manuales!$E$33*(datos_base!$B$19+IF(parametros_manuales!$H$33="Todos",datos_base!$B$24,0))*parametros_manuales!$D$13+parametros_manuales!$F$33*(datos_base!$B$4+IF(parametros_manuales!$H$33="Todos",datos_base!$B$11,0))*parametros_manuales!$D$105+parametros_manuales!$F$33*(datos_base!$B$20+IF(parametros_manuales!$H$33="Todos",datos_base!$B$25,0))*parametros_manuales!$D$14+parametros_manuales!$G$33*(datos_base!$B$5+IF(parametros_manuales!$H$33="Todos",datos_base!$B$12,0))*parametros_manuales!$D$110+parametros_manuales!$G$33*(datos_base!$B$21+IF(parametros_manuales!$H$33="Todos",datos_base!$B$26,0))*parametros_manuales!$D$15)*parametros_manuales!$I$33*parametros_manuales!$J$33</f>
        <v>561.47303135705</v>
      </c>
      <c r="E16" s="9" t="n">
        <f aca="false">(parametros_manuales!$D$33*(datos_base!$B$2+IF(parametros_manuales!$H$33="Todos",datos_base!$B$9,0))*parametros_manuales!$E$95+parametros_manuales!$D$33*(datos_base!$B$18+IF(parametros_manuales!$H$33="Todos",datos_base!$B$23,0))*parametros_manuales!$E$12+parametros_manuales!$E$33*(datos_base!$B$3+IF(parametros_manuales!$H$33="Todos",datos_base!$B$10,0))*parametros_manuales!$E$100+parametros_manuales!$E$33*(datos_base!$B$19+IF(parametros_manuales!$H$33="Todos",datos_base!$B$24,0))*parametros_manuales!$E$13+parametros_manuales!$F$33*(datos_base!$B$4+IF(parametros_manuales!$H$33="Todos",datos_base!$B$11,0))*parametros_manuales!$E$105+parametros_manuales!$F$33*(datos_base!$B$20+IF(parametros_manuales!$H$33="Todos",datos_base!$B$25,0))*parametros_manuales!$E$14+parametros_manuales!$G$33*(datos_base!$B$5+IF(parametros_manuales!$H$33="Todos",datos_base!$B$12,0))*parametros_manuales!$E$110+parametros_manuales!$G$33*(datos_base!$B$21+IF(parametros_manuales!$H$33="Todos",datos_base!$B$26,0))*parametros_manuales!$E$15)*parametros_manuales!$I$33*parametros_manuales!$J$33</f>
        <v>540.57934864205</v>
      </c>
      <c r="F16" s="9" t="n">
        <f aca="false">(parametros_manuales!$D$33*(datos_base!$B$2+IF(parametros_manuales!$H$33="Todos",datos_base!$B$9,0))*parametros_manuales!$F$95+parametros_manuales!$D$33*(datos_base!$B$18+IF(parametros_manuales!$H$33="Todos",datos_base!$B$23,0))*parametros_manuales!$F$12+parametros_manuales!$E$33*(datos_base!$B$3+IF(parametros_manuales!$H$33="Todos",datos_base!$B$10,0))*parametros_manuales!$F$100+parametros_manuales!$E$33*(datos_base!$B$19+IF(parametros_manuales!$H$33="Todos",datos_base!$B$24,0))*parametros_manuales!$F$13+parametros_manuales!$F$33*(datos_base!$B$4+IF(parametros_manuales!$H$33="Todos",datos_base!$B$11,0))*parametros_manuales!$F$105+parametros_manuales!$F$33*(datos_base!$B$20+IF(parametros_manuales!$H$33="Todos",datos_base!$B$25,0))*parametros_manuales!$F$14+parametros_manuales!$G$33*(datos_base!$B$5+IF(parametros_manuales!$H$33="Todos",datos_base!$B$12,0))*parametros_manuales!$F$110+parametros_manuales!$G$33*(datos_base!$B$21+IF(parametros_manuales!$H$33="Todos",datos_base!$B$26,0))*parametros_manuales!$F$15)*parametros_manuales!$I$33*parametros_manuales!$J$33</f>
        <v>506.3224831084</v>
      </c>
      <c r="G16" s="9" t="n">
        <f aca="false">(parametros_manuales!$D$33*(datos_base!$B$2+IF(parametros_manuales!$H$33="Todos",datos_base!$B$9,0))*parametros_manuales!$G$95+parametros_manuales!$D$33*(datos_base!$B$18+IF(parametros_manuales!$H$33="Todos",datos_base!$B$23,0))*parametros_manuales!$G$12+parametros_manuales!$E$33*(datos_base!$B$3+IF(parametros_manuales!$H$33="Todos",datos_base!$B$10,0))*parametros_manuales!$G$100+parametros_manuales!$E$33*(datos_base!$B$19+IF(parametros_manuales!$H$33="Todos",datos_base!$B$24,0))*parametros_manuales!$G$13+parametros_manuales!$F$33*(datos_base!$B$4+IF(parametros_manuales!$H$33="Todos",datos_base!$B$11,0))*parametros_manuales!$G$105+parametros_manuales!$F$33*(datos_base!$B$20+IF(parametros_manuales!$H$33="Todos",datos_base!$B$25,0))*parametros_manuales!$G$14+parametros_manuales!$G$33*(datos_base!$B$5+IF(parametros_manuales!$H$33="Todos",datos_base!$B$12,0))*parametros_manuales!$G$110+parametros_manuales!$G$33*(datos_base!$B$21+IF(parametros_manuales!$H$33="Todos",datos_base!$B$26,0))*parametros_manuales!$G$15)*parametros_manuales!$I$33*parametros_manuales!$J$33</f>
        <v>492.95930028975</v>
      </c>
      <c r="H16" s="9" t="n">
        <f aca="false">(parametros_manuales!$D$33*(datos_base!$B$2+IF(parametros_manuales!$H$33="Todos",datos_base!$B$9,0))*parametros_manuales!$H$95+parametros_manuales!$D$33*(datos_base!$B$18+IF(parametros_manuales!$H$33="Todos",datos_base!$B$23,0))*parametros_manuales!$H$12+parametros_manuales!$E$33*(datos_base!$B$3+IF(parametros_manuales!$H$33="Todos",datos_base!$B$10,0))*parametros_manuales!$H$100+parametros_manuales!$E$33*(datos_base!$B$19+IF(parametros_manuales!$H$33="Todos",datos_base!$B$24,0))*parametros_manuales!$H$13+parametros_manuales!$F$33*(datos_base!$B$4+IF(parametros_manuales!$H$33="Todos",datos_base!$B$11,0))*parametros_manuales!$H$105+parametros_manuales!$F$33*(datos_base!$B$20+IF(parametros_manuales!$H$33="Todos",datos_base!$B$25,0))*parametros_manuales!$H$14+parametros_manuales!$G$33*(datos_base!$B$5+IF(parametros_manuales!$H$33="Todos",datos_base!$B$12,0))*parametros_manuales!$H$110+parametros_manuales!$G$33*(datos_base!$B$21+IF(parametros_manuales!$H$33="Todos",datos_base!$B$26,0))*parametros_manuales!$H$15)*parametros_manuales!$I$33*parametros_manuales!$J$33</f>
        <v>527.2161658234</v>
      </c>
      <c r="I16" s="9" t="n">
        <f aca="false">(parametros_manuales!$D$33*(datos_base!$B$2+IF(parametros_manuales!$H$33="Todos",datos_base!$B$9,0))*parametros_manuales!$I$95+parametros_manuales!$D$33*(datos_base!$B$18+IF(parametros_manuales!$H$33="Todos",datos_base!$B$23,0))*parametros_manuales!$I$12+parametros_manuales!$E$33*(datos_base!$B$3+IF(parametros_manuales!$H$33="Todos",datos_base!$B$10,0))*parametros_manuales!$I$100+parametros_manuales!$E$33*(datos_base!$B$19+IF(parametros_manuales!$H$33="Todos",datos_base!$B$24,0))*parametros_manuales!$I$13+parametros_manuales!$F$33*(datos_base!$B$4+IF(parametros_manuales!$H$33="Todos",datos_base!$B$11,0))*parametros_manuales!$I$105+parametros_manuales!$F$33*(datos_base!$B$20+IF(parametros_manuales!$H$33="Todos",datos_base!$B$25,0))*parametros_manuales!$I$14+parametros_manuales!$G$33*(datos_base!$B$5+IF(parametros_manuales!$H$33="Todos",datos_base!$B$12,0))*parametros_manuales!$I$110+parametros_manuales!$G$33*(datos_base!$B$21+IF(parametros_manuales!$H$33="Todos",datos_base!$B$26,0))*parametros_manuales!$I$15)*parametros_manuales!$I$33*parametros_manuales!$J$33</f>
        <v>589.8972139684</v>
      </c>
      <c r="J16" s="9" t="n">
        <f aca="false">(parametros_manuales!$D$33*(datos_base!$B$2+IF(parametros_manuales!$H$33="Todos",datos_base!$B$9,0))*parametros_manuales!$J$95+parametros_manuales!$D$33*(datos_base!$B$18+IF(parametros_manuales!$H$33="Todos",datos_base!$B$23,0))*parametros_manuales!$J$12+parametros_manuales!$E$33*(datos_base!$B$3+IF(parametros_manuales!$H$33="Todos",datos_base!$B$10,0))*parametros_manuales!$J$100+parametros_manuales!$E$33*(datos_base!$B$19+IF(parametros_manuales!$H$33="Todos",datos_base!$B$24,0))*parametros_manuales!$J$13+parametros_manuales!$F$33*(datos_base!$B$4+IF(parametros_manuales!$H$33="Todos",datos_base!$B$11,0))*parametros_manuales!$J$105+parametros_manuales!$F$33*(datos_base!$B$20+IF(parametros_manuales!$H$33="Todos",datos_base!$B$25,0))*parametros_manuales!$J$14+parametros_manuales!$G$33*(datos_base!$B$5+IF(parametros_manuales!$H$33="Todos",datos_base!$B$12,0))*parametros_manuales!$J$110+parametros_manuales!$G$33*(datos_base!$B$21+IF(parametros_manuales!$H$33="Todos",datos_base!$B$26,0))*parametros_manuales!$J$15)*parametros_manuales!$I$33*parametros_manuales!$J$33</f>
        <v>589.8972139684</v>
      </c>
      <c r="K16" s="9" t="n">
        <f aca="false">(parametros_manuales!$D$33*(datos_base!$B$2+IF(parametros_manuales!$H$33="Todos",datos_base!$B$9,0))*parametros_manuales!$K$95+parametros_manuales!$D$33*(datos_base!$B$18+IF(parametros_manuales!$H$33="Todos",datos_base!$B$23,0))*parametros_manuales!$K$12+parametros_manuales!$E$33*(datos_base!$B$3+IF(parametros_manuales!$H$33="Todos",datos_base!$B$10,0))*parametros_manuales!$K$100+parametros_manuales!$E$33*(datos_base!$B$19+IF(parametros_manuales!$H$33="Todos",datos_base!$B$24,0))*parametros_manuales!$K$13+parametros_manuales!$F$33*(datos_base!$B$4+IF(parametros_manuales!$H$33="Todos",datos_base!$B$11,0))*parametros_manuales!$K$105+parametros_manuales!$F$33*(datos_base!$B$20+IF(parametros_manuales!$H$33="Todos",datos_base!$B$25,0))*parametros_manuales!$K$14+parametros_manuales!$G$33*(datos_base!$B$5+IF(parametros_manuales!$H$33="Todos",datos_base!$B$12,0))*parametros_manuales!$K$110+parametros_manuales!$G$33*(datos_base!$B$21+IF(parametros_manuales!$H$33="Todos",datos_base!$B$26,0))*parametros_manuales!$K$15)*parametros_manuales!$I$33*parametros_manuales!$J$33</f>
        <v>602.96039678705</v>
      </c>
      <c r="L16" s="9" t="n">
        <f aca="false">(parametros_manuales!$D$33*(datos_base!$B$2+IF(parametros_manuales!$H$33="Todos",datos_base!$B$9,0))*parametros_manuales!$L$95+parametros_manuales!$D$33*(datos_base!$B$18+IF(parametros_manuales!$H$33="Todos",datos_base!$B$23,0))*parametros_manuales!$L$12+parametros_manuales!$E$33*(datos_base!$B$3+IF(parametros_manuales!$H$33="Todos",datos_base!$B$10,0))*parametros_manuales!$L$100+parametros_manuales!$E$33*(datos_base!$B$19+IF(parametros_manuales!$H$33="Todos",datos_base!$B$24,0))*parametros_manuales!$L$13+parametros_manuales!$F$33*(datos_base!$B$4+IF(parametros_manuales!$H$33="Todos",datos_base!$B$11,0))*parametros_manuales!$L$105+parametros_manuales!$F$33*(datos_base!$B$20+IF(parametros_manuales!$H$33="Todos",datos_base!$B$25,0))*parametros_manuales!$L$14+parametros_manuales!$G$33*(datos_base!$B$5+IF(parametros_manuales!$H$33="Todos",datos_base!$B$12,0))*parametros_manuales!$L$110+parametros_manuales!$G$33*(datos_base!$B$21+IF(parametros_manuales!$H$33="Todos",datos_base!$B$26,0))*parametros_manuales!$L$15)*parametros_manuales!$I$33*parametros_manuales!$J$33</f>
        <v>616.0235796057</v>
      </c>
      <c r="M16" s="9" t="n">
        <f aca="false">(parametros_manuales!$D$33*(datos_base!$B$2+IF(parametros_manuales!$H$33="Todos",datos_base!$B$9,0))*parametros_manuales!$M$95+parametros_manuales!$D$33*(datos_base!$B$18+IF(parametros_manuales!$H$33="Todos",datos_base!$B$23,0))*parametros_manuales!$M$12+parametros_manuales!$E$33*(datos_base!$B$3+IF(parametros_manuales!$H$33="Todos",datos_base!$B$10,0))*parametros_manuales!$M$100+parametros_manuales!$E$33*(datos_base!$B$19+IF(parametros_manuales!$H$33="Todos",datos_base!$B$24,0))*parametros_manuales!$M$13+parametros_manuales!$F$33*(datos_base!$B$4+IF(parametros_manuales!$H$33="Todos",datos_base!$B$11,0))*parametros_manuales!$M$105+parametros_manuales!$F$33*(datos_base!$B$20+IF(parametros_manuales!$H$33="Todos",datos_base!$B$25,0))*parametros_manuales!$M$14+parametros_manuales!$G$33*(datos_base!$B$5+IF(parametros_manuales!$H$33="Todos",datos_base!$B$12,0))*parametros_manuales!$M$110+parametros_manuales!$G$33*(datos_base!$B$21+IF(parametros_manuales!$H$33="Todos",datos_base!$B$26,0))*parametros_manuales!$M$15)*parametros_manuales!$I$33*parametros_manuales!$J$33</f>
        <v>617.2235796057</v>
      </c>
      <c r="N16" s="9" t="n">
        <f aca="false">SUM(B16:M16)</f>
        <v>6851.37310673</v>
      </c>
      <c r="O16" s="9" t="n">
        <f aca="false">MAX(B16:M16)</f>
        <v>617.2235796057</v>
      </c>
      <c r="P16" s="44" t="n">
        <f aca="false">O16/(parametros_manuales!$B$7)</f>
        <v>4.114823864038</v>
      </c>
      <c r="Q16" s="8" t="str">
        <f aca="false">IF(O16=0,"-",INDEX($B$1:$M$1,MATCH(O16,B16:M16,0)))</f>
        <v>Dic</v>
      </c>
    </row>
    <row r="17" customFormat="false" ht="14.25" hidden="false" customHeight="true" outlineLevel="0" collapsed="false">
      <c r="A17" s="8" t="str">
        <f aca="false">parametros_manuales!$B$34</f>
        <v>Granallado</v>
      </c>
      <c r="B17" s="9" t="n">
        <f aca="false">(parametros_manuales!$D$34*(datos_base!$B$2+IF(parametros_manuales!$H$34="Todos",datos_base!$B$9,0))*parametros_manuales!$B$95+parametros_manuales!$D$34*(datos_base!$B$18+IF(parametros_manuales!$H$34="Todos",datos_base!$B$23,0))*parametros_manuales!$B$12+parametros_manuales!$E$34*(datos_base!$B$3+IF(parametros_manuales!$H$34="Todos",datos_base!$B$10,0))*parametros_manuales!$B$100+parametros_manuales!$E$34*(datos_base!$B$19+IF(parametros_manuales!$H$34="Todos",datos_base!$B$24,0))*parametros_manuales!$B$13+parametros_manuales!$F$34*(datos_base!$B$4+IF(parametros_manuales!$H$34="Todos",datos_base!$B$11,0))*parametros_manuales!$B$105+parametros_manuales!$F$34*(datos_base!$B$20+IF(parametros_manuales!$H$34="Todos",datos_base!$B$25,0))*parametros_manuales!$B$14+parametros_manuales!$G$34*(datos_base!$B$5+IF(parametros_manuales!$H$34="Todos",datos_base!$B$12,0))*parametros_manuales!$B$110+parametros_manuales!$G$34*(datos_base!$B$21+IF(parametros_manuales!$H$34="Todos",datos_base!$B$26,0))*parametros_manuales!$B$15)*parametros_manuales!$I$34*parametros_manuales!$J$34</f>
        <v>616.9235796057</v>
      </c>
      <c r="C17" s="9" t="n">
        <f aca="false">(parametros_manuales!$D$34*(datos_base!$B$2+IF(parametros_manuales!$H$34="Todos",datos_base!$B$9,0))*parametros_manuales!$C$95+parametros_manuales!$D$34*(datos_base!$B$18+IF(parametros_manuales!$H$34="Todos",datos_base!$B$23,0))*parametros_manuales!$C$12+parametros_manuales!$E$34*(datos_base!$B$3+IF(parametros_manuales!$H$34="Todos",datos_base!$B$10,0))*parametros_manuales!$C$100+parametros_manuales!$E$34*(datos_base!$B$19+IF(parametros_manuales!$H$34="Todos",datos_base!$B$24,0))*parametros_manuales!$C$13+parametros_manuales!$F$34*(datos_base!$B$4+IF(parametros_manuales!$H$34="Todos",datos_base!$B$11,0))*parametros_manuales!$C$105+parametros_manuales!$F$34*(datos_base!$B$20+IF(parametros_manuales!$H$34="Todos",datos_base!$B$25,0))*parametros_manuales!$C$14+parametros_manuales!$G$34*(datos_base!$B$5+IF(parametros_manuales!$H$34="Todos",datos_base!$B$12,0))*parametros_manuales!$C$110+parametros_manuales!$G$34*(datos_base!$B$21+IF(parametros_manuales!$H$34="Todos",datos_base!$B$26,0))*parametros_manuales!$C$15)*parametros_manuales!$I$34*parametros_manuales!$J$34</f>
        <v>589.8972139684</v>
      </c>
      <c r="D17" s="9" t="n">
        <f aca="false">(parametros_manuales!$D$34*(datos_base!$B$2+IF(parametros_manuales!$H$34="Todos",datos_base!$B$9,0))*parametros_manuales!$D$95+parametros_manuales!$D$34*(datos_base!$B$18+IF(parametros_manuales!$H$34="Todos",datos_base!$B$23,0))*parametros_manuales!$D$12+parametros_manuales!$E$34*(datos_base!$B$3+IF(parametros_manuales!$H$34="Todos",datos_base!$B$10,0))*parametros_manuales!$D$100+parametros_manuales!$E$34*(datos_base!$B$19+IF(parametros_manuales!$H$34="Todos",datos_base!$B$24,0))*parametros_manuales!$D$13+parametros_manuales!$F$34*(datos_base!$B$4+IF(parametros_manuales!$H$34="Todos",datos_base!$B$11,0))*parametros_manuales!$D$105+parametros_manuales!$F$34*(datos_base!$B$20+IF(parametros_manuales!$H$34="Todos",datos_base!$B$25,0))*parametros_manuales!$D$14+parametros_manuales!$G$34*(datos_base!$B$5+IF(parametros_manuales!$H$34="Todos",datos_base!$B$12,0))*parametros_manuales!$D$110+parametros_manuales!$G$34*(datos_base!$B$21+IF(parametros_manuales!$H$34="Todos",datos_base!$B$26,0))*parametros_manuales!$D$15)*parametros_manuales!$I$34*parametros_manuales!$J$34</f>
        <v>561.47303135705</v>
      </c>
      <c r="E17" s="9" t="n">
        <f aca="false">(parametros_manuales!$D$34*(datos_base!$B$2+IF(parametros_manuales!$H$34="Todos",datos_base!$B$9,0))*parametros_manuales!$E$95+parametros_manuales!$D$34*(datos_base!$B$18+IF(parametros_manuales!$H$34="Todos",datos_base!$B$23,0))*parametros_manuales!$E$12+parametros_manuales!$E$34*(datos_base!$B$3+IF(parametros_manuales!$H$34="Todos",datos_base!$B$10,0))*parametros_manuales!$E$100+parametros_manuales!$E$34*(datos_base!$B$19+IF(parametros_manuales!$H$34="Todos",datos_base!$B$24,0))*parametros_manuales!$E$13+parametros_manuales!$F$34*(datos_base!$B$4+IF(parametros_manuales!$H$34="Todos",datos_base!$B$11,0))*parametros_manuales!$E$105+parametros_manuales!$F$34*(datos_base!$B$20+IF(parametros_manuales!$H$34="Todos",datos_base!$B$25,0))*parametros_manuales!$E$14+parametros_manuales!$G$34*(datos_base!$B$5+IF(parametros_manuales!$H$34="Todos",datos_base!$B$12,0))*parametros_manuales!$E$110+parametros_manuales!$G$34*(datos_base!$B$21+IF(parametros_manuales!$H$34="Todos",datos_base!$B$26,0))*parametros_manuales!$E$15)*parametros_manuales!$I$34*parametros_manuales!$J$34</f>
        <v>540.57934864205</v>
      </c>
      <c r="F17" s="9" t="n">
        <f aca="false">(parametros_manuales!$D$34*(datos_base!$B$2+IF(parametros_manuales!$H$34="Todos",datos_base!$B$9,0))*parametros_manuales!$F$95+parametros_manuales!$D$34*(datos_base!$B$18+IF(parametros_manuales!$H$34="Todos",datos_base!$B$23,0))*parametros_manuales!$F$12+parametros_manuales!$E$34*(datos_base!$B$3+IF(parametros_manuales!$H$34="Todos",datos_base!$B$10,0))*parametros_manuales!$F$100+parametros_manuales!$E$34*(datos_base!$B$19+IF(parametros_manuales!$H$34="Todos",datos_base!$B$24,0))*parametros_manuales!$F$13+parametros_manuales!$F$34*(datos_base!$B$4+IF(parametros_manuales!$H$34="Todos",datos_base!$B$11,0))*parametros_manuales!$F$105+parametros_manuales!$F$34*(datos_base!$B$20+IF(parametros_manuales!$H$34="Todos",datos_base!$B$25,0))*parametros_manuales!$F$14+parametros_manuales!$G$34*(datos_base!$B$5+IF(parametros_manuales!$H$34="Todos",datos_base!$B$12,0))*parametros_manuales!$F$110+parametros_manuales!$G$34*(datos_base!$B$21+IF(parametros_manuales!$H$34="Todos",datos_base!$B$26,0))*parametros_manuales!$F$15)*parametros_manuales!$I$34*parametros_manuales!$J$34</f>
        <v>506.3224831084</v>
      </c>
      <c r="G17" s="9" t="n">
        <f aca="false">(parametros_manuales!$D$34*(datos_base!$B$2+IF(parametros_manuales!$H$34="Todos",datos_base!$B$9,0))*parametros_manuales!$G$95+parametros_manuales!$D$34*(datos_base!$B$18+IF(parametros_manuales!$H$34="Todos",datos_base!$B$23,0))*parametros_manuales!$G$12+parametros_manuales!$E$34*(datos_base!$B$3+IF(parametros_manuales!$H$34="Todos",datos_base!$B$10,0))*parametros_manuales!$G$100+parametros_manuales!$E$34*(datos_base!$B$19+IF(parametros_manuales!$H$34="Todos",datos_base!$B$24,0))*parametros_manuales!$G$13+parametros_manuales!$F$34*(datos_base!$B$4+IF(parametros_manuales!$H$34="Todos",datos_base!$B$11,0))*parametros_manuales!$G$105+parametros_manuales!$F$34*(datos_base!$B$20+IF(parametros_manuales!$H$34="Todos",datos_base!$B$25,0))*parametros_manuales!$G$14+parametros_manuales!$G$34*(datos_base!$B$5+IF(parametros_manuales!$H$34="Todos",datos_base!$B$12,0))*parametros_manuales!$G$110+parametros_manuales!$G$34*(datos_base!$B$21+IF(parametros_manuales!$H$34="Todos",datos_base!$B$26,0))*parametros_manuales!$G$15)*parametros_manuales!$I$34*parametros_manuales!$J$34</f>
        <v>492.95930028975</v>
      </c>
      <c r="H17" s="9" t="n">
        <f aca="false">(parametros_manuales!$D$34*(datos_base!$B$2+IF(parametros_manuales!$H$34="Todos",datos_base!$B$9,0))*parametros_manuales!$H$95+parametros_manuales!$D$34*(datos_base!$B$18+IF(parametros_manuales!$H$34="Todos",datos_base!$B$23,0))*parametros_manuales!$H$12+parametros_manuales!$E$34*(datos_base!$B$3+IF(parametros_manuales!$H$34="Todos",datos_base!$B$10,0))*parametros_manuales!$H$100+parametros_manuales!$E$34*(datos_base!$B$19+IF(parametros_manuales!$H$34="Todos",datos_base!$B$24,0))*parametros_manuales!$H$13+parametros_manuales!$F$34*(datos_base!$B$4+IF(parametros_manuales!$H$34="Todos",datos_base!$B$11,0))*parametros_manuales!$H$105+parametros_manuales!$F$34*(datos_base!$B$20+IF(parametros_manuales!$H$34="Todos",datos_base!$B$25,0))*parametros_manuales!$H$14+parametros_manuales!$G$34*(datos_base!$B$5+IF(parametros_manuales!$H$34="Todos",datos_base!$B$12,0))*parametros_manuales!$H$110+parametros_manuales!$G$34*(datos_base!$B$21+IF(parametros_manuales!$H$34="Todos",datos_base!$B$26,0))*parametros_manuales!$H$15)*parametros_manuales!$I$34*parametros_manuales!$J$34</f>
        <v>527.2161658234</v>
      </c>
      <c r="I17" s="9" t="n">
        <f aca="false">(parametros_manuales!$D$34*(datos_base!$B$2+IF(parametros_manuales!$H$34="Todos",datos_base!$B$9,0))*parametros_manuales!$I$95+parametros_manuales!$D$34*(datos_base!$B$18+IF(parametros_manuales!$H$34="Todos",datos_base!$B$23,0))*parametros_manuales!$I$12+parametros_manuales!$E$34*(datos_base!$B$3+IF(parametros_manuales!$H$34="Todos",datos_base!$B$10,0))*parametros_manuales!$I$100+parametros_manuales!$E$34*(datos_base!$B$19+IF(parametros_manuales!$H$34="Todos",datos_base!$B$24,0))*parametros_manuales!$I$13+parametros_manuales!$F$34*(datos_base!$B$4+IF(parametros_manuales!$H$34="Todos",datos_base!$B$11,0))*parametros_manuales!$I$105+parametros_manuales!$F$34*(datos_base!$B$20+IF(parametros_manuales!$H$34="Todos",datos_base!$B$25,0))*parametros_manuales!$I$14+parametros_manuales!$G$34*(datos_base!$B$5+IF(parametros_manuales!$H$34="Todos",datos_base!$B$12,0))*parametros_manuales!$I$110+parametros_manuales!$G$34*(datos_base!$B$21+IF(parametros_manuales!$H$34="Todos",datos_base!$B$26,0))*parametros_manuales!$I$15)*parametros_manuales!$I$34*parametros_manuales!$J$34</f>
        <v>589.8972139684</v>
      </c>
      <c r="J17" s="9" t="n">
        <f aca="false">(parametros_manuales!$D$34*(datos_base!$B$2+IF(parametros_manuales!$H$34="Todos",datos_base!$B$9,0))*parametros_manuales!$J$95+parametros_manuales!$D$34*(datos_base!$B$18+IF(parametros_manuales!$H$34="Todos",datos_base!$B$23,0))*parametros_manuales!$J$12+parametros_manuales!$E$34*(datos_base!$B$3+IF(parametros_manuales!$H$34="Todos",datos_base!$B$10,0))*parametros_manuales!$J$100+parametros_manuales!$E$34*(datos_base!$B$19+IF(parametros_manuales!$H$34="Todos",datos_base!$B$24,0))*parametros_manuales!$J$13+parametros_manuales!$F$34*(datos_base!$B$4+IF(parametros_manuales!$H$34="Todos",datos_base!$B$11,0))*parametros_manuales!$J$105+parametros_manuales!$F$34*(datos_base!$B$20+IF(parametros_manuales!$H$34="Todos",datos_base!$B$25,0))*parametros_manuales!$J$14+parametros_manuales!$G$34*(datos_base!$B$5+IF(parametros_manuales!$H$34="Todos",datos_base!$B$12,0))*parametros_manuales!$J$110+parametros_manuales!$G$34*(datos_base!$B$21+IF(parametros_manuales!$H$34="Todos",datos_base!$B$26,0))*parametros_manuales!$J$15)*parametros_manuales!$I$34*parametros_manuales!$J$34</f>
        <v>589.8972139684</v>
      </c>
      <c r="K17" s="9" t="n">
        <f aca="false">(parametros_manuales!$D$34*(datos_base!$B$2+IF(parametros_manuales!$H$34="Todos",datos_base!$B$9,0))*parametros_manuales!$K$95+parametros_manuales!$D$34*(datos_base!$B$18+IF(parametros_manuales!$H$34="Todos",datos_base!$B$23,0))*parametros_manuales!$K$12+parametros_manuales!$E$34*(datos_base!$B$3+IF(parametros_manuales!$H$34="Todos",datos_base!$B$10,0))*parametros_manuales!$K$100+parametros_manuales!$E$34*(datos_base!$B$19+IF(parametros_manuales!$H$34="Todos",datos_base!$B$24,0))*parametros_manuales!$K$13+parametros_manuales!$F$34*(datos_base!$B$4+IF(parametros_manuales!$H$34="Todos",datos_base!$B$11,0))*parametros_manuales!$K$105+parametros_manuales!$F$34*(datos_base!$B$20+IF(parametros_manuales!$H$34="Todos",datos_base!$B$25,0))*parametros_manuales!$K$14+parametros_manuales!$G$34*(datos_base!$B$5+IF(parametros_manuales!$H$34="Todos",datos_base!$B$12,0))*parametros_manuales!$K$110+parametros_manuales!$G$34*(datos_base!$B$21+IF(parametros_manuales!$H$34="Todos",datos_base!$B$26,0))*parametros_manuales!$K$15)*parametros_manuales!$I$34*parametros_manuales!$J$34</f>
        <v>602.96039678705</v>
      </c>
      <c r="L17" s="9" t="n">
        <f aca="false">(parametros_manuales!$D$34*(datos_base!$B$2+IF(parametros_manuales!$H$34="Todos",datos_base!$B$9,0))*parametros_manuales!$L$95+parametros_manuales!$D$34*(datos_base!$B$18+IF(parametros_manuales!$H$34="Todos",datos_base!$B$23,0))*parametros_manuales!$L$12+parametros_manuales!$E$34*(datos_base!$B$3+IF(parametros_manuales!$H$34="Todos",datos_base!$B$10,0))*parametros_manuales!$L$100+parametros_manuales!$E$34*(datos_base!$B$19+IF(parametros_manuales!$H$34="Todos",datos_base!$B$24,0))*parametros_manuales!$L$13+parametros_manuales!$F$34*(datos_base!$B$4+IF(parametros_manuales!$H$34="Todos",datos_base!$B$11,0))*parametros_manuales!$L$105+parametros_manuales!$F$34*(datos_base!$B$20+IF(parametros_manuales!$H$34="Todos",datos_base!$B$25,0))*parametros_manuales!$L$14+parametros_manuales!$G$34*(datos_base!$B$5+IF(parametros_manuales!$H$34="Todos",datos_base!$B$12,0))*parametros_manuales!$L$110+parametros_manuales!$G$34*(datos_base!$B$21+IF(parametros_manuales!$H$34="Todos",datos_base!$B$26,0))*parametros_manuales!$L$15)*parametros_manuales!$I$34*parametros_manuales!$J$34</f>
        <v>616.0235796057</v>
      </c>
      <c r="M17" s="9" t="n">
        <f aca="false">(parametros_manuales!$D$34*(datos_base!$B$2+IF(parametros_manuales!$H$34="Todos",datos_base!$B$9,0))*parametros_manuales!$M$95+parametros_manuales!$D$34*(datos_base!$B$18+IF(parametros_manuales!$H$34="Todos",datos_base!$B$23,0))*parametros_manuales!$M$12+parametros_manuales!$E$34*(datos_base!$B$3+IF(parametros_manuales!$H$34="Todos",datos_base!$B$10,0))*parametros_manuales!$M$100+parametros_manuales!$E$34*(datos_base!$B$19+IF(parametros_manuales!$H$34="Todos",datos_base!$B$24,0))*parametros_manuales!$M$13+parametros_manuales!$F$34*(datos_base!$B$4+IF(parametros_manuales!$H$34="Todos",datos_base!$B$11,0))*parametros_manuales!$M$105+parametros_manuales!$F$34*(datos_base!$B$20+IF(parametros_manuales!$H$34="Todos",datos_base!$B$25,0))*parametros_manuales!$M$14+parametros_manuales!$G$34*(datos_base!$B$5+IF(parametros_manuales!$H$34="Todos",datos_base!$B$12,0))*parametros_manuales!$M$110+parametros_manuales!$G$34*(datos_base!$B$21+IF(parametros_manuales!$H$34="Todos",datos_base!$B$26,0))*parametros_manuales!$M$15)*parametros_manuales!$I$34*parametros_manuales!$J$34</f>
        <v>617.2235796057</v>
      </c>
      <c r="N17" s="9" t="n">
        <f aca="false">SUM(B17:M17)</f>
        <v>6851.37310673</v>
      </c>
      <c r="O17" s="9" t="n">
        <f aca="false">MAX(B17:M17)</f>
        <v>617.2235796057</v>
      </c>
      <c r="P17" s="44" t="n">
        <f aca="false">O17/(parametros_manuales!$B$7)</f>
        <v>4.114823864038</v>
      </c>
      <c r="Q17" s="8" t="str">
        <f aca="false">IF(O17=0,"-",INDEX($B$1:$M$1,MATCH(O17,B17:M17,0)))</f>
        <v>Dic</v>
      </c>
    </row>
    <row r="18" customFormat="false" ht="14.25" hidden="false" customHeight="true" outlineLevel="0" collapsed="false">
      <c r="A18" s="8" t="str">
        <f aca="false">parametros_manuales!$B$35</f>
        <v>Detección de defectos</v>
      </c>
      <c r="B18" s="9" t="n">
        <f aca="false">(parametros_manuales!$D$35*(datos_base!$B$2+IF(parametros_manuales!$H$35="Todos",datos_base!$B$9,0))*parametros_manuales!$B$95+parametros_manuales!$D$35*(datos_base!$B$18+IF(parametros_manuales!$H$35="Todos",datos_base!$B$23,0))*parametros_manuales!$B$12+parametros_manuales!$E$35*(datos_base!$B$3+IF(parametros_manuales!$H$35="Todos",datos_base!$B$10,0))*parametros_manuales!$B$100+parametros_manuales!$E$35*(datos_base!$B$19+IF(parametros_manuales!$H$35="Todos",datos_base!$B$24,0))*parametros_manuales!$B$13+parametros_manuales!$F$35*(datos_base!$B$4+IF(parametros_manuales!$H$35="Todos",datos_base!$B$11,0))*parametros_manuales!$B$105+parametros_manuales!$F$35*(datos_base!$B$20+IF(parametros_manuales!$H$35="Todos",datos_base!$B$25,0))*parametros_manuales!$B$14+parametros_manuales!$G$35*(datos_base!$B$5+IF(parametros_manuales!$H$35="Todos",datos_base!$B$12,0))*parametros_manuales!$B$110+parametros_manuales!$G$35*(datos_base!$B$21+IF(parametros_manuales!$H$35="Todos",datos_base!$B$26,0))*parametros_manuales!$B$15)*parametros_manuales!$I$35*parametros_manuales!$J$35</f>
        <v>616.9235796057</v>
      </c>
      <c r="C18" s="9" t="n">
        <f aca="false">(parametros_manuales!$D$35*(datos_base!$B$2+IF(parametros_manuales!$H$35="Todos",datos_base!$B$9,0))*parametros_manuales!$C$95+parametros_manuales!$D$35*(datos_base!$B$18+IF(parametros_manuales!$H$35="Todos",datos_base!$B$23,0))*parametros_manuales!$C$12+parametros_manuales!$E$35*(datos_base!$B$3+IF(parametros_manuales!$H$35="Todos",datos_base!$B$10,0))*parametros_manuales!$C$100+parametros_manuales!$E$35*(datos_base!$B$19+IF(parametros_manuales!$H$35="Todos",datos_base!$B$24,0))*parametros_manuales!$C$13+parametros_manuales!$F$35*(datos_base!$B$4+IF(parametros_manuales!$H$35="Todos",datos_base!$B$11,0))*parametros_manuales!$C$105+parametros_manuales!$F$35*(datos_base!$B$20+IF(parametros_manuales!$H$35="Todos",datos_base!$B$25,0))*parametros_manuales!$C$14+parametros_manuales!$G$35*(datos_base!$B$5+IF(parametros_manuales!$H$35="Todos",datos_base!$B$12,0))*parametros_manuales!$C$110+parametros_manuales!$G$35*(datos_base!$B$21+IF(parametros_manuales!$H$35="Todos",datos_base!$B$26,0))*parametros_manuales!$C$15)*parametros_manuales!$I$35*parametros_manuales!$J$35</f>
        <v>589.8972139684</v>
      </c>
      <c r="D18" s="9" t="n">
        <f aca="false">(parametros_manuales!$D$35*(datos_base!$B$2+IF(parametros_manuales!$H$35="Todos",datos_base!$B$9,0))*parametros_manuales!$D$95+parametros_manuales!$D$35*(datos_base!$B$18+IF(parametros_manuales!$H$35="Todos",datos_base!$B$23,0))*parametros_manuales!$D$12+parametros_manuales!$E$35*(datos_base!$B$3+IF(parametros_manuales!$H$35="Todos",datos_base!$B$10,0))*parametros_manuales!$D$100+parametros_manuales!$E$35*(datos_base!$B$19+IF(parametros_manuales!$H$35="Todos",datos_base!$B$24,0))*parametros_manuales!$D$13+parametros_manuales!$F$35*(datos_base!$B$4+IF(parametros_manuales!$H$35="Todos",datos_base!$B$11,0))*parametros_manuales!$D$105+parametros_manuales!$F$35*(datos_base!$B$20+IF(parametros_manuales!$H$35="Todos",datos_base!$B$25,0))*parametros_manuales!$D$14+parametros_manuales!$G$35*(datos_base!$B$5+IF(parametros_manuales!$H$35="Todos",datos_base!$B$12,0))*parametros_manuales!$D$110+parametros_manuales!$G$35*(datos_base!$B$21+IF(parametros_manuales!$H$35="Todos",datos_base!$B$26,0))*parametros_manuales!$D$15)*parametros_manuales!$I$35*parametros_manuales!$J$35</f>
        <v>561.47303135705</v>
      </c>
      <c r="E18" s="9" t="n">
        <f aca="false">(parametros_manuales!$D$35*(datos_base!$B$2+IF(parametros_manuales!$H$35="Todos",datos_base!$B$9,0))*parametros_manuales!$E$95+parametros_manuales!$D$35*(datos_base!$B$18+IF(parametros_manuales!$H$35="Todos",datos_base!$B$23,0))*parametros_manuales!$E$12+parametros_manuales!$E$35*(datos_base!$B$3+IF(parametros_manuales!$H$35="Todos",datos_base!$B$10,0))*parametros_manuales!$E$100+parametros_manuales!$E$35*(datos_base!$B$19+IF(parametros_manuales!$H$35="Todos",datos_base!$B$24,0))*parametros_manuales!$E$13+parametros_manuales!$F$35*(datos_base!$B$4+IF(parametros_manuales!$H$35="Todos",datos_base!$B$11,0))*parametros_manuales!$E$105+parametros_manuales!$F$35*(datos_base!$B$20+IF(parametros_manuales!$H$35="Todos",datos_base!$B$25,0))*parametros_manuales!$E$14+parametros_manuales!$G$35*(datos_base!$B$5+IF(parametros_manuales!$H$35="Todos",datos_base!$B$12,0))*parametros_manuales!$E$110+parametros_manuales!$G$35*(datos_base!$B$21+IF(parametros_manuales!$H$35="Todos",datos_base!$B$26,0))*parametros_manuales!$E$15)*parametros_manuales!$I$35*parametros_manuales!$J$35</f>
        <v>540.57934864205</v>
      </c>
      <c r="F18" s="9" t="n">
        <f aca="false">(parametros_manuales!$D$35*(datos_base!$B$2+IF(parametros_manuales!$H$35="Todos",datos_base!$B$9,0))*parametros_manuales!$F$95+parametros_manuales!$D$35*(datos_base!$B$18+IF(parametros_manuales!$H$35="Todos",datos_base!$B$23,0))*parametros_manuales!$F$12+parametros_manuales!$E$35*(datos_base!$B$3+IF(parametros_manuales!$H$35="Todos",datos_base!$B$10,0))*parametros_manuales!$F$100+parametros_manuales!$E$35*(datos_base!$B$19+IF(parametros_manuales!$H$35="Todos",datos_base!$B$24,0))*parametros_manuales!$F$13+parametros_manuales!$F$35*(datos_base!$B$4+IF(parametros_manuales!$H$35="Todos",datos_base!$B$11,0))*parametros_manuales!$F$105+parametros_manuales!$F$35*(datos_base!$B$20+IF(parametros_manuales!$H$35="Todos",datos_base!$B$25,0))*parametros_manuales!$F$14+parametros_manuales!$G$35*(datos_base!$B$5+IF(parametros_manuales!$H$35="Todos",datos_base!$B$12,0))*parametros_manuales!$F$110+parametros_manuales!$G$35*(datos_base!$B$21+IF(parametros_manuales!$H$35="Todos",datos_base!$B$26,0))*parametros_manuales!$F$15)*parametros_manuales!$I$35*parametros_manuales!$J$35</f>
        <v>506.3224831084</v>
      </c>
      <c r="G18" s="9" t="n">
        <f aca="false">(parametros_manuales!$D$35*(datos_base!$B$2+IF(parametros_manuales!$H$35="Todos",datos_base!$B$9,0))*parametros_manuales!$G$95+parametros_manuales!$D$35*(datos_base!$B$18+IF(parametros_manuales!$H$35="Todos",datos_base!$B$23,0))*parametros_manuales!$G$12+parametros_manuales!$E$35*(datos_base!$B$3+IF(parametros_manuales!$H$35="Todos",datos_base!$B$10,0))*parametros_manuales!$G$100+parametros_manuales!$E$35*(datos_base!$B$19+IF(parametros_manuales!$H$35="Todos",datos_base!$B$24,0))*parametros_manuales!$G$13+parametros_manuales!$F$35*(datos_base!$B$4+IF(parametros_manuales!$H$35="Todos",datos_base!$B$11,0))*parametros_manuales!$G$105+parametros_manuales!$F$35*(datos_base!$B$20+IF(parametros_manuales!$H$35="Todos",datos_base!$B$25,0))*parametros_manuales!$G$14+parametros_manuales!$G$35*(datos_base!$B$5+IF(parametros_manuales!$H$35="Todos",datos_base!$B$12,0))*parametros_manuales!$G$110+parametros_manuales!$G$35*(datos_base!$B$21+IF(parametros_manuales!$H$35="Todos",datos_base!$B$26,0))*parametros_manuales!$G$15)*parametros_manuales!$I$35*parametros_manuales!$J$35</f>
        <v>492.95930028975</v>
      </c>
      <c r="H18" s="9" t="n">
        <f aca="false">(parametros_manuales!$D$35*(datos_base!$B$2+IF(parametros_manuales!$H$35="Todos",datos_base!$B$9,0))*parametros_manuales!$H$95+parametros_manuales!$D$35*(datos_base!$B$18+IF(parametros_manuales!$H$35="Todos",datos_base!$B$23,0))*parametros_manuales!$H$12+parametros_manuales!$E$35*(datos_base!$B$3+IF(parametros_manuales!$H$35="Todos",datos_base!$B$10,0))*parametros_manuales!$H$100+parametros_manuales!$E$35*(datos_base!$B$19+IF(parametros_manuales!$H$35="Todos",datos_base!$B$24,0))*parametros_manuales!$H$13+parametros_manuales!$F$35*(datos_base!$B$4+IF(parametros_manuales!$H$35="Todos",datos_base!$B$11,0))*parametros_manuales!$H$105+parametros_manuales!$F$35*(datos_base!$B$20+IF(parametros_manuales!$H$35="Todos",datos_base!$B$25,0))*parametros_manuales!$H$14+parametros_manuales!$G$35*(datos_base!$B$5+IF(parametros_manuales!$H$35="Todos",datos_base!$B$12,0))*parametros_manuales!$H$110+parametros_manuales!$G$35*(datos_base!$B$21+IF(parametros_manuales!$H$35="Todos",datos_base!$B$26,0))*parametros_manuales!$H$15)*parametros_manuales!$I$35*parametros_manuales!$J$35</f>
        <v>527.2161658234</v>
      </c>
      <c r="I18" s="9" t="n">
        <f aca="false">(parametros_manuales!$D$35*(datos_base!$B$2+IF(parametros_manuales!$H$35="Todos",datos_base!$B$9,0))*parametros_manuales!$I$95+parametros_manuales!$D$35*(datos_base!$B$18+IF(parametros_manuales!$H$35="Todos",datos_base!$B$23,0))*parametros_manuales!$I$12+parametros_manuales!$E$35*(datos_base!$B$3+IF(parametros_manuales!$H$35="Todos",datos_base!$B$10,0))*parametros_manuales!$I$100+parametros_manuales!$E$35*(datos_base!$B$19+IF(parametros_manuales!$H$35="Todos",datos_base!$B$24,0))*parametros_manuales!$I$13+parametros_manuales!$F$35*(datos_base!$B$4+IF(parametros_manuales!$H$35="Todos",datos_base!$B$11,0))*parametros_manuales!$I$105+parametros_manuales!$F$35*(datos_base!$B$20+IF(parametros_manuales!$H$35="Todos",datos_base!$B$25,0))*parametros_manuales!$I$14+parametros_manuales!$G$35*(datos_base!$B$5+IF(parametros_manuales!$H$35="Todos",datos_base!$B$12,0))*parametros_manuales!$I$110+parametros_manuales!$G$35*(datos_base!$B$21+IF(parametros_manuales!$H$35="Todos",datos_base!$B$26,0))*parametros_manuales!$I$15)*parametros_manuales!$I$35*parametros_manuales!$J$35</f>
        <v>589.8972139684</v>
      </c>
      <c r="J18" s="9" t="n">
        <f aca="false">(parametros_manuales!$D$35*(datos_base!$B$2+IF(parametros_manuales!$H$35="Todos",datos_base!$B$9,0))*parametros_manuales!$J$95+parametros_manuales!$D$35*(datos_base!$B$18+IF(parametros_manuales!$H$35="Todos",datos_base!$B$23,0))*parametros_manuales!$J$12+parametros_manuales!$E$35*(datos_base!$B$3+IF(parametros_manuales!$H$35="Todos",datos_base!$B$10,0))*parametros_manuales!$J$100+parametros_manuales!$E$35*(datos_base!$B$19+IF(parametros_manuales!$H$35="Todos",datos_base!$B$24,0))*parametros_manuales!$J$13+parametros_manuales!$F$35*(datos_base!$B$4+IF(parametros_manuales!$H$35="Todos",datos_base!$B$11,0))*parametros_manuales!$J$105+parametros_manuales!$F$35*(datos_base!$B$20+IF(parametros_manuales!$H$35="Todos",datos_base!$B$25,0))*parametros_manuales!$J$14+parametros_manuales!$G$35*(datos_base!$B$5+IF(parametros_manuales!$H$35="Todos",datos_base!$B$12,0))*parametros_manuales!$J$110+parametros_manuales!$G$35*(datos_base!$B$21+IF(parametros_manuales!$H$35="Todos",datos_base!$B$26,0))*parametros_manuales!$J$15)*parametros_manuales!$I$35*parametros_manuales!$J$35</f>
        <v>589.8972139684</v>
      </c>
      <c r="K18" s="9" t="n">
        <f aca="false">(parametros_manuales!$D$35*(datos_base!$B$2+IF(parametros_manuales!$H$35="Todos",datos_base!$B$9,0))*parametros_manuales!$K$95+parametros_manuales!$D$35*(datos_base!$B$18+IF(parametros_manuales!$H$35="Todos",datos_base!$B$23,0))*parametros_manuales!$K$12+parametros_manuales!$E$35*(datos_base!$B$3+IF(parametros_manuales!$H$35="Todos",datos_base!$B$10,0))*parametros_manuales!$K$100+parametros_manuales!$E$35*(datos_base!$B$19+IF(parametros_manuales!$H$35="Todos",datos_base!$B$24,0))*parametros_manuales!$K$13+parametros_manuales!$F$35*(datos_base!$B$4+IF(parametros_manuales!$H$35="Todos",datos_base!$B$11,0))*parametros_manuales!$K$105+parametros_manuales!$F$35*(datos_base!$B$20+IF(parametros_manuales!$H$35="Todos",datos_base!$B$25,0))*parametros_manuales!$K$14+parametros_manuales!$G$35*(datos_base!$B$5+IF(parametros_manuales!$H$35="Todos",datos_base!$B$12,0))*parametros_manuales!$K$110+parametros_manuales!$G$35*(datos_base!$B$21+IF(parametros_manuales!$H$35="Todos",datos_base!$B$26,0))*parametros_manuales!$K$15)*parametros_manuales!$I$35*parametros_manuales!$J$35</f>
        <v>602.96039678705</v>
      </c>
      <c r="L18" s="9" t="n">
        <f aca="false">(parametros_manuales!$D$35*(datos_base!$B$2+IF(parametros_manuales!$H$35="Todos",datos_base!$B$9,0))*parametros_manuales!$L$95+parametros_manuales!$D$35*(datos_base!$B$18+IF(parametros_manuales!$H$35="Todos",datos_base!$B$23,0))*parametros_manuales!$L$12+parametros_manuales!$E$35*(datos_base!$B$3+IF(parametros_manuales!$H$35="Todos",datos_base!$B$10,0))*parametros_manuales!$L$100+parametros_manuales!$E$35*(datos_base!$B$19+IF(parametros_manuales!$H$35="Todos",datos_base!$B$24,0))*parametros_manuales!$L$13+parametros_manuales!$F$35*(datos_base!$B$4+IF(parametros_manuales!$H$35="Todos",datos_base!$B$11,0))*parametros_manuales!$L$105+parametros_manuales!$F$35*(datos_base!$B$20+IF(parametros_manuales!$H$35="Todos",datos_base!$B$25,0))*parametros_manuales!$L$14+parametros_manuales!$G$35*(datos_base!$B$5+IF(parametros_manuales!$H$35="Todos",datos_base!$B$12,0))*parametros_manuales!$L$110+parametros_manuales!$G$35*(datos_base!$B$21+IF(parametros_manuales!$H$35="Todos",datos_base!$B$26,0))*parametros_manuales!$L$15)*parametros_manuales!$I$35*parametros_manuales!$J$35</f>
        <v>616.0235796057</v>
      </c>
      <c r="M18" s="9" t="n">
        <f aca="false">(parametros_manuales!$D$35*(datos_base!$B$2+IF(parametros_manuales!$H$35="Todos",datos_base!$B$9,0))*parametros_manuales!$M$95+parametros_manuales!$D$35*(datos_base!$B$18+IF(parametros_manuales!$H$35="Todos",datos_base!$B$23,0))*parametros_manuales!$M$12+parametros_manuales!$E$35*(datos_base!$B$3+IF(parametros_manuales!$H$35="Todos",datos_base!$B$10,0))*parametros_manuales!$M$100+parametros_manuales!$E$35*(datos_base!$B$19+IF(parametros_manuales!$H$35="Todos",datos_base!$B$24,0))*parametros_manuales!$M$13+parametros_manuales!$F$35*(datos_base!$B$4+IF(parametros_manuales!$H$35="Todos",datos_base!$B$11,0))*parametros_manuales!$M$105+parametros_manuales!$F$35*(datos_base!$B$20+IF(parametros_manuales!$H$35="Todos",datos_base!$B$25,0))*parametros_manuales!$M$14+parametros_manuales!$G$35*(datos_base!$B$5+IF(parametros_manuales!$H$35="Todos",datos_base!$B$12,0))*parametros_manuales!$M$110+parametros_manuales!$G$35*(datos_base!$B$21+IF(parametros_manuales!$H$35="Todos",datos_base!$B$26,0))*parametros_manuales!$M$15)*parametros_manuales!$I$35*parametros_manuales!$J$35</f>
        <v>617.2235796057</v>
      </c>
      <c r="N18" s="9" t="n">
        <f aca="false">SUM(B18:M18)</f>
        <v>6851.37310673</v>
      </c>
      <c r="O18" s="9" t="n">
        <f aca="false">MAX(B18:M18)</f>
        <v>617.2235796057</v>
      </c>
      <c r="P18" s="44" t="n">
        <f aca="false">O18/(parametros_manuales!$B$7)</f>
        <v>4.114823864038</v>
      </c>
      <c r="Q18" s="8" t="str">
        <f aca="false">IF(O18=0,"-",INDEX($B$1:$M$1,MATCH(O18,B18:M18,0)))</f>
        <v>Dic</v>
      </c>
    </row>
    <row r="19" customFormat="false" ht="14.25" hidden="false" customHeight="true" outlineLevel="0" collapsed="false">
      <c r="A19" s="8" t="str">
        <f aca="false">parametros_manuales!$B$36</f>
        <v>Corrección de defectos</v>
      </c>
      <c r="B19" s="9" t="n">
        <f aca="false">(parametros_manuales!$D$36*(datos_base!$B$2+IF(parametros_manuales!$H$36="Todos",datos_base!$B$9,0))*parametros_manuales!$B$95+parametros_manuales!$D$36*(datos_base!$B$18+IF(parametros_manuales!$H$36="Todos",datos_base!$B$23,0))*parametros_manuales!$B$12+parametros_manuales!$E$36*(datos_base!$B$3+IF(parametros_manuales!$H$36="Todos",datos_base!$B$10,0))*parametros_manuales!$B$100+parametros_manuales!$E$36*(datos_base!$B$19+IF(parametros_manuales!$H$36="Todos",datos_base!$B$24,0))*parametros_manuales!$B$13+parametros_manuales!$F$36*(datos_base!$B$4+IF(parametros_manuales!$H$36="Todos",datos_base!$B$11,0))*parametros_manuales!$B$105+parametros_manuales!$F$36*(datos_base!$B$20+IF(parametros_manuales!$H$36="Todos",datos_base!$B$25,0))*parametros_manuales!$B$14+parametros_manuales!$G$36*(datos_base!$B$5+IF(parametros_manuales!$H$36="Todos",datos_base!$B$12,0))*parametros_manuales!$B$110+parametros_manuales!$G$36*(datos_base!$B$21+IF(parametros_manuales!$H$36="Todos",datos_base!$B$26,0))*parametros_manuales!$B$15)*parametros_manuales!$I$36*parametros_manuales!$J$36</f>
        <v>30.846178980285</v>
      </c>
      <c r="C19" s="9" t="n">
        <f aca="false">(parametros_manuales!$D$36*(datos_base!$B$2+IF(parametros_manuales!$H$36="Todos",datos_base!$B$9,0))*parametros_manuales!$C$95+parametros_manuales!$D$36*(datos_base!$B$18+IF(parametros_manuales!$H$36="Todos",datos_base!$B$23,0))*parametros_manuales!$C$12+parametros_manuales!$E$36*(datos_base!$B$3+IF(parametros_manuales!$H$36="Todos",datos_base!$B$10,0))*parametros_manuales!$C$100+parametros_manuales!$E$36*(datos_base!$B$19+IF(parametros_manuales!$H$36="Todos",datos_base!$B$24,0))*parametros_manuales!$C$13+parametros_manuales!$F$36*(datos_base!$B$4+IF(parametros_manuales!$H$36="Todos",datos_base!$B$11,0))*parametros_manuales!$C$105+parametros_manuales!$F$36*(datos_base!$B$20+IF(parametros_manuales!$H$36="Todos",datos_base!$B$25,0))*parametros_manuales!$C$14+parametros_manuales!$G$36*(datos_base!$B$5+IF(parametros_manuales!$H$36="Todos",datos_base!$B$12,0))*parametros_manuales!$C$110+parametros_manuales!$G$36*(datos_base!$B$21+IF(parametros_manuales!$H$36="Todos",datos_base!$B$26,0))*parametros_manuales!$C$15)*parametros_manuales!$I$36*parametros_manuales!$J$36</f>
        <v>29.49486069842</v>
      </c>
      <c r="D19" s="9" t="n">
        <f aca="false">(parametros_manuales!$D$36*(datos_base!$B$2+IF(parametros_manuales!$H$36="Todos",datos_base!$B$9,0))*parametros_manuales!$D$95+parametros_manuales!$D$36*(datos_base!$B$18+IF(parametros_manuales!$H$36="Todos",datos_base!$B$23,0))*parametros_manuales!$D$12+parametros_manuales!$E$36*(datos_base!$B$3+IF(parametros_manuales!$H$36="Todos",datos_base!$B$10,0))*parametros_manuales!$D$100+parametros_manuales!$E$36*(datos_base!$B$19+IF(parametros_manuales!$H$36="Todos",datos_base!$B$24,0))*parametros_manuales!$D$13+parametros_manuales!$F$36*(datos_base!$B$4+IF(parametros_manuales!$H$36="Todos",datos_base!$B$11,0))*parametros_manuales!$D$105+parametros_manuales!$F$36*(datos_base!$B$20+IF(parametros_manuales!$H$36="Todos",datos_base!$B$25,0))*parametros_manuales!$D$14+parametros_manuales!$G$36*(datos_base!$B$5+IF(parametros_manuales!$H$36="Todos",datos_base!$B$12,0))*parametros_manuales!$D$110+parametros_manuales!$G$36*(datos_base!$B$21+IF(parametros_manuales!$H$36="Todos",datos_base!$B$26,0))*parametros_manuales!$D$15)*parametros_manuales!$I$36*parametros_manuales!$J$36</f>
        <v>28.0736515678525</v>
      </c>
      <c r="E19" s="9" t="n">
        <f aca="false">(parametros_manuales!$D$36*(datos_base!$B$2+IF(parametros_manuales!$H$36="Todos",datos_base!$B$9,0))*parametros_manuales!$E$95+parametros_manuales!$D$36*(datos_base!$B$18+IF(parametros_manuales!$H$36="Todos",datos_base!$B$23,0))*parametros_manuales!$E$12+parametros_manuales!$E$36*(datos_base!$B$3+IF(parametros_manuales!$H$36="Todos",datos_base!$B$10,0))*parametros_manuales!$E$100+parametros_manuales!$E$36*(datos_base!$B$19+IF(parametros_manuales!$H$36="Todos",datos_base!$B$24,0))*parametros_manuales!$E$13+parametros_manuales!$F$36*(datos_base!$B$4+IF(parametros_manuales!$H$36="Todos",datos_base!$B$11,0))*parametros_manuales!$E$105+parametros_manuales!$F$36*(datos_base!$B$20+IF(parametros_manuales!$H$36="Todos",datos_base!$B$25,0))*parametros_manuales!$E$14+parametros_manuales!$G$36*(datos_base!$B$5+IF(parametros_manuales!$H$36="Todos",datos_base!$B$12,0))*parametros_manuales!$E$110+parametros_manuales!$G$36*(datos_base!$B$21+IF(parametros_manuales!$H$36="Todos",datos_base!$B$26,0))*parametros_manuales!$E$15)*parametros_manuales!$I$36*parametros_manuales!$J$36</f>
        <v>27.0289674321025</v>
      </c>
      <c r="F19" s="9" t="n">
        <f aca="false">(parametros_manuales!$D$36*(datos_base!$B$2+IF(parametros_manuales!$H$36="Todos",datos_base!$B$9,0))*parametros_manuales!$F$95+parametros_manuales!$D$36*(datos_base!$B$18+IF(parametros_manuales!$H$36="Todos",datos_base!$B$23,0))*parametros_manuales!$F$12+parametros_manuales!$E$36*(datos_base!$B$3+IF(parametros_manuales!$H$36="Todos",datos_base!$B$10,0))*parametros_manuales!$F$100+parametros_manuales!$E$36*(datos_base!$B$19+IF(parametros_manuales!$H$36="Todos",datos_base!$B$24,0))*parametros_manuales!$F$13+parametros_manuales!$F$36*(datos_base!$B$4+IF(parametros_manuales!$H$36="Todos",datos_base!$B$11,0))*parametros_manuales!$F$105+parametros_manuales!$F$36*(datos_base!$B$20+IF(parametros_manuales!$H$36="Todos",datos_base!$B$25,0))*parametros_manuales!$F$14+parametros_manuales!$G$36*(datos_base!$B$5+IF(parametros_manuales!$H$36="Todos",datos_base!$B$12,0))*parametros_manuales!$F$110+parametros_manuales!$G$36*(datos_base!$B$21+IF(parametros_manuales!$H$36="Todos",datos_base!$B$26,0))*parametros_manuales!$F$15)*parametros_manuales!$I$36*parametros_manuales!$J$36</f>
        <v>25.31612415542</v>
      </c>
      <c r="G19" s="9" t="n">
        <f aca="false">(parametros_manuales!$D$36*(datos_base!$B$2+IF(parametros_manuales!$H$36="Todos",datos_base!$B$9,0))*parametros_manuales!$G$95+parametros_manuales!$D$36*(datos_base!$B$18+IF(parametros_manuales!$H$36="Todos",datos_base!$B$23,0))*parametros_manuales!$G$12+parametros_manuales!$E$36*(datos_base!$B$3+IF(parametros_manuales!$H$36="Todos",datos_base!$B$10,0))*parametros_manuales!$G$100+parametros_manuales!$E$36*(datos_base!$B$19+IF(parametros_manuales!$H$36="Todos",datos_base!$B$24,0))*parametros_manuales!$G$13+parametros_manuales!$F$36*(datos_base!$B$4+IF(parametros_manuales!$H$36="Todos",datos_base!$B$11,0))*parametros_manuales!$G$105+parametros_manuales!$F$36*(datos_base!$B$20+IF(parametros_manuales!$H$36="Todos",datos_base!$B$25,0))*parametros_manuales!$G$14+parametros_manuales!$G$36*(datos_base!$B$5+IF(parametros_manuales!$H$36="Todos",datos_base!$B$12,0))*parametros_manuales!$G$110+parametros_manuales!$G$36*(datos_base!$B$21+IF(parametros_manuales!$H$36="Todos",datos_base!$B$26,0))*parametros_manuales!$G$15)*parametros_manuales!$I$36*parametros_manuales!$J$36</f>
        <v>24.6479650144875</v>
      </c>
      <c r="H19" s="9" t="n">
        <f aca="false">(parametros_manuales!$D$36*(datos_base!$B$2+IF(parametros_manuales!$H$36="Todos",datos_base!$B$9,0))*parametros_manuales!$H$95+parametros_manuales!$D$36*(datos_base!$B$18+IF(parametros_manuales!$H$36="Todos",datos_base!$B$23,0))*parametros_manuales!$H$12+parametros_manuales!$E$36*(datos_base!$B$3+IF(parametros_manuales!$H$36="Todos",datos_base!$B$10,0))*parametros_manuales!$H$100+parametros_manuales!$E$36*(datos_base!$B$19+IF(parametros_manuales!$H$36="Todos",datos_base!$B$24,0))*parametros_manuales!$H$13+parametros_manuales!$F$36*(datos_base!$B$4+IF(parametros_manuales!$H$36="Todos",datos_base!$B$11,0))*parametros_manuales!$H$105+parametros_manuales!$F$36*(datos_base!$B$20+IF(parametros_manuales!$H$36="Todos",datos_base!$B$25,0))*parametros_manuales!$H$14+parametros_manuales!$G$36*(datos_base!$B$5+IF(parametros_manuales!$H$36="Todos",datos_base!$B$12,0))*parametros_manuales!$H$110+parametros_manuales!$G$36*(datos_base!$B$21+IF(parametros_manuales!$H$36="Todos",datos_base!$B$26,0))*parametros_manuales!$H$15)*parametros_manuales!$I$36*parametros_manuales!$J$36</f>
        <v>26.36080829117</v>
      </c>
      <c r="I19" s="9" t="n">
        <f aca="false">(parametros_manuales!$D$36*(datos_base!$B$2+IF(parametros_manuales!$H$36="Todos",datos_base!$B$9,0))*parametros_manuales!$I$95+parametros_manuales!$D$36*(datos_base!$B$18+IF(parametros_manuales!$H$36="Todos",datos_base!$B$23,0))*parametros_manuales!$I$12+parametros_manuales!$E$36*(datos_base!$B$3+IF(parametros_manuales!$H$36="Todos",datos_base!$B$10,0))*parametros_manuales!$I$100+parametros_manuales!$E$36*(datos_base!$B$19+IF(parametros_manuales!$H$36="Todos",datos_base!$B$24,0))*parametros_manuales!$I$13+parametros_manuales!$F$36*(datos_base!$B$4+IF(parametros_manuales!$H$36="Todos",datos_base!$B$11,0))*parametros_manuales!$I$105+parametros_manuales!$F$36*(datos_base!$B$20+IF(parametros_manuales!$H$36="Todos",datos_base!$B$25,0))*parametros_manuales!$I$14+parametros_manuales!$G$36*(datos_base!$B$5+IF(parametros_manuales!$H$36="Todos",datos_base!$B$12,0))*parametros_manuales!$I$110+parametros_manuales!$G$36*(datos_base!$B$21+IF(parametros_manuales!$H$36="Todos",datos_base!$B$26,0))*parametros_manuales!$I$15)*parametros_manuales!$I$36*parametros_manuales!$J$36</f>
        <v>29.49486069842</v>
      </c>
      <c r="J19" s="9" t="n">
        <f aca="false">(parametros_manuales!$D$36*(datos_base!$B$2+IF(parametros_manuales!$H$36="Todos",datos_base!$B$9,0))*parametros_manuales!$J$95+parametros_manuales!$D$36*(datos_base!$B$18+IF(parametros_manuales!$H$36="Todos",datos_base!$B$23,0))*parametros_manuales!$J$12+parametros_manuales!$E$36*(datos_base!$B$3+IF(parametros_manuales!$H$36="Todos",datos_base!$B$10,0))*parametros_manuales!$J$100+parametros_manuales!$E$36*(datos_base!$B$19+IF(parametros_manuales!$H$36="Todos",datos_base!$B$24,0))*parametros_manuales!$J$13+parametros_manuales!$F$36*(datos_base!$B$4+IF(parametros_manuales!$H$36="Todos",datos_base!$B$11,0))*parametros_manuales!$J$105+parametros_manuales!$F$36*(datos_base!$B$20+IF(parametros_manuales!$H$36="Todos",datos_base!$B$25,0))*parametros_manuales!$J$14+parametros_manuales!$G$36*(datos_base!$B$5+IF(parametros_manuales!$H$36="Todos",datos_base!$B$12,0))*parametros_manuales!$J$110+parametros_manuales!$G$36*(datos_base!$B$21+IF(parametros_manuales!$H$36="Todos",datos_base!$B$26,0))*parametros_manuales!$J$15)*parametros_manuales!$I$36*parametros_manuales!$J$36</f>
        <v>29.49486069842</v>
      </c>
      <c r="K19" s="9" t="n">
        <f aca="false">(parametros_manuales!$D$36*(datos_base!$B$2+IF(parametros_manuales!$H$36="Todos",datos_base!$B$9,0))*parametros_manuales!$K$95+parametros_manuales!$D$36*(datos_base!$B$18+IF(parametros_manuales!$H$36="Todos",datos_base!$B$23,0))*parametros_manuales!$K$12+parametros_manuales!$E$36*(datos_base!$B$3+IF(parametros_manuales!$H$36="Todos",datos_base!$B$10,0))*parametros_manuales!$K$100+parametros_manuales!$E$36*(datos_base!$B$19+IF(parametros_manuales!$H$36="Todos",datos_base!$B$24,0))*parametros_manuales!$K$13+parametros_manuales!$F$36*(datos_base!$B$4+IF(parametros_manuales!$H$36="Todos",datos_base!$B$11,0))*parametros_manuales!$K$105+parametros_manuales!$F$36*(datos_base!$B$20+IF(parametros_manuales!$H$36="Todos",datos_base!$B$25,0))*parametros_manuales!$K$14+parametros_manuales!$G$36*(datos_base!$B$5+IF(parametros_manuales!$H$36="Todos",datos_base!$B$12,0))*parametros_manuales!$K$110+parametros_manuales!$G$36*(datos_base!$B$21+IF(parametros_manuales!$H$36="Todos",datos_base!$B$26,0))*parametros_manuales!$K$15)*parametros_manuales!$I$36*parametros_manuales!$J$36</f>
        <v>30.1480198393525</v>
      </c>
      <c r="L19" s="9" t="n">
        <f aca="false">(parametros_manuales!$D$36*(datos_base!$B$2+IF(parametros_manuales!$H$36="Todos",datos_base!$B$9,0))*parametros_manuales!$L$95+parametros_manuales!$D$36*(datos_base!$B$18+IF(parametros_manuales!$H$36="Todos",datos_base!$B$23,0))*parametros_manuales!$L$12+parametros_manuales!$E$36*(datos_base!$B$3+IF(parametros_manuales!$H$36="Todos",datos_base!$B$10,0))*parametros_manuales!$L$100+parametros_manuales!$E$36*(datos_base!$B$19+IF(parametros_manuales!$H$36="Todos",datos_base!$B$24,0))*parametros_manuales!$L$13+parametros_manuales!$F$36*(datos_base!$B$4+IF(parametros_manuales!$H$36="Todos",datos_base!$B$11,0))*parametros_manuales!$L$105+parametros_manuales!$F$36*(datos_base!$B$20+IF(parametros_manuales!$H$36="Todos",datos_base!$B$25,0))*parametros_manuales!$L$14+parametros_manuales!$G$36*(datos_base!$B$5+IF(parametros_manuales!$H$36="Todos",datos_base!$B$12,0))*parametros_manuales!$L$110+parametros_manuales!$G$36*(datos_base!$B$21+IF(parametros_manuales!$H$36="Todos",datos_base!$B$26,0))*parametros_manuales!$L$15)*parametros_manuales!$I$36*parametros_manuales!$J$36</f>
        <v>30.801178980285</v>
      </c>
      <c r="M19" s="9" t="n">
        <f aca="false">(parametros_manuales!$D$36*(datos_base!$B$2+IF(parametros_manuales!$H$36="Todos",datos_base!$B$9,0))*parametros_manuales!$M$95+parametros_manuales!$D$36*(datos_base!$B$18+IF(parametros_manuales!$H$36="Todos",datos_base!$B$23,0))*parametros_manuales!$M$12+parametros_manuales!$E$36*(datos_base!$B$3+IF(parametros_manuales!$H$36="Todos",datos_base!$B$10,0))*parametros_manuales!$M$100+parametros_manuales!$E$36*(datos_base!$B$19+IF(parametros_manuales!$H$36="Todos",datos_base!$B$24,0))*parametros_manuales!$M$13+parametros_manuales!$F$36*(datos_base!$B$4+IF(parametros_manuales!$H$36="Todos",datos_base!$B$11,0))*parametros_manuales!$M$105+parametros_manuales!$F$36*(datos_base!$B$20+IF(parametros_manuales!$H$36="Todos",datos_base!$B$25,0))*parametros_manuales!$M$14+parametros_manuales!$G$36*(datos_base!$B$5+IF(parametros_manuales!$H$36="Todos",datos_base!$B$12,0))*parametros_manuales!$M$110+parametros_manuales!$G$36*(datos_base!$B$21+IF(parametros_manuales!$H$36="Todos",datos_base!$B$26,0))*parametros_manuales!$M$15)*parametros_manuales!$I$36*parametros_manuales!$J$36</f>
        <v>30.861178980285</v>
      </c>
      <c r="N19" s="9" t="n">
        <f aca="false">SUM(B19:M19)</f>
        <v>342.5686553365</v>
      </c>
      <c r="O19" s="9" t="n">
        <f aca="false">MAX(B19:M19)</f>
        <v>30.861178980285</v>
      </c>
      <c r="P19" s="44" t="n">
        <f aca="false">O19/(parametros_manuales!$B$7)</f>
        <v>0.2057411932019</v>
      </c>
      <c r="Q19" s="8" t="str">
        <f aca="false">IF(O19=0,"-",INDEX($B$1:$M$1,MATCH(O19,B19:M19,0)))</f>
        <v>Dic</v>
      </c>
    </row>
    <row r="20" customFormat="false" ht="14.25" hidden="false" customHeight="true" outlineLevel="0" collapsed="false">
      <c r="A20" s="8" t="str">
        <f aca="false">parametros_manuales!$B$37</f>
        <v>Pintura en polvo + horno</v>
      </c>
      <c r="B20" s="9" t="n">
        <f aca="false">(parametros_manuales!$D$37*(datos_base!$B$2+IF(parametros_manuales!$H$37="Todos",datos_base!$B$9,0))*parametros_manuales!$B$95+parametros_manuales!$D$37*(datos_base!$B$18+IF(parametros_manuales!$H$37="Todos",datos_base!$B$23,0))*parametros_manuales!$B$12+parametros_manuales!$E$37*(datos_base!$B$3+IF(parametros_manuales!$H$37="Todos",datos_base!$B$10,0))*parametros_manuales!$B$100+parametros_manuales!$E$37*(datos_base!$B$19+IF(parametros_manuales!$H$37="Todos",datos_base!$B$24,0))*parametros_manuales!$B$13+parametros_manuales!$F$37*(datos_base!$B$4+IF(parametros_manuales!$H$37="Todos",datos_base!$B$11,0))*parametros_manuales!$B$105+parametros_manuales!$F$37*(datos_base!$B$20+IF(parametros_manuales!$H$37="Todos",datos_base!$B$25,0))*parametros_manuales!$B$14+parametros_manuales!$G$37*(datos_base!$B$5+IF(parametros_manuales!$H$37="Todos",datos_base!$B$12,0))*parametros_manuales!$B$110+parametros_manuales!$G$37*(datos_base!$B$21+IF(parametros_manuales!$H$37="Todos",datos_base!$B$26,0))*parametros_manuales!$B$15)*parametros_manuales!$I$37*parametros_manuales!$J$37</f>
        <v>616.9235796057</v>
      </c>
      <c r="C20" s="9" t="n">
        <f aca="false">(parametros_manuales!$D$37*(datos_base!$B$2+IF(parametros_manuales!$H$37="Todos",datos_base!$B$9,0))*parametros_manuales!$C$95+parametros_manuales!$D$37*(datos_base!$B$18+IF(parametros_manuales!$H$37="Todos",datos_base!$B$23,0))*parametros_manuales!$C$12+parametros_manuales!$E$37*(datos_base!$B$3+IF(parametros_manuales!$H$37="Todos",datos_base!$B$10,0))*parametros_manuales!$C$100+parametros_manuales!$E$37*(datos_base!$B$19+IF(parametros_manuales!$H$37="Todos",datos_base!$B$24,0))*parametros_manuales!$C$13+parametros_manuales!$F$37*(datos_base!$B$4+IF(parametros_manuales!$H$37="Todos",datos_base!$B$11,0))*parametros_manuales!$C$105+parametros_manuales!$F$37*(datos_base!$B$20+IF(parametros_manuales!$H$37="Todos",datos_base!$B$25,0))*parametros_manuales!$C$14+parametros_manuales!$G$37*(datos_base!$B$5+IF(parametros_manuales!$H$37="Todos",datos_base!$B$12,0))*parametros_manuales!$C$110+parametros_manuales!$G$37*(datos_base!$B$21+IF(parametros_manuales!$H$37="Todos",datos_base!$B$26,0))*parametros_manuales!$C$15)*parametros_manuales!$I$37*parametros_manuales!$J$37</f>
        <v>589.8972139684</v>
      </c>
      <c r="D20" s="9" t="n">
        <f aca="false">(parametros_manuales!$D$37*(datos_base!$B$2+IF(parametros_manuales!$H$37="Todos",datos_base!$B$9,0))*parametros_manuales!$D$95+parametros_manuales!$D$37*(datos_base!$B$18+IF(parametros_manuales!$H$37="Todos",datos_base!$B$23,0))*parametros_manuales!$D$12+parametros_manuales!$E$37*(datos_base!$B$3+IF(parametros_manuales!$H$37="Todos",datos_base!$B$10,0))*parametros_manuales!$D$100+parametros_manuales!$E$37*(datos_base!$B$19+IF(parametros_manuales!$H$37="Todos",datos_base!$B$24,0))*parametros_manuales!$D$13+parametros_manuales!$F$37*(datos_base!$B$4+IF(parametros_manuales!$H$37="Todos",datos_base!$B$11,0))*parametros_manuales!$D$105+parametros_manuales!$F$37*(datos_base!$B$20+IF(parametros_manuales!$H$37="Todos",datos_base!$B$25,0))*parametros_manuales!$D$14+parametros_manuales!$G$37*(datos_base!$B$5+IF(parametros_manuales!$H$37="Todos",datos_base!$B$12,0))*parametros_manuales!$D$110+parametros_manuales!$G$37*(datos_base!$B$21+IF(parametros_manuales!$H$37="Todos",datos_base!$B$26,0))*parametros_manuales!$D$15)*parametros_manuales!$I$37*parametros_manuales!$J$37</f>
        <v>561.47303135705</v>
      </c>
      <c r="E20" s="9" t="n">
        <f aca="false">(parametros_manuales!$D$37*(datos_base!$B$2+IF(parametros_manuales!$H$37="Todos",datos_base!$B$9,0))*parametros_manuales!$E$95+parametros_manuales!$D$37*(datos_base!$B$18+IF(parametros_manuales!$H$37="Todos",datos_base!$B$23,0))*parametros_manuales!$E$12+parametros_manuales!$E$37*(datos_base!$B$3+IF(parametros_manuales!$H$37="Todos",datos_base!$B$10,0))*parametros_manuales!$E$100+parametros_manuales!$E$37*(datos_base!$B$19+IF(parametros_manuales!$H$37="Todos",datos_base!$B$24,0))*parametros_manuales!$E$13+parametros_manuales!$F$37*(datos_base!$B$4+IF(parametros_manuales!$H$37="Todos",datos_base!$B$11,0))*parametros_manuales!$E$105+parametros_manuales!$F$37*(datos_base!$B$20+IF(parametros_manuales!$H$37="Todos",datos_base!$B$25,0))*parametros_manuales!$E$14+parametros_manuales!$G$37*(datos_base!$B$5+IF(parametros_manuales!$H$37="Todos",datos_base!$B$12,0))*parametros_manuales!$E$110+parametros_manuales!$G$37*(datos_base!$B$21+IF(parametros_manuales!$H$37="Todos",datos_base!$B$26,0))*parametros_manuales!$E$15)*parametros_manuales!$I$37*parametros_manuales!$J$37</f>
        <v>540.57934864205</v>
      </c>
      <c r="F20" s="9" t="n">
        <f aca="false">(parametros_manuales!$D$37*(datos_base!$B$2+IF(parametros_manuales!$H$37="Todos",datos_base!$B$9,0))*parametros_manuales!$F$95+parametros_manuales!$D$37*(datos_base!$B$18+IF(parametros_manuales!$H$37="Todos",datos_base!$B$23,0))*parametros_manuales!$F$12+parametros_manuales!$E$37*(datos_base!$B$3+IF(parametros_manuales!$H$37="Todos",datos_base!$B$10,0))*parametros_manuales!$F$100+parametros_manuales!$E$37*(datos_base!$B$19+IF(parametros_manuales!$H$37="Todos",datos_base!$B$24,0))*parametros_manuales!$F$13+parametros_manuales!$F$37*(datos_base!$B$4+IF(parametros_manuales!$H$37="Todos",datos_base!$B$11,0))*parametros_manuales!$F$105+parametros_manuales!$F$37*(datos_base!$B$20+IF(parametros_manuales!$H$37="Todos",datos_base!$B$25,0))*parametros_manuales!$F$14+parametros_manuales!$G$37*(datos_base!$B$5+IF(parametros_manuales!$H$37="Todos",datos_base!$B$12,0))*parametros_manuales!$F$110+parametros_manuales!$G$37*(datos_base!$B$21+IF(parametros_manuales!$H$37="Todos",datos_base!$B$26,0))*parametros_manuales!$F$15)*parametros_manuales!$I$37*parametros_manuales!$J$37</f>
        <v>506.3224831084</v>
      </c>
      <c r="G20" s="9" t="n">
        <f aca="false">(parametros_manuales!$D$37*(datos_base!$B$2+IF(parametros_manuales!$H$37="Todos",datos_base!$B$9,0))*parametros_manuales!$G$95+parametros_manuales!$D$37*(datos_base!$B$18+IF(parametros_manuales!$H$37="Todos",datos_base!$B$23,0))*parametros_manuales!$G$12+parametros_manuales!$E$37*(datos_base!$B$3+IF(parametros_manuales!$H$37="Todos",datos_base!$B$10,0))*parametros_manuales!$G$100+parametros_manuales!$E$37*(datos_base!$B$19+IF(parametros_manuales!$H$37="Todos",datos_base!$B$24,0))*parametros_manuales!$G$13+parametros_manuales!$F$37*(datos_base!$B$4+IF(parametros_manuales!$H$37="Todos",datos_base!$B$11,0))*parametros_manuales!$G$105+parametros_manuales!$F$37*(datos_base!$B$20+IF(parametros_manuales!$H$37="Todos",datos_base!$B$25,0))*parametros_manuales!$G$14+parametros_manuales!$G$37*(datos_base!$B$5+IF(parametros_manuales!$H$37="Todos",datos_base!$B$12,0))*parametros_manuales!$G$110+parametros_manuales!$G$37*(datos_base!$B$21+IF(parametros_manuales!$H$37="Todos",datos_base!$B$26,0))*parametros_manuales!$G$15)*parametros_manuales!$I$37*parametros_manuales!$J$37</f>
        <v>492.95930028975</v>
      </c>
      <c r="H20" s="9" t="n">
        <f aca="false">(parametros_manuales!$D$37*(datos_base!$B$2+IF(parametros_manuales!$H$37="Todos",datos_base!$B$9,0))*parametros_manuales!$H$95+parametros_manuales!$D$37*(datos_base!$B$18+IF(parametros_manuales!$H$37="Todos",datos_base!$B$23,0))*parametros_manuales!$H$12+parametros_manuales!$E$37*(datos_base!$B$3+IF(parametros_manuales!$H$37="Todos",datos_base!$B$10,0))*parametros_manuales!$H$100+parametros_manuales!$E$37*(datos_base!$B$19+IF(parametros_manuales!$H$37="Todos",datos_base!$B$24,0))*parametros_manuales!$H$13+parametros_manuales!$F$37*(datos_base!$B$4+IF(parametros_manuales!$H$37="Todos",datos_base!$B$11,0))*parametros_manuales!$H$105+parametros_manuales!$F$37*(datos_base!$B$20+IF(parametros_manuales!$H$37="Todos",datos_base!$B$25,0))*parametros_manuales!$H$14+parametros_manuales!$G$37*(datos_base!$B$5+IF(parametros_manuales!$H$37="Todos",datos_base!$B$12,0))*parametros_manuales!$H$110+parametros_manuales!$G$37*(datos_base!$B$21+IF(parametros_manuales!$H$37="Todos",datos_base!$B$26,0))*parametros_manuales!$H$15)*parametros_manuales!$I$37*parametros_manuales!$J$37</f>
        <v>527.2161658234</v>
      </c>
      <c r="I20" s="9" t="n">
        <f aca="false">(parametros_manuales!$D$37*(datos_base!$B$2+IF(parametros_manuales!$H$37="Todos",datos_base!$B$9,0))*parametros_manuales!$I$95+parametros_manuales!$D$37*(datos_base!$B$18+IF(parametros_manuales!$H$37="Todos",datos_base!$B$23,0))*parametros_manuales!$I$12+parametros_manuales!$E$37*(datos_base!$B$3+IF(parametros_manuales!$H$37="Todos",datos_base!$B$10,0))*parametros_manuales!$I$100+parametros_manuales!$E$37*(datos_base!$B$19+IF(parametros_manuales!$H$37="Todos",datos_base!$B$24,0))*parametros_manuales!$I$13+parametros_manuales!$F$37*(datos_base!$B$4+IF(parametros_manuales!$H$37="Todos",datos_base!$B$11,0))*parametros_manuales!$I$105+parametros_manuales!$F$37*(datos_base!$B$20+IF(parametros_manuales!$H$37="Todos",datos_base!$B$25,0))*parametros_manuales!$I$14+parametros_manuales!$G$37*(datos_base!$B$5+IF(parametros_manuales!$H$37="Todos",datos_base!$B$12,0))*parametros_manuales!$I$110+parametros_manuales!$G$37*(datos_base!$B$21+IF(parametros_manuales!$H$37="Todos",datos_base!$B$26,0))*parametros_manuales!$I$15)*parametros_manuales!$I$37*parametros_manuales!$J$37</f>
        <v>589.8972139684</v>
      </c>
      <c r="J20" s="9" t="n">
        <f aca="false">(parametros_manuales!$D$37*(datos_base!$B$2+IF(parametros_manuales!$H$37="Todos",datos_base!$B$9,0))*parametros_manuales!$J$95+parametros_manuales!$D$37*(datos_base!$B$18+IF(parametros_manuales!$H$37="Todos",datos_base!$B$23,0))*parametros_manuales!$J$12+parametros_manuales!$E$37*(datos_base!$B$3+IF(parametros_manuales!$H$37="Todos",datos_base!$B$10,0))*parametros_manuales!$J$100+parametros_manuales!$E$37*(datos_base!$B$19+IF(parametros_manuales!$H$37="Todos",datos_base!$B$24,0))*parametros_manuales!$J$13+parametros_manuales!$F$37*(datos_base!$B$4+IF(parametros_manuales!$H$37="Todos",datos_base!$B$11,0))*parametros_manuales!$J$105+parametros_manuales!$F$37*(datos_base!$B$20+IF(parametros_manuales!$H$37="Todos",datos_base!$B$25,0))*parametros_manuales!$J$14+parametros_manuales!$G$37*(datos_base!$B$5+IF(parametros_manuales!$H$37="Todos",datos_base!$B$12,0))*parametros_manuales!$J$110+parametros_manuales!$G$37*(datos_base!$B$21+IF(parametros_manuales!$H$37="Todos",datos_base!$B$26,0))*parametros_manuales!$J$15)*parametros_manuales!$I$37*parametros_manuales!$J$37</f>
        <v>589.8972139684</v>
      </c>
      <c r="K20" s="9" t="n">
        <f aca="false">(parametros_manuales!$D$37*(datos_base!$B$2+IF(parametros_manuales!$H$37="Todos",datos_base!$B$9,0))*parametros_manuales!$K$95+parametros_manuales!$D$37*(datos_base!$B$18+IF(parametros_manuales!$H$37="Todos",datos_base!$B$23,0))*parametros_manuales!$K$12+parametros_manuales!$E$37*(datos_base!$B$3+IF(parametros_manuales!$H$37="Todos",datos_base!$B$10,0))*parametros_manuales!$K$100+parametros_manuales!$E$37*(datos_base!$B$19+IF(parametros_manuales!$H$37="Todos",datos_base!$B$24,0))*parametros_manuales!$K$13+parametros_manuales!$F$37*(datos_base!$B$4+IF(parametros_manuales!$H$37="Todos",datos_base!$B$11,0))*parametros_manuales!$K$105+parametros_manuales!$F$37*(datos_base!$B$20+IF(parametros_manuales!$H$37="Todos",datos_base!$B$25,0))*parametros_manuales!$K$14+parametros_manuales!$G$37*(datos_base!$B$5+IF(parametros_manuales!$H$37="Todos",datos_base!$B$12,0))*parametros_manuales!$K$110+parametros_manuales!$G$37*(datos_base!$B$21+IF(parametros_manuales!$H$37="Todos",datos_base!$B$26,0))*parametros_manuales!$K$15)*parametros_manuales!$I$37*parametros_manuales!$J$37</f>
        <v>602.96039678705</v>
      </c>
      <c r="L20" s="9" t="n">
        <f aca="false">(parametros_manuales!$D$37*(datos_base!$B$2+IF(parametros_manuales!$H$37="Todos",datos_base!$B$9,0))*parametros_manuales!$L$95+parametros_manuales!$D$37*(datos_base!$B$18+IF(parametros_manuales!$H$37="Todos",datos_base!$B$23,0))*parametros_manuales!$L$12+parametros_manuales!$E$37*(datos_base!$B$3+IF(parametros_manuales!$H$37="Todos",datos_base!$B$10,0))*parametros_manuales!$L$100+parametros_manuales!$E$37*(datos_base!$B$19+IF(parametros_manuales!$H$37="Todos",datos_base!$B$24,0))*parametros_manuales!$L$13+parametros_manuales!$F$37*(datos_base!$B$4+IF(parametros_manuales!$H$37="Todos",datos_base!$B$11,0))*parametros_manuales!$L$105+parametros_manuales!$F$37*(datos_base!$B$20+IF(parametros_manuales!$H$37="Todos",datos_base!$B$25,0))*parametros_manuales!$L$14+parametros_manuales!$G$37*(datos_base!$B$5+IF(parametros_manuales!$H$37="Todos",datos_base!$B$12,0))*parametros_manuales!$L$110+parametros_manuales!$G$37*(datos_base!$B$21+IF(parametros_manuales!$H$37="Todos",datos_base!$B$26,0))*parametros_manuales!$L$15)*parametros_manuales!$I$37*parametros_manuales!$J$37</f>
        <v>616.0235796057</v>
      </c>
      <c r="M20" s="9" t="n">
        <f aca="false">(parametros_manuales!$D$37*(datos_base!$B$2+IF(parametros_manuales!$H$37="Todos",datos_base!$B$9,0))*parametros_manuales!$M$95+parametros_manuales!$D$37*(datos_base!$B$18+IF(parametros_manuales!$H$37="Todos",datos_base!$B$23,0))*parametros_manuales!$M$12+parametros_manuales!$E$37*(datos_base!$B$3+IF(parametros_manuales!$H$37="Todos",datos_base!$B$10,0))*parametros_manuales!$M$100+parametros_manuales!$E$37*(datos_base!$B$19+IF(parametros_manuales!$H$37="Todos",datos_base!$B$24,0))*parametros_manuales!$M$13+parametros_manuales!$F$37*(datos_base!$B$4+IF(parametros_manuales!$H$37="Todos",datos_base!$B$11,0))*parametros_manuales!$M$105+parametros_manuales!$F$37*(datos_base!$B$20+IF(parametros_manuales!$H$37="Todos",datos_base!$B$25,0))*parametros_manuales!$M$14+parametros_manuales!$G$37*(datos_base!$B$5+IF(parametros_manuales!$H$37="Todos",datos_base!$B$12,0))*parametros_manuales!$M$110+parametros_manuales!$G$37*(datos_base!$B$21+IF(parametros_manuales!$H$37="Todos",datos_base!$B$26,0))*parametros_manuales!$M$15)*parametros_manuales!$I$37*parametros_manuales!$J$37</f>
        <v>617.2235796057</v>
      </c>
      <c r="N20" s="9" t="n">
        <f aca="false">SUM(B20:M20)</f>
        <v>6851.37310673</v>
      </c>
      <c r="O20" s="9" t="n">
        <f aca="false">MAX(B20:M20)</f>
        <v>617.2235796057</v>
      </c>
      <c r="P20" s="44" t="n">
        <f aca="false">O20/(parametros_manuales!$B$7)</f>
        <v>4.114823864038</v>
      </c>
      <c r="Q20" s="8" t="str">
        <f aca="false">IF(O20=0,"-",INDEX($B$1:$M$1,MATCH(O20,B20:M20,0)))</f>
        <v>Dic</v>
      </c>
    </row>
    <row r="21" customFormat="false" ht="14.25" hidden="false" customHeight="true" outlineLevel="0" collapsed="false">
      <c r="A21" s="8" t="str">
        <f aca="false">parametros_manuales!$B$38</f>
        <v>Carga de polvo</v>
      </c>
      <c r="B21" s="9" t="n">
        <f aca="false">(parametros_manuales!$D$38*(datos_base!$B$2+IF(parametros_manuales!$H$38="Todos",datos_base!$B$9,0))*parametros_manuales!$B$95+parametros_manuales!$D$38*(datos_base!$B$18+IF(parametros_manuales!$H$38="Todos",datos_base!$B$23,0))*parametros_manuales!$B$12+parametros_manuales!$E$38*(datos_base!$B$3+IF(parametros_manuales!$H$38="Todos",datos_base!$B$10,0))*parametros_manuales!$B$100+parametros_manuales!$E$38*(datos_base!$B$19+IF(parametros_manuales!$H$38="Todos",datos_base!$B$24,0))*parametros_manuales!$B$13+parametros_manuales!$F$38*(datos_base!$B$4+IF(parametros_manuales!$H$38="Todos",datos_base!$B$11,0))*parametros_manuales!$B$105+parametros_manuales!$F$38*(datos_base!$B$20+IF(parametros_manuales!$H$38="Todos",datos_base!$B$25,0))*parametros_manuales!$B$14+parametros_manuales!$G$38*(datos_base!$B$5+IF(parametros_manuales!$H$38="Todos",datos_base!$B$12,0))*parametros_manuales!$B$110+parametros_manuales!$G$38*(datos_base!$B$21+IF(parametros_manuales!$H$38="Todos",datos_base!$B$26,0))*parametros_manuales!$B$15)*parametros_manuales!$I$38*parametros_manuales!$J$38</f>
        <v>615.0235796057</v>
      </c>
      <c r="C21" s="9" t="n">
        <f aca="false">(parametros_manuales!$D$38*(datos_base!$B$2+IF(parametros_manuales!$H$38="Todos",datos_base!$B$9,0))*parametros_manuales!$C$95+parametros_manuales!$D$38*(datos_base!$B$18+IF(parametros_manuales!$H$38="Todos",datos_base!$B$23,0))*parametros_manuales!$C$12+parametros_manuales!$E$38*(datos_base!$B$3+IF(parametros_manuales!$H$38="Todos",datos_base!$B$10,0))*parametros_manuales!$C$100+parametros_manuales!$E$38*(datos_base!$B$19+IF(parametros_manuales!$H$38="Todos",datos_base!$B$24,0))*parametros_manuales!$C$13+parametros_manuales!$F$38*(datos_base!$B$4+IF(parametros_manuales!$H$38="Todos",datos_base!$B$11,0))*parametros_manuales!$C$105+parametros_manuales!$F$38*(datos_base!$B$20+IF(parametros_manuales!$H$38="Todos",datos_base!$B$25,0))*parametros_manuales!$C$14+parametros_manuales!$G$38*(datos_base!$B$5+IF(parametros_manuales!$H$38="Todos",datos_base!$B$12,0))*parametros_manuales!$C$110+parametros_manuales!$G$38*(datos_base!$B$21+IF(parametros_manuales!$H$38="Todos",datos_base!$B$26,0))*parametros_manuales!$C$15)*parametros_manuales!$I$38*parametros_manuales!$J$38</f>
        <v>588.3772139684</v>
      </c>
      <c r="D21" s="9" t="n">
        <f aca="false">(parametros_manuales!$D$38*(datos_base!$B$2+IF(parametros_manuales!$H$38="Todos",datos_base!$B$9,0))*parametros_manuales!$D$95+parametros_manuales!$D$38*(datos_base!$B$18+IF(parametros_manuales!$H$38="Todos",datos_base!$B$23,0))*parametros_manuales!$D$12+parametros_manuales!$E$38*(datos_base!$B$3+IF(parametros_manuales!$H$38="Todos",datos_base!$B$10,0))*parametros_manuales!$D$100+parametros_manuales!$E$38*(datos_base!$B$19+IF(parametros_manuales!$H$38="Todos",datos_base!$B$24,0))*parametros_manuales!$D$13+parametros_manuales!$F$38*(datos_base!$B$4+IF(parametros_manuales!$H$38="Todos",datos_base!$B$11,0))*parametros_manuales!$D$105+parametros_manuales!$F$38*(datos_base!$B$20+IF(parametros_manuales!$H$38="Todos",datos_base!$B$25,0))*parametros_manuales!$D$14+parametros_manuales!$G$38*(datos_base!$B$5+IF(parametros_manuales!$H$38="Todos",datos_base!$B$12,0))*parametros_manuales!$D$110+parametros_manuales!$G$38*(datos_base!$B$21+IF(parametros_manuales!$H$38="Todos",datos_base!$B$26,0))*parametros_manuales!$D$15)*parametros_manuales!$I$38*parametros_manuales!$J$38</f>
        <v>559.85803135705</v>
      </c>
      <c r="E21" s="9" t="n">
        <f aca="false">(parametros_manuales!$D$38*(datos_base!$B$2+IF(parametros_manuales!$H$38="Todos",datos_base!$B$9,0))*parametros_manuales!$E$95+parametros_manuales!$D$38*(datos_base!$B$18+IF(parametros_manuales!$H$38="Todos",datos_base!$B$23,0))*parametros_manuales!$E$12+parametros_manuales!$E$38*(datos_base!$B$3+IF(parametros_manuales!$H$38="Todos",datos_base!$B$10,0))*parametros_manuales!$E$100+parametros_manuales!$E$38*(datos_base!$B$19+IF(parametros_manuales!$H$38="Todos",datos_base!$B$24,0))*parametros_manuales!$E$13+parametros_manuales!$F$38*(datos_base!$B$4+IF(parametros_manuales!$H$38="Todos",datos_base!$B$11,0))*parametros_manuales!$E$105+parametros_manuales!$F$38*(datos_base!$B$20+IF(parametros_manuales!$H$38="Todos",datos_base!$B$25,0))*parametros_manuales!$E$14+parametros_manuales!$G$38*(datos_base!$B$5+IF(parametros_manuales!$H$38="Todos",datos_base!$B$12,0))*parametros_manuales!$E$110+parametros_manuales!$G$38*(datos_base!$B$21+IF(parametros_manuales!$H$38="Todos",datos_base!$B$26,0))*parametros_manuales!$E$15)*parametros_manuales!$I$38*parametros_manuales!$J$38</f>
        <v>538.96434864205</v>
      </c>
      <c r="F21" s="9" t="n">
        <f aca="false">(parametros_manuales!$D$38*(datos_base!$B$2+IF(parametros_manuales!$H$38="Todos",datos_base!$B$9,0))*parametros_manuales!$F$95+parametros_manuales!$D$38*(datos_base!$B$18+IF(parametros_manuales!$H$38="Todos",datos_base!$B$23,0))*parametros_manuales!$F$12+parametros_manuales!$E$38*(datos_base!$B$3+IF(parametros_manuales!$H$38="Todos",datos_base!$B$10,0))*parametros_manuales!$F$100+parametros_manuales!$E$38*(datos_base!$B$19+IF(parametros_manuales!$H$38="Todos",datos_base!$B$24,0))*parametros_manuales!$F$13+parametros_manuales!$F$38*(datos_base!$B$4+IF(parametros_manuales!$H$38="Todos",datos_base!$B$11,0))*parametros_manuales!$F$105+parametros_manuales!$F$38*(datos_base!$B$20+IF(parametros_manuales!$H$38="Todos",datos_base!$B$25,0))*parametros_manuales!$F$14+parametros_manuales!$G$38*(datos_base!$B$5+IF(parametros_manuales!$H$38="Todos",datos_base!$B$12,0))*parametros_manuales!$F$110+parametros_manuales!$G$38*(datos_base!$B$21+IF(parametros_manuales!$H$38="Todos",datos_base!$B$26,0))*parametros_manuales!$F$15)*parametros_manuales!$I$38*parametros_manuales!$J$38</f>
        <v>504.8024831084</v>
      </c>
      <c r="G21" s="9" t="n">
        <f aca="false">(parametros_manuales!$D$38*(datos_base!$B$2+IF(parametros_manuales!$H$38="Todos",datos_base!$B$9,0))*parametros_manuales!$G$95+parametros_manuales!$D$38*(datos_base!$B$18+IF(parametros_manuales!$H$38="Todos",datos_base!$B$23,0))*parametros_manuales!$G$12+parametros_manuales!$E$38*(datos_base!$B$3+IF(parametros_manuales!$H$38="Todos",datos_base!$B$10,0))*parametros_manuales!$G$100+parametros_manuales!$E$38*(datos_base!$B$19+IF(parametros_manuales!$H$38="Todos",datos_base!$B$24,0))*parametros_manuales!$G$13+parametros_manuales!$F$38*(datos_base!$B$4+IF(parametros_manuales!$H$38="Todos",datos_base!$B$11,0))*parametros_manuales!$G$105+parametros_manuales!$F$38*(datos_base!$B$20+IF(parametros_manuales!$H$38="Todos",datos_base!$B$25,0))*parametros_manuales!$G$14+parametros_manuales!$G$38*(datos_base!$B$5+IF(parametros_manuales!$H$38="Todos",datos_base!$B$12,0))*parametros_manuales!$G$110+parametros_manuales!$G$38*(datos_base!$B$21+IF(parametros_manuales!$H$38="Todos",datos_base!$B$26,0))*parametros_manuales!$G$15)*parametros_manuales!$I$38*parametros_manuales!$J$38</f>
        <v>491.53430028975</v>
      </c>
      <c r="H21" s="9" t="n">
        <f aca="false">(parametros_manuales!$D$38*(datos_base!$B$2+IF(parametros_manuales!$H$38="Todos",datos_base!$B$9,0))*parametros_manuales!$H$95+parametros_manuales!$D$38*(datos_base!$B$18+IF(parametros_manuales!$H$38="Todos",datos_base!$B$23,0))*parametros_manuales!$H$12+parametros_manuales!$E$38*(datos_base!$B$3+IF(parametros_manuales!$H$38="Todos",datos_base!$B$10,0))*parametros_manuales!$H$100+parametros_manuales!$E$38*(datos_base!$B$19+IF(parametros_manuales!$H$38="Todos",datos_base!$B$24,0))*parametros_manuales!$H$13+parametros_manuales!$F$38*(datos_base!$B$4+IF(parametros_manuales!$H$38="Todos",datos_base!$B$11,0))*parametros_manuales!$H$105+parametros_manuales!$F$38*(datos_base!$B$20+IF(parametros_manuales!$H$38="Todos",datos_base!$B$25,0))*parametros_manuales!$H$14+parametros_manuales!$G$38*(datos_base!$B$5+IF(parametros_manuales!$H$38="Todos",datos_base!$B$12,0))*parametros_manuales!$H$110+parametros_manuales!$G$38*(datos_base!$B$21+IF(parametros_manuales!$H$38="Todos",datos_base!$B$26,0))*parametros_manuales!$H$15)*parametros_manuales!$I$38*parametros_manuales!$J$38</f>
        <v>525.6961658234</v>
      </c>
      <c r="I21" s="9" t="n">
        <f aca="false">(parametros_manuales!$D$38*(datos_base!$B$2+IF(parametros_manuales!$H$38="Todos",datos_base!$B$9,0))*parametros_manuales!$I$95+parametros_manuales!$D$38*(datos_base!$B$18+IF(parametros_manuales!$H$38="Todos",datos_base!$B$23,0))*parametros_manuales!$I$12+parametros_manuales!$E$38*(datos_base!$B$3+IF(parametros_manuales!$H$38="Todos",datos_base!$B$10,0))*parametros_manuales!$I$100+parametros_manuales!$E$38*(datos_base!$B$19+IF(parametros_manuales!$H$38="Todos",datos_base!$B$24,0))*parametros_manuales!$I$13+parametros_manuales!$F$38*(datos_base!$B$4+IF(parametros_manuales!$H$38="Todos",datos_base!$B$11,0))*parametros_manuales!$I$105+parametros_manuales!$F$38*(datos_base!$B$20+IF(parametros_manuales!$H$38="Todos",datos_base!$B$25,0))*parametros_manuales!$I$14+parametros_manuales!$G$38*(datos_base!$B$5+IF(parametros_manuales!$H$38="Todos",datos_base!$B$12,0))*parametros_manuales!$I$110+parametros_manuales!$G$38*(datos_base!$B$21+IF(parametros_manuales!$H$38="Todos",datos_base!$B$26,0))*parametros_manuales!$I$15)*parametros_manuales!$I$38*parametros_manuales!$J$38</f>
        <v>588.3772139684</v>
      </c>
      <c r="J21" s="9" t="n">
        <f aca="false">(parametros_manuales!$D$38*(datos_base!$B$2+IF(parametros_manuales!$H$38="Todos",datos_base!$B$9,0))*parametros_manuales!$J$95+parametros_manuales!$D$38*(datos_base!$B$18+IF(parametros_manuales!$H$38="Todos",datos_base!$B$23,0))*parametros_manuales!$J$12+parametros_manuales!$E$38*(datos_base!$B$3+IF(parametros_manuales!$H$38="Todos",datos_base!$B$10,0))*parametros_manuales!$J$100+parametros_manuales!$E$38*(datos_base!$B$19+IF(parametros_manuales!$H$38="Todos",datos_base!$B$24,0))*parametros_manuales!$J$13+parametros_manuales!$F$38*(datos_base!$B$4+IF(parametros_manuales!$H$38="Todos",datos_base!$B$11,0))*parametros_manuales!$J$105+parametros_manuales!$F$38*(datos_base!$B$20+IF(parametros_manuales!$H$38="Todos",datos_base!$B$25,0))*parametros_manuales!$J$14+parametros_manuales!$G$38*(datos_base!$B$5+IF(parametros_manuales!$H$38="Todos",datos_base!$B$12,0))*parametros_manuales!$J$110+parametros_manuales!$G$38*(datos_base!$B$21+IF(parametros_manuales!$H$38="Todos",datos_base!$B$26,0))*parametros_manuales!$J$15)*parametros_manuales!$I$38*parametros_manuales!$J$38</f>
        <v>588.3772139684</v>
      </c>
      <c r="K21" s="9" t="n">
        <f aca="false">(parametros_manuales!$D$38*(datos_base!$B$2+IF(parametros_manuales!$H$38="Todos",datos_base!$B$9,0))*parametros_manuales!$K$95+parametros_manuales!$D$38*(datos_base!$B$18+IF(parametros_manuales!$H$38="Todos",datos_base!$B$23,0))*parametros_manuales!$K$12+parametros_manuales!$E$38*(datos_base!$B$3+IF(parametros_manuales!$H$38="Todos",datos_base!$B$10,0))*parametros_manuales!$K$100+parametros_manuales!$E$38*(datos_base!$B$19+IF(parametros_manuales!$H$38="Todos",datos_base!$B$24,0))*parametros_manuales!$K$13+parametros_manuales!$F$38*(datos_base!$B$4+IF(parametros_manuales!$H$38="Todos",datos_base!$B$11,0))*parametros_manuales!$K$105+parametros_manuales!$F$38*(datos_base!$B$20+IF(parametros_manuales!$H$38="Todos",datos_base!$B$25,0))*parametros_manuales!$K$14+parametros_manuales!$G$38*(datos_base!$B$5+IF(parametros_manuales!$H$38="Todos",datos_base!$B$12,0))*parametros_manuales!$K$110+parametros_manuales!$G$38*(datos_base!$B$21+IF(parametros_manuales!$H$38="Todos",datos_base!$B$26,0))*parametros_manuales!$K$15)*parametros_manuales!$I$38*parametros_manuales!$J$38</f>
        <v>601.53539678705</v>
      </c>
      <c r="L21" s="9" t="n">
        <f aca="false">(parametros_manuales!$D$38*(datos_base!$B$2+IF(parametros_manuales!$H$38="Todos",datos_base!$B$9,0))*parametros_manuales!$L$95+parametros_manuales!$D$38*(datos_base!$B$18+IF(parametros_manuales!$H$38="Todos",datos_base!$B$23,0))*parametros_manuales!$L$12+parametros_manuales!$E$38*(datos_base!$B$3+IF(parametros_manuales!$H$38="Todos",datos_base!$B$10,0))*parametros_manuales!$L$100+parametros_manuales!$E$38*(datos_base!$B$19+IF(parametros_manuales!$H$38="Todos",datos_base!$B$24,0))*parametros_manuales!$L$13+parametros_manuales!$F$38*(datos_base!$B$4+IF(parametros_manuales!$H$38="Todos",datos_base!$B$11,0))*parametros_manuales!$L$105+parametros_manuales!$F$38*(datos_base!$B$20+IF(parametros_manuales!$H$38="Todos",datos_base!$B$25,0))*parametros_manuales!$L$14+parametros_manuales!$G$38*(datos_base!$B$5+IF(parametros_manuales!$H$38="Todos",datos_base!$B$12,0))*parametros_manuales!$L$110+parametros_manuales!$G$38*(datos_base!$B$21+IF(parametros_manuales!$H$38="Todos",datos_base!$B$26,0))*parametros_manuales!$L$15)*parametros_manuales!$I$38*parametros_manuales!$J$38</f>
        <v>614.6935796057</v>
      </c>
      <c r="M21" s="9" t="n">
        <f aca="false">(parametros_manuales!$D$38*(datos_base!$B$2+IF(parametros_manuales!$H$38="Todos",datos_base!$B$9,0))*parametros_manuales!$M$95+parametros_manuales!$D$38*(datos_base!$B$18+IF(parametros_manuales!$H$38="Todos",datos_base!$B$23,0))*parametros_manuales!$M$12+parametros_manuales!$E$38*(datos_base!$B$3+IF(parametros_manuales!$H$38="Todos",datos_base!$B$10,0))*parametros_manuales!$M$100+parametros_manuales!$E$38*(datos_base!$B$19+IF(parametros_manuales!$H$38="Todos",datos_base!$B$24,0))*parametros_manuales!$M$13+parametros_manuales!$F$38*(datos_base!$B$4+IF(parametros_manuales!$H$38="Todos",datos_base!$B$11,0))*parametros_manuales!$M$105+parametros_manuales!$F$38*(datos_base!$B$20+IF(parametros_manuales!$H$38="Todos",datos_base!$B$25,0))*parametros_manuales!$M$14+parametros_manuales!$G$38*(datos_base!$B$5+IF(parametros_manuales!$H$38="Todos",datos_base!$B$12,0))*parametros_manuales!$M$110+parametros_manuales!$G$38*(datos_base!$B$21+IF(parametros_manuales!$H$38="Todos",datos_base!$B$26,0))*parametros_manuales!$M$15)*parametros_manuales!$I$38*parametros_manuales!$J$38</f>
        <v>615.1335796057</v>
      </c>
      <c r="N21" s="9" t="n">
        <f aca="false">SUM(B21:M21)</f>
        <v>6832.37310673</v>
      </c>
      <c r="O21" s="9" t="n">
        <f aca="false">MAX(B21:M21)</f>
        <v>615.1335796057</v>
      </c>
      <c r="P21" s="44" t="n">
        <f aca="false">O21/(parametros_manuales!$B$7)</f>
        <v>4.10089053070467</v>
      </c>
      <c r="Q21" s="8" t="str">
        <f aca="false">IF(O21=0,"-",INDEX($B$1:$M$1,MATCH(O21,B21:M21,0)))</f>
        <v>Dic</v>
      </c>
    </row>
    <row r="22" customFormat="false" ht="14.25" hidden="false" customHeight="true" outlineLevel="0" collapsed="false">
      <c r="A22" s="8" t="str">
        <f aca="false">parametros_manuales!$B$39</f>
        <v>Ensamblaje</v>
      </c>
      <c r="B22" s="9" t="n">
        <f aca="false">(parametros_manuales!$D$39*(datos_base!$B$2+IF(parametros_manuales!$H$39="Todos",datos_base!$B$9,0))*parametros_manuales!$B$95+parametros_manuales!$D$39*(datos_base!$B$18+IF(parametros_manuales!$H$39="Todos",datos_base!$B$23,0))*parametros_manuales!$B$12+parametros_manuales!$E$39*(datos_base!$B$3+IF(parametros_manuales!$H$39="Todos",datos_base!$B$10,0))*parametros_manuales!$B$100+parametros_manuales!$E$39*(datos_base!$B$19+IF(parametros_manuales!$H$39="Todos",datos_base!$B$24,0))*parametros_manuales!$B$13+parametros_manuales!$F$39*(datos_base!$B$4+IF(parametros_manuales!$H$39="Todos",datos_base!$B$11,0))*parametros_manuales!$B$105+parametros_manuales!$F$39*(datos_base!$B$20+IF(parametros_manuales!$H$39="Todos",datos_base!$B$25,0))*parametros_manuales!$B$14+parametros_manuales!$G$39*(datos_base!$B$5+IF(parametros_manuales!$H$39="Todos",datos_base!$B$12,0))*parametros_manuales!$B$110+parametros_manuales!$G$39*(datos_base!$B$21+IF(parametros_manuales!$H$39="Todos",datos_base!$B$26,0))*parametros_manuales!$B$15)*parametros_manuales!$I$39*parametros_manuales!$J$39</f>
        <v>615.0235796057</v>
      </c>
      <c r="C22" s="9" t="n">
        <f aca="false">(parametros_manuales!$D$39*(datos_base!$B$2+IF(parametros_manuales!$H$39="Todos",datos_base!$B$9,0))*parametros_manuales!$C$95+parametros_manuales!$D$39*(datos_base!$B$18+IF(parametros_manuales!$H$39="Todos",datos_base!$B$23,0))*parametros_manuales!$C$12+parametros_manuales!$E$39*(datos_base!$B$3+IF(parametros_manuales!$H$39="Todos",datos_base!$B$10,0))*parametros_manuales!$C$100+parametros_manuales!$E$39*(datos_base!$B$19+IF(parametros_manuales!$H$39="Todos",datos_base!$B$24,0))*parametros_manuales!$C$13+parametros_manuales!$F$39*(datos_base!$B$4+IF(parametros_manuales!$H$39="Todos",datos_base!$B$11,0))*parametros_manuales!$C$105+parametros_manuales!$F$39*(datos_base!$B$20+IF(parametros_manuales!$H$39="Todos",datos_base!$B$25,0))*parametros_manuales!$C$14+parametros_manuales!$G$39*(datos_base!$B$5+IF(parametros_manuales!$H$39="Todos",datos_base!$B$12,0))*parametros_manuales!$C$110+parametros_manuales!$G$39*(datos_base!$B$21+IF(parametros_manuales!$H$39="Todos",datos_base!$B$26,0))*parametros_manuales!$C$15)*parametros_manuales!$I$39*parametros_manuales!$J$39</f>
        <v>588.3772139684</v>
      </c>
      <c r="D22" s="9" t="n">
        <f aca="false">(parametros_manuales!$D$39*(datos_base!$B$2+IF(parametros_manuales!$H$39="Todos",datos_base!$B$9,0))*parametros_manuales!$D$95+parametros_manuales!$D$39*(datos_base!$B$18+IF(parametros_manuales!$H$39="Todos",datos_base!$B$23,0))*parametros_manuales!$D$12+parametros_manuales!$E$39*(datos_base!$B$3+IF(parametros_manuales!$H$39="Todos",datos_base!$B$10,0))*parametros_manuales!$D$100+parametros_manuales!$E$39*(datos_base!$B$19+IF(parametros_manuales!$H$39="Todos",datos_base!$B$24,0))*parametros_manuales!$D$13+parametros_manuales!$F$39*(datos_base!$B$4+IF(parametros_manuales!$H$39="Todos",datos_base!$B$11,0))*parametros_manuales!$D$105+parametros_manuales!$F$39*(datos_base!$B$20+IF(parametros_manuales!$H$39="Todos",datos_base!$B$25,0))*parametros_manuales!$D$14+parametros_manuales!$G$39*(datos_base!$B$5+IF(parametros_manuales!$H$39="Todos",datos_base!$B$12,0))*parametros_manuales!$D$110+parametros_manuales!$G$39*(datos_base!$B$21+IF(parametros_manuales!$H$39="Todos",datos_base!$B$26,0))*parametros_manuales!$D$15)*parametros_manuales!$I$39*parametros_manuales!$J$39</f>
        <v>559.85803135705</v>
      </c>
      <c r="E22" s="9" t="n">
        <f aca="false">(parametros_manuales!$D$39*(datos_base!$B$2+IF(parametros_manuales!$H$39="Todos",datos_base!$B$9,0))*parametros_manuales!$E$95+parametros_manuales!$D$39*(datos_base!$B$18+IF(parametros_manuales!$H$39="Todos",datos_base!$B$23,0))*parametros_manuales!$E$12+parametros_manuales!$E$39*(datos_base!$B$3+IF(parametros_manuales!$H$39="Todos",datos_base!$B$10,0))*parametros_manuales!$E$100+parametros_manuales!$E$39*(datos_base!$B$19+IF(parametros_manuales!$H$39="Todos",datos_base!$B$24,0))*parametros_manuales!$E$13+parametros_manuales!$F$39*(datos_base!$B$4+IF(parametros_manuales!$H$39="Todos",datos_base!$B$11,0))*parametros_manuales!$E$105+parametros_manuales!$F$39*(datos_base!$B$20+IF(parametros_manuales!$H$39="Todos",datos_base!$B$25,0))*parametros_manuales!$E$14+parametros_manuales!$G$39*(datos_base!$B$5+IF(parametros_manuales!$H$39="Todos",datos_base!$B$12,0))*parametros_manuales!$E$110+parametros_manuales!$G$39*(datos_base!$B$21+IF(parametros_manuales!$H$39="Todos",datos_base!$B$26,0))*parametros_manuales!$E$15)*parametros_manuales!$I$39*parametros_manuales!$J$39</f>
        <v>538.96434864205</v>
      </c>
      <c r="F22" s="9" t="n">
        <f aca="false">(parametros_manuales!$D$39*(datos_base!$B$2+IF(parametros_manuales!$H$39="Todos",datos_base!$B$9,0))*parametros_manuales!$F$95+parametros_manuales!$D$39*(datos_base!$B$18+IF(parametros_manuales!$H$39="Todos",datos_base!$B$23,0))*parametros_manuales!$F$12+parametros_manuales!$E$39*(datos_base!$B$3+IF(parametros_manuales!$H$39="Todos",datos_base!$B$10,0))*parametros_manuales!$F$100+parametros_manuales!$E$39*(datos_base!$B$19+IF(parametros_manuales!$H$39="Todos",datos_base!$B$24,0))*parametros_manuales!$F$13+parametros_manuales!$F$39*(datos_base!$B$4+IF(parametros_manuales!$H$39="Todos",datos_base!$B$11,0))*parametros_manuales!$F$105+parametros_manuales!$F$39*(datos_base!$B$20+IF(parametros_manuales!$H$39="Todos",datos_base!$B$25,0))*parametros_manuales!$F$14+parametros_manuales!$G$39*(datos_base!$B$5+IF(parametros_manuales!$H$39="Todos",datos_base!$B$12,0))*parametros_manuales!$F$110+parametros_manuales!$G$39*(datos_base!$B$21+IF(parametros_manuales!$H$39="Todos",datos_base!$B$26,0))*parametros_manuales!$F$15)*parametros_manuales!$I$39*parametros_manuales!$J$39</f>
        <v>504.8024831084</v>
      </c>
      <c r="G22" s="9" t="n">
        <f aca="false">(parametros_manuales!$D$39*(datos_base!$B$2+IF(parametros_manuales!$H$39="Todos",datos_base!$B$9,0))*parametros_manuales!$G$95+parametros_manuales!$D$39*(datos_base!$B$18+IF(parametros_manuales!$H$39="Todos",datos_base!$B$23,0))*parametros_manuales!$G$12+parametros_manuales!$E$39*(datos_base!$B$3+IF(parametros_manuales!$H$39="Todos",datos_base!$B$10,0))*parametros_manuales!$G$100+parametros_manuales!$E$39*(datos_base!$B$19+IF(parametros_manuales!$H$39="Todos",datos_base!$B$24,0))*parametros_manuales!$G$13+parametros_manuales!$F$39*(datos_base!$B$4+IF(parametros_manuales!$H$39="Todos",datos_base!$B$11,0))*parametros_manuales!$G$105+parametros_manuales!$F$39*(datos_base!$B$20+IF(parametros_manuales!$H$39="Todos",datos_base!$B$25,0))*parametros_manuales!$G$14+parametros_manuales!$G$39*(datos_base!$B$5+IF(parametros_manuales!$H$39="Todos",datos_base!$B$12,0))*parametros_manuales!$G$110+parametros_manuales!$G$39*(datos_base!$B$21+IF(parametros_manuales!$H$39="Todos",datos_base!$B$26,0))*parametros_manuales!$G$15)*parametros_manuales!$I$39*parametros_manuales!$J$39</f>
        <v>491.53430028975</v>
      </c>
      <c r="H22" s="9" t="n">
        <f aca="false">(parametros_manuales!$D$39*(datos_base!$B$2+IF(parametros_manuales!$H$39="Todos",datos_base!$B$9,0))*parametros_manuales!$H$95+parametros_manuales!$D$39*(datos_base!$B$18+IF(parametros_manuales!$H$39="Todos",datos_base!$B$23,0))*parametros_manuales!$H$12+parametros_manuales!$E$39*(datos_base!$B$3+IF(parametros_manuales!$H$39="Todos",datos_base!$B$10,0))*parametros_manuales!$H$100+parametros_manuales!$E$39*(datos_base!$B$19+IF(parametros_manuales!$H$39="Todos",datos_base!$B$24,0))*parametros_manuales!$H$13+parametros_manuales!$F$39*(datos_base!$B$4+IF(parametros_manuales!$H$39="Todos",datos_base!$B$11,0))*parametros_manuales!$H$105+parametros_manuales!$F$39*(datos_base!$B$20+IF(parametros_manuales!$H$39="Todos",datos_base!$B$25,0))*parametros_manuales!$H$14+parametros_manuales!$G$39*(datos_base!$B$5+IF(parametros_manuales!$H$39="Todos",datos_base!$B$12,0))*parametros_manuales!$H$110+parametros_manuales!$G$39*(datos_base!$B$21+IF(parametros_manuales!$H$39="Todos",datos_base!$B$26,0))*parametros_manuales!$H$15)*parametros_manuales!$I$39*parametros_manuales!$J$39</f>
        <v>525.6961658234</v>
      </c>
      <c r="I22" s="9" t="n">
        <f aca="false">(parametros_manuales!$D$39*(datos_base!$B$2+IF(parametros_manuales!$H$39="Todos",datos_base!$B$9,0))*parametros_manuales!$I$95+parametros_manuales!$D$39*(datos_base!$B$18+IF(parametros_manuales!$H$39="Todos",datos_base!$B$23,0))*parametros_manuales!$I$12+parametros_manuales!$E$39*(datos_base!$B$3+IF(parametros_manuales!$H$39="Todos",datos_base!$B$10,0))*parametros_manuales!$I$100+parametros_manuales!$E$39*(datos_base!$B$19+IF(parametros_manuales!$H$39="Todos",datos_base!$B$24,0))*parametros_manuales!$I$13+parametros_manuales!$F$39*(datos_base!$B$4+IF(parametros_manuales!$H$39="Todos",datos_base!$B$11,0))*parametros_manuales!$I$105+parametros_manuales!$F$39*(datos_base!$B$20+IF(parametros_manuales!$H$39="Todos",datos_base!$B$25,0))*parametros_manuales!$I$14+parametros_manuales!$G$39*(datos_base!$B$5+IF(parametros_manuales!$H$39="Todos",datos_base!$B$12,0))*parametros_manuales!$I$110+parametros_manuales!$G$39*(datos_base!$B$21+IF(parametros_manuales!$H$39="Todos",datos_base!$B$26,0))*parametros_manuales!$I$15)*parametros_manuales!$I$39*parametros_manuales!$J$39</f>
        <v>588.3772139684</v>
      </c>
      <c r="J22" s="9" t="n">
        <f aca="false">(parametros_manuales!$D$39*(datos_base!$B$2+IF(parametros_manuales!$H$39="Todos",datos_base!$B$9,0))*parametros_manuales!$J$95+parametros_manuales!$D$39*(datos_base!$B$18+IF(parametros_manuales!$H$39="Todos",datos_base!$B$23,0))*parametros_manuales!$J$12+parametros_manuales!$E$39*(datos_base!$B$3+IF(parametros_manuales!$H$39="Todos",datos_base!$B$10,0))*parametros_manuales!$J$100+parametros_manuales!$E$39*(datos_base!$B$19+IF(parametros_manuales!$H$39="Todos",datos_base!$B$24,0))*parametros_manuales!$J$13+parametros_manuales!$F$39*(datos_base!$B$4+IF(parametros_manuales!$H$39="Todos",datos_base!$B$11,0))*parametros_manuales!$J$105+parametros_manuales!$F$39*(datos_base!$B$20+IF(parametros_manuales!$H$39="Todos",datos_base!$B$25,0))*parametros_manuales!$J$14+parametros_manuales!$G$39*(datos_base!$B$5+IF(parametros_manuales!$H$39="Todos",datos_base!$B$12,0))*parametros_manuales!$J$110+parametros_manuales!$G$39*(datos_base!$B$21+IF(parametros_manuales!$H$39="Todos",datos_base!$B$26,0))*parametros_manuales!$J$15)*parametros_manuales!$I$39*parametros_manuales!$J$39</f>
        <v>588.3772139684</v>
      </c>
      <c r="K22" s="9" t="n">
        <f aca="false">(parametros_manuales!$D$39*(datos_base!$B$2+IF(parametros_manuales!$H$39="Todos",datos_base!$B$9,0))*parametros_manuales!$K$95+parametros_manuales!$D$39*(datos_base!$B$18+IF(parametros_manuales!$H$39="Todos",datos_base!$B$23,0))*parametros_manuales!$K$12+parametros_manuales!$E$39*(datos_base!$B$3+IF(parametros_manuales!$H$39="Todos",datos_base!$B$10,0))*parametros_manuales!$K$100+parametros_manuales!$E$39*(datos_base!$B$19+IF(parametros_manuales!$H$39="Todos",datos_base!$B$24,0))*parametros_manuales!$K$13+parametros_manuales!$F$39*(datos_base!$B$4+IF(parametros_manuales!$H$39="Todos",datos_base!$B$11,0))*parametros_manuales!$K$105+parametros_manuales!$F$39*(datos_base!$B$20+IF(parametros_manuales!$H$39="Todos",datos_base!$B$25,0))*parametros_manuales!$K$14+parametros_manuales!$G$39*(datos_base!$B$5+IF(parametros_manuales!$H$39="Todos",datos_base!$B$12,0))*parametros_manuales!$K$110+parametros_manuales!$G$39*(datos_base!$B$21+IF(parametros_manuales!$H$39="Todos",datos_base!$B$26,0))*parametros_manuales!$K$15)*parametros_manuales!$I$39*parametros_manuales!$J$39</f>
        <v>601.53539678705</v>
      </c>
      <c r="L22" s="9" t="n">
        <f aca="false">(parametros_manuales!$D$39*(datos_base!$B$2+IF(parametros_manuales!$H$39="Todos",datos_base!$B$9,0))*parametros_manuales!$L$95+parametros_manuales!$D$39*(datos_base!$B$18+IF(parametros_manuales!$H$39="Todos",datos_base!$B$23,0))*parametros_manuales!$L$12+parametros_manuales!$E$39*(datos_base!$B$3+IF(parametros_manuales!$H$39="Todos",datos_base!$B$10,0))*parametros_manuales!$L$100+parametros_manuales!$E$39*(datos_base!$B$19+IF(parametros_manuales!$H$39="Todos",datos_base!$B$24,0))*parametros_manuales!$L$13+parametros_manuales!$F$39*(datos_base!$B$4+IF(parametros_manuales!$H$39="Todos",datos_base!$B$11,0))*parametros_manuales!$L$105+parametros_manuales!$F$39*(datos_base!$B$20+IF(parametros_manuales!$H$39="Todos",datos_base!$B$25,0))*parametros_manuales!$L$14+parametros_manuales!$G$39*(datos_base!$B$5+IF(parametros_manuales!$H$39="Todos",datos_base!$B$12,0))*parametros_manuales!$L$110+parametros_manuales!$G$39*(datos_base!$B$21+IF(parametros_manuales!$H$39="Todos",datos_base!$B$26,0))*parametros_manuales!$L$15)*parametros_manuales!$I$39*parametros_manuales!$J$39</f>
        <v>614.6935796057</v>
      </c>
      <c r="M22" s="9" t="n">
        <f aca="false">(parametros_manuales!$D$39*(datos_base!$B$2+IF(parametros_manuales!$H$39="Todos",datos_base!$B$9,0))*parametros_manuales!$M$95+parametros_manuales!$D$39*(datos_base!$B$18+IF(parametros_manuales!$H$39="Todos",datos_base!$B$23,0))*parametros_manuales!$M$12+parametros_manuales!$E$39*(datos_base!$B$3+IF(parametros_manuales!$H$39="Todos",datos_base!$B$10,0))*parametros_manuales!$M$100+parametros_manuales!$E$39*(datos_base!$B$19+IF(parametros_manuales!$H$39="Todos",datos_base!$B$24,0))*parametros_manuales!$M$13+parametros_manuales!$F$39*(datos_base!$B$4+IF(parametros_manuales!$H$39="Todos",datos_base!$B$11,0))*parametros_manuales!$M$105+parametros_manuales!$F$39*(datos_base!$B$20+IF(parametros_manuales!$H$39="Todos",datos_base!$B$25,0))*parametros_manuales!$M$14+parametros_manuales!$G$39*(datos_base!$B$5+IF(parametros_manuales!$H$39="Todos",datos_base!$B$12,0))*parametros_manuales!$M$110+parametros_manuales!$G$39*(datos_base!$B$21+IF(parametros_manuales!$H$39="Todos",datos_base!$B$26,0))*parametros_manuales!$M$15)*parametros_manuales!$I$39*parametros_manuales!$J$39</f>
        <v>615.1335796057</v>
      </c>
      <c r="N22" s="9" t="n">
        <f aca="false">SUM(B22:M22)</f>
        <v>6832.37310673</v>
      </c>
      <c r="O22" s="9" t="n">
        <f aca="false">MAX(B22:M22)</f>
        <v>615.1335796057</v>
      </c>
      <c r="P22" s="44" t="n">
        <f aca="false">O22/(parametros_manuales!$B$7)</f>
        <v>4.10089053070467</v>
      </c>
      <c r="Q22" s="8" t="str">
        <f aca="false">IF(O22=0,"-",INDEX($B$1:$M$1,MATCH(O22,B22:M22,0)))</f>
        <v>Dic</v>
      </c>
    </row>
    <row r="23" customFormat="false" ht="14.25" hidden="false" customHeight="true" outlineLevel="0" collapsed="false">
      <c r="A23" s="8" t="str">
        <f aca="false">parametros_manuales!$B$40</f>
        <v>Presurización</v>
      </c>
      <c r="B23" s="9" t="n">
        <f aca="false">(parametros_manuales!$D$40*(datos_base!$B$2+IF(parametros_manuales!$H$40="Todos",datos_base!$B$9,0))*parametros_manuales!$B$95+parametros_manuales!$D$40*(datos_base!$B$18+IF(parametros_manuales!$H$40="Todos",datos_base!$B$23,0))*parametros_manuales!$B$12+parametros_manuales!$E$40*(datos_base!$B$3+IF(parametros_manuales!$H$40="Todos",datos_base!$B$10,0))*parametros_manuales!$B$100+parametros_manuales!$E$40*(datos_base!$B$19+IF(parametros_manuales!$H$40="Todos",datos_base!$B$24,0))*parametros_manuales!$B$13+parametros_manuales!$F$40*(datos_base!$B$4+IF(parametros_manuales!$H$40="Todos",datos_base!$B$11,0))*parametros_manuales!$B$105+parametros_manuales!$F$40*(datos_base!$B$20+IF(parametros_manuales!$H$40="Todos",datos_base!$B$25,0))*parametros_manuales!$B$14+parametros_manuales!$G$40*(datos_base!$B$5+IF(parametros_manuales!$H$40="Todos",datos_base!$B$12,0))*parametros_manuales!$B$110+parametros_manuales!$G$40*(datos_base!$B$21+IF(parametros_manuales!$H$40="Todos",datos_base!$B$26,0))*parametros_manuales!$B$15)*parametros_manuales!$I$40*parametros_manuales!$J$40</f>
        <v>615.0235796057</v>
      </c>
      <c r="C23" s="9" t="n">
        <f aca="false">(parametros_manuales!$D$40*(datos_base!$B$2+IF(parametros_manuales!$H$40="Todos",datos_base!$B$9,0))*parametros_manuales!$C$95+parametros_manuales!$D$40*(datos_base!$B$18+IF(parametros_manuales!$H$40="Todos",datos_base!$B$23,0))*parametros_manuales!$C$12+parametros_manuales!$E$40*(datos_base!$B$3+IF(parametros_manuales!$H$40="Todos",datos_base!$B$10,0))*parametros_manuales!$C$100+parametros_manuales!$E$40*(datos_base!$B$19+IF(parametros_manuales!$H$40="Todos",datos_base!$B$24,0))*parametros_manuales!$C$13+parametros_manuales!$F$40*(datos_base!$B$4+IF(parametros_manuales!$H$40="Todos",datos_base!$B$11,0))*parametros_manuales!$C$105+parametros_manuales!$F$40*(datos_base!$B$20+IF(parametros_manuales!$H$40="Todos",datos_base!$B$25,0))*parametros_manuales!$C$14+parametros_manuales!$G$40*(datos_base!$B$5+IF(parametros_manuales!$H$40="Todos",datos_base!$B$12,0))*parametros_manuales!$C$110+parametros_manuales!$G$40*(datos_base!$B$21+IF(parametros_manuales!$H$40="Todos",datos_base!$B$26,0))*parametros_manuales!$C$15)*parametros_manuales!$I$40*parametros_manuales!$J$40</f>
        <v>588.3772139684</v>
      </c>
      <c r="D23" s="9" t="n">
        <f aca="false">(parametros_manuales!$D$40*(datos_base!$B$2+IF(parametros_manuales!$H$40="Todos",datos_base!$B$9,0))*parametros_manuales!$D$95+parametros_manuales!$D$40*(datos_base!$B$18+IF(parametros_manuales!$H$40="Todos",datos_base!$B$23,0))*parametros_manuales!$D$12+parametros_manuales!$E$40*(datos_base!$B$3+IF(parametros_manuales!$H$40="Todos",datos_base!$B$10,0))*parametros_manuales!$D$100+parametros_manuales!$E$40*(datos_base!$B$19+IF(parametros_manuales!$H$40="Todos",datos_base!$B$24,0))*parametros_manuales!$D$13+parametros_manuales!$F$40*(datos_base!$B$4+IF(parametros_manuales!$H$40="Todos",datos_base!$B$11,0))*parametros_manuales!$D$105+parametros_manuales!$F$40*(datos_base!$B$20+IF(parametros_manuales!$H$40="Todos",datos_base!$B$25,0))*parametros_manuales!$D$14+parametros_manuales!$G$40*(datos_base!$B$5+IF(parametros_manuales!$H$40="Todos",datos_base!$B$12,0))*parametros_manuales!$D$110+parametros_manuales!$G$40*(datos_base!$B$21+IF(parametros_manuales!$H$40="Todos",datos_base!$B$26,0))*parametros_manuales!$D$15)*parametros_manuales!$I$40*parametros_manuales!$J$40</f>
        <v>559.85803135705</v>
      </c>
      <c r="E23" s="9" t="n">
        <f aca="false">(parametros_manuales!$D$40*(datos_base!$B$2+IF(parametros_manuales!$H$40="Todos",datos_base!$B$9,0))*parametros_manuales!$E$95+parametros_manuales!$D$40*(datos_base!$B$18+IF(parametros_manuales!$H$40="Todos",datos_base!$B$23,0))*parametros_manuales!$E$12+parametros_manuales!$E$40*(datos_base!$B$3+IF(parametros_manuales!$H$40="Todos",datos_base!$B$10,0))*parametros_manuales!$E$100+parametros_manuales!$E$40*(datos_base!$B$19+IF(parametros_manuales!$H$40="Todos",datos_base!$B$24,0))*parametros_manuales!$E$13+parametros_manuales!$F$40*(datos_base!$B$4+IF(parametros_manuales!$H$40="Todos",datos_base!$B$11,0))*parametros_manuales!$E$105+parametros_manuales!$F$40*(datos_base!$B$20+IF(parametros_manuales!$H$40="Todos",datos_base!$B$25,0))*parametros_manuales!$E$14+parametros_manuales!$G$40*(datos_base!$B$5+IF(parametros_manuales!$H$40="Todos",datos_base!$B$12,0))*parametros_manuales!$E$110+parametros_manuales!$G$40*(datos_base!$B$21+IF(parametros_manuales!$H$40="Todos",datos_base!$B$26,0))*parametros_manuales!$E$15)*parametros_manuales!$I$40*parametros_manuales!$J$40</f>
        <v>538.96434864205</v>
      </c>
      <c r="F23" s="9" t="n">
        <f aca="false">(parametros_manuales!$D$40*(datos_base!$B$2+IF(parametros_manuales!$H$40="Todos",datos_base!$B$9,0))*parametros_manuales!$F$95+parametros_manuales!$D$40*(datos_base!$B$18+IF(parametros_manuales!$H$40="Todos",datos_base!$B$23,0))*parametros_manuales!$F$12+parametros_manuales!$E$40*(datos_base!$B$3+IF(parametros_manuales!$H$40="Todos",datos_base!$B$10,0))*parametros_manuales!$F$100+parametros_manuales!$E$40*(datos_base!$B$19+IF(parametros_manuales!$H$40="Todos",datos_base!$B$24,0))*parametros_manuales!$F$13+parametros_manuales!$F$40*(datos_base!$B$4+IF(parametros_manuales!$H$40="Todos",datos_base!$B$11,0))*parametros_manuales!$F$105+parametros_manuales!$F$40*(datos_base!$B$20+IF(parametros_manuales!$H$40="Todos",datos_base!$B$25,0))*parametros_manuales!$F$14+parametros_manuales!$G$40*(datos_base!$B$5+IF(parametros_manuales!$H$40="Todos",datos_base!$B$12,0))*parametros_manuales!$F$110+parametros_manuales!$G$40*(datos_base!$B$21+IF(parametros_manuales!$H$40="Todos",datos_base!$B$26,0))*parametros_manuales!$F$15)*parametros_manuales!$I$40*parametros_manuales!$J$40</f>
        <v>504.8024831084</v>
      </c>
      <c r="G23" s="9" t="n">
        <f aca="false">(parametros_manuales!$D$40*(datos_base!$B$2+IF(parametros_manuales!$H$40="Todos",datos_base!$B$9,0))*parametros_manuales!$G$95+parametros_manuales!$D$40*(datos_base!$B$18+IF(parametros_manuales!$H$40="Todos",datos_base!$B$23,0))*parametros_manuales!$G$12+parametros_manuales!$E$40*(datos_base!$B$3+IF(parametros_manuales!$H$40="Todos",datos_base!$B$10,0))*parametros_manuales!$G$100+parametros_manuales!$E$40*(datos_base!$B$19+IF(parametros_manuales!$H$40="Todos",datos_base!$B$24,0))*parametros_manuales!$G$13+parametros_manuales!$F$40*(datos_base!$B$4+IF(parametros_manuales!$H$40="Todos",datos_base!$B$11,0))*parametros_manuales!$G$105+parametros_manuales!$F$40*(datos_base!$B$20+IF(parametros_manuales!$H$40="Todos",datos_base!$B$25,0))*parametros_manuales!$G$14+parametros_manuales!$G$40*(datos_base!$B$5+IF(parametros_manuales!$H$40="Todos",datos_base!$B$12,0))*parametros_manuales!$G$110+parametros_manuales!$G$40*(datos_base!$B$21+IF(parametros_manuales!$H$40="Todos",datos_base!$B$26,0))*parametros_manuales!$G$15)*parametros_manuales!$I$40*parametros_manuales!$J$40</f>
        <v>491.53430028975</v>
      </c>
      <c r="H23" s="9" t="n">
        <f aca="false">(parametros_manuales!$D$40*(datos_base!$B$2+IF(parametros_manuales!$H$40="Todos",datos_base!$B$9,0))*parametros_manuales!$H$95+parametros_manuales!$D$40*(datos_base!$B$18+IF(parametros_manuales!$H$40="Todos",datos_base!$B$23,0))*parametros_manuales!$H$12+parametros_manuales!$E$40*(datos_base!$B$3+IF(parametros_manuales!$H$40="Todos",datos_base!$B$10,0))*parametros_manuales!$H$100+parametros_manuales!$E$40*(datos_base!$B$19+IF(parametros_manuales!$H$40="Todos",datos_base!$B$24,0))*parametros_manuales!$H$13+parametros_manuales!$F$40*(datos_base!$B$4+IF(parametros_manuales!$H$40="Todos",datos_base!$B$11,0))*parametros_manuales!$H$105+parametros_manuales!$F$40*(datos_base!$B$20+IF(parametros_manuales!$H$40="Todos",datos_base!$B$25,0))*parametros_manuales!$H$14+parametros_manuales!$G$40*(datos_base!$B$5+IF(parametros_manuales!$H$40="Todos",datos_base!$B$12,0))*parametros_manuales!$H$110+parametros_manuales!$G$40*(datos_base!$B$21+IF(parametros_manuales!$H$40="Todos",datos_base!$B$26,0))*parametros_manuales!$H$15)*parametros_manuales!$I$40*parametros_manuales!$J$40</f>
        <v>525.6961658234</v>
      </c>
      <c r="I23" s="9" t="n">
        <f aca="false">(parametros_manuales!$D$40*(datos_base!$B$2+IF(parametros_manuales!$H$40="Todos",datos_base!$B$9,0))*parametros_manuales!$I$95+parametros_manuales!$D$40*(datos_base!$B$18+IF(parametros_manuales!$H$40="Todos",datos_base!$B$23,0))*parametros_manuales!$I$12+parametros_manuales!$E$40*(datos_base!$B$3+IF(parametros_manuales!$H$40="Todos",datos_base!$B$10,0))*parametros_manuales!$I$100+parametros_manuales!$E$40*(datos_base!$B$19+IF(parametros_manuales!$H$40="Todos",datos_base!$B$24,0))*parametros_manuales!$I$13+parametros_manuales!$F$40*(datos_base!$B$4+IF(parametros_manuales!$H$40="Todos",datos_base!$B$11,0))*parametros_manuales!$I$105+parametros_manuales!$F$40*(datos_base!$B$20+IF(parametros_manuales!$H$40="Todos",datos_base!$B$25,0))*parametros_manuales!$I$14+parametros_manuales!$G$40*(datos_base!$B$5+IF(parametros_manuales!$H$40="Todos",datos_base!$B$12,0))*parametros_manuales!$I$110+parametros_manuales!$G$40*(datos_base!$B$21+IF(parametros_manuales!$H$40="Todos",datos_base!$B$26,0))*parametros_manuales!$I$15)*parametros_manuales!$I$40*parametros_manuales!$J$40</f>
        <v>588.3772139684</v>
      </c>
      <c r="J23" s="9" t="n">
        <f aca="false">(parametros_manuales!$D$40*(datos_base!$B$2+IF(parametros_manuales!$H$40="Todos",datos_base!$B$9,0))*parametros_manuales!$J$95+parametros_manuales!$D$40*(datos_base!$B$18+IF(parametros_manuales!$H$40="Todos",datos_base!$B$23,0))*parametros_manuales!$J$12+parametros_manuales!$E$40*(datos_base!$B$3+IF(parametros_manuales!$H$40="Todos",datos_base!$B$10,0))*parametros_manuales!$J$100+parametros_manuales!$E$40*(datos_base!$B$19+IF(parametros_manuales!$H$40="Todos",datos_base!$B$24,0))*parametros_manuales!$J$13+parametros_manuales!$F$40*(datos_base!$B$4+IF(parametros_manuales!$H$40="Todos",datos_base!$B$11,0))*parametros_manuales!$J$105+parametros_manuales!$F$40*(datos_base!$B$20+IF(parametros_manuales!$H$40="Todos",datos_base!$B$25,0))*parametros_manuales!$J$14+parametros_manuales!$G$40*(datos_base!$B$5+IF(parametros_manuales!$H$40="Todos",datos_base!$B$12,0))*parametros_manuales!$J$110+parametros_manuales!$G$40*(datos_base!$B$21+IF(parametros_manuales!$H$40="Todos",datos_base!$B$26,0))*parametros_manuales!$J$15)*parametros_manuales!$I$40*parametros_manuales!$J$40</f>
        <v>588.3772139684</v>
      </c>
      <c r="K23" s="9" t="n">
        <f aca="false">(parametros_manuales!$D$40*(datos_base!$B$2+IF(parametros_manuales!$H$40="Todos",datos_base!$B$9,0))*parametros_manuales!$K$95+parametros_manuales!$D$40*(datos_base!$B$18+IF(parametros_manuales!$H$40="Todos",datos_base!$B$23,0))*parametros_manuales!$K$12+parametros_manuales!$E$40*(datos_base!$B$3+IF(parametros_manuales!$H$40="Todos",datos_base!$B$10,0))*parametros_manuales!$K$100+parametros_manuales!$E$40*(datos_base!$B$19+IF(parametros_manuales!$H$40="Todos",datos_base!$B$24,0))*parametros_manuales!$K$13+parametros_manuales!$F$40*(datos_base!$B$4+IF(parametros_manuales!$H$40="Todos",datos_base!$B$11,0))*parametros_manuales!$K$105+parametros_manuales!$F$40*(datos_base!$B$20+IF(parametros_manuales!$H$40="Todos",datos_base!$B$25,0))*parametros_manuales!$K$14+parametros_manuales!$G$40*(datos_base!$B$5+IF(parametros_manuales!$H$40="Todos",datos_base!$B$12,0))*parametros_manuales!$K$110+parametros_manuales!$G$40*(datos_base!$B$21+IF(parametros_manuales!$H$40="Todos",datos_base!$B$26,0))*parametros_manuales!$K$15)*parametros_manuales!$I$40*parametros_manuales!$J$40</f>
        <v>601.53539678705</v>
      </c>
      <c r="L23" s="9" t="n">
        <f aca="false">(parametros_manuales!$D$40*(datos_base!$B$2+IF(parametros_manuales!$H$40="Todos",datos_base!$B$9,0))*parametros_manuales!$L$95+parametros_manuales!$D$40*(datos_base!$B$18+IF(parametros_manuales!$H$40="Todos",datos_base!$B$23,0))*parametros_manuales!$L$12+parametros_manuales!$E$40*(datos_base!$B$3+IF(parametros_manuales!$H$40="Todos",datos_base!$B$10,0))*parametros_manuales!$L$100+parametros_manuales!$E$40*(datos_base!$B$19+IF(parametros_manuales!$H$40="Todos",datos_base!$B$24,0))*parametros_manuales!$L$13+parametros_manuales!$F$40*(datos_base!$B$4+IF(parametros_manuales!$H$40="Todos",datos_base!$B$11,0))*parametros_manuales!$L$105+parametros_manuales!$F$40*(datos_base!$B$20+IF(parametros_manuales!$H$40="Todos",datos_base!$B$25,0))*parametros_manuales!$L$14+parametros_manuales!$G$40*(datos_base!$B$5+IF(parametros_manuales!$H$40="Todos",datos_base!$B$12,0))*parametros_manuales!$L$110+parametros_manuales!$G$40*(datos_base!$B$21+IF(parametros_manuales!$H$40="Todos",datos_base!$B$26,0))*parametros_manuales!$L$15)*parametros_manuales!$I$40*parametros_manuales!$J$40</f>
        <v>614.6935796057</v>
      </c>
      <c r="M23" s="9" t="n">
        <f aca="false">(parametros_manuales!$D$40*(datos_base!$B$2+IF(parametros_manuales!$H$40="Todos",datos_base!$B$9,0))*parametros_manuales!$M$95+parametros_manuales!$D$40*(datos_base!$B$18+IF(parametros_manuales!$H$40="Todos",datos_base!$B$23,0))*parametros_manuales!$M$12+parametros_manuales!$E$40*(datos_base!$B$3+IF(parametros_manuales!$H$40="Todos",datos_base!$B$10,0))*parametros_manuales!$M$100+parametros_manuales!$E$40*(datos_base!$B$19+IF(parametros_manuales!$H$40="Todos",datos_base!$B$24,0))*parametros_manuales!$M$13+parametros_manuales!$F$40*(datos_base!$B$4+IF(parametros_manuales!$H$40="Todos",datos_base!$B$11,0))*parametros_manuales!$M$105+parametros_manuales!$F$40*(datos_base!$B$20+IF(parametros_manuales!$H$40="Todos",datos_base!$B$25,0))*parametros_manuales!$M$14+parametros_manuales!$G$40*(datos_base!$B$5+IF(parametros_manuales!$H$40="Todos",datos_base!$B$12,0))*parametros_manuales!$M$110+parametros_manuales!$G$40*(datos_base!$B$21+IF(parametros_manuales!$H$40="Todos",datos_base!$B$26,0))*parametros_manuales!$M$15)*parametros_manuales!$I$40*parametros_manuales!$J$40</f>
        <v>615.1335796057</v>
      </c>
      <c r="N23" s="9" t="n">
        <f aca="false">SUM(B23:M23)</f>
        <v>6832.37310673</v>
      </c>
      <c r="O23" s="9" t="n">
        <f aca="false">MAX(B23:M23)</f>
        <v>615.1335796057</v>
      </c>
      <c r="P23" s="44" t="n">
        <f aca="false">O23/(parametros_manuales!$B$7)</f>
        <v>4.10089053070467</v>
      </c>
      <c r="Q23" s="8" t="str">
        <f aca="false">IF(O23=0,"-",INDEX($B$1:$M$1,MATCH(O23,B23:M23,0)))</f>
        <v>Dic</v>
      </c>
    </row>
    <row r="24" customFormat="false" ht="14.25" hidden="false" customHeight="true" outlineLevel="0" collapsed="false">
      <c r="A24" s="8" t="str">
        <f aca="false">parametros_manuales!$B$41</f>
        <v>Control de calidad — Ensayo de pérdidas</v>
      </c>
      <c r="B24" s="9" t="n">
        <f aca="false">(parametros_manuales!$D$41*(datos_base!$B$2+IF(parametros_manuales!$H$41="Todos",datos_base!$B$9,0))*parametros_manuales!$B$95+parametros_manuales!$D$41*(datos_base!$B$18+IF(parametros_manuales!$H$41="Todos",datos_base!$B$23,0))*parametros_manuales!$B$12+parametros_manuales!$E$41*(datos_base!$B$3+IF(parametros_manuales!$H$41="Todos",datos_base!$B$10,0))*parametros_manuales!$B$100+parametros_manuales!$E$41*(datos_base!$B$19+IF(parametros_manuales!$H$41="Todos",datos_base!$B$24,0))*parametros_manuales!$B$13+parametros_manuales!$F$41*(datos_base!$B$4+IF(parametros_manuales!$H$41="Todos",datos_base!$B$11,0))*parametros_manuales!$B$105+parametros_manuales!$F$41*(datos_base!$B$20+IF(parametros_manuales!$H$41="Todos",datos_base!$B$25,0))*parametros_manuales!$B$14+parametros_manuales!$G$41*(datos_base!$B$5+IF(parametros_manuales!$H$41="Todos",datos_base!$B$12,0))*parametros_manuales!$B$110+parametros_manuales!$G$41*(datos_base!$B$21+IF(parametros_manuales!$H$41="Todos",datos_base!$B$26,0))*parametros_manuales!$B$15)*parametros_manuales!$I$41*parametros_manuales!$J$41</f>
        <v>615.0235796057</v>
      </c>
      <c r="C24" s="9" t="n">
        <f aca="false">(parametros_manuales!$D$41*(datos_base!$B$2+IF(parametros_manuales!$H$41="Todos",datos_base!$B$9,0))*parametros_manuales!$C$95+parametros_manuales!$D$41*(datos_base!$B$18+IF(parametros_manuales!$H$41="Todos",datos_base!$B$23,0))*parametros_manuales!$C$12+parametros_manuales!$E$41*(datos_base!$B$3+IF(parametros_manuales!$H$41="Todos",datos_base!$B$10,0))*parametros_manuales!$C$100+parametros_manuales!$E$41*(datos_base!$B$19+IF(parametros_manuales!$H$41="Todos",datos_base!$B$24,0))*parametros_manuales!$C$13+parametros_manuales!$F$41*(datos_base!$B$4+IF(parametros_manuales!$H$41="Todos",datos_base!$B$11,0))*parametros_manuales!$C$105+parametros_manuales!$F$41*(datos_base!$B$20+IF(parametros_manuales!$H$41="Todos",datos_base!$B$25,0))*parametros_manuales!$C$14+parametros_manuales!$G$41*(datos_base!$B$5+IF(parametros_manuales!$H$41="Todos",datos_base!$B$12,0))*parametros_manuales!$C$110+parametros_manuales!$G$41*(datos_base!$B$21+IF(parametros_manuales!$H$41="Todos",datos_base!$B$26,0))*parametros_manuales!$C$15)*parametros_manuales!$I$41*parametros_manuales!$J$41</f>
        <v>588.3772139684</v>
      </c>
      <c r="D24" s="9" t="n">
        <f aca="false">(parametros_manuales!$D$41*(datos_base!$B$2+IF(parametros_manuales!$H$41="Todos",datos_base!$B$9,0))*parametros_manuales!$D$95+parametros_manuales!$D$41*(datos_base!$B$18+IF(parametros_manuales!$H$41="Todos",datos_base!$B$23,0))*parametros_manuales!$D$12+parametros_manuales!$E$41*(datos_base!$B$3+IF(parametros_manuales!$H$41="Todos",datos_base!$B$10,0))*parametros_manuales!$D$100+parametros_manuales!$E$41*(datos_base!$B$19+IF(parametros_manuales!$H$41="Todos",datos_base!$B$24,0))*parametros_manuales!$D$13+parametros_manuales!$F$41*(datos_base!$B$4+IF(parametros_manuales!$H$41="Todos",datos_base!$B$11,0))*parametros_manuales!$D$105+parametros_manuales!$F$41*(datos_base!$B$20+IF(parametros_manuales!$H$41="Todos",datos_base!$B$25,0))*parametros_manuales!$D$14+parametros_manuales!$G$41*(datos_base!$B$5+IF(parametros_manuales!$H$41="Todos",datos_base!$B$12,0))*parametros_manuales!$D$110+parametros_manuales!$G$41*(datos_base!$B$21+IF(parametros_manuales!$H$41="Todos",datos_base!$B$26,0))*parametros_manuales!$D$15)*parametros_manuales!$I$41*parametros_manuales!$J$41</f>
        <v>559.85803135705</v>
      </c>
      <c r="E24" s="9" t="n">
        <f aca="false">(parametros_manuales!$D$41*(datos_base!$B$2+IF(parametros_manuales!$H$41="Todos",datos_base!$B$9,0))*parametros_manuales!$E$95+parametros_manuales!$D$41*(datos_base!$B$18+IF(parametros_manuales!$H$41="Todos",datos_base!$B$23,0))*parametros_manuales!$E$12+parametros_manuales!$E$41*(datos_base!$B$3+IF(parametros_manuales!$H$41="Todos",datos_base!$B$10,0))*parametros_manuales!$E$100+parametros_manuales!$E$41*(datos_base!$B$19+IF(parametros_manuales!$H$41="Todos",datos_base!$B$24,0))*parametros_manuales!$E$13+parametros_manuales!$F$41*(datos_base!$B$4+IF(parametros_manuales!$H$41="Todos",datos_base!$B$11,0))*parametros_manuales!$E$105+parametros_manuales!$F$41*(datos_base!$B$20+IF(parametros_manuales!$H$41="Todos",datos_base!$B$25,0))*parametros_manuales!$E$14+parametros_manuales!$G$41*(datos_base!$B$5+IF(parametros_manuales!$H$41="Todos",datos_base!$B$12,0))*parametros_manuales!$E$110+parametros_manuales!$G$41*(datos_base!$B$21+IF(parametros_manuales!$H$41="Todos",datos_base!$B$26,0))*parametros_manuales!$E$15)*parametros_manuales!$I$41*parametros_manuales!$J$41</f>
        <v>538.96434864205</v>
      </c>
      <c r="F24" s="9" t="n">
        <f aca="false">(parametros_manuales!$D$41*(datos_base!$B$2+IF(parametros_manuales!$H$41="Todos",datos_base!$B$9,0))*parametros_manuales!$F$95+parametros_manuales!$D$41*(datos_base!$B$18+IF(parametros_manuales!$H$41="Todos",datos_base!$B$23,0))*parametros_manuales!$F$12+parametros_manuales!$E$41*(datos_base!$B$3+IF(parametros_manuales!$H$41="Todos",datos_base!$B$10,0))*parametros_manuales!$F$100+parametros_manuales!$E$41*(datos_base!$B$19+IF(parametros_manuales!$H$41="Todos",datos_base!$B$24,0))*parametros_manuales!$F$13+parametros_manuales!$F$41*(datos_base!$B$4+IF(parametros_manuales!$H$41="Todos",datos_base!$B$11,0))*parametros_manuales!$F$105+parametros_manuales!$F$41*(datos_base!$B$20+IF(parametros_manuales!$H$41="Todos",datos_base!$B$25,0))*parametros_manuales!$F$14+parametros_manuales!$G$41*(datos_base!$B$5+IF(parametros_manuales!$H$41="Todos",datos_base!$B$12,0))*parametros_manuales!$F$110+parametros_manuales!$G$41*(datos_base!$B$21+IF(parametros_manuales!$H$41="Todos",datos_base!$B$26,0))*parametros_manuales!$F$15)*parametros_manuales!$I$41*parametros_manuales!$J$41</f>
        <v>504.8024831084</v>
      </c>
      <c r="G24" s="9" t="n">
        <f aca="false">(parametros_manuales!$D$41*(datos_base!$B$2+IF(parametros_manuales!$H$41="Todos",datos_base!$B$9,0))*parametros_manuales!$G$95+parametros_manuales!$D$41*(datos_base!$B$18+IF(parametros_manuales!$H$41="Todos",datos_base!$B$23,0))*parametros_manuales!$G$12+parametros_manuales!$E$41*(datos_base!$B$3+IF(parametros_manuales!$H$41="Todos",datos_base!$B$10,0))*parametros_manuales!$G$100+parametros_manuales!$E$41*(datos_base!$B$19+IF(parametros_manuales!$H$41="Todos",datos_base!$B$24,0))*parametros_manuales!$G$13+parametros_manuales!$F$41*(datos_base!$B$4+IF(parametros_manuales!$H$41="Todos",datos_base!$B$11,0))*parametros_manuales!$G$105+parametros_manuales!$F$41*(datos_base!$B$20+IF(parametros_manuales!$H$41="Todos",datos_base!$B$25,0))*parametros_manuales!$G$14+parametros_manuales!$G$41*(datos_base!$B$5+IF(parametros_manuales!$H$41="Todos",datos_base!$B$12,0))*parametros_manuales!$G$110+parametros_manuales!$G$41*(datos_base!$B$21+IF(parametros_manuales!$H$41="Todos",datos_base!$B$26,0))*parametros_manuales!$G$15)*parametros_manuales!$I$41*parametros_manuales!$J$41</f>
        <v>491.53430028975</v>
      </c>
      <c r="H24" s="9" t="n">
        <f aca="false">(parametros_manuales!$D$41*(datos_base!$B$2+IF(parametros_manuales!$H$41="Todos",datos_base!$B$9,0))*parametros_manuales!$H$95+parametros_manuales!$D$41*(datos_base!$B$18+IF(parametros_manuales!$H$41="Todos",datos_base!$B$23,0))*parametros_manuales!$H$12+parametros_manuales!$E$41*(datos_base!$B$3+IF(parametros_manuales!$H$41="Todos",datos_base!$B$10,0))*parametros_manuales!$H$100+parametros_manuales!$E$41*(datos_base!$B$19+IF(parametros_manuales!$H$41="Todos",datos_base!$B$24,0))*parametros_manuales!$H$13+parametros_manuales!$F$41*(datos_base!$B$4+IF(parametros_manuales!$H$41="Todos",datos_base!$B$11,0))*parametros_manuales!$H$105+parametros_manuales!$F$41*(datos_base!$B$20+IF(parametros_manuales!$H$41="Todos",datos_base!$B$25,0))*parametros_manuales!$H$14+parametros_manuales!$G$41*(datos_base!$B$5+IF(parametros_manuales!$H$41="Todos",datos_base!$B$12,0))*parametros_manuales!$H$110+parametros_manuales!$G$41*(datos_base!$B$21+IF(parametros_manuales!$H$41="Todos",datos_base!$B$26,0))*parametros_manuales!$H$15)*parametros_manuales!$I$41*parametros_manuales!$J$41</f>
        <v>525.6961658234</v>
      </c>
      <c r="I24" s="9" t="n">
        <f aca="false">(parametros_manuales!$D$41*(datos_base!$B$2+IF(parametros_manuales!$H$41="Todos",datos_base!$B$9,0))*parametros_manuales!$I$95+parametros_manuales!$D$41*(datos_base!$B$18+IF(parametros_manuales!$H$41="Todos",datos_base!$B$23,0))*parametros_manuales!$I$12+parametros_manuales!$E$41*(datos_base!$B$3+IF(parametros_manuales!$H$41="Todos",datos_base!$B$10,0))*parametros_manuales!$I$100+parametros_manuales!$E$41*(datos_base!$B$19+IF(parametros_manuales!$H$41="Todos",datos_base!$B$24,0))*parametros_manuales!$I$13+parametros_manuales!$F$41*(datos_base!$B$4+IF(parametros_manuales!$H$41="Todos",datos_base!$B$11,0))*parametros_manuales!$I$105+parametros_manuales!$F$41*(datos_base!$B$20+IF(parametros_manuales!$H$41="Todos",datos_base!$B$25,0))*parametros_manuales!$I$14+parametros_manuales!$G$41*(datos_base!$B$5+IF(parametros_manuales!$H$41="Todos",datos_base!$B$12,0))*parametros_manuales!$I$110+parametros_manuales!$G$41*(datos_base!$B$21+IF(parametros_manuales!$H$41="Todos",datos_base!$B$26,0))*parametros_manuales!$I$15)*parametros_manuales!$I$41*parametros_manuales!$J$41</f>
        <v>588.3772139684</v>
      </c>
      <c r="J24" s="9" t="n">
        <f aca="false">(parametros_manuales!$D$41*(datos_base!$B$2+IF(parametros_manuales!$H$41="Todos",datos_base!$B$9,0))*parametros_manuales!$J$95+parametros_manuales!$D$41*(datos_base!$B$18+IF(parametros_manuales!$H$41="Todos",datos_base!$B$23,0))*parametros_manuales!$J$12+parametros_manuales!$E$41*(datos_base!$B$3+IF(parametros_manuales!$H$41="Todos",datos_base!$B$10,0))*parametros_manuales!$J$100+parametros_manuales!$E$41*(datos_base!$B$19+IF(parametros_manuales!$H$41="Todos",datos_base!$B$24,0))*parametros_manuales!$J$13+parametros_manuales!$F$41*(datos_base!$B$4+IF(parametros_manuales!$H$41="Todos",datos_base!$B$11,0))*parametros_manuales!$J$105+parametros_manuales!$F$41*(datos_base!$B$20+IF(parametros_manuales!$H$41="Todos",datos_base!$B$25,0))*parametros_manuales!$J$14+parametros_manuales!$G$41*(datos_base!$B$5+IF(parametros_manuales!$H$41="Todos",datos_base!$B$12,0))*parametros_manuales!$J$110+parametros_manuales!$G$41*(datos_base!$B$21+IF(parametros_manuales!$H$41="Todos",datos_base!$B$26,0))*parametros_manuales!$J$15)*parametros_manuales!$I$41*parametros_manuales!$J$41</f>
        <v>588.3772139684</v>
      </c>
      <c r="K24" s="9" t="n">
        <f aca="false">(parametros_manuales!$D$41*(datos_base!$B$2+IF(parametros_manuales!$H$41="Todos",datos_base!$B$9,0))*parametros_manuales!$K$95+parametros_manuales!$D$41*(datos_base!$B$18+IF(parametros_manuales!$H$41="Todos",datos_base!$B$23,0))*parametros_manuales!$K$12+parametros_manuales!$E$41*(datos_base!$B$3+IF(parametros_manuales!$H$41="Todos",datos_base!$B$10,0))*parametros_manuales!$K$100+parametros_manuales!$E$41*(datos_base!$B$19+IF(parametros_manuales!$H$41="Todos",datos_base!$B$24,0))*parametros_manuales!$K$13+parametros_manuales!$F$41*(datos_base!$B$4+IF(parametros_manuales!$H$41="Todos",datos_base!$B$11,0))*parametros_manuales!$K$105+parametros_manuales!$F$41*(datos_base!$B$20+IF(parametros_manuales!$H$41="Todos",datos_base!$B$25,0))*parametros_manuales!$K$14+parametros_manuales!$G$41*(datos_base!$B$5+IF(parametros_manuales!$H$41="Todos",datos_base!$B$12,0))*parametros_manuales!$K$110+parametros_manuales!$G$41*(datos_base!$B$21+IF(parametros_manuales!$H$41="Todos",datos_base!$B$26,0))*parametros_manuales!$K$15)*parametros_manuales!$I$41*parametros_manuales!$J$41</f>
        <v>601.53539678705</v>
      </c>
      <c r="L24" s="9" t="n">
        <f aca="false">(parametros_manuales!$D$41*(datos_base!$B$2+IF(parametros_manuales!$H$41="Todos",datos_base!$B$9,0))*parametros_manuales!$L$95+parametros_manuales!$D$41*(datos_base!$B$18+IF(parametros_manuales!$H$41="Todos",datos_base!$B$23,0))*parametros_manuales!$L$12+parametros_manuales!$E$41*(datos_base!$B$3+IF(parametros_manuales!$H$41="Todos",datos_base!$B$10,0))*parametros_manuales!$L$100+parametros_manuales!$E$41*(datos_base!$B$19+IF(parametros_manuales!$H$41="Todos",datos_base!$B$24,0))*parametros_manuales!$L$13+parametros_manuales!$F$41*(datos_base!$B$4+IF(parametros_manuales!$H$41="Todos",datos_base!$B$11,0))*parametros_manuales!$L$105+parametros_manuales!$F$41*(datos_base!$B$20+IF(parametros_manuales!$H$41="Todos",datos_base!$B$25,0))*parametros_manuales!$L$14+parametros_manuales!$G$41*(datos_base!$B$5+IF(parametros_manuales!$H$41="Todos",datos_base!$B$12,0))*parametros_manuales!$L$110+parametros_manuales!$G$41*(datos_base!$B$21+IF(parametros_manuales!$H$41="Todos",datos_base!$B$26,0))*parametros_manuales!$L$15)*parametros_manuales!$I$41*parametros_manuales!$J$41</f>
        <v>614.6935796057</v>
      </c>
      <c r="M24" s="9" t="n">
        <f aca="false">(parametros_manuales!$D$41*(datos_base!$B$2+IF(parametros_manuales!$H$41="Todos",datos_base!$B$9,0))*parametros_manuales!$M$95+parametros_manuales!$D$41*(datos_base!$B$18+IF(parametros_manuales!$H$41="Todos",datos_base!$B$23,0))*parametros_manuales!$M$12+parametros_manuales!$E$41*(datos_base!$B$3+IF(parametros_manuales!$H$41="Todos",datos_base!$B$10,0))*parametros_manuales!$M$100+parametros_manuales!$E$41*(datos_base!$B$19+IF(parametros_manuales!$H$41="Todos",datos_base!$B$24,0))*parametros_manuales!$M$13+parametros_manuales!$F$41*(datos_base!$B$4+IF(parametros_manuales!$H$41="Todos",datos_base!$B$11,0))*parametros_manuales!$M$105+parametros_manuales!$F$41*(datos_base!$B$20+IF(parametros_manuales!$H$41="Todos",datos_base!$B$25,0))*parametros_manuales!$M$14+parametros_manuales!$G$41*(datos_base!$B$5+IF(parametros_manuales!$H$41="Todos",datos_base!$B$12,0))*parametros_manuales!$M$110+parametros_manuales!$G$41*(datos_base!$B$21+IF(parametros_manuales!$H$41="Todos",datos_base!$B$26,0))*parametros_manuales!$M$15)*parametros_manuales!$I$41*parametros_manuales!$J$41</f>
        <v>615.1335796057</v>
      </c>
      <c r="N24" s="9" t="n">
        <f aca="false">SUM(B24:M24)</f>
        <v>6832.37310673</v>
      </c>
      <c r="O24" s="9" t="n">
        <f aca="false">MAX(B24:M24)</f>
        <v>615.1335796057</v>
      </c>
      <c r="P24" s="44" t="n">
        <f aca="false">O24/(parametros_manuales!$B$7)</f>
        <v>4.10089053070467</v>
      </c>
      <c r="Q24" s="8" t="str">
        <f aca="false">IF(O24=0,"-",INDEX($B$1:$M$1,MATCH(O24,B24:M24,0)))</f>
        <v>Dic</v>
      </c>
    </row>
    <row r="25" customFormat="false" ht="14.25" hidden="false" customHeight="true" outlineLevel="0" collapsed="false">
      <c r="A25" s="8" t="str">
        <f aca="false">parametros_manuales!$B$42</f>
        <v>Etiquetado</v>
      </c>
      <c r="B25" s="9" t="n">
        <f aca="false">(parametros_manuales!$D$42*(datos_base!$B$2+IF(parametros_manuales!$H$42="Todos",datos_base!$B$9,0))*parametros_manuales!$B$95+parametros_manuales!$D$42*(datos_base!$B$18+IF(parametros_manuales!$H$42="Todos",datos_base!$B$23,0))*parametros_manuales!$B$12+parametros_manuales!$E$42*(datos_base!$B$3+IF(parametros_manuales!$H$42="Todos",datos_base!$B$10,0))*parametros_manuales!$B$100+parametros_manuales!$E$42*(datos_base!$B$19+IF(parametros_manuales!$H$42="Todos",datos_base!$B$24,0))*parametros_manuales!$B$13+parametros_manuales!$F$42*(datos_base!$B$4+IF(parametros_manuales!$H$42="Todos",datos_base!$B$11,0))*parametros_manuales!$B$105+parametros_manuales!$F$42*(datos_base!$B$20+IF(parametros_manuales!$H$42="Todos",datos_base!$B$25,0))*parametros_manuales!$B$14+parametros_manuales!$G$42*(datos_base!$B$5+IF(parametros_manuales!$H$42="Todos",datos_base!$B$12,0))*parametros_manuales!$B$110+parametros_manuales!$G$42*(datos_base!$B$21+IF(parametros_manuales!$H$42="Todos",datos_base!$B$26,0))*parametros_manuales!$B$15)*parametros_manuales!$I$42*parametros_manuales!$J$42</f>
        <v>615.0235796057</v>
      </c>
      <c r="C25" s="9" t="n">
        <f aca="false">(parametros_manuales!$D$42*(datos_base!$B$2+IF(parametros_manuales!$H$42="Todos",datos_base!$B$9,0))*parametros_manuales!$C$95+parametros_manuales!$D$42*(datos_base!$B$18+IF(parametros_manuales!$H$42="Todos",datos_base!$B$23,0))*parametros_manuales!$C$12+parametros_manuales!$E$42*(datos_base!$B$3+IF(parametros_manuales!$H$42="Todos",datos_base!$B$10,0))*parametros_manuales!$C$100+parametros_manuales!$E$42*(datos_base!$B$19+IF(parametros_manuales!$H$42="Todos",datos_base!$B$24,0))*parametros_manuales!$C$13+parametros_manuales!$F$42*(datos_base!$B$4+IF(parametros_manuales!$H$42="Todos",datos_base!$B$11,0))*parametros_manuales!$C$105+parametros_manuales!$F$42*(datos_base!$B$20+IF(parametros_manuales!$H$42="Todos",datos_base!$B$25,0))*parametros_manuales!$C$14+parametros_manuales!$G$42*(datos_base!$B$5+IF(parametros_manuales!$H$42="Todos",datos_base!$B$12,0))*parametros_manuales!$C$110+parametros_manuales!$G$42*(datos_base!$B$21+IF(parametros_manuales!$H$42="Todos",datos_base!$B$26,0))*parametros_manuales!$C$15)*parametros_manuales!$I$42*parametros_manuales!$J$42</f>
        <v>588.3772139684</v>
      </c>
      <c r="D25" s="9" t="n">
        <f aca="false">(parametros_manuales!$D$42*(datos_base!$B$2+IF(parametros_manuales!$H$42="Todos",datos_base!$B$9,0))*parametros_manuales!$D$95+parametros_manuales!$D$42*(datos_base!$B$18+IF(parametros_manuales!$H$42="Todos",datos_base!$B$23,0))*parametros_manuales!$D$12+parametros_manuales!$E$42*(datos_base!$B$3+IF(parametros_manuales!$H$42="Todos",datos_base!$B$10,0))*parametros_manuales!$D$100+parametros_manuales!$E$42*(datos_base!$B$19+IF(parametros_manuales!$H$42="Todos",datos_base!$B$24,0))*parametros_manuales!$D$13+parametros_manuales!$F$42*(datos_base!$B$4+IF(parametros_manuales!$H$42="Todos",datos_base!$B$11,0))*parametros_manuales!$D$105+parametros_manuales!$F$42*(datos_base!$B$20+IF(parametros_manuales!$H$42="Todos",datos_base!$B$25,0))*parametros_manuales!$D$14+parametros_manuales!$G$42*(datos_base!$B$5+IF(parametros_manuales!$H$42="Todos",datos_base!$B$12,0))*parametros_manuales!$D$110+parametros_manuales!$G$42*(datos_base!$B$21+IF(parametros_manuales!$H$42="Todos",datos_base!$B$26,0))*parametros_manuales!$D$15)*parametros_manuales!$I$42*parametros_manuales!$J$42</f>
        <v>559.85803135705</v>
      </c>
      <c r="E25" s="9" t="n">
        <f aca="false">(parametros_manuales!$D$42*(datos_base!$B$2+IF(parametros_manuales!$H$42="Todos",datos_base!$B$9,0))*parametros_manuales!$E$95+parametros_manuales!$D$42*(datos_base!$B$18+IF(parametros_manuales!$H$42="Todos",datos_base!$B$23,0))*parametros_manuales!$E$12+parametros_manuales!$E$42*(datos_base!$B$3+IF(parametros_manuales!$H$42="Todos",datos_base!$B$10,0))*parametros_manuales!$E$100+parametros_manuales!$E$42*(datos_base!$B$19+IF(parametros_manuales!$H$42="Todos",datos_base!$B$24,0))*parametros_manuales!$E$13+parametros_manuales!$F$42*(datos_base!$B$4+IF(parametros_manuales!$H$42="Todos",datos_base!$B$11,0))*parametros_manuales!$E$105+parametros_manuales!$F$42*(datos_base!$B$20+IF(parametros_manuales!$H$42="Todos",datos_base!$B$25,0))*parametros_manuales!$E$14+parametros_manuales!$G$42*(datos_base!$B$5+IF(parametros_manuales!$H$42="Todos",datos_base!$B$12,0))*parametros_manuales!$E$110+parametros_manuales!$G$42*(datos_base!$B$21+IF(parametros_manuales!$H$42="Todos",datos_base!$B$26,0))*parametros_manuales!$E$15)*parametros_manuales!$I$42*parametros_manuales!$J$42</f>
        <v>538.96434864205</v>
      </c>
      <c r="F25" s="9" t="n">
        <f aca="false">(parametros_manuales!$D$42*(datos_base!$B$2+IF(parametros_manuales!$H$42="Todos",datos_base!$B$9,0))*parametros_manuales!$F$95+parametros_manuales!$D$42*(datos_base!$B$18+IF(parametros_manuales!$H$42="Todos",datos_base!$B$23,0))*parametros_manuales!$F$12+parametros_manuales!$E$42*(datos_base!$B$3+IF(parametros_manuales!$H$42="Todos",datos_base!$B$10,0))*parametros_manuales!$F$100+parametros_manuales!$E$42*(datos_base!$B$19+IF(parametros_manuales!$H$42="Todos",datos_base!$B$24,0))*parametros_manuales!$F$13+parametros_manuales!$F$42*(datos_base!$B$4+IF(parametros_manuales!$H$42="Todos",datos_base!$B$11,0))*parametros_manuales!$F$105+parametros_manuales!$F$42*(datos_base!$B$20+IF(parametros_manuales!$H$42="Todos",datos_base!$B$25,0))*parametros_manuales!$F$14+parametros_manuales!$G$42*(datos_base!$B$5+IF(parametros_manuales!$H$42="Todos",datos_base!$B$12,0))*parametros_manuales!$F$110+parametros_manuales!$G$42*(datos_base!$B$21+IF(parametros_manuales!$H$42="Todos",datos_base!$B$26,0))*parametros_manuales!$F$15)*parametros_manuales!$I$42*parametros_manuales!$J$42</f>
        <v>504.8024831084</v>
      </c>
      <c r="G25" s="9" t="n">
        <f aca="false">(parametros_manuales!$D$42*(datos_base!$B$2+IF(parametros_manuales!$H$42="Todos",datos_base!$B$9,0))*parametros_manuales!$G$95+parametros_manuales!$D$42*(datos_base!$B$18+IF(parametros_manuales!$H$42="Todos",datos_base!$B$23,0))*parametros_manuales!$G$12+parametros_manuales!$E$42*(datos_base!$B$3+IF(parametros_manuales!$H$42="Todos",datos_base!$B$10,0))*parametros_manuales!$G$100+parametros_manuales!$E$42*(datos_base!$B$19+IF(parametros_manuales!$H$42="Todos",datos_base!$B$24,0))*parametros_manuales!$G$13+parametros_manuales!$F$42*(datos_base!$B$4+IF(parametros_manuales!$H$42="Todos",datos_base!$B$11,0))*parametros_manuales!$G$105+parametros_manuales!$F$42*(datos_base!$B$20+IF(parametros_manuales!$H$42="Todos",datos_base!$B$25,0))*parametros_manuales!$G$14+parametros_manuales!$G$42*(datos_base!$B$5+IF(parametros_manuales!$H$42="Todos",datos_base!$B$12,0))*parametros_manuales!$G$110+parametros_manuales!$G$42*(datos_base!$B$21+IF(parametros_manuales!$H$42="Todos",datos_base!$B$26,0))*parametros_manuales!$G$15)*parametros_manuales!$I$42*parametros_manuales!$J$42</f>
        <v>491.53430028975</v>
      </c>
      <c r="H25" s="9" t="n">
        <f aca="false">(parametros_manuales!$D$42*(datos_base!$B$2+IF(parametros_manuales!$H$42="Todos",datos_base!$B$9,0))*parametros_manuales!$H$95+parametros_manuales!$D$42*(datos_base!$B$18+IF(parametros_manuales!$H$42="Todos",datos_base!$B$23,0))*parametros_manuales!$H$12+parametros_manuales!$E$42*(datos_base!$B$3+IF(parametros_manuales!$H$42="Todos",datos_base!$B$10,0))*parametros_manuales!$H$100+parametros_manuales!$E$42*(datos_base!$B$19+IF(parametros_manuales!$H$42="Todos",datos_base!$B$24,0))*parametros_manuales!$H$13+parametros_manuales!$F$42*(datos_base!$B$4+IF(parametros_manuales!$H$42="Todos",datos_base!$B$11,0))*parametros_manuales!$H$105+parametros_manuales!$F$42*(datos_base!$B$20+IF(parametros_manuales!$H$42="Todos",datos_base!$B$25,0))*parametros_manuales!$H$14+parametros_manuales!$G$42*(datos_base!$B$5+IF(parametros_manuales!$H$42="Todos",datos_base!$B$12,0))*parametros_manuales!$H$110+parametros_manuales!$G$42*(datos_base!$B$21+IF(parametros_manuales!$H$42="Todos",datos_base!$B$26,0))*parametros_manuales!$H$15)*parametros_manuales!$I$42*parametros_manuales!$J$42</f>
        <v>525.6961658234</v>
      </c>
      <c r="I25" s="9" t="n">
        <f aca="false">(parametros_manuales!$D$42*(datos_base!$B$2+IF(parametros_manuales!$H$42="Todos",datos_base!$B$9,0))*parametros_manuales!$I$95+parametros_manuales!$D$42*(datos_base!$B$18+IF(parametros_manuales!$H$42="Todos",datos_base!$B$23,0))*parametros_manuales!$I$12+parametros_manuales!$E$42*(datos_base!$B$3+IF(parametros_manuales!$H$42="Todos",datos_base!$B$10,0))*parametros_manuales!$I$100+parametros_manuales!$E$42*(datos_base!$B$19+IF(parametros_manuales!$H$42="Todos",datos_base!$B$24,0))*parametros_manuales!$I$13+parametros_manuales!$F$42*(datos_base!$B$4+IF(parametros_manuales!$H$42="Todos",datos_base!$B$11,0))*parametros_manuales!$I$105+parametros_manuales!$F$42*(datos_base!$B$20+IF(parametros_manuales!$H$42="Todos",datos_base!$B$25,0))*parametros_manuales!$I$14+parametros_manuales!$G$42*(datos_base!$B$5+IF(parametros_manuales!$H$42="Todos",datos_base!$B$12,0))*parametros_manuales!$I$110+parametros_manuales!$G$42*(datos_base!$B$21+IF(parametros_manuales!$H$42="Todos",datos_base!$B$26,0))*parametros_manuales!$I$15)*parametros_manuales!$I$42*parametros_manuales!$J$42</f>
        <v>588.3772139684</v>
      </c>
      <c r="J25" s="9" t="n">
        <f aca="false">(parametros_manuales!$D$42*(datos_base!$B$2+IF(parametros_manuales!$H$42="Todos",datos_base!$B$9,0))*parametros_manuales!$J$95+parametros_manuales!$D$42*(datos_base!$B$18+IF(parametros_manuales!$H$42="Todos",datos_base!$B$23,0))*parametros_manuales!$J$12+parametros_manuales!$E$42*(datos_base!$B$3+IF(parametros_manuales!$H$42="Todos",datos_base!$B$10,0))*parametros_manuales!$J$100+parametros_manuales!$E$42*(datos_base!$B$19+IF(parametros_manuales!$H$42="Todos",datos_base!$B$24,0))*parametros_manuales!$J$13+parametros_manuales!$F$42*(datos_base!$B$4+IF(parametros_manuales!$H$42="Todos",datos_base!$B$11,0))*parametros_manuales!$J$105+parametros_manuales!$F$42*(datos_base!$B$20+IF(parametros_manuales!$H$42="Todos",datos_base!$B$25,0))*parametros_manuales!$J$14+parametros_manuales!$G$42*(datos_base!$B$5+IF(parametros_manuales!$H$42="Todos",datos_base!$B$12,0))*parametros_manuales!$J$110+parametros_manuales!$G$42*(datos_base!$B$21+IF(parametros_manuales!$H$42="Todos",datos_base!$B$26,0))*parametros_manuales!$J$15)*parametros_manuales!$I$42*parametros_manuales!$J$42</f>
        <v>588.3772139684</v>
      </c>
      <c r="K25" s="9" t="n">
        <f aca="false">(parametros_manuales!$D$42*(datos_base!$B$2+IF(parametros_manuales!$H$42="Todos",datos_base!$B$9,0))*parametros_manuales!$K$95+parametros_manuales!$D$42*(datos_base!$B$18+IF(parametros_manuales!$H$42="Todos",datos_base!$B$23,0))*parametros_manuales!$K$12+parametros_manuales!$E$42*(datos_base!$B$3+IF(parametros_manuales!$H$42="Todos",datos_base!$B$10,0))*parametros_manuales!$K$100+parametros_manuales!$E$42*(datos_base!$B$19+IF(parametros_manuales!$H$42="Todos",datos_base!$B$24,0))*parametros_manuales!$K$13+parametros_manuales!$F$42*(datos_base!$B$4+IF(parametros_manuales!$H$42="Todos",datos_base!$B$11,0))*parametros_manuales!$K$105+parametros_manuales!$F$42*(datos_base!$B$20+IF(parametros_manuales!$H$42="Todos",datos_base!$B$25,0))*parametros_manuales!$K$14+parametros_manuales!$G$42*(datos_base!$B$5+IF(parametros_manuales!$H$42="Todos",datos_base!$B$12,0))*parametros_manuales!$K$110+parametros_manuales!$G$42*(datos_base!$B$21+IF(parametros_manuales!$H$42="Todos",datos_base!$B$26,0))*parametros_manuales!$K$15)*parametros_manuales!$I$42*parametros_manuales!$J$42</f>
        <v>601.53539678705</v>
      </c>
      <c r="L25" s="9" t="n">
        <f aca="false">(parametros_manuales!$D$42*(datos_base!$B$2+IF(parametros_manuales!$H$42="Todos",datos_base!$B$9,0))*parametros_manuales!$L$95+parametros_manuales!$D$42*(datos_base!$B$18+IF(parametros_manuales!$H$42="Todos",datos_base!$B$23,0))*parametros_manuales!$L$12+parametros_manuales!$E$42*(datos_base!$B$3+IF(parametros_manuales!$H$42="Todos",datos_base!$B$10,0))*parametros_manuales!$L$100+parametros_manuales!$E$42*(datos_base!$B$19+IF(parametros_manuales!$H$42="Todos",datos_base!$B$24,0))*parametros_manuales!$L$13+parametros_manuales!$F$42*(datos_base!$B$4+IF(parametros_manuales!$H$42="Todos",datos_base!$B$11,0))*parametros_manuales!$L$105+parametros_manuales!$F$42*(datos_base!$B$20+IF(parametros_manuales!$H$42="Todos",datos_base!$B$25,0))*parametros_manuales!$L$14+parametros_manuales!$G$42*(datos_base!$B$5+IF(parametros_manuales!$H$42="Todos",datos_base!$B$12,0))*parametros_manuales!$L$110+parametros_manuales!$G$42*(datos_base!$B$21+IF(parametros_manuales!$H$42="Todos",datos_base!$B$26,0))*parametros_manuales!$L$15)*parametros_manuales!$I$42*parametros_manuales!$J$42</f>
        <v>614.6935796057</v>
      </c>
      <c r="M25" s="9" t="n">
        <f aca="false">(parametros_manuales!$D$42*(datos_base!$B$2+IF(parametros_manuales!$H$42="Todos",datos_base!$B$9,0))*parametros_manuales!$M$95+parametros_manuales!$D$42*(datos_base!$B$18+IF(parametros_manuales!$H$42="Todos",datos_base!$B$23,0))*parametros_manuales!$M$12+parametros_manuales!$E$42*(datos_base!$B$3+IF(parametros_manuales!$H$42="Todos",datos_base!$B$10,0))*parametros_manuales!$M$100+parametros_manuales!$E$42*(datos_base!$B$19+IF(parametros_manuales!$H$42="Todos",datos_base!$B$24,0))*parametros_manuales!$M$13+parametros_manuales!$F$42*(datos_base!$B$4+IF(parametros_manuales!$H$42="Todos",datos_base!$B$11,0))*parametros_manuales!$M$105+parametros_manuales!$F$42*(datos_base!$B$20+IF(parametros_manuales!$H$42="Todos",datos_base!$B$25,0))*parametros_manuales!$M$14+parametros_manuales!$G$42*(datos_base!$B$5+IF(parametros_manuales!$H$42="Todos",datos_base!$B$12,0))*parametros_manuales!$M$110+parametros_manuales!$G$42*(datos_base!$B$21+IF(parametros_manuales!$H$42="Todos",datos_base!$B$26,0))*parametros_manuales!$M$15)*parametros_manuales!$I$42*parametros_manuales!$J$42</f>
        <v>615.1335796057</v>
      </c>
      <c r="N25" s="9" t="n">
        <f aca="false">SUM(B25:M25)</f>
        <v>6832.37310673</v>
      </c>
      <c r="O25" s="9" t="n">
        <f aca="false">MAX(B25:M25)</f>
        <v>615.1335796057</v>
      </c>
      <c r="P25" s="44" t="n">
        <f aca="false">O25/(parametros_manuales!$B$7)</f>
        <v>4.10089053070467</v>
      </c>
      <c r="Q25" s="8" t="str">
        <f aca="false">IF(O25=0,"-",INDEX($B$1:$M$1,MATCH(O25,B25:M25,0)))</f>
        <v>Dic</v>
      </c>
    </row>
    <row r="26" customFormat="false" ht="14.25" hidden="false" customHeight="true" outlineLevel="0" collapsed="false">
      <c r="A26" s="8" t="str">
        <f aca="false">parametros_manuales!$B$43</f>
        <v>Embalaje y paletizado</v>
      </c>
      <c r="B26" s="9" t="n">
        <f aca="false">(parametros_manuales!$D$43*(datos_base!$B$2+IF(parametros_manuales!$H$43="Todos",datos_base!$B$9,0))*parametros_manuales!$B$95+parametros_manuales!$D$43*(datos_base!$B$18+IF(parametros_manuales!$H$43="Todos",datos_base!$B$23,0))*parametros_manuales!$B$12+parametros_manuales!$E$43*(datos_base!$B$3+IF(parametros_manuales!$H$43="Todos",datos_base!$B$10,0))*parametros_manuales!$B$100+parametros_manuales!$E$43*(datos_base!$B$19+IF(parametros_manuales!$H$43="Todos",datos_base!$B$24,0))*parametros_manuales!$B$13+parametros_manuales!$F$43*(datos_base!$B$4+IF(parametros_manuales!$H$43="Todos",datos_base!$B$11,0))*parametros_manuales!$B$105+parametros_manuales!$F$43*(datos_base!$B$20+IF(parametros_manuales!$H$43="Todos",datos_base!$B$25,0))*parametros_manuales!$B$14+parametros_manuales!$G$43*(datos_base!$B$5+IF(parametros_manuales!$H$43="Todos",datos_base!$B$12,0))*parametros_manuales!$B$110+parametros_manuales!$G$43*(datos_base!$B$21+IF(parametros_manuales!$H$43="Todos",datos_base!$B$26,0))*parametros_manuales!$B$15)*parametros_manuales!$I$43*parametros_manuales!$J$43</f>
        <v>616.9235796057</v>
      </c>
      <c r="C26" s="9" t="n">
        <f aca="false">(parametros_manuales!$D$43*(datos_base!$B$2+IF(parametros_manuales!$H$43="Todos",datos_base!$B$9,0))*parametros_manuales!$C$95+parametros_manuales!$D$43*(datos_base!$B$18+IF(parametros_manuales!$H$43="Todos",datos_base!$B$23,0))*parametros_manuales!$C$12+parametros_manuales!$E$43*(datos_base!$B$3+IF(parametros_manuales!$H$43="Todos",datos_base!$B$10,0))*parametros_manuales!$C$100+parametros_manuales!$E$43*(datos_base!$B$19+IF(parametros_manuales!$H$43="Todos",datos_base!$B$24,0))*parametros_manuales!$C$13+parametros_manuales!$F$43*(datos_base!$B$4+IF(parametros_manuales!$H$43="Todos",datos_base!$B$11,0))*parametros_manuales!$C$105+parametros_manuales!$F$43*(datos_base!$B$20+IF(parametros_manuales!$H$43="Todos",datos_base!$B$25,0))*parametros_manuales!$C$14+parametros_manuales!$G$43*(datos_base!$B$5+IF(parametros_manuales!$H$43="Todos",datos_base!$B$12,0))*parametros_manuales!$C$110+parametros_manuales!$G$43*(datos_base!$B$21+IF(parametros_manuales!$H$43="Todos",datos_base!$B$26,0))*parametros_manuales!$C$15)*parametros_manuales!$I$43*parametros_manuales!$J$43</f>
        <v>589.8972139684</v>
      </c>
      <c r="D26" s="9" t="n">
        <f aca="false">(parametros_manuales!$D$43*(datos_base!$B$2+IF(parametros_manuales!$H$43="Todos",datos_base!$B$9,0))*parametros_manuales!$D$95+parametros_manuales!$D$43*(datos_base!$B$18+IF(parametros_manuales!$H$43="Todos",datos_base!$B$23,0))*parametros_manuales!$D$12+parametros_manuales!$E$43*(datos_base!$B$3+IF(parametros_manuales!$H$43="Todos",datos_base!$B$10,0))*parametros_manuales!$D$100+parametros_manuales!$E$43*(datos_base!$B$19+IF(parametros_manuales!$H$43="Todos",datos_base!$B$24,0))*parametros_manuales!$D$13+parametros_manuales!$F$43*(datos_base!$B$4+IF(parametros_manuales!$H$43="Todos",datos_base!$B$11,0))*parametros_manuales!$D$105+parametros_manuales!$F$43*(datos_base!$B$20+IF(parametros_manuales!$H$43="Todos",datos_base!$B$25,0))*parametros_manuales!$D$14+parametros_manuales!$G$43*(datos_base!$B$5+IF(parametros_manuales!$H$43="Todos",datos_base!$B$12,0))*parametros_manuales!$D$110+parametros_manuales!$G$43*(datos_base!$B$21+IF(parametros_manuales!$H$43="Todos",datos_base!$B$26,0))*parametros_manuales!$D$15)*parametros_manuales!$I$43*parametros_manuales!$J$43</f>
        <v>561.47303135705</v>
      </c>
      <c r="E26" s="9" t="n">
        <f aca="false">(parametros_manuales!$D$43*(datos_base!$B$2+IF(parametros_manuales!$H$43="Todos",datos_base!$B$9,0))*parametros_manuales!$E$95+parametros_manuales!$D$43*(datos_base!$B$18+IF(parametros_manuales!$H$43="Todos",datos_base!$B$23,0))*parametros_manuales!$E$12+parametros_manuales!$E$43*(datos_base!$B$3+IF(parametros_manuales!$H$43="Todos",datos_base!$B$10,0))*parametros_manuales!$E$100+parametros_manuales!$E$43*(datos_base!$B$19+IF(parametros_manuales!$H$43="Todos",datos_base!$B$24,0))*parametros_manuales!$E$13+parametros_manuales!$F$43*(datos_base!$B$4+IF(parametros_manuales!$H$43="Todos",datos_base!$B$11,0))*parametros_manuales!$E$105+parametros_manuales!$F$43*(datos_base!$B$20+IF(parametros_manuales!$H$43="Todos",datos_base!$B$25,0))*parametros_manuales!$E$14+parametros_manuales!$G$43*(datos_base!$B$5+IF(parametros_manuales!$H$43="Todos",datos_base!$B$12,0))*parametros_manuales!$E$110+parametros_manuales!$G$43*(datos_base!$B$21+IF(parametros_manuales!$H$43="Todos",datos_base!$B$26,0))*parametros_manuales!$E$15)*parametros_manuales!$I$43*parametros_manuales!$J$43</f>
        <v>540.57934864205</v>
      </c>
      <c r="F26" s="9" t="n">
        <f aca="false">(parametros_manuales!$D$43*(datos_base!$B$2+IF(parametros_manuales!$H$43="Todos",datos_base!$B$9,0))*parametros_manuales!$F$95+parametros_manuales!$D$43*(datos_base!$B$18+IF(parametros_manuales!$H$43="Todos",datos_base!$B$23,0))*parametros_manuales!$F$12+parametros_manuales!$E$43*(datos_base!$B$3+IF(parametros_manuales!$H$43="Todos",datos_base!$B$10,0))*parametros_manuales!$F$100+parametros_manuales!$E$43*(datos_base!$B$19+IF(parametros_manuales!$H$43="Todos",datos_base!$B$24,0))*parametros_manuales!$F$13+parametros_manuales!$F$43*(datos_base!$B$4+IF(parametros_manuales!$H$43="Todos",datos_base!$B$11,0))*parametros_manuales!$F$105+parametros_manuales!$F$43*(datos_base!$B$20+IF(parametros_manuales!$H$43="Todos",datos_base!$B$25,0))*parametros_manuales!$F$14+parametros_manuales!$G$43*(datos_base!$B$5+IF(parametros_manuales!$H$43="Todos",datos_base!$B$12,0))*parametros_manuales!$F$110+parametros_manuales!$G$43*(datos_base!$B$21+IF(parametros_manuales!$H$43="Todos",datos_base!$B$26,0))*parametros_manuales!$F$15)*parametros_manuales!$I$43*parametros_manuales!$J$43</f>
        <v>506.3224831084</v>
      </c>
      <c r="G26" s="9" t="n">
        <f aca="false">(parametros_manuales!$D$43*(datos_base!$B$2+IF(parametros_manuales!$H$43="Todos",datos_base!$B$9,0))*parametros_manuales!$G$95+parametros_manuales!$D$43*(datos_base!$B$18+IF(parametros_manuales!$H$43="Todos",datos_base!$B$23,0))*parametros_manuales!$G$12+parametros_manuales!$E$43*(datos_base!$B$3+IF(parametros_manuales!$H$43="Todos",datos_base!$B$10,0))*parametros_manuales!$G$100+parametros_manuales!$E$43*(datos_base!$B$19+IF(parametros_manuales!$H$43="Todos",datos_base!$B$24,0))*parametros_manuales!$G$13+parametros_manuales!$F$43*(datos_base!$B$4+IF(parametros_manuales!$H$43="Todos",datos_base!$B$11,0))*parametros_manuales!$G$105+parametros_manuales!$F$43*(datos_base!$B$20+IF(parametros_manuales!$H$43="Todos",datos_base!$B$25,0))*parametros_manuales!$G$14+parametros_manuales!$G$43*(datos_base!$B$5+IF(parametros_manuales!$H$43="Todos",datos_base!$B$12,0))*parametros_manuales!$G$110+parametros_manuales!$G$43*(datos_base!$B$21+IF(parametros_manuales!$H$43="Todos",datos_base!$B$26,0))*parametros_manuales!$G$15)*parametros_manuales!$I$43*parametros_manuales!$J$43</f>
        <v>492.95930028975</v>
      </c>
      <c r="H26" s="9" t="n">
        <f aca="false">(parametros_manuales!$D$43*(datos_base!$B$2+IF(parametros_manuales!$H$43="Todos",datos_base!$B$9,0))*parametros_manuales!$H$95+parametros_manuales!$D$43*(datos_base!$B$18+IF(parametros_manuales!$H$43="Todos",datos_base!$B$23,0))*parametros_manuales!$H$12+parametros_manuales!$E$43*(datos_base!$B$3+IF(parametros_manuales!$H$43="Todos",datos_base!$B$10,0))*parametros_manuales!$H$100+parametros_manuales!$E$43*(datos_base!$B$19+IF(parametros_manuales!$H$43="Todos",datos_base!$B$24,0))*parametros_manuales!$H$13+parametros_manuales!$F$43*(datos_base!$B$4+IF(parametros_manuales!$H$43="Todos",datos_base!$B$11,0))*parametros_manuales!$H$105+parametros_manuales!$F$43*(datos_base!$B$20+IF(parametros_manuales!$H$43="Todos",datos_base!$B$25,0))*parametros_manuales!$H$14+parametros_manuales!$G$43*(datos_base!$B$5+IF(parametros_manuales!$H$43="Todos",datos_base!$B$12,0))*parametros_manuales!$H$110+parametros_manuales!$G$43*(datos_base!$B$21+IF(parametros_manuales!$H$43="Todos",datos_base!$B$26,0))*parametros_manuales!$H$15)*parametros_manuales!$I$43*parametros_manuales!$J$43</f>
        <v>527.2161658234</v>
      </c>
      <c r="I26" s="9" t="n">
        <f aca="false">(parametros_manuales!$D$43*(datos_base!$B$2+IF(parametros_manuales!$H$43="Todos",datos_base!$B$9,0))*parametros_manuales!$I$95+parametros_manuales!$D$43*(datos_base!$B$18+IF(parametros_manuales!$H$43="Todos",datos_base!$B$23,0))*parametros_manuales!$I$12+parametros_manuales!$E$43*(datos_base!$B$3+IF(parametros_manuales!$H$43="Todos",datos_base!$B$10,0))*parametros_manuales!$I$100+parametros_manuales!$E$43*(datos_base!$B$19+IF(parametros_manuales!$H$43="Todos",datos_base!$B$24,0))*parametros_manuales!$I$13+parametros_manuales!$F$43*(datos_base!$B$4+IF(parametros_manuales!$H$43="Todos",datos_base!$B$11,0))*parametros_manuales!$I$105+parametros_manuales!$F$43*(datos_base!$B$20+IF(parametros_manuales!$H$43="Todos",datos_base!$B$25,0))*parametros_manuales!$I$14+parametros_manuales!$G$43*(datos_base!$B$5+IF(parametros_manuales!$H$43="Todos",datos_base!$B$12,0))*parametros_manuales!$I$110+parametros_manuales!$G$43*(datos_base!$B$21+IF(parametros_manuales!$H$43="Todos",datos_base!$B$26,0))*parametros_manuales!$I$15)*parametros_manuales!$I$43*parametros_manuales!$J$43</f>
        <v>589.8972139684</v>
      </c>
      <c r="J26" s="9" t="n">
        <f aca="false">(parametros_manuales!$D$43*(datos_base!$B$2+IF(parametros_manuales!$H$43="Todos",datos_base!$B$9,0))*parametros_manuales!$J$95+parametros_manuales!$D$43*(datos_base!$B$18+IF(parametros_manuales!$H$43="Todos",datos_base!$B$23,0))*parametros_manuales!$J$12+parametros_manuales!$E$43*(datos_base!$B$3+IF(parametros_manuales!$H$43="Todos",datos_base!$B$10,0))*parametros_manuales!$J$100+parametros_manuales!$E$43*(datos_base!$B$19+IF(parametros_manuales!$H$43="Todos",datos_base!$B$24,0))*parametros_manuales!$J$13+parametros_manuales!$F$43*(datos_base!$B$4+IF(parametros_manuales!$H$43="Todos",datos_base!$B$11,0))*parametros_manuales!$J$105+parametros_manuales!$F$43*(datos_base!$B$20+IF(parametros_manuales!$H$43="Todos",datos_base!$B$25,0))*parametros_manuales!$J$14+parametros_manuales!$G$43*(datos_base!$B$5+IF(parametros_manuales!$H$43="Todos",datos_base!$B$12,0))*parametros_manuales!$J$110+parametros_manuales!$G$43*(datos_base!$B$21+IF(parametros_manuales!$H$43="Todos",datos_base!$B$26,0))*parametros_manuales!$J$15)*parametros_manuales!$I$43*parametros_manuales!$J$43</f>
        <v>589.8972139684</v>
      </c>
      <c r="K26" s="9" t="n">
        <f aca="false">(parametros_manuales!$D$43*(datos_base!$B$2+IF(parametros_manuales!$H$43="Todos",datos_base!$B$9,0))*parametros_manuales!$K$95+parametros_manuales!$D$43*(datos_base!$B$18+IF(parametros_manuales!$H$43="Todos",datos_base!$B$23,0))*parametros_manuales!$K$12+parametros_manuales!$E$43*(datos_base!$B$3+IF(parametros_manuales!$H$43="Todos",datos_base!$B$10,0))*parametros_manuales!$K$100+parametros_manuales!$E$43*(datos_base!$B$19+IF(parametros_manuales!$H$43="Todos",datos_base!$B$24,0))*parametros_manuales!$K$13+parametros_manuales!$F$43*(datos_base!$B$4+IF(parametros_manuales!$H$43="Todos",datos_base!$B$11,0))*parametros_manuales!$K$105+parametros_manuales!$F$43*(datos_base!$B$20+IF(parametros_manuales!$H$43="Todos",datos_base!$B$25,0))*parametros_manuales!$K$14+parametros_manuales!$G$43*(datos_base!$B$5+IF(parametros_manuales!$H$43="Todos",datos_base!$B$12,0))*parametros_manuales!$K$110+parametros_manuales!$G$43*(datos_base!$B$21+IF(parametros_manuales!$H$43="Todos",datos_base!$B$26,0))*parametros_manuales!$K$15)*parametros_manuales!$I$43*parametros_manuales!$J$43</f>
        <v>602.96039678705</v>
      </c>
      <c r="L26" s="9" t="n">
        <f aca="false">(parametros_manuales!$D$43*(datos_base!$B$2+IF(parametros_manuales!$H$43="Todos",datos_base!$B$9,0))*parametros_manuales!$L$95+parametros_manuales!$D$43*(datos_base!$B$18+IF(parametros_manuales!$H$43="Todos",datos_base!$B$23,0))*parametros_manuales!$L$12+parametros_manuales!$E$43*(datos_base!$B$3+IF(parametros_manuales!$H$43="Todos",datos_base!$B$10,0))*parametros_manuales!$L$100+parametros_manuales!$E$43*(datos_base!$B$19+IF(parametros_manuales!$H$43="Todos",datos_base!$B$24,0))*parametros_manuales!$L$13+parametros_manuales!$F$43*(datos_base!$B$4+IF(parametros_manuales!$H$43="Todos",datos_base!$B$11,0))*parametros_manuales!$L$105+parametros_manuales!$F$43*(datos_base!$B$20+IF(parametros_manuales!$H$43="Todos",datos_base!$B$25,0))*parametros_manuales!$L$14+parametros_manuales!$G$43*(datos_base!$B$5+IF(parametros_manuales!$H$43="Todos",datos_base!$B$12,0))*parametros_manuales!$L$110+parametros_manuales!$G$43*(datos_base!$B$21+IF(parametros_manuales!$H$43="Todos",datos_base!$B$26,0))*parametros_manuales!$L$15)*parametros_manuales!$I$43*parametros_manuales!$J$43</f>
        <v>616.0235796057</v>
      </c>
      <c r="M26" s="9" t="n">
        <f aca="false">(parametros_manuales!$D$43*(datos_base!$B$2+IF(parametros_manuales!$H$43="Todos",datos_base!$B$9,0))*parametros_manuales!$M$95+parametros_manuales!$D$43*(datos_base!$B$18+IF(parametros_manuales!$H$43="Todos",datos_base!$B$23,0))*parametros_manuales!$M$12+parametros_manuales!$E$43*(datos_base!$B$3+IF(parametros_manuales!$H$43="Todos",datos_base!$B$10,0))*parametros_manuales!$M$100+parametros_manuales!$E$43*(datos_base!$B$19+IF(parametros_manuales!$H$43="Todos",datos_base!$B$24,0))*parametros_manuales!$M$13+parametros_manuales!$F$43*(datos_base!$B$4+IF(parametros_manuales!$H$43="Todos",datos_base!$B$11,0))*parametros_manuales!$M$105+parametros_manuales!$F$43*(datos_base!$B$20+IF(parametros_manuales!$H$43="Todos",datos_base!$B$25,0))*parametros_manuales!$M$14+parametros_manuales!$G$43*(datos_base!$B$5+IF(parametros_manuales!$H$43="Todos",datos_base!$B$12,0))*parametros_manuales!$M$110+parametros_manuales!$G$43*(datos_base!$B$21+IF(parametros_manuales!$H$43="Todos",datos_base!$B$26,0))*parametros_manuales!$M$15)*parametros_manuales!$I$43*parametros_manuales!$J$43</f>
        <v>617.2235796057</v>
      </c>
      <c r="N26" s="9" t="n">
        <f aca="false">SUM(B26:M26)</f>
        <v>6851.37310673</v>
      </c>
      <c r="O26" s="9" t="n">
        <f aca="false">MAX(B26:M26)</f>
        <v>617.2235796057</v>
      </c>
      <c r="P26" s="44" t="n">
        <f aca="false">O26/(parametros_manuales!$B$7)</f>
        <v>4.114823864038</v>
      </c>
      <c r="Q26" s="8" t="str">
        <f aca="false">IF(O26=0,"-",INDEX($B$1:$M$1,MATCH(O26,B26:M26,0)))</f>
        <v>Dic</v>
      </c>
    </row>
    <row r="27" customFormat="false" ht="14.25" hidden="false" customHeight="true" outlineLevel="0" collapsed="false"/>
    <row r="28" customFormat="false" ht="14.25" hidden="false" customHeight="true" outlineLevel="0" collapsed="false">
      <c r="A28" s="7" t="s">
        <v>201</v>
      </c>
      <c r="B28" s="7" t="s">
        <v>59</v>
      </c>
      <c r="C28" s="7" t="s">
        <v>60</v>
      </c>
      <c r="D28" s="7" t="s">
        <v>61</v>
      </c>
      <c r="E28" s="7" t="s">
        <v>62</v>
      </c>
      <c r="F28" s="7" t="s">
        <v>63</v>
      </c>
      <c r="G28" s="7" t="s">
        <v>64</v>
      </c>
      <c r="H28" s="7" t="s">
        <v>65</v>
      </c>
      <c r="I28" s="7" t="s">
        <v>66</v>
      </c>
      <c r="J28" s="7" t="s">
        <v>67</v>
      </c>
      <c r="K28" s="7" t="s">
        <v>68</v>
      </c>
      <c r="L28" s="7" t="s">
        <v>69</v>
      </c>
      <c r="M28" s="7" t="s">
        <v>70</v>
      </c>
      <c r="N28" s="7" t="s">
        <v>181</v>
      </c>
      <c r="O28" s="7" t="s">
        <v>198</v>
      </c>
      <c r="P28" s="7" t="s">
        <v>199</v>
      </c>
      <c r="Q28" s="7" t="s">
        <v>200</v>
      </c>
    </row>
    <row r="29" customFormat="false" ht="14.25" hidden="false" customHeight="true" outlineLevel="0" collapsed="false">
      <c r="A29" s="8" t="str">
        <f aca="false">parametros_manuales!$B$19</f>
        <v>Recepción de materia prima</v>
      </c>
      <c r="B29" s="9" t="n">
        <f aca="false">(parametros_manuales!$D$19*(datos_base!$C$2+IF(parametros_manuales!$H$19="Todos",datos_base!$C$9,0))*parametros_manuales!$B$95+parametros_manuales!$D$19*(datos_base!$C$18+IF(parametros_manuales!$H$19="Todos",datos_base!$C$23,0))*parametros_manuales!$B$12+parametros_manuales!$E$19*(datos_base!$C$3+IF(parametros_manuales!$H$19="Todos",datos_base!$C$10,0))*parametros_manuales!$B$100+parametros_manuales!$E$19*(datos_base!$C$19+IF(parametros_manuales!$H$19="Todos",datos_base!$C$24,0))*parametros_manuales!$B$13+parametros_manuales!$F$19*(datos_base!$C$4+IF(parametros_manuales!$H$19="Todos",datos_base!$C$11,0))*parametros_manuales!$B$105+parametros_manuales!$F$19*(datos_base!$C$20+IF(parametros_manuales!$H$19="Todos",datos_base!$C$25,0))*parametros_manuales!$B$14+parametros_manuales!$G$19*(datos_base!$C$5+IF(parametros_manuales!$H$19="Todos",datos_base!$C$12,0))*parametros_manuales!$B$110+parametros_manuales!$G$19*(datos_base!$C$21+IF(parametros_manuales!$H$19="Todos",datos_base!$C$26,0))*parametros_manuales!$B$15)*parametros_manuales!$I$19*parametros_manuales!$J$19</f>
        <v>974.25318445</v>
      </c>
      <c r="C29" s="9" t="n">
        <f aca="false">(parametros_manuales!$D$19*(datos_base!$C$2+IF(parametros_manuales!$H$19="Todos",datos_base!$C$9,0))*parametros_manuales!$C$95+parametros_manuales!$D$19*(datos_base!$C$18+IF(parametros_manuales!$H$19="Todos",datos_base!$C$23,0))*parametros_manuales!$C$12+parametros_manuales!$E$19*(datos_base!$C$3+IF(parametros_manuales!$H$19="Todos",datos_base!$C$10,0))*parametros_manuales!$C$100+parametros_manuales!$E$19*(datos_base!$C$19+IF(parametros_manuales!$H$19="Todos",datos_base!$C$24,0))*parametros_manuales!$C$13+parametros_manuales!$F$19*(datos_base!$C$4+IF(parametros_manuales!$H$19="Todos",datos_base!$C$11,0))*parametros_manuales!$C$105+parametros_manuales!$F$19*(datos_base!$C$20+IF(parametros_manuales!$H$19="Todos",datos_base!$C$25,0))*parametros_manuales!$C$14+parametros_manuales!$G$19*(datos_base!$C$5+IF(parametros_manuales!$H$19="Todos",datos_base!$C$12,0))*parametros_manuales!$C$110+parametros_manuales!$G$19*(datos_base!$C$21+IF(parametros_manuales!$H$19="Todos",datos_base!$C$26,0))*parametros_manuales!$C$15)*parametros_manuales!$I$19*parametros_manuales!$J$19</f>
        <v>925.22564817</v>
      </c>
      <c r="D29" s="9" t="n">
        <f aca="false">(parametros_manuales!$D$19*(datos_base!$C$2+IF(parametros_manuales!$H$19="Todos",datos_base!$C$9,0))*parametros_manuales!$D$95+parametros_manuales!$D$19*(datos_base!$C$18+IF(parametros_manuales!$H$19="Todos",datos_base!$C$23,0))*parametros_manuales!$D$12+parametros_manuales!$E$19*(datos_base!$C$3+IF(parametros_manuales!$H$19="Todos",datos_base!$C$10,0))*parametros_manuales!$D$100+parametros_manuales!$E$19*(datos_base!$C$19+IF(parametros_manuales!$H$19="Todos",datos_base!$C$24,0))*parametros_manuales!$D$13+parametros_manuales!$F$19*(datos_base!$C$4+IF(parametros_manuales!$H$19="Todos",datos_base!$C$11,0))*parametros_manuales!$D$105+parametros_manuales!$F$19*(datos_base!$C$20+IF(parametros_manuales!$H$19="Todos",datos_base!$C$25,0))*parametros_manuales!$D$14+parametros_manuales!$G$19*(datos_base!$C$5+IF(parametros_manuales!$H$19="Todos",datos_base!$C$12,0))*parametros_manuales!$D$110+parametros_manuales!$G$19*(datos_base!$C$21+IF(parametros_manuales!$H$19="Todos",datos_base!$C$26,0))*parametros_manuales!$D$15)*parametros_manuales!$I$19*parametros_manuales!$J$19</f>
        <v>889.34437654</v>
      </c>
      <c r="E29" s="9" t="n">
        <f aca="false">(parametros_manuales!$D$19*(datos_base!$C$2+IF(parametros_manuales!$H$19="Todos",datos_base!$C$9,0))*parametros_manuales!$E$95+parametros_manuales!$D$19*(datos_base!$C$18+IF(parametros_manuales!$H$19="Todos",datos_base!$C$23,0))*parametros_manuales!$E$12+parametros_manuales!$E$19*(datos_base!$C$3+IF(parametros_manuales!$H$19="Todos",datos_base!$C$10,0))*parametros_manuales!$E$100+parametros_manuales!$E$19*(datos_base!$C$19+IF(parametros_manuales!$H$19="Todos",datos_base!$C$24,0))*parametros_manuales!$E$13+parametros_manuales!$F$19*(datos_base!$C$4+IF(parametros_manuales!$H$19="Todos",datos_base!$C$11,0))*parametros_manuales!$E$105+parametros_manuales!$F$19*(datos_base!$C$20+IF(parametros_manuales!$H$19="Todos",datos_base!$C$25,0))*parametros_manuales!$E$14+parametros_manuales!$G$19*(datos_base!$C$5+IF(parametros_manuales!$H$19="Todos",datos_base!$C$12,0))*parametros_manuales!$E$110+parametros_manuales!$G$19*(datos_base!$C$21+IF(parametros_manuales!$H$19="Todos",datos_base!$C$26,0))*parametros_manuales!$E$15)*parametros_manuales!$I$19*parametros_manuales!$J$19</f>
        <v>859.357856655</v>
      </c>
      <c r="F29" s="9" t="n">
        <f aca="false">(parametros_manuales!$D$19*(datos_base!$C$2+IF(parametros_manuales!$H$19="Todos",datos_base!$C$9,0))*parametros_manuales!$F$95+parametros_manuales!$D$19*(datos_base!$C$18+IF(parametros_manuales!$H$19="Todos",datos_base!$C$23,0))*parametros_manuales!$F$12+parametros_manuales!$E$19*(datos_base!$C$3+IF(parametros_manuales!$H$19="Todos",datos_base!$C$10,0))*parametros_manuales!$F$100+parametros_manuales!$E$19*(datos_base!$C$19+IF(parametros_manuales!$H$19="Todos",datos_base!$C$24,0))*parametros_manuales!$F$13+parametros_manuales!$F$19*(datos_base!$C$4+IF(parametros_manuales!$H$19="Todos",datos_base!$C$11,0))*parametros_manuales!$F$105+parametros_manuales!$F$19*(datos_base!$C$20+IF(parametros_manuales!$H$19="Todos",datos_base!$C$25,0))*parametros_manuales!$F$14+parametros_manuales!$G$19*(datos_base!$C$5+IF(parametros_manuales!$H$19="Todos",datos_base!$C$12,0))*parametros_manuales!$F$110+parametros_manuales!$G$19*(datos_base!$C$21+IF(parametros_manuales!$H$19="Todos",datos_base!$C$26,0))*parametros_manuales!$F$15)*parametros_manuales!$I$19*parametros_manuales!$J$19</f>
        <v>805.27956863</v>
      </c>
      <c r="G29" s="9" t="n">
        <f aca="false">(parametros_manuales!$D$19*(datos_base!$C$2+IF(parametros_manuales!$H$19="Todos",datos_base!$C$9,0))*parametros_manuales!$G$95+parametros_manuales!$D$19*(datos_base!$C$18+IF(parametros_manuales!$H$19="Todos",datos_base!$C$23,0))*parametros_manuales!$G$12+parametros_manuales!$E$19*(datos_base!$C$3+IF(parametros_manuales!$H$19="Todos",datos_base!$C$10,0))*parametros_manuales!$G$100+parametros_manuales!$E$19*(datos_base!$C$19+IF(parametros_manuales!$H$19="Todos",datos_base!$C$24,0))*parametros_manuales!$G$13+parametros_manuales!$F$19*(datos_base!$C$4+IF(parametros_manuales!$H$19="Todos",datos_base!$C$11,0))*parametros_manuales!$G$105+parametros_manuales!$F$19*(datos_base!$C$20+IF(parametros_manuales!$H$19="Todos",datos_base!$C$25,0))*parametros_manuales!$G$14+parametros_manuales!$G$19*(datos_base!$C$5+IF(parametros_manuales!$H$19="Todos",datos_base!$C$12,0))*parametros_manuales!$G$110+parametros_manuales!$G$19*(datos_base!$C$21+IF(parametros_manuales!$H$19="Todos",datos_base!$C$26,0))*parametros_manuales!$G$15)*parametros_manuales!$I$19*parametros_manuales!$J$19</f>
        <v>781.18780049</v>
      </c>
      <c r="H29" s="9" t="n">
        <f aca="false">(parametros_manuales!$D$19*(datos_base!$C$2+IF(parametros_manuales!$H$19="Todos",datos_base!$C$9,0))*parametros_manuales!$H$95+parametros_manuales!$D$19*(datos_base!$C$18+IF(parametros_manuales!$H$19="Todos",datos_base!$C$23,0))*parametros_manuales!$H$12+parametros_manuales!$E$19*(datos_base!$C$3+IF(parametros_manuales!$H$19="Todos",datos_base!$C$10,0))*parametros_manuales!$H$100+parametros_manuales!$E$19*(datos_base!$C$19+IF(parametros_manuales!$H$19="Todos",datos_base!$C$24,0))*parametros_manuales!$H$13+parametros_manuales!$F$19*(datos_base!$C$4+IF(parametros_manuales!$H$19="Todos",datos_base!$C$11,0))*parametros_manuales!$H$105+parametros_manuales!$F$19*(datos_base!$C$20+IF(parametros_manuales!$H$19="Todos",datos_base!$C$25,0))*parametros_manuales!$H$14+parametros_manuales!$G$19*(datos_base!$C$5+IF(parametros_manuales!$H$19="Todos",datos_base!$C$12,0))*parametros_manuales!$H$110+parametros_manuales!$G$19*(datos_base!$C$21+IF(parametros_manuales!$H$19="Todos",datos_base!$C$26,0))*parametros_manuales!$H$15)*parametros_manuales!$I$19*parametros_manuales!$J$19</f>
        <v>835.266088515</v>
      </c>
      <c r="I29" s="9" t="n">
        <f aca="false">(parametros_manuales!$D$19*(datos_base!$C$2+IF(parametros_manuales!$H$19="Todos",datos_base!$C$9,0))*parametros_manuales!$I$95+parametros_manuales!$D$19*(datos_base!$C$18+IF(parametros_manuales!$H$19="Todos",datos_base!$C$23,0))*parametros_manuales!$I$12+parametros_manuales!$E$19*(datos_base!$C$3+IF(parametros_manuales!$H$19="Todos",datos_base!$C$10,0))*parametros_manuales!$I$100+parametros_manuales!$E$19*(datos_base!$C$19+IF(parametros_manuales!$H$19="Todos",datos_base!$C$24,0))*parametros_manuales!$I$13+parametros_manuales!$F$19*(datos_base!$C$4+IF(parametros_manuales!$H$19="Todos",datos_base!$C$11,0))*parametros_manuales!$I$105+parametros_manuales!$F$19*(datos_base!$C$20+IF(parametros_manuales!$H$19="Todos",datos_base!$C$25,0))*parametros_manuales!$I$14+parametros_manuales!$G$19*(datos_base!$C$5+IF(parametros_manuales!$H$19="Todos",datos_base!$C$12,0))*parametros_manuales!$I$110+parametros_manuales!$G$19*(datos_base!$C$21+IF(parametros_manuales!$H$19="Todos",datos_base!$C$26,0))*parametros_manuales!$I$15)*parametros_manuales!$I$19*parametros_manuales!$J$19</f>
        <v>925.22564817</v>
      </c>
      <c r="J29" s="9" t="n">
        <f aca="false">(parametros_manuales!$D$19*(datos_base!$C$2+IF(parametros_manuales!$H$19="Todos",datos_base!$C$9,0))*parametros_manuales!$J$95+parametros_manuales!$D$19*(datos_base!$C$18+IF(parametros_manuales!$H$19="Todos",datos_base!$C$23,0))*parametros_manuales!$J$12+parametros_manuales!$E$19*(datos_base!$C$3+IF(parametros_manuales!$H$19="Todos",datos_base!$C$10,0))*parametros_manuales!$J$100+parametros_manuales!$E$19*(datos_base!$C$19+IF(parametros_manuales!$H$19="Todos",datos_base!$C$24,0))*parametros_manuales!$J$13+parametros_manuales!$F$19*(datos_base!$C$4+IF(parametros_manuales!$H$19="Todos",datos_base!$C$11,0))*parametros_manuales!$J$105+parametros_manuales!$F$19*(datos_base!$C$20+IF(parametros_manuales!$H$19="Todos",datos_base!$C$25,0))*parametros_manuales!$J$14+parametros_manuales!$G$19*(datos_base!$C$5+IF(parametros_manuales!$H$19="Todos",datos_base!$C$12,0))*parametros_manuales!$J$110+parametros_manuales!$G$19*(datos_base!$C$21+IF(parametros_manuales!$H$19="Todos",datos_base!$C$26,0))*parametros_manuales!$J$15)*parametros_manuales!$I$19*parametros_manuales!$J$19</f>
        <v>925.22564817</v>
      </c>
      <c r="K29" s="9" t="n">
        <f aca="false">(parametros_manuales!$D$19*(datos_base!$C$2+IF(parametros_manuales!$H$19="Todos",datos_base!$C$9,0))*parametros_manuales!$K$95+parametros_manuales!$D$19*(datos_base!$C$18+IF(parametros_manuales!$H$19="Todos",datos_base!$C$23,0))*parametros_manuales!$K$12+parametros_manuales!$E$19*(datos_base!$C$3+IF(parametros_manuales!$H$19="Todos",datos_base!$C$10,0))*parametros_manuales!$K$100+parametros_manuales!$E$19*(datos_base!$C$19+IF(parametros_manuales!$H$19="Todos",datos_base!$C$24,0))*parametros_manuales!$K$13+parametros_manuales!$F$19*(datos_base!$C$4+IF(parametros_manuales!$H$19="Todos",datos_base!$C$11,0))*parametros_manuales!$K$105+parametros_manuales!$F$19*(datos_base!$C$20+IF(parametros_manuales!$H$19="Todos",datos_base!$C$25,0))*parametros_manuales!$K$14+parametros_manuales!$G$19*(datos_base!$C$5+IF(parametros_manuales!$H$19="Todos",datos_base!$C$12,0))*parametros_manuales!$K$110+parametros_manuales!$G$19*(datos_base!$C$21+IF(parametros_manuales!$H$19="Todos",datos_base!$C$26,0))*parametros_manuales!$K$15)*parametros_manuales!$I$19*parametros_manuales!$J$19</f>
        <v>948.47341631</v>
      </c>
      <c r="L29" s="9" t="n">
        <f aca="false">(parametros_manuales!$D$19*(datos_base!$C$2+IF(parametros_manuales!$H$19="Todos",datos_base!$C$9,0))*parametros_manuales!$L$95+parametros_manuales!$D$19*(datos_base!$C$18+IF(parametros_manuales!$H$19="Todos",datos_base!$C$23,0))*parametros_manuales!$L$12+parametros_manuales!$E$19*(datos_base!$C$3+IF(parametros_manuales!$H$19="Todos",datos_base!$C$10,0))*parametros_manuales!$L$100+parametros_manuales!$E$19*(datos_base!$C$19+IF(parametros_manuales!$H$19="Todos",datos_base!$C$24,0))*parametros_manuales!$L$13+parametros_manuales!$F$19*(datos_base!$C$4+IF(parametros_manuales!$H$19="Todos",datos_base!$C$11,0))*parametros_manuales!$L$105+parametros_manuales!$F$19*(datos_base!$C$20+IF(parametros_manuales!$H$19="Todos",datos_base!$C$25,0))*parametros_manuales!$L$14+parametros_manuales!$G$19*(datos_base!$C$5+IF(parametros_manuales!$H$19="Todos",datos_base!$C$12,0))*parametros_manuales!$L$110+parametros_manuales!$G$19*(datos_base!$C$21+IF(parametros_manuales!$H$19="Todos",datos_base!$C$26,0))*parametros_manuales!$L$15)*parametros_manuales!$I$19*parametros_manuales!$J$19</f>
        <v>971.72118445</v>
      </c>
      <c r="M29" s="9" t="n">
        <f aca="false">(parametros_manuales!$D$19*(datos_base!$C$2+IF(parametros_manuales!$H$19="Todos",datos_base!$C$9,0))*parametros_manuales!$M$95+parametros_manuales!$D$19*(datos_base!$C$18+IF(parametros_manuales!$H$19="Todos",datos_base!$C$23,0))*parametros_manuales!$M$12+parametros_manuales!$E$19*(datos_base!$C$3+IF(parametros_manuales!$H$19="Todos",datos_base!$C$10,0))*parametros_manuales!$M$100+parametros_manuales!$E$19*(datos_base!$C$19+IF(parametros_manuales!$H$19="Todos",datos_base!$C$24,0))*parametros_manuales!$M$13+parametros_manuales!$F$19*(datos_base!$C$4+IF(parametros_manuales!$H$19="Todos",datos_base!$C$11,0))*parametros_manuales!$M$105+parametros_manuales!$F$19*(datos_base!$C$20+IF(parametros_manuales!$H$19="Todos",datos_base!$C$25,0))*parametros_manuales!$M$14+parametros_manuales!$G$19*(datos_base!$C$5+IF(parametros_manuales!$H$19="Todos",datos_base!$C$12,0))*parametros_manuales!$M$110+parametros_manuales!$G$19*(datos_base!$C$21+IF(parametros_manuales!$H$19="Todos",datos_base!$C$26,0))*parametros_manuales!$M$15)*parametros_manuales!$I$19*parametros_manuales!$J$19</f>
        <v>975.09718445</v>
      </c>
      <c r="N29" s="9" t="n">
        <f aca="false">SUM(B29:M29)</f>
        <v>10815.657605</v>
      </c>
      <c r="O29" s="9" t="n">
        <f aca="false">MAX(B29:M29)</f>
        <v>975.09718445</v>
      </c>
      <c r="P29" s="44" t="n">
        <f aca="false">O29/(parametros_manuales!$B$7)</f>
        <v>6.50064789633333</v>
      </c>
      <c r="Q29" s="8" t="str">
        <f aca="false">IF(O29=0,"-",INDEX($B$28:$M$28,MATCH(O29,B29:M29,0)))</f>
        <v>Dic</v>
      </c>
    </row>
    <row r="30" customFormat="false" ht="14.25" hidden="false" customHeight="true" outlineLevel="0" collapsed="false">
      <c r="A30" s="8" t="str">
        <f aca="false">parametros_manuales!$B$20</f>
        <v>Corte de chapa (guillotina) — 2,5 a 10 kg</v>
      </c>
      <c r="B30" s="9" t="n">
        <f aca="false">(parametros_manuales!$D$20*(datos_base!$C$2+IF(parametros_manuales!$H$20="Todos",datos_base!$C$9,0))*parametros_manuales!$B$95+parametros_manuales!$D$20*(datos_base!$C$18+IF(parametros_manuales!$H$20="Todos",datos_base!$C$23,0))*parametros_manuales!$B$12+parametros_manuales!$E$20*(datos_base!$C$3+IF(parametros_manuales!$H$20="Todos",datos_base!$C$10,0))*parametros_manuales!$B$100+parametros_manuales!$E$20*(datos_base!$C$19+IF(parametros_manuales!$H$20="Todos",datos_base!$C$24,0))*parametros_manuales!$B$13+parametros_manuales!$F$20*(datos_base!$C$4+IF(parametros_manuales!$H$20="Todos",datos_base!$C$11,0))*parametros_manuales!$B$105+parametros_manuales!$F$20*(datos_base!$C$20+IF(parametros_manuales!$H$20="Todos",datos_base!$C$25,0))*parametros_manuales!$B$14+parametros_manuales!$G$20*(datos_base!$C$5+IF(parametros_manuales!$H$20="Todos",datos_base!$C$12,0))*parametros_manuales!$B$110+parametros_manuales!$G$20*(datos_base!$C$21+IF(parametros_manuales!$H$20="Todos",datos_base!$C$26,0))*parametros_manuales!$B$15)*parametros_manuales!$I$20*parametros_manuales!$J$20</f>
        <v>434.49582652</v>
      </c>
      <c r="C30" s="9" t="n">
        <f aca="false">(parametros_manuales!$D$20*(datos_base!$C$2+IF(parametros_manuales!$H$20="Todos",datos_base!$C$9,0))*parametros_manuales!$C$95+parametros_manuales!$D$20*(datos_base!$C$18+IF(parametros_manuales!$H$20="Todos",datos_base!$C$23,0))*parametros_manuales!$C$12+parametros_manuales!$E$20*(datos_base!$C$3+IF(parametros_manuales!$H$20="Todos",datos_base!$C$10,0))*parametros_manuales!$C$100+parametros_manuales!$E$20*(datos_base!$C$19+IF(parametros_manuales!$H$20="Todos",datos_base!$C$24,0))*parametros_manuales!$C$13+parametros_manuales!$F$20*(datos_base!$C$4+IF(parametros_manuales!$H$20="Todos",datos_base!$C$11,0))*parametros_manuales!$C$105+parametros_manuales!$F$20*(datos_base!$C$20+IF(parametros_manuales!$H$20="Todos",datos_base!$C$25,0))*parametros_manuales!$C$14+parametros_manuales!$G$20*(datos_base!$C$5+IF(parametros_manuales!$H$20="Todos",datos_base!$C$12,0))*parametros_manuales!$C$110+parametros_manuales!$G$20*(datos_base!$C$21+IF(parametros_manuales!$H$20="Todos",datos_base!$C$26,0))*parametros_manuales!$C$15)*parametros_manuales!$I$20*parametros_manuales!$J$20</f>
        <v>385.46829024</v>
      </c>
      <c r="D30" s="9" t="n">
        <f aca="false">(parametros_manuales!$D$20*(datos_base!$C$2+IF(parametros_manuales!$H$20="Todos",datos_base!$C$9,0))*parametros_manuales!$D$95+parametros_manuales!$D$20*(datos_base!$C$18+IF(parametros_manuales!$H$20="Todos",datos_base!$C$23,0))*parametros_manuales!$D$12+parametros_manuales!$E$20*(datos_base!$C$3+IF(parametros_manuales!$H$20="Todos",datos_base!$C$10,0))*parametros_manuales!$D$100+parametros_manuales!$E$20*(datos_base!$C$19+IF(parametros_manuales!$H$20="Todos",datos_base!$C$24,0))*parametros_manuales!$D$13+parametros_manuales!$F$20*(datos_base!$C$4+IF(parametros_manuales!$H$20="Todos",datos_base!$C$11,0))*parametros_manuales!$D$105+parametros_manuales!$F$20*(datos_base!$C$20+IF(parametros_manuales!$H$20="Todos",datos_base!$C$25,0))*parametros_manuales!$D$14+parametros_manuales!$G$20*(datos_base!$C$5+IF(parametros_manuales!$H$20="Todos",datos_base!$C$12,0))*parametros_manuales!$D$110+parametros_manuales!$G$20*(datos_base!$C$21+IF(parametros_manuales!$H$20="Todos",datos_base!$C$26,0))*parametros_manuales!$D$15)*parametros_manuales!$I$20*parametros_manuales!$J$20</f>
        <v>409.56005838</v>
      </c>
      <c r="E30" s="9" t="n">
        <f aca="false">(parametros_manuales!$D$20*(datos_base!$C$2+IF(parametros_manuales!$H$20="Todos",datos_base!$C$9,0))*parametros_manuales!$E$95+parametros_manuales!$D$20*(datos_base!$C$18+IF(parametros_manuales!$H$20="Todos",datos_base!$C$23,0))*parametros_manuales!$E$12+parametros_manuales!$E$20*(datos_base!$C$3+IF(parametros_manuales!$H$20="Todos",datos_base!$C$10,0))*parametros_manuales!$E$100+parametros_manuales!$E$20*(datos_base!$C$19+IF(parametros_manuales!$H$20="Todos",datos_base!$C$24,0))*parametros_manuales!$E$13+parametros_manuales!$F$20*(datos_base!$C$4+IF(parametros_manuales!$H$20="Todos",datos_base!$C$11,0))*parametros_manuales!$E$105+parametros_manuales!$F$20*(datos_base!$C$20+IF(parametros_manuales!$H$20="Todos",datos_base!$C$25,0))*parametros_manuales!$E$14+parametros_manuales!$G$20*(datos_base!$C$5+IF(parametros_manuales!$H$20="Todos",datos_base!$C$12,0))*parametros_manuales!$E$110+parametros_manuales!$G$20*(datos_base!$C$21+IF(parametros_manuales!$H$20="Todos",datos_base!$C$26,0))*parametros_manuales!$E$15)*parametros_manuales!$I$20*parametros_manuales!$J$20</f>
        <v>409.56005838</v>
      </c>
      <c r="F30" s="9" t="n">
        <f aca="false">(parametros_manuales!$D$20*(datos_base!$C$2+IF(parametros_manuales!$H$20="Todos",datos_base!$C$9,0))*parametros_manuales!$F$95+parametros_manuales!$D$20*(datos_base!$C$18+IF(parametros_manuales!$H$20="Todos",datos_base!$C$23,0))*parametros_manuales!$F$12+parametros_manuales!$E$20*(datos_base!$C$3+IF(parametros_manuales!$H$20="Todos",datos_base!$C$10,0))*parametros_manuales!$F$100+parametros_manuales!$E$20*(datos_base!$C$19+IF(parametros_manuales!$H$20="Todos",datos_base!$C$24,0))*parametros_manuales!$F$13+parametros_manuales!$F$20*(datos_base!$C$4+IF(parametros_manuales!$H$20="Todos",datos_base!$C$11,0))*parametros_manuales!$F$105+parametros_manuales!$F$20*(datos_base!$C$20+IF(parametros_manuales!$H$20="Todos",datos_base!$C$25,0))*parametros_manuales!$F$14+parametros_manuales!$G$20*(datos_base!$C$5+IF(parametros_manuales!$H$20="Todos",datos_base!$C$12,0))*parametros_manuales!$F$110+parametros_manuales!$G$20*(datos_base!$C$21+IF(parametros_manuales!$H$20="Todos",datos_base!$C$26,0))*parametros_manuales!$F$15)*parametros_manuales!$I$20*parametros_manuales!$J$20</f>
        <v>385.46829024</v>
      </c>
      <c r="G30" s="9" t="n">
        <f aca="false">(parametros_manuales!$D$20*(datos_base!$C$2+IF(parametros_manuales!$H$20="Todos",datos_base!$C$9,0))*parametros_manuales!$G$95+parametros_manuales!$D$20*(datos_base!$C$18+IF(parametros_manuales!$H$20="Todos",datos_base!$C$23,0))*parametros_manuales!$G$12+parametros_manuales!$E$20*(datos_base!$C$3+IF(parametros_manuales!$H$20="Todos",datos_base!$C$10,0))*parametros_manuales!$G$100+parametros_manuales!$E$20*(datos_base!$C$19+IF(parametros_manuales!$H$20="Todos",datos_base!$C$24,0))*parametros_manuales!$G$13+parametros_manuales!$F$20*(datos_base!$C$4+IF(parametros_manuales!$H$20="Todos",datos_base!$C$11,0))*parametros_manuales!$G$105+parametros_manuales!$F$20*(datos_base!$C$20+IF(parametros_manuales!$H$20="Todos",datos_base!$C$25,0))*parametros_manuales!$G$14+parametros_manuales!$G$20*(datos_base!$C$5+IF(parametros_manuales!$H$20="Todos",datos_base!$C$12,0))*parametros_manuales!$G$110+parametros_manuales!$G$20*(datos_base!$C$21+IF(parametros_manuales!$H$20="Todos",datos_base!$C$26,0))*parametros_manuales!$G$15)*parametros_manuales!$I$20*parametros_manuales!$J$20</f>
        <v>361.3765221</v>
      </c>
      <c r="H30" s="9" t="n">
        <f aca="false">(parametros_manuales!$D$20*(datos_base!$C$2+IF(parametros_manuales!$H$20="Todos",datos_base!$C$9,0))*parametros_manuales!$H$95+parametros_manuales!$D$20*(datos_base!$C$18+IF(parametros_manuales!$H$20="Todos",datos_base!$C$23,0))*parametros_manuales!$H$12+parametros_manuales!$E$20*(datos_base!$C$3+IF(parametros_manuales!$H$20="Todos",datos_base!$C$10,0))*parametros_manuales!$H$100+parametros_manuales!$E$20*(datos_base!$C$19+IF(parametros_manuales!$H$20="Todos",datos_base!$C$24,0))*parametros_manuales!$H$13+parametros_manuales!$F$20*(datos_base!$C$4+IF(parametros_manuales!$H$20="Todos",datos_base!$C$11,0))*parametros_manuales!$H$105+parametros_manuales!$F$20*(datos_base!$C$20+IF(parametros_manuales!$H$20="Todos",datos_base!$C$25,0))*parametros_manuales!$H$14+parametros_manuales!$G$20*(datos_base!$C$5+IF(parametros_manuales!$H$20="Todos",datos_base!$C$12,0))*parametros_manuales!$H$110+parametros_manuales!$G$20*(datos_base!$C$21+IF(parametros_manuales!$H$20="Todos",datos_base!$C$26,0))*parametros_manuales!$H$15)*parametros_manuales!$I$20*parametros_manuales!$J$20</f>
        <v>385.46829024</v>
      </c>
      <c r="I30" s="9" t="n">
        <f aca="false">(parametros_manuales!$D$20*(datos_base!$C$2+IF(parametros_manuales!$H$20="Todos",datos_base!$C$9,0))*parametros_manuales!$I$95+parametros_manuales!$D$20*(datos_base!$C$18+IF(parametros_manuales!$H$20="Todos",datos_base!$C$23,0))*parametros_manuales!$I$12+parametros_manuales!$E$20*(datos_base!$C$3+IF(parametros_manuales!$H$20="Todos",datos_base!$C$10,0))*parametros_manuales!$I$100+parametros_manuales!$E$20*(datos_base!$C$19+IF(parametros_manuales!$H$20="Todos",datos_base!$C$24,0))*parametros_manuales!$I$13+parametros_manuales!$F$20*(datos_base!$C$4+IF(parametros_manuales!$H$20="Todos",datos_base!$C$11,0))*parametros_manuales!$I$105+parametros_manuales!$F$20*(datos_base!$C$20+IF(parametros_manuales!$H$20="Todos",datos_base!$C$25,0))*parametros_manuales!$I$14+parametros_manuales!$G$20*(datos_base!$C$5+IF(parametros_manuales!$H$20="Todos",datos_base!$C$12,0))*parametros_manuales!$I$110+parametros_manuales!$G$20*(datos_base!$C$21+IF(parametros_manuales!$H$20="Todos",datos_base!$C$26,0))*parametros_manuales!$I$15)*parametros_manuales!$I$20*parametros_manuales!$J$20</f>
        <v>385.46829024</v>
      </c>
      <c r="J30" s="9" t="n">
        <f aca="false">(parametros_manuales!$D$20*(datos_base!$C$2+IF(parametros_manuales!$H$20="Todos",datos_base!$C$9,0))*parametros_manuales!$J$95+parametros_manuales!$D$20*(datos_base!$C$18+IF(parametros_manuales!$H$20="Todos",datos_base!$C$23,0))*parametros_manuales!$J$12+parametros_manuales!$E$20*(datos_base!$C$3+IF(parametros_manuales!$H$20="Todos",datos_base!$C$10,0))*parametros_manuales!$J$100+parametros_manuales!$E$20*(datos_base!$C$19+IF(parametros_manuales!$H$20="Todos",datos_base!$C$24,0))*parametros_manuales!$J$13+parametros_manuales!$F$20*(datos_base!$C$4+IF(parametros_manuales!$H$20="Todos",datos_base!$C$11,0))*parametros_manuales!$J$105+parametros_manuales!$F$20*(datos_base!$C$20+IF(parametros_manuales!$H$20="Todos",datos_base!$C$25,0))*parametros_manuales!$J$14+parametros_manuales!$G$20*(datos_base!$C$5+IF(parametros_manuales!$H$20="Todos",datos_base!$C$12,0))*parametros_manuales!$J$110+parametros_manuales!$G$20*(datos_base!$C$21+IF(parametros_manuales!$H$20="Todos",datos_base!$C$26,0))*parametros_manuales!$J$15)*parametros_manuales!$I$20*parametros_manuales!$J$20</f>
        <v>385.46829024</v>
      </c>
      <c r="K30" s="9" t="n">
        <f aca="false">(parametros_manuales!$D$20*(datos_base!$C$2+IF(parametros_manuales!$H$20="Todos",datos_base!$C$9,0))*parametros_manuales!$K$95+parametros_manuales!$D$20*(datos_base!$C$18+IF(parametros_manuales!$H$20="Todos",datos_base!$C$23,0))*parametros_manuales!$K$12+parametros_manuales!$E$20*(datos_base!$C$3+IF(parametros_manuales!$H$20="Todos",datos_base!$C$10,0))*parametros_manuales!$K$100+parametros_manuales!$E$20*(datos_base!$C$19+IF(parametros_manuales!$H$20="Todos",datos_base!$C$24,0))*parametros_manuales!$K$13+parametros_manuales!$F$20*(datos_base!$C$4+IF(parametros_manuales!$H$20="Todos",datos_base!$C$11,0))*parametros_manuales!$K$105+parametros_manuales!$F$20*(datos_base!$C$20+IF(parametros_manuales!$H$20="Todos",datos_base!$C$25,0))*parametros_manuales!$K$14+parametros_manuales!$G$20*(datos_base!$C$5+IF(parametros_manuales!$H$20="Todos",datos_base!$C$12,0))*parametros_manuales!$K$110+parametros_manuales!$G$20*(datos_base!$C$21+IF(parametros_manuales!$H$20="Todos",datos_base!$C$26,0))*parametros_manuales!$K$15)*parametros_manuales!$I$20*parametros_manuales!$J$20</f>
        <v>408.71605838</v>
      </c>
      <c r="L30" s="9" t="n">
        <f aca="false">(parametros_manuales!$D$20*(datos_base!$C$2+IF(parametros_manuales!$H$20="Todos",datos_base!$C$9,0))*parametros_manuales!$L$95+parametros_manuales!$D$20*(datos_base!$C$18+IF(parametros_manuales!$H$20="Todos",datos_base!$C$23,0))*parametros_manuales!$L$12+parametros_manuales!$E$20*(datos_base!$C$3+IF(parametros_manuales!$H$20="Todos",datos_base!$C$10,0))*parametros_manuales!$L$100+parametros_manuales!$E$20*(datos_base!$C$19+IF(parametros_manuales!$H$20="Todos",datos_base!$C$24,0))*parametros_manuales!$L$13+parametros_manuales!$F$20*(datos_base!$C$4+IF(parametros_manuales!$H$20="Todos",datos_base!$C$11,0))*parametros_manuales!$L$105+parametros_manuales!$F$20*(datos_base!$C$20+IF(parametros_manuales!$H$20="Todos",datos_base!$C$25,0))*parametros_manuales!$L$14+parametros_manuales!$G$20*(datos_base!$C$5+IF(parametros_manuales!$H$20="Todos",datos_base!$C$12,0))*parametros_manuales!$L$110+parametros_manuales!$G$20*(datos_base!$C$21+IF(parametros_manuales!$H$20="Todos",datos_base!$C$26,0))*parametros_manuales!$L$15)*parametros_manuales!$I$20*parametros_manuales!$J$20</f>
        <v>431.96382652</v>
      </c>
      <c r="M30" s="9" t="n">
        <f aca="false">(parametros_manuales!$D$20*(datos_base!$C$2+IF(parametros_manuales!$H$20="Todos",datos_base!$C$9,0))*parametros_manuales!$M$95+parametros_manuales!$D$20*(datos_base!$C$18+IF(parametros_manuales!$H$20="Todos",datos_base!$C$23,0))*parametros_manuales!$M$12+parametros_manuales!$E$20*(datos_base!$C$3+IF(parametros_manuales!$H$20="Todos",datos_base!$C$10,0))*parametros_manuales!$M$100+parametros_manuales!$E$20*(datos_base!$C$19+IF(parametros_manuales!$H$20="Todos",datos_base!$C$24,0))*parametros_manuales!$M$13+parametros_manuales!$F$20*(datos_base!$C$4+IF(parametros_manuales!$H$20="Todos",datos_base!$C$11,0))*parametros_manuales!$M$105+parametros_manuales!$F$20*(datos_base!$C$20+IF(parametros_manuales!$H$20="Todos",datos_base!$C$25,0))*parametros_manuales!$M$14+parametros_manuales!$G$20*(datos_base!$C$5+IF(parametros_manuales!$H$20="Todos",datos_base!$C$12,0))*parametros_manuales!$M$110+parametros_manuales!$G$20*(datos_base!$C$21+IF(parametros_manuales!$H$20="Todos",datos_base!$C$26,0))*parametros_manuales!$M$15)*parametros_manuales!$I$20*parametros_manuales!$J$20</f>
        <v>435.33982652</v>
      </c>
      <c r="N30" s="9" t="n">
        <f aca="false">SUM(B30:M30)</f>
        <v>4818.353628</v>
      </c>
      <c r="O30" s="9" t="n">
        <f aca="false">MAX(B30:M30)</f>
        <v>435.33982652</v>
      </c>
      <c r="P30" s="44" t="n">
        <f aca="false">O30/(parametros_manuales!$B$7)</f>
        <v>2.90226551013333</v>
      </c>
      <c r="Q30" s="8" t="str">
        <f aca="false">IF(O30=0,"-",INDEX($B$28:$M$28,MATCH(O30,B30:M30,0)))</f>
        <v>Dic</v>
      </c>
    </row>
    <row r="31" customFormat="false" ht="14.25" hidden="false" customHeight="true" outlineLevel="0" collapsed="false">
      <c r="A31" s="8" t="str">
        <f aca="false">parametros_manuales!$B$21</f>
        <v>Corte de tubo — 1 kg</v>
      </c>
      <c r="B31" s="9" t="n">
        <f aca="false">(parametros_manuales!$D$21*(datos_base!$C$2+IF(parametros_manuales!$H$21="Todos",datos_base!$C$9,0))*parametros_manuales!$B$95+parametros_manuales!$D$21*(datos_base!$C$18+IF(parametros_manuales!$H$21="Todos",datos_base!$C$23,0))*parametros_manuales!$B$12+parametros_manuales!$E$21*(datos_base!$C$3+IF(parametros_manuales!$H$21="Todos",datos_base!$C$10,0))*parametros_manuales!$B$100+parametros_manuales!$E$21*(datos_base!$C$19+IF(parametros_manuales!$H$21="Todos",datos_base!$C$24,0))*parametros_manuales!$B$13+parametros_manuales!$F$21*(datos_base!$C$4+IF(parametros_manuales!$H$21="Todos",datos_base!$C$11,0))*parametros_manuales!$B$105+parametros_manuales!$F$21*(datos_base!$C$20+IF(parametros_manuales!$H$21="Todos",datos_base!$C$25,0))*parametros_manuales!$B$14+parametros_manuales!$G$21*(datos_base!$C$5+IF(parametros_manuales!$H$21="Todos",datos_base!$C$12,0))*parametros_manuales!$B$110+parametros_manuales!$G$21*(datos_base!$C$21+IF(parametros_manuales!$H$21="Todos",datos_base!$C$26,0))*parametros_manuales!$B$15)*parametros_manuales!$I$21*parametros_manuales!$J$21</f>
        <v>539.75735793</v>
      </c>
      <c r="C31" s="9" t="n">
        <f aca="false">(parametros_manuales!$D$21*(datos_base!$C$2+IF(parametros_manuales!$H$21="Todos",datos_base!$C$9,0))*parametros_manuales!$C$95+parametros_manuales!$D$21*(datos_base!$C$18+IF(parametros_manuales!$H$21="Todos",datos_base!$C$23,0))*parametros_manuales!$C$12+parametros_manuales!$E$21*(datos_base!$C$3+IF(parametros_manuales!$H$21="Todos",datos_base!$C$10,0))*parametros_manuales!$C$100+parametros_manuales!$E$21*(datos_base!$C$19+IF(parametros_manuales!$H$21="Todos",datos_base!$C$24,0))*parametros_manuales!$C$13+parametros_manuales!$F$21*(datos_base!$C$4+IF(parametros_manuales!$H$21="Todos",datos_base!$C$11,0))*parametros_manuales!$C$105+parametros_manuales!$F$21*(datos_base!$C$20+IF(parametros_manuales!$H$21="Todos",datos_base!$C$25,0))*parametros_manuales!$C$14+parametros_manuales!$G$21*(datos_base!$C$5+IF(parametros_manuales!$H$21="Todos",datos_base!$C$12,0))*parametros_manuales!$C$110+parametros_manuales!$G$21*(datos_base!$C$21+IF(parametros_manuales!$H$21="Todos",datos_base!$C$26,0))*parametros_manuales!$C$15)*parametros_manuales!$I$21*parametros_manuales!$J$21</f>
        <v>539.75735793</v>
      </c>
      <c r="D31" s="9" t="n">
        <f aca="false">(parametros_manuales!$D$21*(datos_base!$C$2+IF(parametros_manuales!$H$21="Todos",datos_base!$C$9,0))*parametros_manuales!$D$95+parametros_manuales!$D$21*(datos_base!$C$18+IF(parametros_manuales!$H$21="Todos",datos_base!$C$23,0))*parametros_manuales!$D$12+parametros_manuales!$E$21*(datos_base!$C$3+IF(parametros_manuales!$H$21="Todos",datos_base!$C$10,0))*parametros_manuales!$D$100+parametros_manuales!$E$21*(datos_base!$C$19+IF(parametros_manuales!$H$21="Todos",datos_base!$C$24,0))*parametros_manuales!$D$13+parametros_manuales!$F$21*(datos_base!$C$4+IF(parametros_manuales!$H$21="Todos",datos_base!$C$11,0))*parametros_manuales!$D$105+parametros_manuales!$F$21*(datos_base!$C$20+IF(parametros_manuales!$H$21="Todos",datos_base!$C$25,0))*parametros_manuales!$D$14+parametros_manuales!$G$21*(datos_base!$C$5+IF(parametros_manuales!$H$21="Todos",datos_base!$C$12,0))*parametros_manuales!$D$110+parametros_manuales!$G$21*(datos_base!$C$21+IF(parametros_manuales!$H$21="Todos",datos_base!$C$26,0))*parametros_manuales!$D$15)*parametros_manuales!$I$21*parametros_manuales!$J$21</f>
        <v>479.78431816</v>
      </c>
      <c r="E31" s="9" t="n">
        <f aca="false">(parametros_manuales!$D$21*(datos_base!$C$2+IF(parametros_manuales!$H$21="Todos",datos_base!$C$9,0))*parametros_manuales!$E$95+parametros_manuales!$D$21*(datos_base!$C$18+IF(parametros_manuales!$H$21="Todos",datos_base!$C$23,0))*parametros_manuales!$E$12+parametros_manuales!$E$21*(datos_base!$C$3+IF(parametros_manuales!$H$21="Todos",datos_base!$C$10,0))*parametros_manuales!$E$100+parametros_manuales!$E$21*(datos_base!$C$19+IF(parametros_manuales!$H$21="Todos",datos_base!$C$24,0))*parametros_manuales!$E$13+parametros_manuales!$F$21*(datos_base!$C$4+IF(parametros_manuales!$H$21="Todos",datos_base!$C$11,0))*parametros_manuales!$E$105+parametros_manuales!$F$21*(datos_base!$C$20+IF(parametros_manuales!$H$21="Todos",datos_base!$C$25,0))*parametros_manuales!$E$14+parametros_manuales!$G$21*(datos_base!$C$5+IF(parametros_manuales!$H$21="Todos",datos_base!$C$12,0))*parametros_manuales!$E$110+parametros_manuales!$G$21*(datos_base!$C$21+IF(parametros_manuales!$H$21="Todos",datos_base!$C$26,0))*parametros_manuales!$E$15)*parametros_manuales!$I$21*parametros_manuales!$J$21</f>
        <v>449.797798275</v>
      </c>
      <c r="F31" s="9" t="n">
        <f aca="false">(parametros_manuales!$D$21*(datos_base!$C$2+IF(parametros_manuales!$H$21="Todos",datos_base!$C$9,0))*parametros_manuales!$F$95+parametros_manuales!$D$21*(datos_base!$C$18+IF(parametros_manuales!$H$21="Todos",datos_base!$C$23,0))*parametros_manuales!$F$12+parametros_manuales!$E$21*(datos_base!$C$3+IF(parametros_manuales!$H$21="Todos",datos_base!$C$10,0))*parametros_manuales!$F$100+parametros_manuales!$E$21*(datos_base!$C$19+IF(parametros_manuales!$H$21="Todos",datos_base!$C$24,0))*parametros_manuales!$F$13+parametros_manuales!$F$21*(datos_base!$C$4+IF(parametros_manuales!$H$21="Todos",datos_base!$C$11,0))*parametros_manuales!$F$105+parametros_manuales!$F$21*(datos_base!$C$20+IF(parametros_manuales!$H$21="Todos",datos_base!$C$25,0))*parametros_manuales!$F$14+parametros_manuales!$G$21*(datos_base!$C$5+IF(parametros_manuales!$H$21="Todos",datos_base!$C$12,0))*parametros_manuales!$F$110+parametros_manuales!$G$21*(datos_base!$C$21+IF(parametros_manuales!$H$21="Todos",datos_base!$C$26,0))*parametros_manuales!$F$15)*parametros_manuales!$I$21*parametros_manuales!$J$21</f>
        <v>419.81127839</v>
      </c>
      <c r="G31" s="9" t="n">
        <f aca="false">(parametros_manuales!$D$21*(datos_base!$C$2+IF(parametros_manuales!$H$21="Todos",datos_base!$C$9,0))*parametros_manuales!$G$95+parametros_manuales!$D$21*(datos_base!$C$18+IF(parametros_manuales!$H$21="Todos",datos_base!$C$23,0))*parametros_manuales!$G$12+parametros_manuales!$E$21*(datos_base!$C$3+IF(parametros_manuales!$H$21="Todos",datos_base!$C$10,0))*parametros_manuales!$G$100+parametros_manuales!$E$21*(datos_base!$C$19+IF(parametros_manuales!$H$21="Todos",datos_base!$C$24,0))*parametros_manuales!$G$13+parametros_manuales!$F$21*(datos_base!$C$4+IF(parametros_manuales!$H$21="Todos",datos_base!$C$11,0))*parametros_manuales!$G$105+parametros_manuales!$F$21*(datos_base!$C$20+IF(parametros_manuales!$H$21="Todos",datos_base!$C$25,0))*parametros_manuales!$G$14+parametros_manuales!$G$21*(datos_base!$C$5+IF(parametros_manuales!$H$21="Todos",datos_base!$C$12,0))*parametros_manuales!$G$110+parametros_manuales!$G$21*(datos_base!$C$21+IF(parametros_manuales!$H$21="Todos",datos_base!$C$26,0))*parametros_manuales!$G$15)*parametros_manuales!$I$21*parametros_manuales!$J$21</f>
        <v>419.81127839</v>
      </c>
      <c r="H31" s="9" t="n">
        <f aca="false">(parametros_manuales!$D$21*(datos_base!$C$2+IF(parametros_manuales!$H$21="Todos",datos_base!$C$9,0))*parametros_manuales!$H$95+parametros_manuales!$D$21*(datos_base!$C$18+IF(parametros_manuales!$H$21="Todos",datos_base!$C$23,0))*parametros_manuales!$H$12+parametros_manuales!$E$21*(datos_base!$C$3+IF(parametros_manuales!$H$21="Todos",datos_base!$C$10,0))*parametros_manuales!$H$100+parametros_manuales!$E$21*(datos_base!$C$19+IF(parametros_manuales!$H$21="Todos",datos_base!$C$24,0))*parametros_manuales!$H$13+parametros_manuales!$F$21*(datos_base!$C$4+IF(parametros_manuales!$H$21="Todos",datos_base!$C$11,0))*parametros_manuales!$H$105+parametros_manuales!$F$21*(datos_base!$C$20+IF(parametros_manuales!$H$21="Todos",datos_base!$C$25,0))*parametros_manuales!$H$14+parametros_manuales!$G$21*(datos_base!$C$5+IF(parametros_manuales!$H$21="Todos",datos_base!$C$12,0))*parametros_manuales!$H$110+parametros_manuales!$G$21*(datos_base!$C$21+IF(parametros_manuales!$H$21="Todos",datos_base!$C$26,0))*parametros_manuales!$H$15)*parametros_manuales!$I$21*parametros_manuales!$J$21</f>
        <v>449.797798275</v>
      </c>
      <c r="I31" s="9" t="n">
        <f aca="false">(parametros_manuales!$D$21*(datos_base!$C$2+IF(parametros_manuales!$H$21="Todos",datos_base!$C$9,0))*parametros_manuales!$I$95+parametros_manuales!$D$21*(datos_base!$C$18+IF(parametros_manuales!$H$21="Todos",datos_base!$C$23,0))*parametros_manuales!$I$12+parametros_manuales!$E$21*(datos_base!$C$3+IF(parametros_manuales!$H$21="Todos",datos_base!$C$10,0))*parametros_manuales!$I$100+parametros_manuales!$E$21*(datos_base!$C$19+IF(parametros_manuales!$H$21="Todos",datos_base!$C$24,0))*parametros_manuales!$I$13+parametros_manuales!$F$21*(datos_base!$C$4+IF(parametros_manuales!$H$21="Todos",datos_base!$C$11,0))*parametros_manuales!$I$105+parametros_manuales!$F$21*(datos_base!$C$20+IF(parametros_manuales!$H$21="Todos",datos_base!$C$25,0))*parametros_manuales!$I$14+parametros_manuales!$G$21*(datos_base!$C$5+IF(parametros_manuales!$H$21="Todos",datos_base!$C$12,0))*parametros_manuales!$I$110+parametros_manuales!$G$21*(datos_base!$C$21+IF(parametros_manuales!$H$21="Todos",datos_base!$C$26,0))*parametros_manuales!$I$15)*parametros_manuales!$I$21*parametros_manuales!$J$21</f>
        <v>539.75735793</v>
      </c>
      <c r="J31" s="9" t="n">
        <f aca="false">(parametros_manuales!$D$21*(datos_base!$C$2+IF(parametros_manuales!$H$21="Todos",datos_base!$C$9,0))*parametros_manuales!$J$95+parametros_manuales!$D$21*(datos_base!$C$18+IF(parametros_manuales!$H$21="Todos",datos_base!$C$23,0))*parametros_manuales!$J$12+parametros_manuales!$E$21*(datos_base!$C$3+IF(parametros_manuales!$H$21="Todos",datos_base!$C$10,0))*parametros_manuales!$J$100+parametros_manuales!$E$21*(datos_base!$C$19+IF(parametros_manuales!$H$21="Todos",datos_base!$C$24,0))*parametros_manuales!$J$13+parametros_manuales!$F$21*(datos_base!$C$4+IF(parametros_manuales!$H$21="Todos",datos_base!$C$11,0))*parametros_manuales!$J$105+parametros_manuales!$F$21*(datos_base!$C$20+IF(parametros_manuales!$H$21="Todos",datos_base!$C$25,0))*parametros_manuales!$J$14+parametros_manuales!$G$21*(datos_base!$C$5+IF(parametros_manuales!$H$21="Todos",datos_base!$C$12,0))*parametros_manuales!$J$110+parametros_manuales!$G$21*(datos_base!$C$21+IF(parametros_manuales!$H$21="Todos",datos_base!$C$26,0))*parametros_manuales!$J$15)*parametros_manuales!$I$21*parametros_manuales!$J$21</f>
        <v>539.75735793</v>
      </c>
      <c r="K31" s="9" t="n">
        <f aca="false">(parametros_manuales!$D$21*(datos_base!$C$2+IF(parametros_manuales!$H$21="Todos",datos_base!$C$9,0))*parametros_manuales!$K$95+parametros_manuales!$D$21*(datos_base!$C$18+IF(parametros_manuales!$H$21="Todos",datos_base!$C$23,0))*parametros_manuales!$K$12+parametros_manuales!$E$21*(datos_base!$C$3+IF(parametros_manuales!$H$21="Todos",datos_base!$C$10,0))*parametros_manuales!$K$100+parametros_manuales!$E$21*(datos_base!$C$19+IF(parametros_manuales!$H$21="Todos",datos_base!$C$24,0))*parametros_manuales!$K$13+parametros_manuales!$F$21*(datos_base!$C$4+IF(parametros_manuales!$H$21="Todos",datos_base!$C$11,0))*parametros_manuales!$K$105+parametros_manuales!$F$21*(datos_base!$C$20+IF(parametros_manuales!$H$21="Todos",datos_base!$C$25,0))*parametros_manuales!$K$14+parametros_manuales!$G$21*(datos_base!$C$5+IF(parametros_manuales!$H$21="Todos",datos_base!$C$12,0))*parametros_manuales!$K$110+parametros_manuales!$G$21*(datos_base!$C$21+IF(parametros_manuales!$H$21="Todos",datos_base!$C$26,0))*parametros_manuales!$K$15)*parametros_manuales!$I$21*parametros_manuales!$J$21</f>
        <v>539.75735793</v>
      </c>
      <c r="L31" s="9" t="n">
        <f aca="false">(parametros_manuales!$D$21*(datos_base!$C$2+IF(parametros_manuales!$H$21="Todos",datos_base!$C$9,0))*parametros_manuales!$L$95+parametros_manuales!$D$21*(datos_base!$C$18+IF(parametros_manuales!$H$21="Todos",datos_base!$C$23,0))*parametros_manuales!$L$12+parametros_manuales!$E$21*(datos_base!$C$3+IF(parametros_manuales!$H$21="Todos",datos_base!$C$10,0))*parametros_manuales!$L$100+parametros_manuales!$E$21*(datos_base!$C$19+IF(parametros_manuales!$H$21="Todos",datos_base!$C$24,0))*parametros_manuales!$L$13+parametros_manuales!$F$21*(datos_base!$C$4+IF(parametros_manuales!$H$21="Todos",datos_base!$C$11,0))*parametros_manuales!$L$105+parametros_manuales!$F$21*(datos_base!$C$20+IF(parametros_manuales!$H$21="Todos",datos_base!$C$25,0))*parametros_manuales!$L$14+parametros_manuales!$G$21*(datos_base!$C$5+IF(parametros_manuales!$H$21="Todos",datos_base!$C$12,0))*parametros_manuales!$L$110+parametros_manuales!$G$21*(datos_base!$C$21+IF(parametros_manuales!$H$21="Todos",datos_base!$C$26,0))*parametros_manuales!$L$15)*parametros_manuales!$I$21*parametros_manuales!$J$21</f>
        <v>539.75735793</v>
      </c>
      <c r="M31" s="9" t="n">
        <f aca="false">(parametros_manuales!$D$21*(datos_base!$C$2+IF(parametros_manuales!$H$21="Todos",datos_base!$C$9,0))*parametros_manuales!$M$95+parametros_manuales!$D$21*(datos_base!$C$18+IF(parametros_manuales!$H$21="Todos",datos_base!$C$23,0))*parametros_manuales!$M$12+parametros_manuales!$E$21*(datos_base!$C$3+IF(parametros_manuales!$H$21="Todos",datos_base!$C$10,0))*parametros_manuales!$M$100+parametros_manuales!$E$21*(datos_base!$C$19+IF(parametros_manuales!$H$21="Todos",datos_base!$C$24,0))*parametros_manuales!$M$13+parametros_manuales!$F$21*(datos_base!$C$4+IF(parametros_manuales!$H$21="Todos",datos_base!$C$11,0))*parametros_manuales!$M$105+parametros_manuales!$F$21*(datos_base!$C$20+IF(parametros_manuales!$H$21="Todos",datos_base!$C$25,0))*parametros_manuales!$M$14+parametros_manuales!$G$21*(datos_base!$C$5+IF(parametros_manuales!$H$21="Todos",datos_base!$C$12,0))*parametros_manuales!$M$110+parametros_manuales!$G$21*(datos_base!$C$21+IF(parametros_manuales!$H$21="Todos",datos_base!$C$26,0))*parametros_manuales!$M$15)*parametros_manuales!$I$21*parametros_manuales!$J$21</f>
        <v>539.75735793</v>
      </c>
      <c r="N31" s="9" t="n">
        <f aca="false">SUM(B31:M31)</f>
        <v>5997.303977</v>
      </c>
      <c r="O31" s="9" t="n">
        <f aca="false">MAX(B31:M31)</f>
        <v>539.75735793</v>
      </c>
      <c r="P31" s="44" t="n">
        <f aca="false">O31/(parametros_manuales!$B$7)</f>
        <v>3.5983823862</v>
      </c>
      <c r="Q31" s="8" t="str">
        <f aca="false">IF(O31=0,"-",INDEX($B$28:$M$28,MATCH(O31,B31:M31,0)))</f>
        <v>Ene</v>
      </c>
    </row>
    <row r="32" customFormat="false" ht="14.25" hidden="false" customHeight="true" outlineLevel="0" collapsed="false">
      <c r="A32" s="8" t="str">
        <f aca="false">parametros_manuales!$B$22</f>
        <v>Corte de disco y embutido (cúpula y fondo)</v>
      </c>
      <c r="B32" s="9" t="n">
        <f aca="false">(parametros_manuales!$D$22*(datos_base!$C$2+IF(parametros_manuales!$H$22="Todos",datos_base!$C$9,0))*parametros_manuales!$B$95+parametros_manuales!$D$22*(datos_base!$C$18+IF(parametros_manuales!$H$22="Todos",datos_base!$C$23,0))*parametros_manuales!$B$12+parametros_manuales!$E$22*(datos_base!$C$3+IF(parametros_manuales!$H$22="Todos",datos_base!$C$10,0))*parametros_manuales!$B$100+parametros_manuales!$E$22*(datos_base!$C$19+IF(parametros_manuales!$H$22="Todos",datos_base!$C$24,0))*parametros_manuales!$B$13+parametros_manuales!$F$22*(datos_base!$C$4+IF(parametros_manuales!$H$22="Todos",datos_base!$C$11,0))*parametros_manuales!$B$105+parametros_manuales!$F$22*(datos_base!$C$20+IF(parametros_manuales!$H$22="Todos",datos_base!$C$25,0))*parametros_manuales!$B$14+parametros_manuales!$G$22*(datos_base!$C$5+IF(parametros_manuales!$H$22="Todos",datos_base!$C$12,0))*parametros_manuales!$B$110+parametros_manuales!$G$22*(datos_base!$C$21+IF(parametros_manuales!$H$22="Todos",datos_base!$C$26,0))*parametros_manuales!$B$15)*parametros_manuales!$I$22*parametros_manuales!$J$22</f>
        <v>1948.5063689</v>
      </c>
      <c r="C32" s="9" t="n">
        <f aca="false">(parametros_manuales!$D$22*(datos_base!$C$2+IF(parametros_manuales!$H$22="Todos",datos_base!$C$9,0))*parametros_manuales!$C$95+parametros_manuales!$D$22*(datos_base!$C$18+IF(parametros_manuales!$H$22="Todos",datos_base!$C$23,0))*parametros_manuales!$C$12+parametros_manuales!$E$22*(datos_base!$C$3+IF(parametros_manuales!$H$22="Todos",datos_base!$C$10,0))*parametros_manuales!$C$100+parametros_manuales!$E$22*(datos_base!$C$19+IF(parametros_manuales!$H$22="Todos",datos_base!$C$24,0))*parametros_manuales!$C$13+parametros_manuales!$F$22*(datos_base!$C$4+IF(parametros_manuales!$H$22="Todos",datos_base!$C$11,0))*parametros_manuales!$C$105+parametros_manuales!$F$22*(datos_base!$C$20+IF(parametros_manuales!$H$22="Todos",datos_base!$C$25,0))*parametros_manuales!$C$14+parametros_manuales!$G$22*(datos_base!$C$5+IF(parametros_manuales!$H$22="Todos",datos_base!$C$12,0))*parametros_manuales!$C$110+parametros_manuales!$G$22*(datos_base!$C$21+IF(parametros_manuales!$H$22="Todos",datos_base!$C$26,0))*parametros_manuales!$C$15)*parametros_manuales!$I$22*parametros_manuales!$J$22</f>
        <v>1850.45129634</v>
      </c>
      <c r="D32" s="9" t="n">
        <f aca="false">(parametros_manuales!$D$22*(datos_base!$C$2+IF(parametros_manuales!$H$22="Todos",datos_base!$C$9,0))*parametros_manuales!$D$95+parametros_manuales!$D$22*(datos_base!$C$18+IF(parametros_manuales!$H$22="Todos",datos_base!$C$23,0))*parametros_manuales!$D$12+parametros_manuales!$E$22*(datos_base!$C$3+IF(parametros_manuales!$H$22="Todos",datos_base!$C$10,0))*parametros_manuales!$D$100+parametros_manuales!$E$22*(datos_base!$C$19+IF(parametros_manuales!$H$22="Todos",datos_base!$C$24,0))*parametros_manuales!$D$13+parametros_manuales!$F$22*(datos_base!$C$4+IF(parametros_manuales!$H$22="Todos",datos_base!$C$11,0))*parametros_manuales!$D$105+parametros_manuales!$F$22*(datos_base!$C$20+IF(parametros_manuales!$H$22="Todos",datos_base!$C$25,0))*parametros_manuales!$D$14+parametros_manuales!$G$22*(datos_base!$C$5+IF(parametros_manuales!$H$22="Todos",datos_base!$C$12,0))*parametros_manuales!$D$110+parametros_manuales!$G$22*(datos_base!$C$21+IF(parametros_manuales!$H$22="Todos",datos_base!$C$26,0))*parametros_manuales!$D$15)*parametros_manuales!$I$22*parametros_manuales!$J$22</f>
        <v>1778.68875308</v>
      </c>
      <c r="E32" s="9" t="n">
        <f aca="false">(parametros_manuales!$D$22*(datos_base!$C$2+IF(parametros_manuales!$H$22="Todos",datos_base!$C$9,0))*parametros_manuales!$E$95+parametros_manuales!$D$22*(datos_base!$C$18+IF(parametros_manuales!$H$22="Todos",datos_base!$C$23,0))*parametros_manuales!$E$12+parametros_manuales!$E$22*(datos_base!$C$3+IF(parametros_manuales!$H$22="Todos",datos_base!$C$10,0))*parametros_manuales!$E$100+parametros_manuales!$E$22*(datos_base!$C$19+IF(parametros_manuales!$H$22="Todos",datos_base!$C$24,0))*parametros_manuales!$E$13+parametros_manuales!$F$22*(datos_base!$C$4+IF(parametros_manuales!$H$22="Todos",datos_base!$C$11,0))*parametros_manuales!$E$105+parametros_manuales!$F$22*(datos_base!$C$20+IF(parametros_manuales!$H$22="Todos",datos_base!$C$25,0))*parametros_manuales!$E$14+parametros_manuales!$G$22*(datos_base!$C$5+IF(parametros_manuales!$H$22="Todos",datos_base!$C$12,0))*parametros_manuales!$E$110+parametros_manuales!$G$22*(datos_base!$C$21+IF(parametros_manuales!$H$22="Todos",datos_base!$C$26,0))*parametros_manuales!$E$15)*parametros_manuales!$I$22*parametros_manuales!$J$22</f>
        <v>1718.71571331</v>
      </c>
      <c r="F32" s="9" t="n">
        <f aca="false">(parametros_manuales!$D$22*(datos_base!$C$2+IF(parametros_manuales!$H$22="Todos",datos_base!$C$9,0))*parametros_manuales!$F$95+parametros_manuales!$D$22*(datos_base!$C$18+IF(parametros_manuales!$H$22="Todos",datos_base!$C$23,0))*parametros_manuales!$F$12+parametros_manuales!$E$22*(datos_base!$C$3+IF(parametros_manuales!$H$22="Todos",datos_base!$C$10,0))*parametros_manuales!$F$100+parametros_manuales!$E$22*(datos_base!$C$19+IF(parametros_manuales!$H$22="Todos",datos_base!$C$24,0))*parametros_manuales!$F$13+parametros_manuales!$F$22*(datos_base!$C$4+IF(parametros_manuales!$H$22="Todos",datos_base!$C$11,0))*parametros_manuales!$F$105+parametros_manuales!$F$22*(datos_base!$C$20+IF(parametros_manuales!$H$22="Todos",datos_base!$C$25,0))*parametros_manuales!$F$14+parametros_manuales!$G$22*(datos_base!$C$5+IF(parametros_manuales!$H$22="Todos",datos_base!$C$12,0))*parametros_manuales!$F$110+parametros_manuales!$G$22*(datos_base!$C$21+IF(parametros_manuales!$H$22="Todos",datos_base!$C$26,0))*parametros_manuales!$F$15)*parametros_manuales!$I$22*parametros_manuales!$J$22</f>
        <v>1610.55913726</v>
      </c>
      <c r="G32" s="9" t="n">
        <f aca="false">(parametros_manuales!$D$22*(datos_base!$C$2+IF(parametros_manuales!$H$22="Todos",datos_base!$C$9,0))*parametros_manuales!$G$95+parametros_manuales!$D$22*(datos_base!$C$18+IF(parametros_manuales!$H$22="Todos",datos_base!$C$23,0))*parametros_manuales!$G$12+parametros_manuales!$E$22*(datos_base!$C$3+IF(parametros_manuales!$H$22="Todos",datos_base!$C$10,0))*parametros_manuales!$G$100+parametros_manuales!$E$22*(datos_base!$C$19+IF(parametros_manuales!$H$22="Todos",datos_base!$C$24,0))*parametros_manuales!$G$13+parametros_manuales!$F$22*(datos_base!$C$4+IF(parametros_manuales!$H$22="Todos",datos_base!$C$11,0))*parametros_manuales!$G$105+parametros_manuales!$F$22*(datos_base!$C$20+IF(parametros_manuales!$H$22="Todos",datos_base!$C$25,0))*parametros_manuales!$G$14+parametros_manuales!$G$22*(datos_base!$C$5+IF(parametros_manuales!$H$22="Todos",datos_base!$C$12,0))*parametros_manuales!$G$110+parametros_manuales!$G$22*(datos_base!$C$21+IF(parametros_manuales!$H$22="Todos",datos_base!$C$26,0))*parametros_manuales!$G$15)*parametros_manuales!$I$22*parametros_manuales!$J$22</f>
        <v>1562.37560098</v>
      </c>
      <c r="H32" s="9" t="n">
        <f aca="false">(parametros_manuales!$D$22*(datos_base!$C$2+IF(parametros_manuales!$H$22="Todos",datos_base!$C$9,0))*parametros_manuales!$H$95+parametros_manuales!$D$22*(datos_base!$C$18+IF(parametros_manuales!$H$22="Todos",datos_base!$C$23,0))*parametros_manuales!$H$12+parametros_manuales!$E$22*(datos_base!$C$3+IF(parametros_manuales!$H$22="Todos",datos_base!$C$10,0))*parametros_manuales!$H$100+parametros_manuales!$E$22*(datos_base!$C$19+IF(parametros_manuales!$H$22="Todos",datos_base!$C$24,0))*parametros_manuales!$H$13+parametros_manuales!$F$22*(datos_base!$C$4+IF(parametros_manuales!$H$22="Todos",datos_base!$C$11,0))*parametros_manuales!$H$105+parametros_manuales!$F$22*(datos_base!$C$20+IF(parametros_manuales!$H$22="Todos",datos_base!$C$25,0))*parametros_manuales!$H$14+parametros_manuales!$G$22*(datos_base!$C$5+IF(parametros_manuales!$H$22="Todos",datos_base!$C$12,0))*parametros_manuales!$H$110+parametros_manuales!$G$22*(datos_base!$C$21+IF(parametros_manuales!$H$22="Todos",datos_base!$C$26,0))*parametros_manuales!$H$15)*parametros_manuales!$I$22*parametros_manuales!$J$22</f>
        <v>1670.53217703</v>
      </c>
      <c r="I32" s="9" t="n">
        <f aca="false">(parametros_manuales!$D$22*(datos_base!$C$2+IF(parametros_manuales!$H$22="Todos",datos_base!$C$9,0))*parametros_manuales!$I$95+parametros_manuales!$D$22*(datos_base!$C$18+IF(parametros_manuales!$H$22="Todos",datos_base!$C$23,0))*parametros_manuales!$I$12+parametros_manuales!$E$22*(datos_base!$C$3+IF(parametros_manuales!$H$22="Todos",datos_base!$C$10,0))*parametros_manuales!$I$100+parametros_manuales!$E$22*(datos_base!$C$19+IF(parametros_manuales!$H$22="Todos",datos_base!$C$24,0))*parametros_manuales!$I$13+parametros_manuales!$F$22*(datos_base!$C$4+IF(parametros_manuales!$H$22="Todos",datos_base!$C$11,0))*parametros_manuales!$I$105+parametros_manuales!$F$22*(datos_base!$C$20+IF(parametros_manuales!$H$22="Todos",datos_base!$C$25,0))*parametros_manuales!$I$14+parametros_manuales!$G$22*(datos_base!$C$5+IF(parametros_manuales!$H$22="Todos",datos_base!$C$12,0))*parametros_manuales!$I$110+parametros_manuales!$G$22*(datos_base!$C$21+IF(parametros_manuales!$H$22="Todos",datos_base!$C$26,0))*parametros_manuales!$I$15)*parametros_manuales!$I$22*parametros_manuales!$J$22</f>
        <v>1850.45129634</v>
      </c>
      <c r="J32" s="9" t="n">
        <f aca="false">(parametros_manuales!$D$22*(datos_base!$C$2+IF(parametros_manuales!$H$22="Todos",datos_base!$C$9,0))*parametros_manuales!$J$95+parametros_manuales!$D$22*(datos_base!$C$18+IF(parametros_manuales!$H$22="Todos",datos_base!$C$23,0))*parametros_manuales!$J$12+parametros_manuales!$E$22*(datos_base!$C$3+IF(parametros_manuales!$H$22="Todos",datos_base!$C$10,0))*parametros_manuales!$J$100+parametros_manuales!$E$22*(datos_base!$C$19+IF(parametros_manuales!$H$22="Todos",datos_base!$C$24,0))*parametros_manuales!$J$13+parametros_manuales!$F$22*(datos_base!$C$4+IF(parametros_manuales!$H$22="Todos",datos_base!$C$11,0))*parametros_manuales!$J$105+parametros_manuales!$F$22*(datos_base!$C$20+IF(parametros_manuales!$H$22="Todos",datos_base!$C$25,0))*parametros_manuales!$J$14+parametros_manuales!$G$22*(datos_base!$C$5+IF(parametros_manuales!$H$22="Todos",datos_base!$C$12,0))*parametros_manuales!$J$110+parametros_manuales!$G$22*(datos_base!$C$21+IF(parametros_manuales!$H$22="Todos",datos_base!$C$26,0))*parametros_manuales!$J$15)*parametros_manuales!$I$22*parametros_manuales!$J$22</f>
        <v>1850.45129634</v>
      </c>
      <c r="K32" s="9" t="n">
        <f aca="false">(parametros_manuales!$D$22*(datos_base!$C$2+IF(parametros_manuales!$H$22="Todos",datos_base!$C$9,0))*parametros_manuales!$K$95+parametros_manuales!$D$22*(datos_base!$C$18+IF(parametros_manuales!$H$22="Todos",datos_base!$C$23,0))*parametros_manuales!$K$12+parametros_manuales!$E$22*(datos_base!$C$3+IF(parametros_manuales!$H$22="Todos",datos_base!$C$10,0))*parametros_manuales!$K$100+parametros_manuales!$E$22*(datos_base!$C$19+IF(parametros_manuales!$H$22="Todos",datos_base!$C$24,0))*parametros_manuales!$K$13+parametros_manuales!$F$22*(datos_base!$C$4+IF(parametros_manuales!$H$22="Todos",datos_base!$C$11,0))*parametros_manuales!$K$105+parametros_manuales!$F$22*(datos_base!$C$20+IF(parametros_manuales!$H$22="Todos",datos_base!$C$25,0))*parametros_manuales!$K$14+parametros_manuales!$G$22*(datos_base!$C$5+IF(parametros_manuales!$H$22="Todos",datos_base!$C$12,0))*parametros_manuales!$K$110+parametros_manuales!$G$22*(datos_base!$C$21+IF(parametros_manuales!$H$22="Todos",datos_base!$C$26,0))*parametros_manuales!$K$15)*parametros_manuales!$I$22*parametros_manuales!$J$22</f>
        <v>1896.94683262</v>
      </c>
      <c r="L32" s="9" t="n">
        <f aca="false">(parametros_manuales!$D$22*(datos_base!$C$2+IF(parametros_manuales!$H$22="Todos",datos_base!$C$9,0))*parametros_manuales!$L$95+parametros_manuales!$D$22*(datos_base!$C$18+IF(parametros_manuales!$H$22="Todos",datos_base!$C$23,0))*parametros_manuales!$L$12+parametros_manuales!$E$22*(datos_base!$C$3+IF(parametros_manuales!$H$22="Todos",datos_base!$C$10,0))*parametros_manuales!$L$100+parametros_manuales!$E$22*(datos_base!$C$19+IF(parametros_manuales!$H$22="Todos",datos_base!$C$24,0))*parametros_manuales!$L$13+parametros_manuales!$F$22*(datos_base!$C$4+IF(parametros_manuales!$H$22="Todos",datos_base!$C$11,0))*parametros_manuales!$L$105+parametros_manuales!$F$22*(datos_base!$C$20+IF(parametros_manuales!$H$22="Todos",datos_base!$C$25,0))*parametros_manuales!$L$14+parametros_manuales!$G$22*(datos_base!$C$5+IF(parametros_manuales!$H$22="Todos",datos_base!$C$12,0))*parametros_manuales!$L$110+parametros_manuales!$G$22*(datos_base!$C$21+IF(parametros_manuales!$H$22="Todos",datos_base!$C$26,0))*parametros_manuales!$L$15)*parametros_manuales!$I$22*parametros_manuales!$J$22</f>
        <v>1943.4423689</v>
      </c>
      <c r="M32" s="9" t="n">
        <f aca="false">(parametros_manuales!$D$22*(datos_base!$C$2+IF(parametros_manuales!$H$22="Todos",datos_base!$C$9,0))*parametros_manuales!$M$95+parametros_manuales!$D$22*(datos_base!$C$18+IF(parametros_manuales!$H$22="Todos",datos_base!$C$23,0))*parametros_manuales!$M$12+parametros_manuales!$E$22*(datos_base!$C$3+IF(parametros_manuales!$H$22="Todos",datos_base!$C$10,0))*parametros_manuales!$M$100+parametros_manuales!$E$22*(datos_base!$C$19+IF(parametros_manuales!$H$22="Todos",datos_base!$C$24,0))*parametros_manuales!$M$13+parametros_manuales!$F$22*(datos_base!$C$4+IF(parametros_manuales!$H$22="Todos",datos_base!$C$11,0))*parametros_manuales!$M$105+parametros_manuales!$F$22*(datos_base!$C$20+IF(parametros_manuales!$H$22="Todos",datos_base!$C$25,0))*parametros_manuales!$M$14+parametros_manuales!$G$22*(datos_base!$C$5+IF(parametros_manuales!$H$22="Todos",datos_base!$C$12,0))*parametros_manuales!$M$110+parametros_manuales!$G$22*(datos_base!$C$21+IF(parametros_manuales!$H$22="Todos",datos_base!$C$26,0))*parametros_manuales!$M$15)*parametros_manuales!$I$22*parametros_manuales!$J$22</f>
        <v>1950.1943689</v>
      </c>
      <c r="N32" s="9" t="n">
        <f aca="false">SUM(B32:M32)</f>
        <v>21631.31521</v>
      </c>
      <c r="O32" s="9" t="n">
        <f aca="false">MAX(B32:M32)</f>
        <v>1950.1943689</v>
      </c>
      <c r="P32" s="44" t="n">
        <f aca="false">O32/(parametros_manuales!$B$7)</f>
        <v>13.0012957926667</v>
      </c>
      <c r="Q32" s="8" t="str">
        <f aca="false">IF(O32=0,"-",INDEX($B$28:$M$28,MATCH(O32,B32:M32,0)))</f>
        <v>Dic</v>
      </c>
    </row>
    <row r="33" customFormat="false" ht="14.25" hidden="false" customHeight="true" outlineLevel="0" collapsed="false">
      <c r="A33" s="8" t="str">
        <f aca="false">parametros_manuales!$B$23</f>
        <v>Preparación de cuello</v>
      </c>
      <c r="B33" s="9" t="n">
        <f aca="false">(parametros_manuales!$D$23*(datos_base!$C$2+IF(parametros_manuales!$H$23="Todos",datos_base!$C$9,0))*parametros_manuales!$B$95+parametros_manuales!$D$23*(datos_base!$C$18+IF(parametros_manuales!$H$23="Todos",datos_base!$C$23,0))*parametros_manuales!$B$12+parametros_manuales!$E$23*(datos_base!$C$3+IF(parametros_manuales!$H$23="Todos",datos_base!$C$10,0))*parametros_manuales!$B$100+parametros_manuales!$E$23*(datos_base!$C$19+IF(parametros_manuales!$H$23="Todos",datos_base!$C$24,0))*parametros_manuales!$B$13+parametros_manuales!$F$23*(datos_base!$C$4+IF(parametros_manuales!$H$23="Todos",datos_base!$C$11,0))*parametros_manuales!$B$105+parametros_manuales!$F$23*(datos_base!$C$20+IF(parametros_manuales!$H$23="Todos",datos_base!$C$25,0))*parametros_manuales!$B$14+parametros_manuales!$G$23*(datos_base!$C$5+IF(parametros_manuales!$H$23="Todos",datos_base!$C$12,0))*parametros_manuales!$B$110+parametros_manuales!$G$23*(datos_base!$C$21+IF(parametros_manuales!$H$23="Todos",datos_base!$C$26,0))*parametros_manuales!$B$15)*parametros_manuales!$I$23*parametros_manuales!$J$23</f>
        <v>974.25318445</v>
      </c>
      <c r="C33" s="9" t="n">
        <f aca="false">(parametros_manuales!$D$23*(datos_base!$C$2+IF(parametros_manuales!$H$23="Todos",datos_base!$C$9,0))*parametros_manuales!$C$95+parametros_manuales!$D$23*(datos_base!$C$18+IF(parametros_manuales!$H$23="Todos",datos_base!$C$23,0))*parametros_manuales!$C$12+parametros_manuales!$E$23*(datos_base!$C$3+IF(parametros_manuales!$H$23="Todos",datos_base!$C$10,0))*parametros_manuales!$C$100+parametros_manuales!$E$23*(datos_base!$C$19+IF(parametros_manuales!$H$23="Todos",datos_base!$C$24,0))*parametros_manuales!$C$13+parametros_manuales!$F$23*(datos_base!$C$4+IF(parametros_manuales!$H$23="Todos",datos_base!$C$11,0))*parametros_manuales!$C$105+parametros_manuales!$F$23*(datos_base!$C$20+IF(parametros_manuales!$H$23="Todos",datos_base!$C$25,0))*parametros_manuales!$C$14+parametros_manuales!$G$23*(datos_base!$C$5+IF(parametros_manuales!$H$23="Todos",datos_base!$C$12,0))*parametros_manuales!$C$110+parametros_manuales!$G$23*(datos_base!$C$21+IF(parametros_manuales!$H$23="Todos",datos_base!$C$26,0))*parametros_manuales!$C$15)*parametros_manuales!$I$23*parametros_manuales!$J$23</f>
        <v>925.22564817</v>
      </c>
      <c r="D33" s="9" t="n">
        <f aca="false">(parametros_manuales!$D$23*(datos_base!$C$2+IF(parametros_manuales!$H$23="Todos",datos_base!$C$9,0))*parametros_manuales!$D$95+parametros_manuales!$D$23*(datos_base!$C$18+IF(parametros_manuales!$H$23="Todos",datos_base!$C$23,0))*parametros_manuales!$D$12+parametros_manuales!$E$23*(datos_base!$C$3+IF(parametros_manuales!$H$23="Todos",datos_base!$C$10,0))*parametros_manuales!$D$100+parametros_manuales!$E$23*(datos_base!$C$19+IF(parametros_manuales!$H$23="Todos",datos_base!$C$24,0))*parametros_manuales!$D$13+parametros_manuales!$F$23*(datos_base!$C$4+IF(parametros_manuales!$H$23="Todos",datos_base!$C$11,0))*parametros_manuales!$D$105+parametros_manuales!$F$23*(datos_base!$C$20+IF(parametros_manuales!$H$23="Todos",datos_base!$C$25,0))*parametros_manuales!$D$14+parametros_manuales!$G$23*(datos_base!$C$5+IF(parametros_manuales!$H$23="Todos",datos_base!$C$12,0))*parametros_manuales!$D$110+parametros_manuales!$G$23*(datos_base!$C$21+IF(parametros_manuales!$H$23="Todos",datos_base!$C$26,0))*parametros_manuales!$D$15)*parametros_manuales!$I$23*parametros_manuales!$J$23</f>
        <v>889.34437654</v>
      </c>
      <c r="E33" s="9" t="n">
        <f aca="false">(parametros_manuales!$D$23*(datos_base!$C$2+IF(parametros_manuales!$H$23="Todos",datos_base!$C$9,0))*parametros_manuales!$E$95+parametros_manuales!$D$23*(datos_base!$C$18+IF(parametros_manuales!$H$23="Todos",datos_base!$C$23,0))*parametros_manuales!$E$12+parametros_manuales!$E$23*(datos_base!$C$3+IF(parametros_manuales!$H$23="Todos",datos_base!$C$10,0))*parametros_manuales!$E$100+parametros_manuales!$E$23*(datos_base!$C$19+IF(parametros_manuales!$H$23="Todos",datos_base!$C$24,0))*parametros_manuales!$E$13+parametros_manuales!$F$23*(datos_base!$C$4+IF(parametros_manuales!$H$23="Todos",datos_base!$C$11,0))*parametros_manuales!$E$105+parametros_manuales!$F$23*(datos_base!$C$20+IF(parametros_manuales!$H$23="Todos",datos_base!$C$25,0))*parametros_manuales!$E$14+parametros_manuales!$G$23*(datos_base!$C$5+IF(parametros_manuales!$H$23="Todos",datos_base!$C$12,0))*parametros_manuales!$E$110+parametros_manuales!$G$23*(datos_base!$C$21+IF(parametros_manuales!$H$23="Todos",datos_base!$C$26,0))*parametros_manuales!$E$15)*parametros_manuales!$I$23*parametros_manuales!$J$23</f>
        <v>859.357856655</v>
      </c>
      <c r="F33" s="9" t="n">
        <f aca="false">(parametros_manuales!$D$23*(datos_base!$C$2+IF(parametros_manuales!$H$23="Todos",datos_base!$C$9,0))*parametros_manuales!$F$95+parametros_manuales!$D$23*(datos_base!$C$18+IF(parametros_manuales!$H$23="Todos",datos_base!$C$23,0))*parametros_manuales!$F$12+parametros_manuales!$E$23*(datos_base!$C$3+IF(parametros_manuales!$H$23="Todos",datos_base!$C$10,0))*parametros_manuales!$F$100+parametros_manuales!$E$23*(datos_base!$C$19+IF(parametros_manuales!$H$23="Todos",datos_base!$C$24,0))*parametros_manuales!$F$13+parametros_manuales!$F$23*(datos_base!$C$4+IF(parametros_manuales!$H$23="Todos",datos_base!$C$11,0))*parametros_manuales!$F$105+parametros_manuales!$F$23*(datos_base!$C$20+IF(parametros_manuales!$H$23="Todos",datos_base!$C$25,0))*parametros_manuales!$F$14+parametros_manuales!$G$23*(datos_base!$C$5+IF(parametros_manuales!$H$23="Todos",datos_base!$C$12,0))*parametros_manuales!$F$110+parametros_manuales!$G$23*(datos_base!$C$21+IF(parametros_manuales!$H$23="Todos",datos_base!$C$26,0))*parametros_manuales!$F$15)*parametros_manuales!$I$23*parametros_manuales!$J$23</f>
        <v>805.27956863</v>
      </c>
      <c r="G33" s="9" t="n">
        <f aca="false">(parametros_manuales!$D$23*(datos_base!$C$2+IF(parametros_manuales!$H$23="Todos",datos_base!$C$9,0))*parametros_manuales!$G$95+parametros_manuales!$D$23*(datos_base!$C$18+IF(parametros_manuales!$H$23="Todos",datos_base!$C$23,0))*parametros_manuales!$G$12+parametros_manuales!$E$23*(datos_base!$C$3+IF(parametros_manuales!$H$23="Todos",datos_base!$C$10,0))*parametros_manuales!$G$100+parametros_manuales!$E$23*(datos_base!$C$19+IF(parametros_manuales!$H$23="Todos",datos_base!$C$24,0))*parametros_manuales!$G$13+parametros_manuales!$F$23*(datos_base!$C$4+IF(parametros_manuales!$H$23="Todos",datos_base!$C$11,0))*parametros_manuales!$G$105+parametros_manuales!$F$23*(datos_base!$C$20+IF(parametros_manuales!$H$23="Todos",datos_base!$C$25,0))*parametros_manuales!$G$14+parametros_manuales!$G$23*(datos_base!$C$5+IF(parametros_manuales!$H$23="Todos",datos_base!$C$12,0))*parametros_manuales!$G$110+parametros_manuales!$G$23*(datos_base!$C$21+IF(parametros_manuales!$H$23="Todos",datos_base!$C$26,0))*parametros_manuales!$G$15)*parametros_manuales!$I$23*parametros_manuales!$J$23</f>
        <v>781.18780049</v>
      </c>
      <c r="H33" s="9" t="n">
        <f aca="false">(parametros_manuales!$D$23*(datos_base!$C$2+IF(parametros_manuales!$H$23="Todos",datos_base!$C$9,0))*parametros_manuales!$H$95+parametros_manuales!$D$23*(datos_base!$C$18+IF(parametros_manuales!$H$23="Todos",datos_base!$C$23,0))*parametros_manuales!$H$12+parametros_manuales!$E$23*(datos_base!$C$3+IF(parametros_manuales!$H$23="Todos",datos_base!$C$10,0))*parametros_manuales!$H$100+parametros_manuales!$E$23*(datos_base!$C$19+IF(parametros_manuales!$H$23="Todos",datos_base!$C$24,0))*parametros_manuales!$H$13+parametros_manuales!$F$23*(datos_base!$C$4+IF(parametros_manuales!$H$23="Todos",datos_base!$C$11,0))*parametros_manuales!$H$105+parametros_manuales!$F$23*(datos_base!$C$20+IF(parametros_manuales!$H$23="Todos",datos_base!$C$25,0))*parametros_manuales!$H$14+parametros_manuales!$G$23*(datos_base!$C$5+IF(parametros_manuales!$H$23="Todos",datos_base!$C$12,0))*parametros_manuales!$H$110+parametros_manuales!$G$23*(datos_base!$C$21+IF(parametros_manuales!$H$23="Todos",datos_base!$C$26,0))*parametros_manuales!$H$15)*parametros_manuales!$I$23*parametros_manuales!$J$23</f>
        <v>835.266088515</v>
      </c>
      <c r="I33" s="9" t="n">
        <f aca="false">(parametros_manuales!$D$23*(datos_base!$C$2+IF(parametros_manuales!$H$23="Todos",datos_base!$C$9,0))*parametros_manuales!$I$95+parametros_manuales!$D$23*(datos_base!$C$18+IF(parametros_manuales!$H$23="Todos",datos_base!$C$23,0))*parametros_manuales!$I$12+parametros_manuales!$E$23*(datos_base!$C$3+IF(parametros_manuales!$H$23="Todos",datos_base!$C$10,0))*parametros_manuales!$I$100+parametros_manuales!$E$23*(datos_base!$C$19+IF(parametros_manuales!$H$23="Todos",datos_base!$C$24,0))*parametros_manuales!$I$13+parametros_manuales!$F$23*(datos_base!$C$4+IF(parametros_manuales!$H$23="Todos",datos_base!$C$11,0))*parametros_manuales!$I$105+parametros_manuales!$F$23*(datos_base!$C$20+IF(parametros_manuales!$H$23="Todos",datos_base!$C$25,0))*parametros_manuales!$I$14+parametros_manuales!$G$23*(datos_base!$C$5+IF(parametros_manuales!$H$23="Todos",datos_base!$C$12,0))*parametros_manuales!$I$110+parametros_manuales!$G$23*(datos_base!$C$21+IF(parametros_manuales!$H$23="Todos",datos_base!$C$26,0))*parametros_manuales!$I$15)*parametros_manuales!$I$23*parametros_manuales!$J$23</f>
        <v>925.22564817</v>
      </c>
      <c r="J33" s="9" t="n">
        <f aca="false">(parametros_manuales!$D$23*(datos_base!$C$2+IF(parametros_manuales!$H$23="Todos",datos_base!$C$9,0))*parametros_manuales!$J$95+parametros_manuales!$D$23*(datos_base!$C$18+IF(parametros_manuales!$H$23="Todos",datos_base!$C$23,0))*parametros_manuales!$J$12+parametros_manuales!$E$23*(datos_base!$C$3+IF(parametros_manuales!$H$23="Todos",datos_base!$C$10,0))*parametros_manuales!$J$100+parametros_manuales!$E$23*(datos_base!$C$19+IF(parametros_manuales!$H$23="Todos",datos_base!$C$24,0))*parametros_manuales!$J$13+parametros_manuales!$F$23*(datos_base!$C$4+IF(parametros_manuales!$H$23="Todos",datos_base!$C$11,0))*parametros_manuales!$J$105+parametros_manuales!$F$23*(datos_base!$C$20+IF(parametros_manuales!$H$23="Todos",datos_base!$C$25,0))*parametros_manuales!$J$14+parametros_manuales!$G$23*(datos_base!$C$5+IF(parametros_manuales!$H$23="Todos",datos_base!$C$12,0))*parametros_manuales!$J$110+parametros_manuales!$G$23*(datos_base!$C$21+IF(parametros_manuales!$H$23="Todos",datos_base!$C$26,0))*parametros_manuales!$J$15)*parametros_manuales!$I$23*parametros_manuales!$J$23</f>
        <v>925.22564817</v>
      </c>
      <c r="K33" s="9" t="n">
        <f aca="false">(parametros_manuales!$D$23*(datos_base!$C$2+IF(parametros_manuales!$H$23="Todos",datos_base!$C$9,0))*parametros_manuales!$K$95+parametros_manuales!$D$23*(datos_base!$C$18+IF(parametros_manuales!$H$23="Todos",datos_base!$C$23,0))*parametros_manuales!$K$12+parametros_manuales!$E$23*(datos_base!$C$3+IF(parametros_manuales!$H$23="Todos",datos_base!$C$10,0))*parametros_manuales!$K$100+parametros_manuales!$E$23*(datos_base!$C$19+IF(parametros_manuales!$H$23="Todos",datos_base!$C$24,0))*parametros_manuales!$K$13+parametros_manuales!$F$23*(datos_base!$C$4+IF(parametros_manuales!$H$23="Todos",datos_base!$C$11,0))*parametros_manuales!$K$105+parametros_manuales!$F$23*(datos_base!$C$20+IF(parametros_manuales!$H$23="Todos",datos_base!$C$25,0))*parametros_manuales!$K$14+parametros_manuales!$G$23*(datos_base!$C$5+IF(parametros_manuales!$H$23="Todos",datos_base!$C$12,0))*parametros_manuales!$K$110+parametros_manuales!$G$23*(datos_base!$C$21+IF(parametros_manuales!$H$23="Todos",datos_base!$C$26,0))*parametros_manuales!$K$15)*parametros_manuales!$I$23*parametros_manuales!$J$23</f>
        <v>948.47341631</v>
      </c>
      <c r="L33" s="9" t="n">
        <f aca="false">(parametros_manuales!$D$23*(datos_base!$C$2+IF(parametros_manuales!$H$23="Todos",datos_base!$C$9,0))*parametros_manuales!$L$95+parametros_manuales!$D$23*(datos_base!$C$18+IF(parametros_manuales!$H$23="Todos",datos_base!$C$23,0))*parametros_manuales!$L$12+parametros_manuales!$E$23*(datos_base!$C$3+IF(parametros_manuales!$H$23="Todos",datos_base!$C$10,0))*parametros_manuales!$L$100+parametros_manuales!$E$23*(datos_base!$C$19+IF(parametros_manuales!$H$23="Todos",datos_base!$C$24,0))*parametros_manuales!$L$13+parametros_manuales!$F$23*(datos_base!$C$4+IF(parametros_manuales!$H$23="Todos",datos_base!$C$11,0))*parametros_manuales!$L$105+parametros_manuales!$F$23*(datos_base!$C$20+IF(parametros_manuales!$H$23="Todos",datos_base!$C$25,0))*parametros_manuales!$L$14+parametros_manuales!$G$23*(datos_base!$C$5+IF(parametros_manuales!$H$23="Todos",datos_base!$C$12,0))*parametros_manuales!$L$110+parametros_manuales!$G$23*(datos_base!$C$21+IF(parametros_manuales!$H$23="Todos",datos_base!$C$26,0))*parametros_manuales!$L$15)*parametros_manuales!$I$23*parametros_manuales!$J$23</f>
        <v>971.72118445</v>
      </c>
      <c r="M33" s="9" t="n">
        <f aca="false">(parametros_manuales!$D$23*(datos_base!$C$2+IF(parametros_manuales!$H$23="Todos",datos_base!$C$9,0))*parametros_manuales!$M$95+parametros_manuales!$D$23*(datos_base!$C$18+IF(parametros_manuales!$H$23="Todos",datos_base!$C$23,0))*parametros_manuales!$M$12+parametros_manuales!$E$23*(datos_base!$C$3+IF(parametros_manuales!$H$23="Todos",datos_base!$C$10,0))*parametros_manuales!$M$100+parametros_manuales!$E$23*(datos_base!$C$19+IF(parametros_manuales!$H$23="Todos",datos_base!$C$24,0))*parametros_manuales!$M$13+parametros_manuales!$F$23*(datos_base!$C$4+IF(parametros_manuales!$H$23="Todos",datos_base!$C$11,0))*parametros_manuales!$M$105+parametros_manuales!$F$23*(datos_base!$C$20+IF(parametros_manuales!$H$23="Todos",datos_base!$C$25,0))*parametros_manuales!$M$14+parametros_manuales!$G$23*(datos_base!$C$5+IF(parametros_manuales!$H$23="Todos",datos_base!$C$12,0))*parametros_manuales!$M$110+parametros_manuales!$G$23*(datos_base!$C$21+IF(parametros_manuales!$H$23="Todos",datos_base!$C$26,0))*parametros_manuales!$M$15)*parametros_manuales!$I$23*parametros_manuales!$J$23</f>
        <v>975.09718445</v>
      </c>
      <c r="N33" s="9" t="n">
        <f aca="false">SUM(B33:M33)</f>
        <v>10815.657605</v>
      </c>
      <c r="O33" s="9" t="n">
        <f aca="false">MAX(B33:M33)</f>
        <v>975.09718445</v>
      </c>
      <c r="P33" s="44" t="n">
        <f aca="false">O33/(parametros_manuales!$B$7)</f>
        <v>6.50064789633333</v>
      </c>
      <c r="Q33" s="8" t="str">
        <f aca="false">IF(O33=0,"-",INDEX($B$28:$M$28,MATCH(O33,B33:M33,0)))</f>
        <v>Dic</v>
      </c>
    </row>
    <row r="34" customFormat="false" ht="14.25" hidden="false" customHeight="true" outlineLevel="0" collapsed="false">
      <c r="A34" s="8" t="str">
        <f aca="false">parametros_manuales!$B$24</f>
        <v>Numerado de cúpula</v>
      </c>
      <c r="B34" s="9" t="n">
        <f aca="false">(parametros_manuales!$D$24*(datos_base!$C$2+IF(parametros_manuales!$H$24="Todos",datos_base!$C$9,0))*parametros_manuales!$B$95+parametros_manuales!$D$24*(datos_base!$C$18+IF(parametros_manuales!$H$24="Todos",datos_base!$C$23,0))*parametros_manuales!$B$12+parametros_manuales!$E$24*(datos_base!$C$3+IF(parametros_manuales!$H$24="Todos",datos_base!$C$10,0))*parametros_manuales!$B$100+parametros_manuales!$E$24*(datos_base!$C$19+IF(parametros_manuales!$H$24="Todos",datos_base!$C$24,0))*parametros_manuales!$B$13+parametros_manuales!$F$24*(datos_base!$C$4+IF(parametros_manuales!$H$24="Todos",datos_base!$C$11,0))*parametros_manuales!$B$105+parametros_manuales!$F$24*(datos_base!$C$20+IF(parametros_manuales!$H$24="Todos",datos_base!$C$25,0))*parametros_manuales!$B$14+parametros_manuales!$G$24*(datos_base!$C$5+IF(parametros_manuales!$H$24="Todos",datos_base!$C$12,0))*parametros_manuales!$B$110+parametros_manuales!$G$24*(datos_base!$C$21+IF(parametros_manuales!$H$24="Todos",datos_base!$C$26,0))*parametros_manuales!$B$15)*parametros_manuales!$I$24*parametros_manuales!$J$24</f>
        <v>974.25318445</v>
      </c>
      <c r="C34" s="9" t="n">
        <f aca="false">(parametros_manuales!$D$24*(datos_base!$C$2+IF(parametros_manuales!$H$24="Todos",datos_base!$C$9,0))*parametros_manuales!$C$95+parametros_manuales!$D$24*(datos_base!$C$18+IF(parametros_manuales!$H$24="Todos",datos_base!$C$23,0))*parametros_manuales!$C$12+parametros_manuales!$E$24*(datos_base!$C$3+IF(parametros_manuales!$H$24="Todos",datos_base!$C$10,0))*parametros_manuales!$C$100+parametros_manuales!$E$24*(datos_base!$C$19+IF(parametros_manuales!$H$24="Todos",datos_base!$C$24,0))*parametros_manuales!$C$13+parametros_manuales!$F$24*(datos_base!$C$4+IF(parametros_manuales!$H$24="Todos",datos_base!$C$11,0))*parametros_manuales!$C$105+parametros_manuales!$F$24*(datos_base!$C$20+IF(parametros_manuales!$H$24="Todos",datos_base!$C$25,0))*parametros_manuales!$C$14+parametros_manuales!$G$24*(datos_base!$C$5+IF(parametros_manuales!$H$24="Todos",datos_base!$C$12,0))*parametros_manuales!$C$110+parametros_manuales!$G$24*(datos_base!$C$21+IF(parametros_manuales!$H$24="Todos",datos_base!$C$26,0))*parametros_manuales!$C$15)*parametros_manuales!$I$24*parametros_manuales!$J$24</f>
        <v>925.22564817</v>
      </c>
      <c r="D34" s="9" t="n">
        <f aca="false">(parametros_manuales!$D$24*(datos_base!$C$2+IF(parametros_manuales!$H$24="Todos",datos_base!$C$9,0))*parametros_manuales!$D$95+parametros_manuales!$D$24*(datos_base!$C$18+IF(parametros_manuales!$H$24="Todos",datos_base!$C$23,0))*parametros_manuales!$D$12+parametros_manuales!$E$24*(datos_base!$C$3+IF(parametros_manuales!$H$24="Todos",datos_base!$C$10,0))*parametros_manuales!$D$100+parametros_manuales!$E$24*(datos_base!$C$19+IF(parametros_manuales!$H$24="Todos",datos_base!$C$24,0))*parametros_manuales!$D$13+parametros_manuales!$F$24*(datos_base!$C$4+IF(parametros_manuales!$H$24="Todos",datos_base!$C$11,0))*parametros_manuales!$D$105+parametros_manuales!$F$24*(datos_base!$C$20+IF(parametros_manuales!$H$24="Todos",datos_base!$C$25,0))*parametros_manuales!$D$14+parametros_manuales!$G$24*(datos_base!$C$5+IF(parametros_manuales!$H$24="Todos",datos_base!$C$12,0))*parametros_manuales!$D$110+parametros_manuales!$G$24*(datos_base!$C$21+IF(parametros_manuales!$H$24="Todos",datos_base!$C$26,0))*parametros_manuales!$D$15)*parametros_manuales!$I$24*parametros_manuales!$J$24</f>
        <v>889.34437654</v>
      </c>
      <c r="E34" s="9" t="n">
        <f aca="false">(parametros_manuales!$D$24*(datos_base!$C$2+IF(parametros_manuales!$H$24="Todos",datos_base!$C$9,0))*parametros_manuales!$E$95+parametros_manuales!$D$24*(datos_base!$C$18+IF(parametros_manuales!$H$24="Todos",datos_base!$C$23,0))*parametros_manuales!$E$12+parametros_manuales!$E$24*(datos_base!$C$3+IF(parametros_manuales!$H$24="Todos",datos_base!$C$10,0))*parametros_manuales!$E$100+parametros_manuales!$E$24*(datos_base!$C$19+IF(parametros_manuales!$H$24="Todos",datos_base!$C$24,0))*parametros_manuales!$E$13+parametros_manuales!$F$24*(datos_base!$C$4+IF(parametros_manuales!$H$24="Todos",datos_base!$C$11,0))*parametros_manuales!$E$105+parametros_manuales!$F$24*(datos_base!$C$20+IF(parametros_manuales!$H$24="Todos",datos_base!$C$25,0))*parametros_manuales!$E$14+parametros_manuales!$G$24*(datos_base!$C$5+IF(parametros_manuales!$H$24="Todos",datos_base!$C$12,0))*parametros_manuales!$E$110+parametros_manuales!$G$24*(datos_base!$C$21+IF(parametros_manuales!$H$24="Todos",datos_base!$C$26,0))*parametros_manuales!$E$15)*parametros_manuales!$I$24*parametros_manuales!$J$24</f>
        <v>859.357856655</v>
      </c>
      <c r="F34" s="9" t="n">
        <f aca="false">(parametros_manuales!$D$24*(datos_base!$C$2+IF(parametros_manuales!$H$24="Todos",datos_base!$C$9,0))*parametros_manuales!$F$95+parametros_manuales!$D$24*(datos_base!$C$18+IF(parametros_manuales!$H$24="Todos",datos_base!$C$23,0))*parametros_manuales!$F$12+parametros_manuales!$E$24*(datos_base!$C$3+IF(parametros_manuales!$H$24="Todos",datos_base!$C$10,0))*parametros_manuales!$F$100+parametros_manuales!$E$24*(datos_base!$C$19+IF(parametros_manuales!$H$24="Todos",datos_base!$C$24,0))*parametros_manuales!$F$13+parametros_manuales!$F$24*(datos_base!$C$4+IF(parametros_manuales!$H$24="Todos",datos_base!$C$11,0))*parametros_manuales!$F$105+parametros_manuales!$F$24*(datos_base!$C$20+IF(parametros_manuales!$H$24="Todos",datos_base!$C$25,0))*parametros_manuales!$F$14+parametros_manuales!$G$24*(datos_base!$C$5+IF(parametros_manuales!$H$24="Todos",datos_base!$C$12,0))*parametros_manuales!$F$110+parametros_manuales!$G$24*(datos_base!$C$21+IF(parametros_manuales!$H$24="Todos",datos_base!$C$26,0))*parametros_manuales!$F$15)*parametros_manuales!$I$24*parametros_manuales!$J$24</f>
        <v>805.27956863</v>
      </c>
      <c r="G34" s="9" t="n">
        <f aca="false">(parametros_manuales!$D$24*(datos_base!$C$2+IF(parametros_manuales!$H$24="Todos",datos_base!$C$9,0))*parametros_manuales!$G$95+parametros_manuales!$D$24*(datos_base!$C$18+IF(parametros_manuales!$H$24="Todos",datos_base!$C$23,0))*parametros_manuales!$G$12+parametros_manuales!$E$24*(datos_base!$C$3+IF(parametros_manuales!$H$24="Todos",datos_base!$C$10,0))*parametros_manuales!$G$100+parametros_manuales!$E$24*(datos_base!$C$19+IF(parametros_manuales!$H$24="Todos",datos_base!$C$24,0))*parametros_manuales!$G$13+parametros_manuales!$F$24*(datos_base!$C$4+IF(parametros_manuales!$H$24="Todos",datos_base!$C$11,0))*parametros_manuales!$G$105+parametros_manuales!$F$24*(datos_base!$C$20+IF(parametros_manuales!$H$24="Todos",datos_base!$C$25,0))*parametros_manuales!$G$14+parametros_manuales!$G$24*(datos_base!$C$5+IF(parametros_manuales!$H$24="Todos",datos_base!$C$12,0))*parametros_manuales!$G$110+parametros_manuales!$G$24*(datos_base!$C$21+IF(parametros_manuales!$H$24="Todos",datos_base!$C$26,0))*parametros_manuales!$G$15)*parametros_manuales!$I$24*parametros_manuales!$J$24</f>
        <v>781.18780049</v>
      </c>
      <c r="H34" s="9" t="n">
        <f aca="false">(parametros_manuales!$D$24*(datos_base!$C$2+IF(parametros_manuales!$H$24="Todos",datos_base!$C$9,0))*parametros_manuales!$H$95+parametros_manuales!$D$24*(datos_base!$C$18+IF(parametros_manuales!$H$24="Todos",datos_base!$C$23,0))*parametros_manuales!$H$12+parametros_manuales!$E$24*(datos_base!$C$3+IF(parametros_manuales!$H$24="Todos",datos_base!$C$10,0))*parametros_manuales!$H$100+parametros_manuales!$E$24*(datos_base!$C$19+IF(parametros_manuales!$H$24="Todos",datos_base!$C$24,0))*parametros_manuales!$H$13+parametros_manuales!$F$24*(datos_base!$C$4+IF(parametros_manuales!$H$24="Todos",datos_base!$C$11,0))*parametros_manuales!$H$105+parametros_manuales!$F$24*(datos_base!$C$20+IF(parametros_manuales!$H$24="Todos",datos_base!$C$25,0))*parametros_manuales!$H$14+parametros_manuales!$G$24*(datos_base!$C$5+IF(parametros_manuales!$H$24="Todos",datos_base!$C$12,0))*parametros_manuales!$H$110+parametros_manuales!$G$24*(datos_base!$C$21+IF(parametros_manuales!$H$24="Todos",datos_base!$C$26,0))*parametros_manuales!$H$15)*parametros_manuales!$I$24*parametros_manuales!$J$24</f>
        <v>835.266088515</v>
      </c>
      <c r="I34" s="9" t="n">
        <f aca="false">(parametros_manuales!$D$24*(datos_base!$C$2+IF(parametros_manuales!$H$24="Todos",datos_base!$C$9,0))*parametros_manuales!$I$95+parametros_manuales!$D$24*(datos_base!$C$18+IF(parametros_manuales!$H$24="Todos",datos_base!$C$23,0))*parametros_manuales!$I$12+parametros_manuales!$E$24*(datos_base!$C$3+IF(parametros_manuales!$H$24="Todos",datos_base!$C$10,0))*parametros_manuales!$I$100+parametros_manuales!$E$24*(datos_base!$C$19+IF(parametros_manuales!$H$24="Todos",datos_base!$C$24,0))*parametros_manuales!$I$13+parametros_manuales!$F$24*(datos_base!$C$4+IF(parametros_manuales!$H$24="Todos",datos_base!$C$11,0))*parametros_manuales!$I$105+parametros_manuales!$F$24*(datos_base!$C$20+IF(parametros_manuales!$H$24="Todos",datos_base!$C$25,0))*parametros_manuales!$I$14+parametros_manuales!$G$24*(datos_base!$C$5+IF(parametros_manuales!$H$24="Todos",datos_base!$C$12,0))*parametros_manuales!$I$110+parametros_manuales!$G$24*(datos_base!$C$21+IF(parametros_manuales!$H$24="Todos",datos_base!$C$26,0))*parametros_manuales!$I$15)*parametros_manuales!$I$24*parametros_manuales!$J$24</f>
        <v>925.22564817</v>
      </c>
      <c r="J34" s="9" t="n">
        <f aca="false">(parametros_manuales!$D$24*(datos_base!$C$2+IF(parametros_manuales!$H$24="Todos",datos_base!$C$9,0))*parametros_manuales!$J$95+parametros_manuales!$D$24*(datos_base!$C$18+IF(parametros_manuales!$H$24="Todos",datos_base!$C$23,0))*parametros_manuales!$J$12+parametros_manuales!$E$24*(datos_base!$C$3+IF(parametros_manuales!$H$24="Todos",datos_base!$C$10,0))*parametros_manuales!$J$100+parametros_manuales!$E$24*(datos_base!$C$19+IF(parametros_manuales!$H$24="Todos",datos_base!$C$24,0))*parametros_manuales!$J$13+parametros_manuales!$F$24*(datos_base!$C$4+IF(parametros_manuales!$H$24="Todos",datos_base!$C$11,0))*parametros_manuales!$J$105+parametros_manuales!$F$24*(datos_base!$C$20+IF(parametros_manuales!$H$24="Todos",datos_base!$C$25,0))*parametros_manuales!$J$14+parametros_manuales!$G$24*(datos_base!$C$5+IF(parametros_manuales!$H$24="Todos",datos_base!$C$12,0))*parametros_manuales!$J$110+parametros_manuales!$G$24*(datos_base!$C$21+IF(parametros_manuales!$H$24="Todos",datos_base!$C$26,0))*parametros_manuales!$J$15)*parametros_manuales!$I$24*parametros_manuales!$J$24</f>
        <v>925.22564817</v>
      </c>
      <c r="K34" s="9" t="n">
        <f aca="false">(parametros_manuales!$D$24*(datos_base!$C$2+IF(parametros_manuales!$H$24="Todos",datos_base!$C$9,0))*parametros_manuales!$K$95+parametros_manuales!$D$24*(datos_base!$C$18+IF(parametros_manuales!$H$24="Todos",datos_base!$C$23,0))*parametros_manuales!$K$12+parametros_manuales!$E$24*(datos_base!$C$3+IF(parametros_manuales!$H$24="Todos",datos_base!$C$10,0))*parametros_manuales!$K$100+parametros_manuales!$E$24*(datos_base!$C$19+IF(parametros_manuales!$H$24="Todos",datos_base!$C$24,0))*parametros_manuales!$K$13+parametros_manuales!$F$24*(datos_base!$C$4+IF(parametros_manuales!$H$24="Todos",datos_base!$C$11,0))*parametros_manuales!$K$105+parametros_manuales!$F$24*(datos_base!$C$20+IF(parametros_manuales!$H$24="Todos",datos_base!$C$25,0))*parametros_manuales!$K$14+parametros_manuales!$G$24*(datos_base!$C$5+IF(parametros_manuales!$H$24="Todos",datos_base!$C$12,0))*parametros_manuales!$K$110+parametros_manuales!$G$24*(datos_base!$C$21+IF(parametros_manuales!$H$24="Todos",datos_base!$C$26,0))*parametros_manuales!$K$15)*parametros_manuales!$I$24*parametros_manuales!$J$24</f>
        <v>948.47341631</v>
      </c>
      <c r="L34" s="9" t="n">
        <f aca="false">(parametros_manuales!$D$24*(datos_base!$C$2+IF(parametros_manuales!$H$24="Todos",datos_base!$C$9,0))*parametros_manuales!$L$95+parametros_manuales!$D$24*(datos_base!$C$18+IF(parametros_manuales!$H$24="Todos",datos_base!$C$23,0))*parametros_manuales!$L$12+parametros_manuales!$E$24*(datos_base!$C$3+IF(parametros_manuales!$H$24="Todos",datos_base!$C$10,0))*parametros_manuales!$L$100+parametros_manuales!$E$24*(datos_base!$C$19+IF(parametros_manuales!$H$24="Todos",datos_base!$C$24,0))*parametros_manuales!$L$13+parametros_manuales!$F$24*(datos_base!$C$4+IF(parametros_manuales!$H$24="Todos",datos_base!$C$11,0))*parametros_manuales!$L$105+parametros_manuales!$F$24*(datos_base!$C$20+IF(parametros_manuales!$H$24="Todos",datos_base!$C$25,0))*parametros_manuales!$L$14+parametros_manuales!$G$24*(datos_base!$C$5+IF(parametros_manuales!$H$24="Todos",datos_base!$C$12,0))*parametros_manuales!$L$110+parametros_manuales!$G$24*(datos_base!$C$21+IF(parametros_manuales!$H$24="Todos",datos_base!$C$26,0))*parametros_manuales!$L$15)*parametros_manuales!$I$24*parametros_manuales!$J$24</f>
        <v>971.72118445</v>
      </c>
      <c r="M34" s="9" t="n">
        <f aca="false">(parametros_manuales!$D$24*(datos_base!$C$2+IF(parametros_manuales!$H$24="Todos",datos_base!$C$9,0))*parametros_manuales!$M$95+parametros_manuales!$D$24*(datos_base!$C$18+IF(parametros_manuales!$H$24="Todos",datos_base!$C$23,0))*parametros_manuales!$M$12+parametros_manuales!$E$24*(datos_base!$C$3+IF(parametros_manuales!$H$24="Todos",datos_base!$C$10,0))*parametros_manuales!$M$100+parametros_manuales!$E$24*(datos_base!$C$19+IF(parametros_manuales!$H$24="Todos",datos_base!$C$24,0))*parametros_manuales!$M$13+parametros_manuales!$F$24*(datos_base!$C$4+IF(parametros_manuales!$H$24="Todos",datos_base!$C$11,0))*parametros_manuales!$M$105+parametros_manuales!$F$24*(datos_base!$C$20+IF(parametros_manuales!$H$24="Todos",datos_base!$C$25,0))*parametros_manuales!$M$14+parametros_manuales!$G$24*(datos_base!$C$5+IF(parametros_manuales!$H$24="Todos",datos_base!$C$12,0))*parametros_manuales!$M$110+parametros_manuales!$G$24*(datos_base!$C$21+IF(parametros_manuales!$H$24="Todos",datos_base!$C$26,0))*parametros_manuales!$M$15)*parametros_manuales!$I$24*parametros_manuales!$J$24</f>
        <v>975.09718445</v>
      </c>
      <c r="N34" s="9" t="n">
        <f aca="false">SUM(B34:M34)</f>
        <v>10815.657605</v>
      </c>
      <c r="O34" s="9" t="n">
        <f aca="false">MAX(B34:M34)</f>
        <v>975.09718445</v>
      </c>
      <c r="P34" s="44" t="n">
        <f aca="false">O34/(parametros_manuales!$B$7)</f>
        <v>6.50064789633333</v>
      </c>
      <c r="Q34" s="8" t="str">
        <f aca="false">IF(O34=0,"-",INDEX($B$28:$M$28,MATCH(O34,B34:M34,0)))</f>
        <v>Dic</v>
      </c>
    </row>
    <row r="35" customFormat="false" ht="14.25" hidden="false" customHeight="true" outlineLevel="0" collapsed="false">
      <c r="A35" s="8" t="str">
        <f aca="false">parametros_manuales!$B$25</f>
        <v>Soldadura del cuello a la cúpula</v>
      </c>
      <c r="B35" s="9" t="n">
        <f aca="false">(parametros_manuales!$D$25*(datos_base!$C$2+IF(parametros_manuales!$H$25="Todos",datos_base!$C$9,0))*parametros_manuales!$B$95+parametros_manuales!$D$25*(datos_base!$C$18+IF(parametros_manuales!$H$25="Todos",datos_base!$C$23,0))*parametros_manuales!$B$12+parametros_manuales!$E$25*(datos_base!$C$3+IF(parametros_manuales!$H$25="Todos",datos_base!$C$10,0))*parametros_manuales!$B$100+parametros_manuales!$E$25*(datos_base!$C$19+IF(parametros_manuales!$H$25="Todos",datos_base!$C$24,0))*parametros_manuales!$B$13+parametros_manuales!$F$25*(datos_base!$C$4+IF(parametros_manuales!$H$25="Todos",datos_base!$C$11,0))*parametros_manuales!$B$105+parametros_manuales!$F$25*(datos_base!$C$20+IF(parametros_manuales!$H$25="Todos",datos_base!$C$25,0))*parametros_manuales!$B$14+parametros_manuales!$G$25*(datos_base!$C$5+IF(parametros_manuales!$H$25="Todos",datos_base!$C$12,0))*parametros_manuales!$B$110+parametros_manuales!$G$25*(datos_base!$C$21+IF(parametros_manuales!$H$25="Todos",datos_base!$C$26,0))*parametros_manuales!$B$15)*parametros_manuales!$I$25*parametros_manuales!$J$25</f>
        <v>974.25318445</v>
      </c>
      <c r="C35" s="9" t="n">
        <f aca="false">(parametros_manuales!$D$25*(datos_base!$C$2+IF(parametros_manuales!$H$25="Todos",datos_base!$C$9,0))*parametros_manuales!$C$95+parametros_manuales!$D$25*(datos_base!$C$18+IF(parametros_manuales!$H$25="Todos",datos_base!$C$23,0))*parametros_manuales!$C$12+parametros_manuales!$E$25*(datos_base!$C$3+IF(parametros_manuales!$H$25="Todos",datos_base!$C$10,0))*parametros_manuales!$C$100+parametros_manuales!$E$25*(datos_base!$C$19+IF(parametros_manuales!$H$25="Todos",datos_base!$C$24,0))*parametros_manuales!$C$13+parametros_manuales!$F$25*(datos_base!$C$4+IF(parametros_manuales!$H$25="Todos",datos_base!$C$11,0))*parametros_manuales!$C$105+parametros_manuales!$F$25*(datos_base!$C$20+IF(parametros_manuales!$H$25="Todos",datos_base!$C$25,0))*parametros_manuales!$C$14+parametros_manuales!$G$25*(datos_base!$C$5+IF(parametros_manuales!$H$25="Todos",datos_base!$C$12,0))*parametros_manuales!$C$110+parametros_manuales!$G$25*(datos_base!$C$21+IF(parametros_manuales!$H$25="Todos",datos_base!$C$26,0))*parametros_manuales!$C$15)*parametros_manuales!$I$25*parametros_manuales!$J$25</f>
        <v>925.22564817</v>
      </c>
      <c r="D35" s="9" t="n">
        <f aca="false">(parametros_manuales!$D$25*(datos_base!$C$2+IF(parametros_manuales!$H$25="Todos",datos_base!$C$9,0))*parametros_manuales!$D$95+parametros_manuales!$D$25*(datos_base!$C$18+IF(parametros_manuales!$H$25="Todos",datos_base!$C$23,0))*parametros_manuales!$D$12+parametros_manuales!$E$25*(datos_base!$C$3+IF(parametros_manuales!$H$25="Todos",datos_base!$C$10,0))*parametros_manuales!$D$100+parametros_manuales!$E$25*(datos_base!$C$19+IF(parametros_manuales!$H$25="Todos",datos_base!$C$24,0))*parametros_manuales!$D$13+parametros_manuales!$F$25*(datos_base!$C$4+IF(parametros_manuales!$H$25="Todos",datos_base!$C$11,0))*parametros_manuales!$D$105+parametros_manuales!$F$25*(datos_base!$C$20+IF(parametros_manuales!$H$25="Todos",datos_base!$C$25,0))*parametros_manuales!$D$14+parametros_manuales!$G$25*(datos_base!$C$5+IF(parametros_manuales!$H$25="Todos",datos_base!$C$12,0))*parametros_manuales!$D$110+parametros_manuales!$G$25*(datos_base!$C$21+IF(parametros_manuales!$H$25="Todos",datos_base!$C$26,0))*parametros_manuales!$D$15)*parametros_manuales!$I$25*parametros_manuales!$J$25</f>
        <v>889.34437654</v>
      </c>
      <c r="E35" s="9" t="n">
        <f aca="false">(parametros_manuales!$D$25*(datos_base!$C$2+IF(parametros_manuales!$H$25="Todos",datos_base!$C$9,0))*parametros_manuales!$E$95+parametros_manuales!$D$25*(datos_base!$C$18+IF(parametros_manuales!$H$25="Todos",datos_base!$C$23,0))*parametros_manuales!$E$12+parametros_manuales!$E$25*(datos_base!$C$3+IF(parametros_manuales!$H$25="Todos",datos_base!$C$10,0))*parametros_manuales!$E$100+parametros_manuales!$E$25*(datos_base!$C$19+IF(parametros_manuales!$H$25="Todos",datos_base!$C$24,0))*parametros_manuales!$E$13+parametros_manuales!$F$25*(datos_base!$C$4+IF(parametros_manuales!$H$25="Todos",datos_base!$C$11,0))*parametros_manuales!$E$105+parametros_manuales!$F$25*(datos_base!$C$20+IF(parametros_manuales!$H$25="Todos",datos_base!$C$25,0))*parametros_manuales!$E$14+parametros_manuales!$G$25*(datos_base!$C$5+IF(parametros_manuales!$H$25="Todos",datos_base!$C$12,0))*parametros_manuales!$E$110+parametros_manuales!$G$25*(datos_base!$C$21+IF(parametros_manuales!$H$25="Todos",datos_base!$C$26,0))*parametros_manuales!$E$15)*parametros_manuales!$I$25*parametros_manuales!$J$25</f>
        <v>859.357856655</v>
      </c>
      <c r="F35" s="9" t="n">
        <f aca="false">(parametros_manuales!$D$25*(datos_base!$C$2+IF(parametros_manuales!$H$25="Todos",datos_base!$C$9,0))*parametros_manuales!$F$95+parametros_manuales!$D$25*(datos_base!$C$18+IF(parametros_manuales!$H$25="Todos",datos_base!$C$23,0))*parametros_manuales!$F$12+parametros_manuales!$E$25*(datos_base!$C$3+IF(parametros_manuales!$H$25="Todos",datos_base!$C$10,0))*parametros_manuales!$F$100+parametros_manuales!$E$25*(datos_base!$C$19+IF(parametros_manuales!$H$25="Todos",datos_base!$C$24,0))*parametros_manuales!$F$13+parametros_manuales!$F$25*(datos_base!$C$4+IF(parametros_manuales!$H$25="Todos",datos_base!$C$11,0))*parametros_manuales!$F$105+parametros_manuales!$F$25*(datos_base!$C$20+IF(parametros_manuales!$H$25="Todos",datos_base!$C$25,0))*parametros_manuales!$F$14+parametros_manuales!$G$25*(datos_base!$C$5+IF(parametros_manuales!$H$25="Todos",datos_base!$C$12,0))*parametros_manuales!$F$110+parametros_manuales!$G$25*(datos_base!$C$21+IF(parametros_manuales!$H$25="Todos",datos_base!$C$26,0))*parametros_manuales!$F$15)*parametros_manuales!$I$25*parametros_manuales!$J$25</f>
        <v>805.27956863</v>
      </c>
      <c r="G35" s="9" t="n">
        <f aca="false">(parametros_manuales!$D$25*(datos_base!$C$2+IF(parametros_manuales!$H$25="Todos",datos_base!$C$9,0))*parametros_manuales!$G$95+parametros_manuales!$D$25*(datos_base!$C$18+IF(parametros_manuales!$H$25="Todos",datos_base!$C$23,0))*parametros_manuales!$G$12+parametros_manuales!$E$25*(datos_base!$C$3+IF(parametros_manuales!$H$25="Todos",datos_base!$C$10,0))*parametros_manuales!$G$100+parametros_manuales!$E$25*(datos_base!$C$19+IF(parametros_manuales!$H$25="Todos",datos_base!$C$24,0))*parametros_manuales!$G$13+parametros_manuales!$F$25*(datos_base!$C$4+IF(parametros_manuales!$H$25="Todos",datos_base!$C$11,0))*parametros_manuales!$G$105+parametros_manuales!$F$25*(datos_base!$C$20+IF(parametros_manuales!$H$25="Todos",datos_base!$C$25,0))*parametros_manuales!$G$14+parametros_manuales!$G$25*(datos_base!$C$5+IF(parametros_manuales!$H$25="Todos",datos_base!$C$12,0))*parametros_manuales!$G$110+parametros_manuales!$G$25*(datos_base!$C$21+IF(parametros_manuales!$H$25="Todos",datos_base!$C$26,0))*parametros_manuales!$G$15)*parametros_manuales!$I$25*parametros_manuales!$J$25</f>
        <v>781.18780049</v>
      </c>
      <c r="H35" s="9" t="n">
        <f aca="false">(parametros_manuales!$D$25*(datos_base!$C$2+IF(parametros_manuales!$H$25="Todos",datos_base!$C$9,0))*parametros_manuales!$H$95+parametros_manuales!$D$25*(datos_base!$C$18+IF(parametros_manuales!$H$25="Todos",datos_base!$C$23,0))*parametros_manuales!$H$12+parametros_manuales!$E$25*(datos_base!$C$3+IF(parametros_manuales!$H$25="Todos",datos_base!$C$10,0))*parametros_manuales!$H$100+parametros_manuales!$E$25*(datos_base!$C$19+IF(parametros_manuales!$H$25="Todos",datos_base!$C$24,0))*parametros_manuales!$H$13+parametros_manuales!$F$25*(datos_base!$C$4+IF(parametros_manuales!$H$25="Todos",datos_base!$C$11,0))*parametros_manuales!$H$105+parametros_manuales!$F$25*(datos_base!$C$20+IF(parametros_manuales!$H$25="Todos",datos_base!$C$25,0))*parametros_manuales!$H$14+parametros_manuales!$G$25*(datos_base!$C$5+IF(parametros_manuales!$H$25="Todos",datos_base!$C$12,0))*parametros_manuales!$H$110+parametros_manuales!$G$25*(datos_base!$C$21+IF(parametros_manuales!$H$25="Todos",datos_base!$C$26,0))*parametros_manuales!$H$15)*parametros_manuales!$I$25*parametros_manuales!$J$25</f>
        <v>835.266088515</v>
      </c>
      <c r="I35" s="9" t="n">
        <f aca="false">(parametros_manuales!$D$25*(datos_base!$C$2+IF(parametros_manuales!$H$25="Todos",datos_base!$C$9,0))*parametros_manuales!$I$95+parametros_manuales!$D$25*(datos_base!$C$18+IF(parametros_manuales!$H$25="Todos",datos_base!$C$23,0))*parametros_manuales!$I$12+parametros_manuales!$E$25*(datos_base!$C$3+IF(parametros_manuales!$H$25="Todos",datos_base!$C$10,0))*parametros_manuales!$I$100+parametros_manuales!$E$25*(datos_base!$C$19+IF(parametros_manuales!$H$25="Todos",datos_base!$C$24,0))*parametros_manuales!$I$13+parametros_manuales!$F$25*(datos_base!$C$4+IF(parametros_manuales!$H$25="Todos",datos_base!$C$11,0))*parametros_manuales!$I$105+parametros_manuales!$F$25*(datos_base!$C$20+IF(parametros_manuales!$H$25="Todos",datos_base!$C$25,0))*parametros_manuales!$I$14+parametros_manuales!$G$25*(datos_base!$C$5+IF(parametros_manuales!$H$25="Todos",datos_base!$C$12,0))*parametros_manuales!$I$110+parametros_manuales!$G$25*(datos_base!$C$21+IF(parametros_manuales!$H$25="Todos",datos_base!$C$26,0))*parametros_manuales!$I$15)*parametros_manuales!$I$25*parametros_manuales!$J$25</f>
        <v>925.22564817</v>
      </c>
      <c r="J35" s="9" t="n">
        <f aca="false">(parametros_manuales!$D$25*(datos_base!$C$2+IF(parametros_manuales!$H$25="Todos",datos_base!$C$9,0))*parametros_manuales!$J$95+parametros_manuales!$D$25*(datos_base!$C$18+IF(parametros_manuales!$H$25="Todos",datos_base!$C$23,0))*parametros_manuales!$J$12+parametros_manuales!$E$25*(datos_base!$C$3+IF(parametros_manuales!$H$25="Todos",datos_base!$C$10,0))*parametros_manuales!$J$100+parametros_manuales!$E$25*(datos_base!$C$19+IF(parametros_manuales!$H$25="Todos",datos_base!$C$24,0))*parametros_manuales!$J$13+parametros_manuales!$F$25*(datos_base!$C$4+IF(parametros_manuales!$H$25="Todos",datos_base!$C$11,0))*parametros_manuales!$J$105+parametros_manuales!$F$25*(datos_base!$C$20+IF(parametros_manuales!$H$25="Todos",datos_base!$C$25,0))*parametros_manuales!$J$14+parametros_manuales!$G$25*(datos_base!$C$5+IF(parametros_manuales!$H$25="Todos",datos_base!$C$12,0))*parametros_manuales!$J$110+parametros_manuales!$G$25*(datos_base!$C$21+IF(parametros_manuales!$H$25="Todos",datos_base!$C$26,0))*parametros_manuales!$J$15)*parametros_manuales!$I$25*parametros_manuales!$J$25</f>
        <v>925.22564817</v>
      </c>
      <c r="K35" s="9" t="n">
        <f aca="false">(parametros_manuales!$D$25*(datos_base!$C$2+IF(parametros_manuales!$H$25="Todos",datos_base!$C$9,0))*parametros_manuales!$K$95+parametros_manuales!$D$25*(datos_base!$C$18+IF(parametros_manuales!$H$25="Todos",datos_base!$C$23,0))*parametros_manuales!$K$12+parametros_manuales!$E$25*(datos_base!$C$3+IF(parametros_manuales!$H$25="Todos",datos_base!$C$10,0))*parametros_manuales!$K$100+parametros_manuales!$E$25*(datos_base!$C$19+IF(parametros_manuales!$H$25="Todos",datos_base!$C$24,0))*parametros_manuales!$K$13+parametros_manuales!$F$25*(datos_base!$C$4+IF(parametros_manuales!$H$25="Todos",datos_base!$C$11,0))*parametros_manuales!$K$105+parametros_manuales!$F$25*(datos_base!$C$20+IF(parametros_manuales!$H$25="Todos",datos_base!$C$25,0))*parametros_manuales!$K$14+parametros_manuales!$G$25*(datos_base!$C$5+IF(parametros_manuales!$H$25="Todos",datos_base!$C$12,0))*parametros_manuales!$K$110+parametros_manuales!$G$25*(datos_base!$C$21+IF(parametros_manuales!$H$25="Todos",datos_base!$C$26,0))*parametros_manuales!$K$15)*parametros_manuales!$I$25*parametros_manuales!$J$25</f>
        <v>948.47341631</v>
      </c>
      <c r="L35" s="9" t="n">
        <f aca="false">(parametros_manuales!$D$25*(datos_base!$C$2+IF(parametros_manuales!$H$25="Todos",datos_base!$C$9,0))*parametros_manuales!$L$95+parametros_manuales!$D$25*(datos_base!$C$18+IF(parametros_manuales!$H$25="Todos",datos_base!$C$23,0))*parametros_manuales!$L$12+parametros_manuales!$E$25*(datos_base!$C$3+IF(parametros_manuales!$H$25="Todos",datos_base!$C$10,0))*parametros_manuales!$L$100+parametros_manuales!$E$25*(datos_base!$C$19+IF(parametros_manuales!$H$25="Todos",datos_base!$C$24,0))*parametros_manuales!$L$13+parametros_manuales!$F$25*(datos_base!$C$4+IF(parametros_manuales!$H$25="Todos",datos_base!$C$11,0))*parametros_manuales!$L$105+parametros_manuales!$F$25*(datos_base!$C$20+IF(parametros_manuales!$H$25="Todos",datos_base!$C$25,0))*parametros_manuales!$L$14+parametros_manuales!$G$25*(datos_base!$C$5+IF(parametros_manuales!$H$25="Todos",datos_base!$C$12,0))*parametros_manuales!$L$110+parametros_manuales!$G$25*(datos_base!$C$21+IF(parametros_manuales!$H$25="Todos",datos_base!$C$26,0))*parametros_manuales!$L$15)*parametros_manuales!$I$25*parametros_manuales!$J$25</f>
        <v>971.72118445</v>
      </c>
      <c r="M35" s="9" t="n">
        <f aca="false">(parametros_manuales!$D$25*(datos_base!$C$2+IF(parametros_manuales!$H$25="Todos",datos_base!$C$9,0))*parametros_manuales!$M$95+parametros_manuales!$D$25*(datos_base!$C$18+IF(parametros_manuales!$H$25="Todos",datos_base!$C$23,0))*parametros_manuales!$M$12+parametros_manuales!$E$25*(datos_base!$C$3+IF(parametros_manuales!$H$25="Todos",datos_base!$C$10,0))*parametros_manuales!$M$100+parametros_manuales!$E$25*(datos_base!$C$19+IF(parametros_manuales!$H$25="Todos",datos_base!$C$24,0))*parametros_manuales!$M$13+parametros_manuales!$F$25*(datos_base!$C$4+IF(parametros_manuales!$H$25="Todos",datos_base!$C$11,0))*parametros_manuales!$M$105+parametros_manuales!$F$25*(datos_base!$C$20+IF(parametros_manuales!$H$25="Todos",datos_base!$C$25,0))*parametros_manuales!$M$14+parametros_manuales!$G$25*(datos_base!$C$5+IF(parametros_manuales!$H$25="Todos",datos_base!$C$12,0))*parametros_manuales!$M$110+parametros_manuales!$G$25*(datos_base!$C$21+IF(parametros_manuales!$H$25="Todos",datos_base!$C$26,0))*parametros_manuales!$M$15)*parametros_manuales!$I$25*parametros_manuales!$J$25</f>
        <v>975.09718445</v>
      </c>
      <c r="N35" s="9" t="n">
        <f aca="false">SUM(B35:M35)</f>
        <v>10815.657605</v>
      </c>
      <c r="O35" s="9" t="n">
        <f aca="false">MAX(B35:M35)</f>
        <v>975.09718445</v>
      </c>
      <c r="P35" s="44" t="n">
        <f aca="false">O35/(parametros_manuales!$B$7)</f>
        <v>6.50064789633333</v>
      </c>
      <c r="Q35" s="8" t="str">
        <f aca="false">IF(O35=0,"-",INDEX($B$28:$M$28,MATCH(O35,B35:M35,0)))</f>
        <v>Dic</v>
      </c>
    </row>
    <row r="36" customFormat="false" ht="14.25" hidden="false" customHeight="true" outlineLevel="0" collapsed="false">
      <c r="A36" s="8" t="str">
        <f aca="false">parametros_manuales!$B$26</f>
        <v>Cilindrado</v>
      </c>
      <c r="B36" s="9" t="n">
        <f aca="false">(parametros_manuales!$D$26*(datos_base!$C$2+IF(parametros_manuales!$H$26="Todos",datos_base!$C$9,0))*parametros_manuales!$B$95+parametros_manuales!$D$26*(datos_base!$C$18+IF(parametros_manuales!$H$26="Todos",datos_base!$C$23,0))*parametros_manuales!$B$12+parametros_manuales!$E$26*(datos_base!$C$3+IF(parametros_manuales!$H$26="Todos",datos_base!$C$10,0))*parametros_manuales!$B$100+parametros_manuales!$E$26*(datos_base!$C$19+IF(parametros_manuales!$H$26="Todos",datos_base!$C$24,0))*parametros_manuales!$B$13+parametros_manuales!$F$26*(datos_base!$C$4+IF(parametros_manuales!$H$26="Todos",datos_base!$C$11,0))*parametros_manuales!$B$105+parametros_manuales!$F$26*(datos_base!$C$20+IF(parametros_manuales!$H$26="Todos",datos_base!$C$25,0))*parametros_manuales!$B$14+parametros_manuales!$G$26*(datos_base!$C$5+IF(parametros_manuales!$H$26="Todos",datos_base!$C$12,0))*parametros_manuales!$B$110+parametros_manuales!$G$26*(datos_base!$C$21+IF(parametros_manuales!$H$26="Todos",datos_base!$C$26,0))*parametros_manuales!$B$15)*parametros_manuales!$I$26*parametros_manuales!$J$26</f>
        <v>434.49582652</v>
      </c>
      <c r="C36" s="9" t="n">
        <f aca="false">(parametros_manuales!$D$26*(datos_base!$C$2+IF(parametros_manuales!$H$26="Todos",datos_base!$C$9,0))*parametros_manuales!$C$95+parametros_manuales!$D$26*(datos_base!$C$18+IF(parametros_manuales!$H$26="Todos",datos_base!$C$23,0))*parametros_manuales!$C$12+parametros_manuales!$E$26*(datos_base!$C$3+IF(parametros_manuales!$H$26="Todos",datos_base!$C$10,0))*parametros_manuales!$C$100+parametros_manuales!$E$26*(datos_base!$C$19+IF(parametros_manuales!$H$26="Todos",datos_base!$C$24,0))*parametros_manuales!$C$13+parametros_manuales!$F$26*(datos_base!$C$4+IF(parametros_manuales!$H$26="Todos",datos_base!$C$11,0))*parametros_manuales!$C$105+parametros_manuales!$F$26*(datos_base!$C$20+IF(parametros_manuales!$H$26="Todos",datos_base!$C$25,0))*parametros_manuales!$C$14+parametros_manuales!$G$26*(datos_base!$C$5+IF(parametros_manuales!$H$26="Todos",datos_base!$C$12,0))*parametros_manuales!$C$110+parametros_manuales!$G$26*(datos_base!$C$21+IF(parametros_manuales!$H$26="Todos",datos_base!$C$26,0))*parametros_manuales!$C$15)*parametros_manuales!$I$26*parametros_manuales!$J$26</f>
        <v>385.46829024</v>
      </c>
      <c r="D36" s="9" t="n">
        <f aca="false">(parametros_manuales!$D$26*(datos_base!$C$2+IF(parametros_manuales!$H$26="Todos",datos_base!$C$9,0))*parametros_manuales!$D$95+parametros_manuales!$D$26*(datos_base!$C$18+IF(parametros_manuales!$H$26="Todos",datos_base!$C$23,0))*parametros_manuales!$D$12+parametros_manuales!$E$26*(datos_base!$C$3+IF(parametros_manuales!$H$26="Todos",datos_base!$C$10,0))*parametros_manuales!$D$100+parametros_manuales!$E$26*(datos_base!$C$19+IF(parametros_manuales!$H$26="Todos",datos_base!$C$24,0))*parametros_manuales!$D$13+parametros_manuales!$F$26*(datos_base!$C$4+IF(parametros_manuales!$H$26="Todos",datos_base!$C$11,0))*parametros_manuales!$D$105+parametros_manuales!$F$26*(datos_base!$C$20+IF(parametros_manuales!$H$26="Todos",datos_base!$C$25,0))*parametros_manuales!$D$14+parametros_manuales!$G$26*(datos_base!$C$5+IF(parametros_manuales!$H$26="Todos",datos_base!$C$12,0))*parametros_manuales!$D$110+parametros_manuales!$G$26*(datos_base!$C$21+IF(parametros_manuales!$H$26="Todos",datos_base!$C$26,0))*parametros_manuales!$D$15)*parametros_manuales!$I$26*parametros_manuales!$J$26</f>
        <v>409.56005838</v>
      </c>
      <c r="E36" s="9" t="n">
        <f aca="false">(parametros_manuales!$D$26*(datos_base!$C$2+IF(parametros_manuales!$H$26="Todos",datos_base!$C$9,0))*parametros_manuales!$E$95+parametros_manuales!$D$26*(datos_base!$C$18+IF(parametros_manuales!$H$26="Todos",datos_base!$C$23,0))*parametros_manuales!$E$12+parametros_manuales!$E$26*(datos_base!$C$3+IF(parametros_manuales!$H$26="Todos",datos_base!$C$10,0))*parametros_manuales!$E$100+parametros_manuales!$E$26*(datos_base!$C$19+IF(parametros_manuales!$H$26="Todos",datos_base!$C$24,0))*parametros_manuales!$E$13+parametros_manuales!$F$26*(datos_base!$C$4+IF(parametros_manuales!$H$26="Todos",datos_base!$C$11,0))*parametros_manuales!$E$105+parametros_manuales!$F$26*(datos_base!$C$20+IF(parametros_manuales!$H$26="Todos",datos_base!$C$25,0))*parametros_manuales!$E$14+parametros_manuales!$G$26*(datos_base!$C$5+IF(parametros_manuales!$H$26="Todos",datos_base!$C$12,0))*parametros_manuales!$E$110+parametros_manuales!$G$26*(datos_base!$C$21+IF(parametros_manuales!$H$26="Todos",datos_base!$C$26,0))*parametros_manuales!$E$15)*parametros_manuales!$I$26*parametros_manuales!$J$26</f>
        <v>409.56005838</v>
      </c>
      <c r="F36" s="9" t="n">
        <f aca="false">(parametros_manuales!$D$26*(datos_base!$C$2+IF(parametros_manuales!$H$26="Todos",datos_base!$C$9,0))*parametros_manuales!$F$95+parametros_manuales!$D$26*(datos_base!$C$18+IF(parametros_manuales!$H$26="Todos",datos_base!$C$23,0))*parametros_manuales!$F$12+parametros_manuales!$E$26*(datos_base!$C$3+IF(parametros_manuales!$H$26="Todos",datos_base!$C$10,0))*parametros_manuales!$F$100+parametros_manuales!$E$26*(datos_base!$C$19+IF(parametros_manuales!$H$26="Todos",datos_base!$C$24,0))*parametros_manuales!$F$13+parametros_manuales!$F$26*(datos_base!$C$4+IF(parametros_manuales!$H$26="Todos",datos_base!$C$11,0))*parametros_manuales!$F$105+parametros_manuales!$F$26*(datos_base!$C$20+IF(parametros_manuales!$H$26="Todos",datos_base!$C$25,0))*parametros_manuales!$F$14+parametros_manuales!$G$26*(datos_base!$C$5+IF(parametros_manuales!$H$26="Todos",datos_base!$C$12,0))*parametros_manuales!$F$110+parametros_manuales!$G$26*(datos_base!$C$21+IF(parametros_manuales!$H$26="Todos",datos_base!$C$26,0))*parametros_manuales!$F$15)*parametros_manuales!$I$26*parametros_manuales!$J$26</f>
        <v>385.46829024</v>
      </c>
      <c r="G36" s="9" t="n">
        <f aca="false">(parametros_manuales!$D$26*(datos_base!$C$2+IF(parametros_manuales!$H$26="Todos",datos_base!$C$9,0))*parametros_manuales!$G$95+parametros_manuales!$D$26*(datos_base!$C$18+IF(parametros_manuales!$H$26="Todos",datos_base!$C$23,0))*parametros_manuales!$G$12+parametros_manuales!$E$26*(datos_base!$C$3+IF(parametros_manuales!$H$26="Todos",datos_base!$C$10,0))*parametros_manuales!$G$100+parametros_manuales!$E$26*(datos_base!$C$19+IF(parametros_manuales!$H$26="Todos",datos_base!$C$24,0))*parametros_manuales!$G$13+parametros_manuales!$F$26*(datos_base!$C$4+IF(parametros_manuales!$H$26="Todos",datos_base!$C$11,0))*parametros_manuales!$G$105+parametros_manuales!$F$26*(datos_base!$C$20+IF(parametros_manuales!$H$26="Todos",datos_base!$C$25,0))*parametros_manuales!$G$14+parametros_manuales!$G$26*(datos_base!$C$5+IF(parametros_manuales!$H$26="Todos",datos_base!$C$12,0))*parametros_manuales!$G$110+parametros_manuales!$G$26*(datos_base!$C$21+IF(parametros_manuales!$H$26="Todos",datos_base!$C$26,0))*parametros_manuales!$G$15)*parametros_manuales!$I$26*parametros_manuales!$J$26</f>
        <v>361.3765221</v>
      </c>
      <c r="H36" s="9" t="n">
        <f aca="false">(parametros_manuales!$D$26*(datos_base!$C$2+IF(parametros_manuales!$H$26="Todos",datos_base!$C$9,0))*parametros_manuales!$H$95+parametros_manuales!$D$26*(datos_base!$C$18+IF(parametros_manuales!$H$26="Todos",datos_base!$C$23,0))*parametros_manuales!$H$12+parametros_manuales!$E$26*(datos_base!$C$3+IF(parametros_manuales!$H$26="Todos",datos_base!$C$10,0))*parametros_manuales!$H$100+parametros_manuales!$E$26*(datos_base!$C$19+IF(parametros_manuales!$H$26="Todos",datos_base!$C$24,0))*parametros_manuales!$H$13+parametros_manuales!$F$26*(datos_base!$C$4+IF(parametros_manuales!$H$26="Todos",datos_base!$C$11,0))*parametros_manuales!$H$105+parametros_manuales!$F$26*(datos_base!$C$20+IF(parametros_manuales!$H$26="Todos",datos_base!$C$25,0))*parametros_manuales!$H$14+parametros_manuales!$G$26*(datos_base!$C$5+IF(parametros_manuales!$H$26="Todos",datos_base!$C$12,0))*parametros_manuales!$H$110+parametros_manuales!$G$26*(datos_base!$C$21+IF(parametros_manuales!$H$26="Todos",datos_base!$C$26,0))*parametros_manuales!$H$15)*parametros_manuales!$I$26*parametros_manuales!$J$26</f>
        <v>385.46829024</v>
      </c>
      <c r="I36" s="9" t="n">
        <f aca="false">(parametros_manuales!$D$26*(datos_base!$C$2+IF(parametros_manuales!$H$26="Todos",datos_base!$C$9,0))*parametros_manuales!$I$95+parametros_manuales!$D$26*(datos_base!$C$18+IF(parametros_manuales!$H$26="Todos",datos_base!$C$23,0))*parametros_manuales!$I$12+parametros_manuales!$E$26*(datos_base!$C$3+IF(parametros_manuales!$H$26="Todos",datos_base!$C$10,0))*parametros_manuales!$I$100+parametros_manuales!$E$26*(datos_base!$C$19+IF(parametros_manuales!$H$26="Todos",datos_base!$C$24,0))*parametros_manuales!$I$13+parametros_manuales!$F$26*(datos_base!$C$4+IF(parametros_manuales!$H$26="Todos",datos_base!$C$11,0))*parametros_manuales!$I$105+parametros_manuales!$F$26*(datos_base!$C$20+IF(parametros_manuales!$H$26="Todos",datos_base!$C$25,0))*parametros_manuales!$I$14+parametros_manuales!$G$26*(datos_base!$C$5+IF(parametros_manuales!$H$26="Todos",datos_base!$C$12,0))*parametros_manuales!$I$110+parametros_manuales!$G$26*(datos_base!$C$21+IF(parametros_manuales!$H$26="Todos",datos_base!$C$26,0))*parametros_manuales!$I$15)*parametros_manuales!$I$26*parametros_manuales!$J$26</f>
        <v>385.46829024</v>
      </c>
      <c r="J36" s="9" t="n">
        <f aca="false">(parametros_manuales!$D$26*(datos_base!$C$2+IF(parametros_manuales!$H$26="Todos",datos_base!$C$9,0))*parametros_manuales!$J$95+parametros_manuales!$D$26*(datos_base!$C$18+IF(parametros_manuales!$H$26="Todos",datos_base!$C$23,0))*parametros_manuales!$J$12+parametros_manuales!$E$26*(datos_base!$C$3+IF(parametros_manuales!$H$26="Todos",datos_base!$C$10,0))*parametros_manuales!$J$100+parametros_manuales!$E$26*(datos_base!$C$19+IF(parametros_manuales!$H$26="Todos",datos_base!$C$24,0))*parametros_manuales!$J$13+parametros_manuales!$F$26*(datos_base!$C$4+IF(parametros_manuales!$H$26="Todos",datos_base!$C$11,0))*parametros_manuales!$J$105+parametros_manuales!$F$26*(datos_base!$C$20+IF(parametros_manuales!$H$26="Todos",datos_base!$C$25,0))*parametros_manuales!$J$14+parametros_manuales!$G$26*(datos_base!$C$5+IF(parametros_manuales!$H$26="Todos",datos_base!$C$12,0))*parametros_manuales!$J$110+parametros_manuales!$G$26*(datos_base!$C$21+IF(parametros_manuales!$H$26="Todos",datos_base!$C$26,0))*parametros_manuales!$J$15)*parametros_manuales!$I$26*parametros_manuales!$J$26</f>
        <v>385.46829024</v>
      </c>
      <c r="K36" s="9" t="n">
        <f aca="false">(parametros_manuales!$D$26*(datos_base!$C$2+IF(parametros_manuales!$H$26="Todos",datos_base!$C$9,0))*parametros_manuales!$K$95+parametros_manuales!$D$26*(datos_base!$C$18+IF(parametros_manuales!$H$26="Todos",datos_base!$C$23,0))*parametros_manuales!$K$12+parametros_manuales!$E$26*(datos_base!$C$3+IF(parametros_manuales!$H$26="Todos",datos_base!$C$10,0))*parametros_manuales!$K$100+parametros_manuales!$E$26*(datos_base!$C$19+IF(parametros_manuales!$H$26="Todos",datos_base!$C$24,0))*parametros_manuales!$K$13+parametros_manuales!$F$26*(datos_base!$C$4+IF(parametros_manuales!$H$26="Todos",datos_base!$C$11,0))*parametros_manuales!$K$105+parametros_manuales!$F$26*(datos_base!$C$20+IF(parametros_manuales!$H$26="Todos",datos_base!$C$25,0))*parametros_manuales!$K$14+parametros_manuales!$G$26*(datos_base!$C$5+IF(parametros_manuales!$H$26="Todos",datos_base!$C$12,0))*parametros_manuales!$K$110+parametros_manuales!$G$26*(datos_base!$C$21+IF(parametros_manuales!$H$26="Todos",datos_base!$C$26,0))*parametros_manuales!$K$15)*parametros_manuales!$I$26*parametros_manuales!$J$26</f>
        <v>408.71605838</v>
      </c>
      <c r="L36" s="9" t="n">
        <f aca="false">(parametros_manuales!$D$26*(datos_base!$C$2+IF(parametros_manuales!$H$26="Todos",datos_base!$C$9,0))*parametros_manuales!$L$95+parametros_manuales!$D$26*(datos_base!$C$18+IF(parametros_manuales!$H$26="Todos",datos_base!$C$23,0))*parametros_manuales!$L$12+parametros_manuales!$E$26*(datos_base!$C$3+IF(parametros_manuales!$H$26="Todos",datos_base!$C$10,0))*parametros_manuales!$L$100+parametros_manuales!$E$26*(datos_base!$C$19+IF(parametros_manuales!$H$26="Todos",datos_base!$C$24,0))*parametros_manuales!$L$13+parametros_manuales!$F$26*(datos_base!$C$4+IF(parametros_manuales!$H$26="Todos",datos_base!$C$11,0))*parametros_manuales!$L$105+parametros_manuales!$F$26*(datos_base!$C$20+IF(parametros_manuales!$H$26="Todos",datos_base!$C$25,0))*parametros_manuales!$L$14+parametros_manuales!$G$26*(datos_base!$C$5+IF(parametros_manuales!$H$26="Todos",datos_base!$C$12,0))*parametros_manuales!$L$110+parametros_manuales!$G$26*(datos_base!$C$21+IF(parametros_manuales!$H$26="Todos",datos_base!$C$26,0))*parametros_manuales!$L$15)*parametros_manuales!$I$26*parametros_manuales!$J$26</f>
        <v>431.96382652</v>
      </c>
      <c r="M36" s="9" t="n">
        <f aca="false">(parametros_manuales!$D$26*(datos_base!$C$2+IF(parametros_manuales!$H$26="Todos",datos_base!$C$9,0))*parametros_manuales!$M$95+parametros_manuales!$D$26*(datos_base!$C$18+IF(parametros_manuales!$H$26="Todos",datos_base!$C$23,0))*parametros_manuales!$M$12+parametros_manuales!$E$26*(datos_base!$C$3+IF(parametros_manuales!$H$26="Todos",datos_base!$C$10,0))*parametros_manuales!$M$100+parametros_manuales!$E$26*(datos_base!$C$19+IF(parametros_manuales!$H$26="Todos",datos_base!$C$24,0))*parametros_manuales!$M$13+parametros_manuales!$F$26*(datos_base!$C$4+IF(parametros_manuales!$H$26="Todos",datos_base!$C$11,0))*parametros_manuales!$M$105+parametros_manuales!$F$26*(datos_base!$C$20+IF(parametros_manuales!$H$26="Todos",datos_base!$C$25,0))*parametros_manuales!$M$14+parametros_manuales!$G$26*(datos_base!$C$5+IF(parametros_manuales!$H$26="Todos",datos_base!$C$12,0))*parametros_manuales!$M$110+parametros_manuales!$G$26*(datos_base!$C$21+IF(parametros_manuales!$H$26="Todos",datos_base!$C$26,0))*parametros_manuales!$M$15)*parametros_manuales!$I$26*parametros_manuales!$J$26</f>
        <v>435.33982652</v>
      </c>
      <c r="N36" s="9" t="n">
        <f aca="false">SUM(B36:M36)</f>
        <v>4818.353628</v>
      </c>
      <c r="O36" s="9" t="n">
        <f aca="false">MAX(B36:M36)</f>
        <v>435.33982652</v>
      </c>
      <c r="P36" s="44" t="n">
        <f aca="false">O36/(parametros_manuales!$B$7)</f>
        <v>2.90226551013333</v>
      </c>
      <c r="Q36" s="8" t="str">
        <f aca="false">IF(O36=0,"-",INDEX($B$28:$M$28,MATCH(O36,B36:M36,0)))</f>
        <v>Dic</v>
      </c>
    </row>
    <row r="37" customFormat="false" ht="14.25" hidden="false" customHeight="true" outlineLevel="0" collapsed="false">
      <c r="A37" s="8" t="str">
        <f aca="false">parametros_manuales!$B$27</f>
        <v>Soldadura longitudinal</v>
      </c>
      <c r="B37" s="9" t="n">
        <f aca="false">(parametros_manuales!$D$27*(datos_base!$C$2+IF(parametros_manuales!$H$27="Todos",datos_base!$C$9,0))*parametros_manuales!$B$95+parametros_manuales!$D$27*(datos_base!$C$18+IF(parametros_manuales!$H$27="Todos",datos_base!$C$23,0))*parametros_manuales!$B$12+parametros_manuales!$E$27*(datos_base!$C$3+IF(parametros_manuales!$H$27="Todos",datos_base!$C$10,0))*parametros_manuales!$B$100+parametros_manuales!$E$27*(datos_base!$C$19+IF(parametros_manuales!$H$27="Todos",datos_base!$C$24,0))*parametros_manuales!$B$13+parametros_manuales!$F$27*(datos_base!$C$4+IF(parametros_manuales!$H$27="Todos",datos_base!$C$11,0))*parametros_manuales!$B$105+parametros_manuales!$F$27*(datos_base!$C$20+IF(parametros_manuales!$H$27="Todos",datos_base!$C$25,0))*parametros_manuales!$B$14+parametros_manuales!$G$27*(datos_base!$C$5+IF(parametros_manuales!$H$27="Todos",datos_base!$C$12,0))*parametros_manuales!$B$110+parametros_manuales!$G$27*(datos_base!$C$21+IF(parametros_manuales!$H$27="Todos",datos_base!$C$26,0))*parametros_manuales!$B$15)*parametros_manuales!$I$27*parametros_manuales!$J$27</f>
        <v>434.49582652</v>
      </c>
      <c r="C37" s="9" t="n">
        <f aca="false">(parametros_manuales!$D$27*(datos_base!$C$2+IF(parametros_manuales!$H$27="Todos",datos_base!$C$9,0))*parametros_manuales!$C$95+parametros_manuales!$D$27*(datos_base!$C$18+IF(parametros_manuales!$H$27="Todos",datos_base!$C$23,0))*parametros_manuales!$C$12+parametros_manuales!$E$27*(datos_base!$C$3+IF(parametros_manuales!$H$27="Todos",datos_base!$C$10,0))*parametros_manuales!$C$100+parametros_manuales!$E$27*(datos_base!$C$19+IF(parametros_manuales!$H$27="Todos",datos_base!$C$24,0))*parametros_manuales!$C$13+parametros_manuales!$F$27*(datos_base!$C$4+IF(parametros_manuales!$H$27="Todos",datos_base!$C$11,0))*parametros_manuales!$C$105+parametros_manuales!$F$27*(datos_base!$C$20+IF(parametros_manuales!$H$27="Todos",datos_base!$C$25,0))*parametros_manuales!$C$14+parametros_manuales!$G$27*(datos_base!$C$5+IF(parametros_manuales!$H$27="Todos",datos_base!$C$12,0))*parametros_manuales!$C$110+parametros_manuales!$G$27*(datos_base!$C$21+IF(parametros_manuales!$H$27="Todos",datos_base!$C$26,0))*parametros_manuales!$C$15)*parametros_manuales!$I$27*parametros_manuales!$J$27</f>
        <v>385.46829024</v>
      </c>
      <c r="D37" s="9" t="n">
        <f aca="false">(parametros_manuales!$D$27*(datos_base!$C$2+IF(parametros_manuales!$H$27="Todos",datos_base!$C$9,0))*parametros_manuales!$D$95+parametros_manuales!$D$27*(datos_base!$C$18+IF(parametros_manuales!$H$27="Todos",datos_base!$C$23,0))*parametros_manuales!$D$12+parametros_manuales!$E$27*(datos_base!$C$3+IF(parametros_manuales!$H$27="Todos",datos_base!$C$10,0))*parametros_manuales!$D$100+parametros_manuales!$E$27*(datos_base!$C$19+IF(parametros_manuales!$H$27="Todos",datos_base!$C$24,0))*parametros_manuales!$D$13+parametros_manuales!$F$27*(datos_base!$C$4+IF(parametros_manuales!$H$27="Todos",datos_base!$C$11,0))*parametros_manuales!$D$105+parametros_manuales!$F$27*(datos_base!$C$20+IF(parametros_manuales!$H$27="Todos",datos_base!$C$25,0))*parametros_manuales!$D$14+parametros_manuales!$G$27*(datos_base!$C$5+IF(parametros_manuales!$H$27="Todos",datos_base!$C$12,0))*parametros_manuales!$D$110+parametros_manuales!$G$27*(datos_base!$C$21+IF(parametros_manuales!$H$27="Todos",datos_base!$C$26,0))*parametros_manuales!$D$15)*parametros_manuales!$I$27*parametros_manuales!$J$27</f>
        <v>409.56005838</v>
      </c>
      <c r="E37" s="9" t="n">
        <f aca="false">(parametros_manuales!$D$27*(datos_base!$C$2+IF(parametros_manuales!$H$27="Todos",datos_base!$C$9,0))*parametros_manuales!$E$95+parametros_manuales!$D$27*(datos_base!$C$18+IF(parametros_manuales!$H$27="Todos",datos_base!$C$23,0))*parametros_manuales!$E$12+parametros_manuales!$E$27*(datos_base!$C$3+IF(parametros_manuales!$H$27="Todos",datos_base!$C$10,0))*parametros_manuales!$E$100+parametros_manuales!$E$27*(datos_base!$C$19+IF(parametros_manuales!$H$27="Todos",datos_base!$C$24,0))*parametros_manuales!$E$13+parametros_manuales!$F$27*(datos_base!$C$4+IF(parametros_manuales!$H$27="Todos",datos_base!$C$11,0))*parametros_manuales!$E$105+parametros_manuales!$F$27*(datos_base!$C$20+IF(parametros_manuales!$H$27="Todos",datos_base!$C$25,0))*parametros_manuales!$E$14+parametros_manuales!$G$27*(datos_base!$C$5+IF(parametros_manuales!$H$27="Todos",datos_base!$C$12,0))*parametros_manuales!$E$110+parametros_manuales!$G$27*(datos_base!$C$21+IF(parametros_manuales!$H$27="Todos",datos_base!$C$26,0))*parametros_manuales!$E$15)*parametros_manuales!$I$27*parametros_manuales!$J$27</f>
        <v>409.56005838</v>
      </c>
      <c r="F37" s="9" t="n">
        <f aca="false">(parametros_manuales!$D$27*(datos_base!$C$2+IF(parametros_manuales!$H$27="Todos",datos_base!$C$9,0))*parametros_manuales!$F$95+parametros_manuales!$D$27*(datos_base!$C$18+IF(parametros_manuales!$H$27="Todos",datos_base!$C$23,0))*parametros_manuales!$F$12+parametros_manuales!$E$27*(datos_base!$C$3+IF(parametros_manuales!$H$27="Todos",datos_base!$C$10,0))*parametros_manuales!$F$100+parametros_manuales!$E$27*(datos_base!$C$19+IF(parametros_manuales!$H$27="Todos",datos_base!$C$24,0))*parametros_manuales!$F$13+parametros_manuales!$F$27*(datos_base!$C$4+IF(parametros_manuales!$H$27="Todos",datos_base!$C$11,0))*parametros_manuales!$F$105+parametros_manuales!$F$27*(datos_base!$C$20+IF(parametros_manuales!$H$27="Todos",datos_base!$C$25,0))*parametros_manuales!$F$14+parametros_manuales!$G$27*(datos_base!$C$5+IF(parametros_manuales!$H$27="Todos",datos_base!$C$12,0))*parametros_manuales!$F$110+parametros_manuales!$G$27*(datos_base!$C$21+IF(parametros_manuales!$H$27="Todos",datos_base!$C$26,0))*parametros_manuales!$F$15)*parametros_manuales!$I$27*parametros_manuales!$J$27</f>
        <v>385.46829024</v>
      </c>
      <c r="G37" s="9" t="n">
        <f aca="false">(parametros_manuales!$D$27*(datos_base!$C$2+IF(parametros_manuales!$H$27="Todos",datos_base!$C$9,0))*parametros_manuales!$G$95+parametros_manuales!$D$27*(datos_base!$C$18+IF(parametros_manuales!$H$27="Todos",datos_base!$C$23,0))*parametros_manuales!$G$12+parametros_manuales!$E$27*(datos_base!$C$3+IF(parametros_manuales!$H$27="Todos",datos_base!$C$10,0))*parametros_manuales!$G$100+parametros_manuales!$E$27*(datos_base!$C$19+IF(parametros_manuales!$H$27="Todos",datos_base!$C$24,0))*parametros_manuales!$G$13+parametros_manuales!$F$27*(datos_base!$C$4+IF(parametros_manuales!$H$27="Todos",datos_base!$C$11,0))*parametros_manuales!$G$105+parametros_manuales!$F$27*(datos_base!$C$20+IF(parametros_manuales!$H$27="Todos",datos_base!$C$25,0))*parametros_manuales!$G$14+parametros_manuales!$G$27*(datos_base!$C$5+IF(parametros_manuales!$H$27="Todos",datos_base!$C$12,0))*parametros_manuales!$G$110+parametros_manuales!$G$27*(datos_base!$C$21+IF(parametros_manuales!$H$27="Todos",datos_base!$C$26,0))*parametros_manuales!$G$15)*parametros_manuales!$I$27*parametros_manuales!$J$27</f>
        <v>361.3765221</v>
      </c>
      <c r="H37" s="9" t="n">
        <f aca="false">(parametros_manuales!$D$27*(datos_base!$C$2+IF(parametros_manuales!$H$27="Todos",datos_base!$C$9,0))*parametros_manuales!$H$95+parametros_manuales!$D$27*(datos_base!$C$18+IF(parametros_manuales!$H$27="Todos",datos_base!$C$23,0))*parametros_manuales!$H$12+parametros_manuales!$E$27*(datos_base!$C$3+IF(parametros_manuales!$H$27="Todos",datos_base!$C$10,0))*parametros_manuales!$H$100+parametros_manuales!$E$27*(datos_base!$C$19+IF(parametros_manuales!$H$27="Todos",datos_base!$C$24,0))*parametros_manuales!$H$13+parametros_manuales!$F$27*(datos_base!$C$4+IF(parametros_manuales!$H$27="Todos",datos_base!$C$11,0))*parametros_manuales!$H$105+parametros_manuales!$F$27*(datos_base!$C$20+IF(parametros_manuales!$H$27="Todos",datos_base!$C$25,0))*parametros_manuales!$H$14+parametros_manuales!$G$27*(datos_base!$C$5+IF(parametros_manuales!$H$27="Todos",datos_base!$C$12,0))*parametros_manuales!$H$110+parametros_manuales!$G$27*(datos_base!$C$21+IF(parametros_manuales!$H$27="Todos",datos_base!$C$26,0))*parametros_manuales!$H$15)*parametros_manuales!$I$27*parametros_manuales!$J$27</f>
        <v>385.46829024</v>
      </c>
      <c r="I37" s="9" t="n">
        <f aca="false">(parametros_manuales!$D$27*(datos_base!$C$2+IF(parametros_manuales!$H$27="Todos",datos_base!$C$9,0))*parametros_manuales!$I$95+parametros_manuales!$D$27*(datos_base!$C$18+IF(parametros_manuales!$H$27="Todos",datos_base!$C$23,0))*parametros_manuales!$I$12+parametros_manuales!$E$27*(datos_base!$C$3+IF(parametros_manuales!$H$27="Todos",datos_base!$C$10,0))*parametros_manuales!$I$100+parametros_manuales!$E$27*(datos_base!$C$19+IF(parametros_manuales!$H$27="Todos",datos_base!$C$24,0))*parametros_manuales!$I$13+parametros_manuales!$F$27*(datos_base!$C$4+IF(parametros_manuales!$H$27="Todos",datos_base!$C$11,0))*parametros_manuales!$I$105+parametros_manuales!$F$27*(datos_base!$C$20+IF(parametros_manuales!$H$27="Todos",datos_base!$C$25,0))*parametros_manuales!$I$14+parametros_manuales!$G$27*(datos_base!$C$5+IF(parametros_manuales!$H$27="Todos",datos_base!$C$12,0))*parametros_manuales!$I$110+parametros_manuales!$G$27*(datos_base!$C$21+IF(parametros_manuales!$H$27="Todos",datos_base!$C$26,0))*parametros_manuales!$I$15)*parametros_manuales!$I$27*parametros_manuales!$J$27</f>
        <v>385.46829024</v>
      </c>
      <c r="J37" s="9" t="n">
        <f aca="false">(parametros_manuales!$D$27*(datos_base!$C$2+IF(parametros_manuales!$H$27="Todos",datos_base!$C$9,0))*parametros_manuales!$J$95+parametros_manuales!$D$27*(datos_base!$C$18+IF(parametros_manuales!$H$27="Todos",datos_base!$C$23,0))*parametros_manuales!$J$12+parametros_manuales!$E$27*(datos_base!$C$3+IF(parametros_manuales!$H$27="Todos",datos_base!$C$10,0))*parametros_manuales!$J$100+parametros_manuales!$E$27*(datos_base!$C$19+IF(parametros_manuales!$H$27="Todos",datos_base!$C$24,0))*parametros_manuales!$J$13+parametros_manuales!$F$27*(datos_base!$C$4+IF(parametros_manuales!$H$27="Todos",datos_base!$C$11,0))*parametros_manuales!$J$105+parametros_manuales!$F$27*(datos_base!$C$20+IF(parametros_manuales!$H$27="Todos",datos_base!$C$25,0))*parametros_manuales!$J$14+parametros_manuales!$G$27*(datos_base!$C$5+IF(parametros_manuales!$H$27="Todos",datos_base!$C$12,0))*parametros_manuales!$J$110+parametros_manuales!$G$27*(datos_base!$C$21+IF(parametros_manuales!$H$27="Todos",datos_base!$C$26,0))*parametros_manuales!$J$15)*parametros_manuales!$I$27*parametros_manuales!$J$27</f>
        <v>385.46829024</v>
      </c>
      <c r="K37" s="9" t="n">
        <f aca="false">(parametros_manuales!$D$27*(datos_base!$C$2+IF(parametros_manuales!$H$27="Todos",datos_base!$C$9,0))*parametros_manuales!$K$95+parametros_manuales!$D$27*(datos_base!$C$18+IF(parametros_manuales!$H$27="Todos",datos_base!$C$23,0))*parametros_manuales!$K$12+parametros_manuales!$E$27*(datos_base!$C$3+IF(parametros_manuales!$H$27="Todos",datos_base!$C$10,0))*parametros_manuales!$K$100+parametros_manuales!$E$27*(datos_base!$C$19+IF(parametros_manuales!$H$27="Todos",datos_base!$C$24,0))*parametros_manuales!$K$13+parametros_manuales!$F$27*(datos_base!$C$4+IF(parametros_manuales!$H$27="Todos",datos_base!$C$11,0))*parametros_manuales!$K$105+parametros_manuales!$F$27*(datos_base!$C$20+IF(parametros_manuales!$H$27="Todos",datos_base!$C$25,0))*parametros_manuales!$K$14+parametros_manuales!$G$27*(datos_base!$C$5+IF(parametros_manuales!$H$27="Todos",datos_base!$C$12,0))*parametros_manuales!$K$110+parametros_manuales!$G$27*(datos_base!$C$21+IF(parametros_manuales!$H$27="Todos",datos_base!$C$26,0))*parametros_manuales!$K$15)*parametros_manuales!$I$27*parametros_manuales!$J$27</f>
        <v>408.71605838</v>
      </c>
      <c r="L37" s="9" t="n">
        <f aca="false">(parametros_manuales!$D$27*(datos_base!$C$2+IF(parametros_manuales!$H$27="Todos",datos_base!$C$9,0))*parametros_manuales!$L$95+parametros_manuales!$D$27*(datos_base!$C$18+IF(parametros_manuales!$H$27="Todos",datos_base!$C$23,0))*parametros_manuales!$L$12+parametros_manuales!$E$27*(datos_base!$C$3+IF(parametros_manuales!$H$27="Todos",datos_base!$C$10,0))*parametros_manuales!$L$100+parametros_manuales!$E$27*(datos_base!$C$19+IF(parametros_manuales!$H$27="Todos",datos_base!$C$24,0))*parametros_manuales!$L$13+parametros_manuales!$F$27*(datos_base!$C$4+IF(parametros_manuales!$H$27="Todos",datos_base!$C$11,0))*parametros_manuales!$L$105+parametros_manuales!$F$27*(datos_base!$C$20+IF(parametros_manuales!$H$27="Todos",datos_base!$C$25,0))*parametros_manuales!$L$14+parametros_manuales!$G$27*(datos_base!$C$5+IF(parametros_manuales!$H$27="Todos",datos_base!$C$12,0))*parametros_manuales!$L$110+parametros_manuales!$G$27*(datos_base!$C$21+IF(parametros_manuales!$H$27="Todos",datos_base!$C$26,0))*parametros_manuales!$L$15)*parametros_manuales!$I$27*parametros_manuales!$J$27</f>
        <v>431.96382652</v>
      </c>
      <c r="M37" s="9" t="n">
        <f aca="false">(parametros_manuales!$D$27*(datos_base!$C$2+IF(parametros_manuales!$H$27="Todos",datos_base!$C$9,0))*parametros_manuales!$M$95+parametros_manuales!$D$27*(datos_base!$C$18+IF(parametros_manuales!$H$27="Todos",datos_base!$C$23,0))*parametros_manuales!$M$12+parametros_manuales!$E$27*(datos_base!$C$3+IF(parametros_manuales!$H$27="Todos",datos_base!$C$10,0))*parametros_manuales!$M$100+parametros_manuales!$E$27*(datos_base!$C$19+IF(parametros_manuales!$H$27="Todos",datos_base!$C$24,0))*parametros_manuales!$M$13+parametros_manuales!$F$27*(datos_base!$C$4+IF(parametros_manuales!$H$27="Todos",datos_base!$C$11,0))*parametros_manuales!$M$105+parametros_manuales!$F$27*(datos_base!$C$20+IF(parametros_manuales!$H$27="Todos",datos_base!$C$25,0))*parametros_manuales!$M$14+parametros_manuales!$G$27*(datos_base!$C$5+IF(parametros_manuales!$H$27="Todos",datos_base!$C$12,0))*parametros_manuales!$M$110+parametros_manuales!$G$27*(datos_base!$C$21+IF(parametros_manuales!$H$27="Todos",datos_base!$C$26,0))*parametros_manuales!$M$15)*parametros_manuales!$I$27*parametros_manuales!$J$27</f>
        <v>435.33982652</v>
      </c>
      <c r="N37" s="9" t="n">
        <f aca="false">SUM(B37:M37)</f>
        <v>4818.353628</v>
      </c>
      <c r="O37" s="9" t="n">
        <f aca="false">MAX(B37:M37)</f>
        <v>435.33982652</v>
      </c>
      <c r="P37" s="44" t="n">
        <f aca="false">O37/(parametros_manuales!$B$7)</f>
        <v>2.90226551013333</v>
      </c>
      <c r="Q37" s="8" t="str">
        <f aca="false">IF(O37=0,"-",INDEX($B$28:$M$28,MATCH(O37,B37:M37,0)))</f>
        <v>Dic</v>
      </c>
    </row>
    <row r="38" customFormat="false" ht="14.25" hidden="false" customHeight="true" outlineLevel="0" collapsed="false">
      <c r="A38" s="8" t="str">
        <f aca="false">parametros_manuales!$B$28</f>
        <v>Encastre de fondo</v>
      </c>
      <c r="B38" s="9" t="n">
        <f aca="false">(parametros_manuales!$D$28*(datos_base!$C$2+IF(parametros_manuales!$H$28="Todos",datos_base!$C$9,0))*parametros_manuales!$B$95+parametros_manuales!$D$28*(datos_base!$C$18+IF(parametros_manuales!$H$28="Todos",datos_base!$C$23,0))*parametros_manuales!$B$12+parametros_manuales!$E$28*(datos_base!$C$3+IF(parametros_manuales!$H$28="Todos",datos_base!$C$10,0))*parametros_manuales!$B$100+parametros_manuales!$E$28*(datos_base!$C$19+IF(parametros_manuales!$H$28="Todos",datos_base!$C$24,0))*parametros_manuales!$B$13+parametros_manuales!$F$28*(datos_base!$C$4+IF(parametros_manuales!$H$28="Todos",datos_base!$C$11,0))*parametros_manuales!$B$105+parametros_manuales!$F$28*(datos_base!$C$20+IF(parametros_manuales!$H$28="Todos",datos_base!$C$25,0))*parametros_manuales!$B$14+parametros_manuales!$G$28*(datos_base!$C$5+IF(parametros_manuales!$H$28="Todos",datos_base!$C$12,0))*parametros_manuales!$B$110+parametros_manuales!$G$28*(datos_base!$C$21+IF(parametros_manuales!$H$28="Todos",datos_base!$C$26,0))*parametros_manuales!$B$15)*parametros_manuales!$I$28*parametros_manuales!$J$28</f>
        <v>974.25318445</v>
      </c>
      <c r="C38" s="9" t="n">
        <f aca="false">(parametros_manuales!$D$28*(datos_base!$C$2+IF(parametros_manuales!$H$28="Todos",datos_base!$C$9,0))*parametros_manuales!$C$95+parametros_manuales!$D$28*(datos_base!$C$18+IF(parametros_manuales!$H$28="Todos",datos_base!$C$23,0))*parametros_manuales!$C$12+parametros_manuales!$E$28*(datos_base!$C$3+IF(parametros_manuales!$H$28="Todos",datos_base!$C$10,0))*parametros_manuales!$C$100+parametros_manuales!$E$28*(datos_base!$C$19+IF(parametros_manuales!$H$28="Todos",datos_base!$C$24,0))*parametros_manuales!$C$13+parametros_manuales!$F$28*(datos_base!$C$4+IF(parametros_manuales!$H$28="Todos",datos_base!$C$11,0))*parametros_manuales!$C$105+parametros_manuales!$F$28*(datos_base!$C$20+IF(parametros_manuales!$H$28="Todos",datos_base!$C$25,0))*parametros_manuales!$C$14+parametros_manuales!$G$28*(datos_base!$C$5+IF(parametros_manuales!$H$28="Todos",datos_base!$C$12,0))*parametros_manuales!$C$110+parametros_manuales!$G$28*(datos_base!$C$21+IF(parametros_manuales!$H$28="Todos",datos_base!$C$26,0))*parametros_manuales!$C$15)*parametros_manuales!$I$28*parametros_manuales!$J$28</f>
        <v>925.22564817</v>
      </c>
      <c r="D38" s="9" t="n">
        <f aca="false">(parametros_manuales!$D$28*(datos_base!$C$2+IF(parametros_manuales!$H$28="Todos",datos_base!$C$9,0))*parametros_manuales!$D$95+parametros_manuales!$D$28*(datos_base!$C$18+IF(parametros_manuales!$H$28="Todos",datos_base!$C$23,0))*parametros_manuales!$D$12+parametros_manuales!$E$28*(datos_base!$C$3+IF(parametros_manuales!$H$28="Todos",datos_base!$C$10,0))*parametros_manuales!$D$100+parametros_manuales!$E$28*(datos_base!$C$19+IF(parametros_manuales!$H$28="Todos",datos_base!$C$24,0))*parametros_manuales!$D$13+parametros_manuales!$F$28*(datos_base!$C$4+IF(parametros_manuales!$H$28="Todos",datos_base!$C$11,0))*parametros_manuales!$D$105+parametros_manuales!$F$28*(datos_base!$C$20+IF(parametros_manuales!$H$28="Todos",datos_base!$C$25,0))*parametros_manuales!$D$14+parametros_manuales!$G$28*(datos_base!$C$5+IF(parametros_manuales!$H$28="Todos",datos_base!$C$12,0))*parametros_manuales!$D$110+parametros_manuales!$G$28*(datos_base!$C$21+IF(parametros_manuales!$H$28="Todos",datos_base!$C$26,0))*parametros_manuales!$D$15)*parametros_manuales!$I$28*parametros_manuales!$J$28</f>
        <v>889.34437654</v>
      </c>
      <c r="E38" s="9" t="n">
        <f aca="false">(parametros_manuales!$D$28*(datos_base!$C$2+IF(parametros_manuales!$H$28="Todos",datos_base!$C$9,0))*parametros_manuales!$E$95+parametros_manuales!$D$28*(datos_base!$C$18+IF(parametros_manuales!$H$28="Todos",datos_base!$C$23,0))*parametros_manuales!$E$12+parametros_manuales!$E$28*(datos_base!$C$3+IF(parametros_manuales!$H$28="Todos",datos_base!$C$10,0))*parametros_manuales!$E$100+parametros_manuales!$E$28*(datos_base!$C$19+IF(parametros_manuales!$H$28="Todos",datos_base!$C$24,0))*parametros_manuales!$E$13+parametros_manuales!$F$28*(datos_base!$C$4+IF(parametros_manuales!$H$28="Todos",datos_base!$C$11,0))*parametros_manuales!$E$105+parametros_manuales!$F$28*(datos_base!$C$20+IF(parametros_manuales!$H$28="Todos",datos_base!$C$25,0))*parametros_manuales!$E$14+parametros_manuales!$G$28*(datos_base!$C$5+IF(parametros_manuales!$H$28="Todos",datos_base!$C$12,0))*parametros_manuales!$E$110+parametros_manuales!$G$28*(datos_base!$C$21+IF(parametros_manuales!$H$28="Todos",datos_base!$C$26,0))*parametros_manuales!$E$15)*parametros_manuales!$I$28*parametros_manuales!$J$28</f>
        <v>859.357856655</v>
      </c>
      <c r="F38" s="9" t="n">
        <f aca="false">(parametros_manuales!$D$28*(datos_base!$C$2+IF(parametros_manuales!$H$28="Todos",datos_base!$C$9,0))*parametros_manuales!$F$95+parametros_manuales!$D$28*(datos_base!$C$18+IF(parametros_manuales!$H$28="Todos",datos_base!$C$23,0))*parametros_manuales!$F$12+parametros_manuales!$E$28*(datos_base!$C$3+IF(parametros_manuales!$H$28="Todos",datos_base!$C$10,0))*parametros_manuales!$F$100+parametros_manuales!$E$28*(datos_base!$C$19+IF(parametros_manuales!$H$28="Todos",datos_base!$C$24,0))*parametros_manuales!$F$13+parametros_manuales!$F$28*(datos_base!$C$4+IF(parametros_manuales!$H$28="Todos",datos_base!$C$11,0))*parametros_manuales!$F$105+parametros_manuales!$F$28*(datos_base!$C$20+IF(parametros_manuales!$H$28="Todos",datos_base!$C$25,0))*parametros_manuales!$F$14+parametros_manuales!$G$28*(datos_base!$C$5+IF(parametros_manuales!$H$28="Todos",datos_base!$C$12,0))*parametros_manuales!$F$110+parametros_manuales!$G$28*(datos_base!$C$21+IF(parametros_manuales!$H$28="Todos",datos_base!$C$26,0))*parametros_manuales!$F$15)*parametros_manuales!$I$28*parametros_manuales!$J$28</f>
        <v>805.27956863</v>
      </c>
      <c r="G38" s="9" t="n">
        <f aca="false">(parametros_manuales!$D$28*(datos_base!$C$2+IF(parametros_manuales!$H$28="Todos",datos_base!$C$9,0))*parametros_manuales!$G$95+parametros_manuales!$D$28*(datos_base!$C$18+IF(parametros_manuales!$H$28="Todos",datos_base!$C$23,0))*parametros_manuales!$G$12+parametros_manuales!$E$28*(datos_base!$C$3+IF(parametros_manuales!$H$28="Todos",datos_base!$C$10,0))*parametros_manuales!$G$100+parametros_manuales!$E$28*(datos_base!$C$19+IF(parametros_manuales!$H$28="Todos",datos_base!$C$24,0))*parametros_manuales!$G$13+parametros_manuales!$F$28*(datos_base!$C$4+IF(parametros_manuales!$H$28="Todos",datos_base!$C$11,0))*parametros_manuales!$G$105+parametros_manuales!$F$28*(datos_base!$C$20+IF(parametros_manuales!$H$28="Todos",datos_base!$C$25,0))*parametros_manuales!$G$14+parametros_manuales!$G$28*(datos_base!$C$5+IF(parametros_manuales!$H$28="Todos",datos_base!$C$12,0))*parametros_manuales!$G$110+parametros_manuales!$G$28*(datos_base!$C$21+IF(parametros_manuales!$H$28="Todos",datos_base!$C$26,0))*parametros_manuales!$G$15)*parametros_manuales!$I$28*parametros_manuales!$J$28</f>
        <v>781.18780049</v>
      </c>
      <c r="H38" s="9" t="n">
        <f aca="false">(parametros_manuales!$D$28*(datos_base!$C$2+IF(parametros_manuales!$H$28="Todos",datos_base!$C$9,0))*parametros_manuales!$H$95+parametros_manuales!$D$28*(datos_base!$C$18+IF(parametros_manuales!$H$28="Todos",datos_base!$C$23,0))*parametros_manuales!$H$12+parametros_manuales!$E$28*(datos_base!$C$3+IF(parametros_manuales!$H$28="Todos",datos_base!$C$10,0))*parametros_manuales!$H$100+parametros_manuales!$E$28*(datos_base!$C$19+IF(parametros_manuales!$H$28="Todos",datos_base!$C$24,0))*parametros_manuales!$H$13+parametros_manuales!$F$28*(datos_base!$C$4+IF(parametros_manuales!$H$28="Todos",datos_base!$C$11,0))*parametros_manuales!$H$105+parametros_manuales!$F$28*(datos_base!$C$20+IF(parametros_manuales!$H$28="Todos",datos_base!$C$25,0))*parametros_manuales!$H$14+parametros_manuales!$G$28*(datos_base!$C$5+IF(parametros_manuales!$H$28="Todos",datos_base!$C$12,0))*parametros_manuales!$H$110+parametros_manuales!$G$28*(datos_base!$C$21+IF(parametros_manuales!$H$28="Todos",datos_base!$C$26,0))*parametros_manuales!$H$15)*parametros_manuales!$I$28*parametros_manuales!$J$28</f>
        <v>835.266088515</v>
      </c>
      <c r="I38" s="9" t="n">
        <f aca="false">(parametros_manuales!$D$28*(datos_base!$C$2+IF(parametros_manuales!$H$28="Todos",datos_base!$C$9,0))*parametros_manuales!$I$95+parametros_manuales!$D$28*(datos_base!$C$18+IF(parametros_manuales!$H$28="Todos",datos_base!$C$23,0))*parametros_manuales!$I$12+parametros_manuales!$E$28*(datos_base!$C$3+IF(parametros_manuales!$H$28="Todos",datos_base!$C$10,0))*parametros_manuales!$I$100+parametros_manuales!$E$28*(datos_base!$C$19+IF(parametros_manuales!$H$28="Todos",datos_base!$C$24,0))*parametros_manuales!$I$13+parametros_manuales!$F$28*(datos_base!$C$4+IF(parametros_manuales!$H$28="Todos",datos_base!$C$11,0))*parametros_manuales!$I$105+parametros_manuales!$F$28*(datos_base!$C$20+IF(parametros_manuales!$H$28="Todos",datos_base!$C$25,0))*parametros_manuales!$I$14+parametros_manuales!$G$28*(datos_base!$C$5+IF(parametros_manuales!$H$28="Todos",datos_base!$C$12,0))*parametros_manuales!$I$110+parametros_manuales!$G$28*(datos_base!$C$21+IF(parametros_manuales!$H$28="Todos",datos_base!$C$26,0))*parametros_manuales!$I$15)*parametros_manuales!$I$28*parametros_manuales!$J$28</f>
        <v>925.22564817</v>
      </c>
      <c r="J38" s="9" t="n">
        <f aca="false">(parametros_manuales!$D$28*(datos_base!$C$2+IF(parametros_manuales!$H$28="Todos",datos_base!$C$9,0))*parametros_manuales!$J$95+parametros_manuales!$D$28*(datos_base!$C$18+IF(parametros_manuales!$H$28="Todos",datos_base!$C$23,0))*parametros_manuales!$J$12+parametros_manuales!$E$28*(datos_base!$C$3+IF(parametros_manuales!$H$28="Todos",datos_base!$C$10,0))*parametros_manuales!$J$100+parametros_manuales!$E$28*(datos_base!$C$19+IF(parametros_manuales!$H$28="Todos",datos_base!$C$24,0))*parametros_manuales!$J$13+parametros_manuales!$F$28*(datos_base!$C$4+IF(parametros_manuales!$H$28="Todos",datos_base!$C$11,0))*parametros_manuales!$J$105+parametros_manuales!$F$28*(datos_base!$C$20+IF(parametros_manuales!$H$28="Todos",datos_base!$C$25,0))*parametros_manuales!$J$14+parametros_manuales!$G$28*(datos_base!$C$5+IF(parametros_manuales!$H$28="Todos",datos_base!$C$12,0))*parametros_manuales!$J$110+parametros_manuales!$G$28*(datos_base!$C$21+IF(parametros_manuales!$H$28="Todos",datos_base!$C$26,0))*parametros_manuales!$J$15)*parametros_manuales!$I$28*parametros_manuales!$J$28</f>
        <v>925.22564817</v>
      </c>
      <c r="K38" s="9" t="n">
        <f aca="false">(parametros_manuales!$D$28*(datos_base!$C$2+IF(parametros_manuales!$H$28="Todos",datos_base!$C$9,0))*parametros_manuales!$K$95+parametros_manuales!$D$28*(datos_base!$C$18+IF(parametros_manuales!$H$28="Todos",datos_base!$C$23,0))*parametros_manuales!$K$12+parametros_manuales!$E$28*(datos_base!$C$3+IF(parametros_manuales!$H$28="Todos",datos_base!$C$10,0))*parametros_manuales!$K$100+parametros_manuales!$E$28*(datos_base!$C$19+IF(parametros_manuales!$H$28="Todos",datos_base!$C$24,0))*parametros_manuales!$K$13+parametros_manuales!$F$28*(datos_base!$C$4+IF(parametros_manuales!$H$28="Todos",datos_base!$C$11,0))*parametros_manuales!$K$105+parametros_manuales!$F$28*(datos_base!$C$20+IF(parametros_manuales!$H$28="Todos",datos_base!$C$25,0))*parametros_manuales!$K$14+parametros_manuales!$G$28*(datos_base!$C$5+IF(parametros_manuales!$H$28="Todos",datos_base!$C$12,0))*parametros_manuales!$K$110+parametros_manuales!$G$28*(datos_base!$C$21+IF(parametros_manuales!$H$28="Todos",datos_base!$C$26,0))*parametros_manuales!$K$15)*parametros_manuales!$I$28*parametros_manuales!$J$28</f>
        <v>948.47341631</v>
      </c>
      <c r="L38" s="9" t="n">
        <f aca="false">(parametros_manuales!$D$28*(datos_base!$C$2+IF(parametros_manuales!$H$28="Todos",datos_base!$C$9,0))*parametros_manuales!$L$95+parametros_manuales!$D$28*(datos_base!$C$18+IF(parametros_manuales!$H$28="Todos",datos_base!$C$23,0))*parametros_manuales!$L$12+parametros_manuales!$E$28*(datos_base!$C$3+IF(parametros_manuales!$H$28="Todos",datos_base!$C$10,0))*parametros_manuales!$L$100+parametros_manuales!$E$28*(datos_base!$C$19+IF(parametros_manuales!$H$28="Todos",datos_base!$C$24,0))*parametros_manuales!$L$13+parametros_manuales!$F$28*(datos_base!$C$4+IF(parametros_manuales!$H$28="Todos",datos_base!$C$11,0))*parametros_manuales!$L$105+parametros_manuales!$F$28*(datos_base!$C$20+IF(parametros_manuales!$H$28="Todos",datos_base!$C$25,0))*parametros_manuales!$L$14+parametros_manuales!$G$28*(datos_base!$C$5+IF(parametros_manuales!$H$28="Todos",datos_base!$C$12,0))*parametros_manuales!$L$110+parametros_manuales!$G$28*(datos_base!$C$21+IF(parametros_manuales!$H$28="Todos",datos_base!$C$26,0))*parametros_manuales!$L$15)*parametros_manuales!$I$28*parametros_manuales!$J$28</f>
        <v>971.72118445</v>
      </c>
      <c r="M38" s="9" t="n">
        <f aca="false">(parametros_manuales!$D$28*(datos_base!$C$2+IF(parametros_manuales!$H$28="Todos",datos_base!$C$9,0))*parametros_manuales!$M$95+parametros_manuales!$D$28*(datos_base!$C$18+IF(parametros_manuales!$H$28="Todos",datos_base!$C$23,0))*parametros_manuales!$M$12+parametros_manuales!$E$28*(datos_base!$C$3+IF(parametros_manuales!$H$28="Todos",datos_base!$C$10,0))*parametros_manuales!$M$100+parametros_manuales!$E$28*(datos_base!$C$19+IF(parametros_manuales!$H$28="Todos",datos_base!$C$24,0))*parametros_manuales!$M$13+parametros_manuales!$F$28*(datos_base!$C$4+IF(parametros_manuales!$H$28="Todos",datos_base!$C$11,0))*parametros_manuales!$M$105+parametros_manuales!$F$28*(datos_base!$C$20+IF(parametros_manuales!$H$28="Todos",datos_base!$C$25,0))*parametros_manuales!$M$14+parametros_manuales!$G$28*(datos_base!$C$5+IF(parametros_manuales!$H$28="Todos",datos_base!$C$12,0))*parametros_manuales!$M$110+parametros_manuales!$G$28*(datos_base!$C$21+IF(parametros_manuales!$H$28="Todos",datos_base!$C$26,0))*parametros_manuales!$M$15)*parametros_manuales!$I$28*parametros_manuales!$J$28</f>
        <v>975.09718445</v>
      </c>
      <c r="N38" s="9" t="n">
        <f aca="false">SUM(B38:M38)</f>
        <v>10815.657605</v>
      </c>
      <c r="O38" s="9" t="n">
        <f aca="false">MAX(B38:M38)</f>
        <v>975.09718445</v>
      </c>
      <c r="P38" s="44" t="n">
        <f aca="false">O38/(parametros_manuales!$B$7)</f>
        <v>6.50064789633333</v>
      </c>
      <c r="Q38" s="8" t="str">
        <f aca="false">IF(O38=0,"-",INDEX($B$28:$M$28,MATCH(O38,B38:M38,0)))</f>
        <v>Dic</v>
      </c>
    </row>
    <row r="39" customFormat="false" ht="14.25" hidden="false" customHeight="true" outlineLevel="0" collapsed="false">
      <c r="A39" s="8" t="str">
        <f aca="false">parametros_manuales!$B$29</f>
        <v>Bordoneado</v>
      </c>
      <c r="B39" s="9" t="n">
        <f aca="false">(parametros_manuales!$D$29*(datos_base!$C$2+IF(parametros_manuales!$H$29="Todos",datos_base!$C$9,0))*parametros_manuales!$B$95+parametros_manuales!$D$29*(datos_base!$C$18+IF(parametros_manuales!$H$29="Todos",datos_base!$C$23,0))*parametros_manuales!$B$12+parametros_manuales!$E$29*(datos_base!$C$3+IF(parametros_manuales!$H$29="Todos",datos_base!$C$10,0))*parametros_manuales!$B$100+parametros_manuales!$E$29*(datos_base!$C$19+IF(parametros_manuales!$H$29="Todos",datos_base!$C$24,0))*parametros_manuales!$B$13+parametros_manuales!$F$29*(datos_base!$C$4+IF(parametros_manuales!$H$29="Todos",datos_base!$C$11,0))*parametros_manuales!$B$105+parametros_manuales!$F$29*(datos_base!$C$20+IF(parametros_manuales!$H$29="Todos",datos_base!$C$25,0))*parametros_manuales!$B$14+parametros_manuales!$G$29*(datos_base!$C$5+IF(parametros_manuales!$H$29="Todos",datos_base!$C$12,0))*parametros_manuales!$B$110+parametros_manuales!$G$29*(datos_base!$C$21+IF(parametros_manuales!$H$29="Todos",datos_base!$C$26,0))*parametros_manuales!$B$15)*parametros_manuales!$I$29*parametros_manuales!$J$29</f>
        <v>974.25318445</v>
      </c>
      <c r="C39" s="9" t="n">
        <f aca="false">(parametros_manuales!$D$29*(datos_base!$C$2+IF(parametros_manuales!$H$29="Todos",datos_base!$C$9,0))*parametros_manuales!$C$95+parametros_manuales!$D$29*(datos_base!$C$18+IF(parametros_manuales!$H$29="Todos",datos_base!$C$23,0))*parametros_manuales!$C$12+parametros_manuales!$E$29*(datos_base!$C$3+IF(parametros_manuales!$H$29="Todos",datos_base!$C$10,0))*parametros_manuales!$C$100+parametros_manuales!$E$29*(datos_base!$C$19+IF(parametros_manuales!$H$29="Todos",datos_base!$C$24,0))*parametros_manuales!$C$13+parametros_manuales!$F$29*(datos_base!$C$4+IF(parametros_manuales!$H$29="Todos",datos_base!$C$11,0))*parametros_manuales!$C$105+parametros_manuales!$F$29*(datos_base!$C$20+IF(parametros_manuales!$H$29="Todos",datos_base!$C$25,0))*parametros_manuales!$C$14+parametros_manuales!$G$29*(datos_base!$C$5+IF(parametros_manuales!$H$29="Todos",datos_base!$C$12,0))*parametros_manuales!$C$110+parametros_manuales!$G$29*(datos_base!$C$21+IF(parametros_manuales!$H$29="Todos",datos_base!$C$26,0))*parametros_manuales!$C$15)*parametros_manuales!$I$29*parametros_manuales!$J$29</f>
        <v>925.22564817</v>
      </c>
      <c r="D39" s="9" t="n">
        <f aca="false">(parametros_manuales!$D$29*(datos_base!$C$2+IF(parametros_manuales!$H$29="Todos",datos_base!$C$9,0))*parametros_manuales!$D$95+parametros_manuales!$D$29*(datos_base!$C$18+IF(parametros_manuales!$H$29="Todos",datos_base!$C$23,0))*parametros_manuales!$D$12+parametros_manuales!$E$29*(datos_base!$C$3+IF(parametros_manuales!$H$29="Todos",datos_base!$C$10,0))*parametros_manuales!$D$100+parametros_manuales!$E$29*(datos_base!$C$19+IF(parametros_manuales!$H$29="Todos",datos_base!$C$24,0))*parametros_manuales!$D$13+parametros_manuales!$F$29*(datos_base!$C$4+IF(parametros_manuales!$H$29="Todos",datos_base!$C$11,0))*parametros_manuales!$D$105+parametros_manuales!$F$29*(datos_base!$C$20+IF(parametros_manuales!$H$29="Todos",datos_base!$C$25,0))*parametros_manuales!$D$14+parametros_manuales!$G$29*(datos_base!$C$5+IF(parametros_manuales!$H$29="Todos",datos_base!$C$12,0))*parametros_manuales!$D$110+parametros_manuales!$G$29*(datos_base!$C$21+IF(parametros_manuales!$H$29="Todos",datos_base!$C$26,0))*parametros_manuales!$D$15)*parametros_manuales!$I$29*parametros_manuales!$J$29</f>
        <v>889.34437654</v>
      </c>
      <c r="E39" s="9" t="n">
        <f aca="false">(parametros_manuales!$D$29*(datos_base!$C$2+IF(parametros_manuales!$H$29="Todos",datos_base!$C$9,0))*parametros_manuales!$E$95+parametros_manuales!$D$29*(datos_base!$C$18+IF(parametros_manuales!$H$29="Todos",datos_base!$C$23,0))*parametros_manuales!$E$12+parametros_manuales!$E$29*(datos_base!$C$3+IF(parametros_manuales!$H$29="Todos",datos_base!$C$10,0))*parametros_manuales!$E$100+parametros_manuales!$E$29*(datos_base!$C$19+IF(parametros_manuales!$H$29="Todos",datos_base!$C$24,0))*parametros_manuales!$E$13+parametros_manuales!$F$29*(datos_base!$C$4+IF(parametros_manuales!$H$29="Todos",datos_base!$C$11,0))*parametros_manuales!$E$105+parametros_manuales!$F$29*(datos_base!$C$20+IF(parametros_manuales!$H$29="Todos",datos_base!$C$25,0))*parametros_manuales!$E$14+parametros_manuales!$G$29*(datos_base!$C$5+IF(parametros_manuales!$H$29="Todos",datos_base!$C$12,0))*parametros_manuales!$E$110+parametros_manuales!$G$29*(datos_base!$C$21+IF(parametros_manuales!$H$29="Todos",datos_base!$C$26,0))*parametros_manuales!$E$15)*parametros_manuales!$I$29*parametros_manuales!$J$29</f>
        <v>859.357856655</v>
      </c>
      <c r="F39" s="9" t="n">
        <f aca="false">(parametros_manuales!$D$29*(datos_base!$C$2+IF(parametros_manuales!$H$29="Todos",datos_base!$C$9,0))*parametros_manuales!$F$95+parametros_manuales!$D$29*(datos_base!$C$18+IF(parametros_manuales!$H$29="Todos",datos_base!$C$23,0))*parametros_manuales!$F$12+parametros_manuales!$E$29*(datos_base!$C$3+IF(parametros_manuales!$H$29="Todos",datos_base!$C$10,0))*parametros_manuales!$F$100+parametros_manuales!$E$29*(datos_base!$C$19+IF(parametros_manuales!$H$29="Todos",datos_base!$C$24,0))*parametros_manuales!$F$13+parametros_manuales!$F$29*(datos_base!$C$4+IF(parametros_manuales!$H$29="Todos",datos_base!$C$11,0))*parametros_manuales!$F$105+parametros_manuales!$F$29*(datos_base!$C$20+IF(parametros_manuales!$H$29="Todos",datos_base!$C$25,0))*parametros_manuales!$F$14+parametros_manuales!$G$29*(datos_base!$C$5+IF(parametros_manuales!$H$29="Todos",datos_base!$C$12,0))*parametros_manuales!$F$110+parametros_manuales!$G$29*(datos_base!$C$21+IF(parametros_manuales!$H$29="Todos",datos_base!$C$26,0))*parametros_manuales!$F$15)*parametros_manuales!$I$29*parametros_manuales!$J$29</f>
        <v>805.27956863</v>
      </c>
      <c r="G39" s="9" t="n">
        <f aca="false">(parametros_manuales!$D$29*(datos_base!$C$2+IF(parametros_manuales!$H$29="Todos",datos_base!$C$9,0))*parametros_manuales!$G$95+parametros_manuales!$D$29*(datos_base!$C$18+IF(parametros_manuales!$H$29="Todos",datos_base!$C$23,0))*parametros_manuales!$G$12+parametros_manuales!$E$29*(datos_base!$C$3+IF(parametros_manuales!$H$29="Todos",datos_base!$C$10,0))*parametros_manuales!$G$100+parametros_manuales!$E$29*(datos_base!$C$19+IF(parametros_manuales!$H$29="Todos",datos_base!$C$24,0))*parametros_manuales!$G$13+parametros_manuales!$F$29*(datos_base!$C$4+IF(parametros_manuales!$H$29="Todos",datos_base!$C$11,0))*parametros_manuales!$G$105+parametros_manuales!$F$29*(datos_base!$C$20+IF(parametros_manuales!$H$29="Todos",datos_base!$C$25,0))*parametros_manuales!$G$14+parametros_manuales!$G$29*(datos_base!$C$5+IF(parametros_manuales!$H$29="Todos",datos_base!$C$12,0))*parametros_manuales!$G$110+parametros_manuales!$G$29*(datos_base!$C$21+IF(parametros_manuales!$H$29="Todos",datos_base!$C$26,0))*parametros_manuales!$G$15)*parametros_manuales!$I$29*parametros_manuales!$J$29</f>
        <v>781.18780049</v>
      </c>
      <c r="H39" s="9" t="n">
        <f aca="false">(parametros_manuales!$D$29*(datos_base!$C$2+IF(parametros_manuales!$H$29="Todos",datos_base!$C$9,0))*parametros_manuales!$H$95+parametros_manuales!$D$29*(datos_base!$C$18+IF(parametros_manuales!$H$29="Todos",datos_base!$C$23,0))*parametros_manuales!$H$12+parametros_manuales!$E$29*(datos_base!$C$3+IF(parametros_manuales!$H$29="Todos",datos_base!$C$10,0))*parametros_manuales!$H$100+parametros_manuales!$E$29*(datos_base!$C$19+IF(parametros_manuales!$H$29="Todos",datos_base!$C$24,0))*parametros_manuales!$H$13+parametros_manuales!$F$29*(datos_base!$C$4+IF(parametros_manuales!$H$29="Todos",datos_base!$C$11,0))*parametros_manuales!$H$105+parametros_manuales!$F$29*(datos_base!$C$20+IF(parametros_manuales!$H$29="Todos",datos_base!$C$25,0))*parametros_manuales!$H$14+parametros_manuales!$G$29*(datos_base!$C$5+IF(parametros_manuales!$H$29="Todos",datos_base!$C$12,0))*parametros_manuales!$H$110+parametros_manuales!$G$29*(datos_base!$C$21+IF(parametros_manuales!$H$29="Todos",datos_base!$C$26,0))*parametros_manuales!$H$15)*parametros_manuales!$I$29*parametros_manuales!$J$29</f>
        <v>835.266088515</v>
      </c>
      <c r="I39" s="9" t="n">
        <f aca="false">(parametros_manuales!$D$29*(datos_base!$C$2+IF(parametros_manuales!$H$29="Todos",datos_base!$C$9,0))*parametros_manuales!$I$95+parametros_manuales!$D$29*(datos_base!$C$18+IF(parametros_manuales!$H$29="Todos",datos_base!$C$23,0))*parametros_manuales!$I$12+parametros_manuales!$E$29*(datos_base!$C$3+IF(parametros_manuales!$H$29="Todos",datos_base!$C$10,0))*parametros_manuales!$I$100+parametros_manuales!$E$29*(datos_base!$C$19+IF(parametros_manuales!$H$29="Todos",datos_base!$C$24,0))*parametros_manuales!$I$13+parametros_manuales!$F$29*(datos_base!$C$4+IF(parametros_manuales!$H$29="Todos",datos_base!$C$11,0))*parametros_manuales!$I$105+parametros_manuales!$F$29*(datos_base!$C$20+IF(parametros_manuales!$H$29="Todos",datos_base!$C$25,0))*parametros_manuales!$I$14+parametros_manuales!$G$29*(datos_base!$C$5+IF(parametros_manuales!$H$29="Todos",datos_base!$C$12,0))*parametros_manuales!$I$110+parametros_manuales!$G$29*(datos_base!$C$21+IF(parametros_manuales!$H$29="Todos",datos_base!$C$26,0))*parametros_manuales!$I$15)*parametros_manuales!$I$29*parametros_manuales!$J$29</f>
        <v>925.22564817</v>
      </c>
      <c r="J39" s="9" t="n">
        <f aca="false">(parametros_manuales!$D$29*(datos_base!$C$2+IF(parametros_manuales!$H$29="Todos",datos_base!$C$9,0))*parametros_manuales!$J$95+parametros_manuales!$D$29*(datos_base!$C$18+IF(parametros_manuales!$H$29="Todos",datos_base!$C$23,0))*parametros_manuales!$J$12+parametros_manuales!$E$29*(datos_base!$C$3+IF(parametros_manuales!$H$29="Todos",datos_base!$C$10,0))*parametros_manuales!$J$100+parametros_manuales!$E$29*(datos_base!$C$19+IF(parametros_manuales!$H$29="Todos",datos_base!$C$24,0))*parametros_manuales!$J$13+parametros_manuales!$F$29*(datos_base!$C$4+IF(parametros_manuales!$H$29="Todos",datos_base!$C$11,0))*parametros_manuales!$J$105+parametros_manuales!$F$29*(datos_base!$C$20+IF(parametros_manuales!$H$29="Todos",datos_base!$C$25,0))*parametros_manuales!$J$14+parametros_manuales!$G$29*(datos_base!$C$5+IF(parametros_manuales!$H$29="Todos",datos_base!$C$12,0))*parametros_manuales!$J$110+parametros_manuales!$G$29*(datos_base!$C$21+IF(parametros_manuales!$H$29="Todos",datos_base!$C$26,0))*parametros_manuales!$J$15)*parametros_manuales!$I$29*parametros_manuales!$J$29</f>
        <v>925.22564817</v>
      </c>
      <c r="K39" s="9" t="n">
        <f aca="false">(parametros_manuales!$D$29*(datos_base!$C$2+IF(parametros_manuales!$H$29="Todos",datos_base!$C$9,0))*parametros_manuales!$K$95+parametros_manuales!$D$29*(datos_base!$C$18+IF(parametros_manuales!$H$29="Todos",datos_base!$C$23,0))*parametros_manuales!$K$12+parametros_manuales!$E$29*(datos_base!$C$3+IF(parametros_manuales!$H$29="Todos",datos_base!$C$10,0))*parametros_manuales!$K$100+parametros_manuales!$E$29*(datos_base!$C$19+IF(parametros_manuales!$H$29="Todos",datos_base!$C$24,0))*parametros_manuales!$K$13+parametros_manuales!$F$29*(datos_base!$C$4+IF(parametros_manuales!$H$29="Todos",datos_base!$C$11,0))*parametros_manuales!$K$105+parametros_manuales!$F$29*(datos_base!$C$20+IF(parametros_manuales!$H$29="Todos",datos_base!$C$25,0))*parametros_manuales!$K$14+parametros_manuales!$G$29*(datos_base!$C$5+IF(parametros_manuales!$H$29="Todos",datos_base!$C$12,0))*parametros_manuales!$K$110+parametros_manuales!$G$29*(datos_base!$C$21+IF(parametros_manuales!$H$29="Todos",datos_base!$C$26,0))*parametros_manuales!$K$15)*parametros_manuales!$I$29*parametros_manuales!$J$29</f>
        <v>948.47341631</v>
      </c>
      <c r="L39" s="9" t="n">
        <f aca="false">(parametros_manuales!$D$29*(datos_base!$C$2+IF(parametros_manuales!$H$29="Todos",datos_base!$C$9,0))*parametros_manuales!$L$95+parametros_manuales!$D$29*(datos_base!$C$18+IF(parametros_manuales!$H$29="Todos",datos_base!$C$23,0))*parametros_manuales!$L$12+parametros_manuales!$E$29*(datos_base!$C$3+IF(parametros_manuales!$H$29="Todos",datos_base!$C$10,0))*parametros_manuales!$L$100+parametros_manuales!$E$29*(datos_base!$C$19+IF(parametros_manuales!$H$29="Todos",datos_base!$C$24,0))*parametros_manuales!$L$13+parametros_manuales!$F$29*(datos_base!$C$4+IF(parametros_manuales!$H$29="Todos",datos_base!$C$11,0))*parametros_manuales!$L$105+parametros_manuales!$F$29*(datos_base!$C$20+IF(parametros_manuales!$H$29="Todos",datos_base!$C$25,0))*parametros_manuales!$L$14+parametros_manuales!$G$29*(datos_base!$C$5+IF(parametros_manuales!$H$29="Todos",datos_base!$C$12,0))*parametros_manuales!$L$110+parametros_manuales!$G$29*(datos_base!$C$21+IF(parametros_manuales!$H$29="Todos",datos_base!$C$26,0))*parametros_manuales!$L$15)*parametros_manuales!$I$29*parametros_manuales!$J$29</f>
        <v>971.72118445</v>
      </c>
      <c r="M39" s="9" t="n">
        <f aca="false">(parametros_manuales!$D$29*(datos_base!$C$2+IF(parametros_manuales!$H$29="Todos",datos_base!$C$9,0))*parametros_manuales!$M$95+parametros_manuales!$D$29*(datos_base!$C$18+IF(parametros_manuales!$H$29="Todos",datos_base!$C$23,0))*parametros_manuales!$M$12+parametros_manuales!$E$29*(datos_base!$C$3+IF(parametros_manuales!$H$29="Todos",datos_base!$C$10,0))*parametros_manuales!$M$100+parametros_manuales!$E$29*(datos_base!$C$19+IF(parametros_manuales!$H$29="Todos",datos_base!$C$24,0))*parametros_manuales!$M$13+parametros_manuales!$F$29*(datos_base!$C$4+IF(parametros_manuales!$H$29="Todos",datos_base!$C$11,0))*parametros_manuales!$M$105+parametros_manuales!$F$29*(datos_base!$C$20+IF(parametros_manuales!$H$29="Todos",datos_base!$C$25,0))*parametros_manuales!$M$14+parametros_manuales!$G$29*(datos_base!$C$5+IF(parametros_manuales!$H$29="Todos",datos_base!$C$12,0))*parametros_manuales!$M$110+parametros_manuales!$G$29*(datos_base!$C$21+IF(parametros_manuales!$H$29="Todos",datos_base!$C$26,0))*parametros_manuales!$M$15)*parametros_manuales!$I$29*parametros_manuales!$J$29</f>
        <v>975.09718445</v>
      </c>
      <c r="N39" s="9" t="n">
        <f aca="false">SUM(B39:M39)</f>
        <v>10815.657605</v>
      </c>
      <c r="O39" s="9" t="n">
        <f aca="false">MAX(B39:M39)</f>
        <v>975.09718445</v>
      </c>
      <c r="P39" s="44" t="n">
        <f aca="false">O39/(parametros_manuales!$B$7)</f>
        <v>6.50064789633333</v>
      </c>
      <c r="Q39" s="8" t="str">
        <f aca="false">IF(O39=0,"-",INDEX($B$28:$M$28,MATCH(O39,B39:M39,0)))</f>
        <v>Dic</v>
      </c>
    </row>
    <row r="40" customFormat="false" ht="14.25" hidden="false" customHeight="true" outlineLevel="0" collapsed="false">
      <c r="A40" s="8" t="str">
        <f aca="false">parametros_manuales!$B$30</f>
        <v>Soldadura circunferencial de cúpula y fondo</v>
      </c>
      <c r="B40" s="9" t="n">
        <f aca="false">(parametros_manuales!$D$30*(datos_base!$C$2+IF(parametros_manuales!$H$30="Todos",datos_base!$C$9,0))*parametros_manuales!$B$95+parametros_manuales!$D$30*(datos_base!$C$18+IF(parametros_manuales!$H$30="Todos",datos_base!$C$23,0))*parametros_manuales!$B$12+parametros_manuales!$E$30*(datos_base!$C$3+IF(parametros_manuales!$H$30="Todos",datos_base!$C$10,0))*parametros_manuales!$B$100+parametros_manuales!$E$30*(datos_base!$C$19+IF(parametros_manuales!$H$30="Todos",datos_base!$C$24,0))*parametros_manuales!$B$13+parametros_manuales!$F$30*(datos_base!$C$4+IF(parametros_manuales!$H$30="Todos",datos_base!$C$11,0))*parametros_manuales!$B$105+parametros_manuales!$F$30*(datos_base!$C$20+IF(parametros_manuales!$H$30="Todos",datos_base!$C$25,0))*parametros_manuales!$B$14+parametros_manuales!$G$30*(datos_base!$C$5+IF(parametros_manuales!$H$30="Todos",datos_base!$C$12,0))*parametros_manuales!$B$110+parametros_manuales!$G$30*(datos_base!$C$21+IF(parametros_manuales!$H$30="Todos",datos_base!$C$26,0))*parametros_manuales!$B$15)*parametros_manuales!$I$30*parametros_manuales!$J$30</f>
        <v>974.25318445</v>
      </c>
      <c r="C40" s="9" t="n">
        <f aca="false">(parametros_manuales!$D$30*(datos_base!$C$2+IF(parametros_manuales!$H$30="Todos",datos_base!$C$9,0))*parametros_manuales!$C$95+parametros_manuales!$D$30*(datos_base!$C$18+IF(parametros_manuales!$H$30="Todos",datos_base!$C$23,0))*parametros_manuales!$C$12+parametros_manuales!$E$30*(datos_base!$C$3+IF(parametros_manuales!$H$30="Todos",datos_base!$C$10,0))*parametros_manuales!$C$100+parametros_manuales!$E$30*(datos_base!$C$19+IF(parametros_manuales!$H$30="Todos",datos_base!$C$24,0))*parametros_manuales!$C$13+parametros_manuales!$F$30*(datos_base!$C$4+IF(parametros_manuales!$H$30="Todos",datos_base!$C$11,0))*parametros_manuales!$C$105+parametros_manuales!$F$30*(datos_base!$C$20+IF(parametros_manuales!$H$30="Todos",datos_base!$C$25,0))*parametros_manuales!$C$14+parametros_manuales!$G$30*(datos_base!$C$5+IF(parametros_manuales!$H$30="Todos",datos_base!$C$12,0))*parametros_manuales!$C$110+parametros_manuales!$G$30*(datos_base!$C$21+IF(parametros_manuales!$H$30="Todos",datos_base!$C$26,0))*parametros_manuales!$C$15)*parametros_manuales!$I$30*parametros_manuales!$J$30</f>
        <v>925.22564817</v>
      </c>
      <c r="D40" s="9" t="n">
        <f aca="false">(parametros_manuales!$D$30*(datos_base!$C$2+IF(parametros_manuales!$H$30="Todos",datos_base!$C$9,0))*parametros_manuales!$D$95+parametros_manuales!$D$30*(datos_base!$C$18+IF(parametros_manuales!$H$30="Todos",datos_base!$C$23,0))*parametros_manuales!$D$12+parametros_manuales!$E$30*(datos_base!$C$3+IF(parametros_manuales!$H$30="Todos",datos_base!$C$10,0))*parametros_manuales!$D$100+parametros_manuales!$E$30*(datos_base!$C$19+IF(parametros_manuales!$H$30="Todos",datos_base!$C$24,0))*parametros_manuales!$D$13+parametros_manuales!$F$30*(datos_base!$C$4+IF(parametros_manuales!$H$30="Todos",datos_base!$C$11,0))*parametros_manuales!$D$105+parametros_manuales!$F$30*(datos_base!$C$20+IF(parametros_manuales!$H$30="Todos",datos_base!$C$25,0))*parametros_manuales!$D$14+parametros_manuales!$G$30*(datos_base!$C$5+IF(parametros_manuales!$H$30="Todos",datos_base!$C$12,0))*parametros_manuales!$D$110+parametros_manuales!$G$30*(datos_base!$C$21+IF(parametros_manuales!$H$30="Todos",datos_base!$C$26,0))*parametros_manuales!$D$15)*parametros_manuales!$I$30*parametros_manuales!$J$30</f>
        <v>889.34437654</v>
      </c>
      <c r="E40" s="9" t="n">
        <f aca="false">(parametros_manuales!$D$30*(datos_base!$C$2+IF(parametros_manuales!$H$30="Todos",datos_base!$C$9,0))*parametros_manuales!$E$95+parametros_manuales!$D$30*(datos_base!$C$18+IF(parametros_manuales!$H$30="Todos",datos_base!$C$23,0))*parametros_manuales!$E$12+parametros_manuales!$E$30*(datos_base!$C$3+IF(parametros_manuales!$H$30="Todos",datos_base!$C$10,0))*parametros_manuales!$E$100+parametros_manuales!$E$30*(datos_base!$C$19+IF(parametros_manuales!$H$30="Todos",datos_base!$C$24,0))*parametros_manuales!$E$13+parametros_manuales!$F$30*(datos_base!$C$4+IF(parametros_manuales!$H$30="Todos",datos_base!$C$11,0))*parametros_manuales!$E$105+parametros_manuales!$F$30*(datos_base!$C$20+IF(parametros_manuales!$H$30="Todos",datos_base!$C$25,0))*parametros_manuales!$E$14+parametros_manuales!$G$30*(datos_base!$C$5+IF(parametros_manuales!$H$30="Todos",datos_base!$C$12,0))*parametros_manuales!$E$110+parametros_manuales!$G$30*(datos_base!$C$21+IF(parametros_manuales!$H$30="Todos",datos_base!$C$26,0))*parametros_manuales!$E$15)*parametros_manuales!$I$30*parametros_manuales!$J$30</f>
        <v>859.357856655</v>
      </c>
      <c r="F40" s="9" t="n">
        <f aca="false">(parametros_manuales!$D$30*(datos_base!$C$2+IF(parametros_manuales!$H$30="Todos",datos_base!$C$9,0))*parametros_manuales!$F$95+parametros_manuales!$D$30*(datos_base!$C$18+IF(parametros_manuales!$H$30="Todos",datos_base!$C$23,0))*parametros_manuales!$F$12+parametros_manuales!$E$30*(datos_base!$C$3+IF(parametros_manuales!$H$30="Todos",datos_base!$C$10,0))*parametros_manuales!$F$100+parametros_manuales!$E$30*(datos_base!$C$19+IF(parametros_manuales!$H$30="Todos",datos_base!$C$24,0))*parametros_manuales!$F$13+parametros_manuales!$F$30*(datos_base!$C$4+IF(parametros_manuales!$H$30="Todos",datos_base!$C$11,0))*parametros_manuales!$F$105+parametros_manuales!$F$30*(datos_base!$C$20+IF(parametros_manuales!$H$30="Todos",datos_base!$C$25,0))*parametros_manuales!$F$14+parametros_manuales!$G$30*(datos_base!$C$5+IF(parametros_manuales!$H$30="Todos",datos_base!$C$12,0))*parametros_manuales!$F$110+parametros_manuales!$G$30*(datos_base!$C$21+IF(parametros_manuales!$H$30="Todos",datos_base!$C$26,0))*parametros_manuales!$F$15)*parametros_manuales!$I$30*parametros_manuales!$J$30</f>
        <v>805.27956863</v>
      </c>
      <c r="G40" s="9" t="n">
        <f aca="false">(parametros_manuales!$D$30*(datos_base!$C$2+IF(parametros_manuales!$H$30="Todos",datos_base!$C$9,0))*parametros_manuales!$G$95+parametros_manuales!$D$30*(datos_base!$C$18+IF(parametros_manuales!$H$30="Todos",datos_base!$C$23,0))*parametros_manuales!$G$12+parametros_manuales!$E$30*(datos_base!$C$3+IF(parametros_manuales!$H$30="Todos",datos_base!$C$10,0))*parametros_manuales!$G$100+parametros_manuales!$E$30*(datos_base!$C$19+IF(parametros_manuales!$H$30="Todos",datos_base!$C$24,0))*parametros_manuales!$G$13+parametros_manuales!$F$30*(datos_base!$C$4+IF(parametros_manuales!$H$30="Todos",datos_base!$C$11,0))*parametros_manuales!$G$105+parametros_manuales!$F$30*(datos_base!$C$20+IF(parametros_manuales!$H$30="Todos",datos_base!$C$25,0))*parametros_manuales!$G$14+parametros_manuales!$G$30*(datos_base!$C$5+IF(parametros_manuales!$H$30="Todos",datos_base!$C$12,0))*parametros_manuales!$G$110+parametros_manuales!$G$30*(datos_base!$C$21+IF(parametros_manuales!$H$30="Todos",datos_base!$C$26,0))*parametros_manuales!$G$15)*parametros_manuales!$I$30*parametros_manuales!$J$30</f>
        <v>781.18780049</v>
      </c>
      <c r="H40" s="9" t="n">
        <f aca="false">(parametros_manuales!$D$30*(datos_base!$C$2+IF(parametros_manuales!$H$30="Todos",datos_base!$C$9,0))*parametros_manuales!$H$95+parametros_manuales!$D$30*(datos_base!$C$18+IF(parametros_manuales!$H$30="Todos",datos_base!$C$23,0))*parametros_manuales!$H$12+parametros_manuales!$E$30*(datos_base!$C$3+IF(parametros_manuales!$H$30="Todos",datos_base!$C$10,0))*parametros_manuales!$H$100+parametros_manuales!$E$30*(datos_base!$C$19+IF(parametros_manuales!$H$30="Todos",datos_base!$C$24,0))*parametros_manuales!$H$13+parametros_manuales!$F$30*(datos_base!$C$4+IF(parametros_manuales!$H$30="Todos",datos_base!$C$11,0))*parametros_manuales!$H$105+parametros_manuales!$F$30*(datos_base!$C$20+IF(parametros_manuales!$H$30="Todos",datos_base!$C$25,0))*parametros_manuales!$H$14+parametros_manuales!$G$30*(datos_base!$C$5+IF(parametros_manuales!$H$30="Todos",datos_base!$C$12,0))*parametros_manuales!$H$110+parametros_manuales!$G$30*(datos_base!$C$21+IF(parametros_manuales!$H$30="Todos",datos_base!$C$26,0))*parametros_manuales!$H$15)*parametros_manuales!$I$30*parametros_manuales!$J$30</f>
        <v>835.266088515</v>
      </c>
      <c r="I40" s="9" t="n">
        <f aca="false">(parametros_manuales!$D$30*(datos_base!$C$2+IF(parametros_manuales!$H$30="Todos",datos_base!$C$9,0))*parametros_manuales!$I$95+parametros_manuales!$D$30*(datos_base!$C$18+IF(parametros_manuales!$H$30="Todos",datos_base!$C$23,0))*parametros_manuales!$I$12+parametros_manuales!$E$30*(datos_base!$C$3+IF(parametros_manuales!$H$30="Todos",datos_base!$C$10,0))*parametros_manuales!$I$100+parametros_manuales!$E$30*(datos_base!$C$19+IF(parametros_manuales!$H$30="Todos",datos_base!$C$24,0))*parametros_manuales!$I$13+parametros_manuales!$F$30*(datos_base!$C$4+IF(parametros_manuales!$H$30="Todos",datos_base!$C$11,0))*parametros_manuales!$I$105+parametros_manuales!$F$30*(datos_base!$C$20+IF(parametros_manuales!$H$30="Todos",datos_base!$C$25,0))*parametros_manuales!$I$14+parametros_manuales!$G$30*(datos_base!$C$5+IF(parametros_manuales!$H$30="Todos",datos_base!$C$12,0))*parametros_manuales!$I$110+parametros_manuales!$G$30*(datos_base!$C$21+IF(parametros_manuales!$H$30="Todos",datos_base!$C$26,0))*parametros_manuales!$I$15)*parametros_manuales!$I$30*parametros_manuales!$J$30</f>
        <v>925.22564817</v>
      </c>
      <c r="J40" s="9" t="n">
        <f aca="false">(parametros_manuales!$D$30*(datos_base!$C$2+IF(parametros_manuales!$H$30="Todos",datos_base!$C$9,0))*parametros_manuales!$J$95+parametros_manuales!$D$30*(datos_base!$C$18+IF(parametros_manuales!$H$30="Todos",datos_base!$C$23,0))*parametros_manuales!$J$12+parametros_manuales!$E$30*(datos_base!$C$3+IF(parametros_manuales!$H$30="Todos",datos_base!$C$10,0))*parametros_manuales!$J$100+parametros_manuales!$E$30*(datos_base!$C$19+IF(parametros_manuales!$H$30="Todos",datos_base!$C$24,0))*parametros_manuales!$J$13+parametros_manuales!$F$30*(datos_base!$C$4+IF(parametros_manuales!$H$30="Todos",datos_base!$C$11,0))*parametros_manuales!$J$105+parametros_manuales!$F$30*(datos_base!$C$20+IF(parametros_manuales!$H$30="Todos",datos_base!$C$25,0))*parametros_manuales!$J$14+parametros_manuales!$G$30*(datos_base!$C$5+IF(parametros_manuales!$H$30="Todos",datos_base!$C$12,0))*parametros_manuales!$J$110+parametros_manuales!$G$30*(datos_base!$C$21+IF(parametros_manuales!$H$30="Todos",datos_base!$C$26,0))*parametros_manuales!$J$15)*parametros_manuales!$I$30*parametros_manuales!$J$30</f>
        <v>925.22564817</v>
      </c>
      <c r="K40" s="9" t="n">
        <f aca="false">(parametros_manuales!$D$30*(datos_base!$C$2+IF(parametros_manuales!$H$30="Todos",datos_base!$C$9,0))*parametros_manuales!$K$95+parametros_manuales!$D$30*(datos_base!$C$18+IF(parametros_manuales!$H$30="Todos",datos_base!$C$23,0))*parametros_manuales!$K$12+parametros_manuales!$E$30*(datos_base!$C$3+IF(parametros_manuales!$H$30="Todos",datos_base!$C$10,0))*parametros_manuales!$K$100+parametros_manuales!$E$30*(datos_base!$C$19+IF(parametros_manuales!$H$30="Todos",datos_base!$C$24,0))*parametros_manuales!$K$13+parametros_manuales!$F$30*(datos_base!$C$4+IF(parametros_manuales!$H$30="Todos",datos_base!$C$11,0))*parametros_manuales!$K$105+parametros_manuales!$F$30*(datos_base!$C$20+IF(parametros_manuales!$H$30="Todos",datos_base!$C$25,0))*parametros_manuales!$K$14+parametros_manuales!$G$30*(datos_base!$C$5+IF(parametros_manuales!$H$30="Todos",datos_base!$C$12,0))*parametros_manuales!$K$110+parametros_manuales!$G$30*(datos_base!$C$21+IF(parametros_manuales!$H$30="Todos",datos_base!$C$26,0))*parametros_manuales!$K$15)*parametros_manuales!$I$30*parametros_manuales!$J$30</f>
        <v>948.47341631</v>
      </c>
      <c r="L40" s="9" t="n">
        <f aca="false">(parametros_manuales!$D$30*(datos_base!$C$2+IF(parametros_manuales!$H$30="Todos",datos_base!$C$9,0))*parametros_manuales!$L$95+parametros_manuales!$D$30*(datos_base!$C$18+IF(parametros_manuales!$H$30="Todos",datos_base!$C$23,0))*parametros_manuales!$L$12+parametros_manuales!$E$30*(datos_base!$C$3+IF(parametros_manuales!$H$30="Todos",datos_base!$C$10,0))*parametros_manuales!$L$100+parametros_manuales!$E$30*(datos_base!$C$19+IF(parametros_manuales!$H$30="Todos",datos_base!$C$24,0))*parametros_manuales!$L$13+parametros_manuales!$F$30*(datos_base!$C$4+IF(parametros_manuales!$H$30="Todos",datos_base!$C$11,0))*parametros_manuales!$L$105+parametros_manuales!$F$30*(datos_base!$C$20+IF(parametros_manuales!$H$30="Todos",datos_base!$C$25,0))*parametros_manuales!$L$14+parametros_manuales!$G$30*(datos_base!$C$5+IF(parametros_manuales!$H$30="Todos",datos_base!$C$12,0))*parametros_manuales!$L$110+parametros_manuales!$G$30*(datos_base!$C$21+IF(parametros_manuales!$H$30="Todos",datos_base!$C$26,0))*parametros_manuales!$L$15)*parametros_manuales!$I$30*parametros_manuales!$J$30</f>
        <v>971.72118445</v>
      </c>
      <c r="M40" s="9" t="n">
        <f aca="false">(parametros_manuales!$D$30*(datos_base!$C$2+IF(parametros_manuales!$H$30="Todos",datos_base!$C$9,0))*parametros_manuales!$M$95+parametros_manuales!$D$30*(datos_base!$C$18+IF(parametros_manuales!$H$30="Todos",datos_base!$C$23,0))*parametros_manuales!$M$12+parametros_manuales!$E$30*(datos_base!$C$3+IF(parametros_manuales!$H$30="Todos",datos_base!$C$10,0))*parametros_manuales!$M$100+parametros_manuales!$E$30*(datos_base!$C$19+IF(parametros_manuales!$H$30="Todos",datos_base!$C$24,0))*parametros_manuales!$M$13+parametros_manuales!$F$30*(datos_base!$C$4+IF(parametros_manuales!$H$30="Todos",datos_base!$C$11,0))*parametros_manuales!$M$105+parametros_manuales!$F$30*(datos_base!$C$20+IF(parametros_manuales!$H$30="Todos",datos_base!$C$25,0))*parametros_manuales!$M$14+parametros_manuales!$G$30*(datos_base!$C$5+IF(parametros_manuales!$H$30="Todos",datos_base!$C$12,0))*parametros_manuales!$M$110+parametros_manuales!$G$30*(datos_base!$C$21+IF(parametros_manuales!$H$30="Todos",datos_base!$C$26,0))*parametros_manuales!$M$15)*parametros_manuales!$I$30*parametros_manuales!$J$30</f>
        <v>975.09718445</v>
      </c>
      <c r="N40" s="9" t="n">
        <f aca="false">SUM(B40:M40)</f>
        <v>10815.657605</v>
      </c>
      <c r="O40" s="9" t="n">
        <f aca="false">MAX(B40:M40)</f>
        <v>975.09718445</v>
      </c>
      <c r="P40" s="44" t="n">
        <f aca="false">O40/(parametros_manuales!$B$7)</f>
        <v>6.50064789633333</v>
      </c>
      <c r="Q40" s="8" t="str">
        <f aca="false">IF(O40=0,"-",INDEX($B$28:$M$28,MATCH(O40,B40:M40,0)))</f>
        <v>Dic</v>
      </c>
    </row>
    <row r="41" customFormat="false" ht="14.25" hidden="false" customHeight="true" outlineLevel="0" collapsed="false">
      <c r="A41" s="8" t="str">
        <f aca="false">parametros_manuales!$B$31</f>
        <v>Control de calidad — Espesor</v>
      </c>
      <c r="B41" s="9" t="n">
        <f aca="false">(parametros_manuales!$D$31*(datos_base!$C$2+IF(parametros_manuales!$H$31="Todos",datos_base!$C$9,0))*parametros_manuales!$B$95+parametros_manuales!$D$31*(datos_base!$C$18+IF(parametros_manuales!$H$31="Todos",datos_base!$C$23,0))*parametros_manuales!$B$12+parametros_manuales!$E$31*(datos_base!$C$3+IF(parametros_manuales!$H$31="Todos",datos_base!$C$10,0))*parametros_manuales!$B$100+parametros_manuales!$E$31*(datos_base!$C$19+IF(parametros_manuales!$H$31="Todos",datos_base!$C$24,0))*parametros_manuales!$B$13+parametros_manuales!$F$31*(datos_base!$C$4+IF(parametros_manuales!$H$31="Todos",datos_base!$C$11,0))*parametros_manuales!$B$105+parametros_manuales!$F$31*(datos_base!$C$20+IF(parametros_manuales!$H$31="Todos",datos_base!$C$25,0))*parametros_manuales!$B$14+parametros_manuales!$G$31*(datos_base!$C$5+IF(parametros_manuales!$H$31="Todos",datos_base!$C$12,0))*parametros_manuales!$B$110+parametros_manuales!$G$31*(datos_base!$C$21+IF(parametros_manuales!$H$31="Todos",datos_base!$C$26,0))*parametros_manuales!$B$15)*parametros_manuales!$I$31*parametros_manuales!$J$31</f>
        <v>19.485063689</v>
      </c>
      <c r="C41" s="9" t="n">
        <f aca="false">(parametros_manuales!$D$31*(datos_base!$C$2+IF(parametros_manuales!$H$31="Todos",datos_base!$C$9,0))*parametros_manuales!$C$95+parametros_manuales!$D$31*(datos_base!$C$18+IF(parametros_manuales!$H$31="Todos",datos_base!$C$23,0))*parametros_manuales!$C$12+parametros_manuales!$E$31*(datos_base!$C$3+IF(parametros_manuales!$H$31="Todos",datos_base!$C$10,0))*parametros_manuales!$C$100+parametros_manuales!$E$31*(datos_base!$C$19+IF(parametros_manuales!$H$31="Todos",datos_base!$C$24,0))*parametros_manuales!$C$13+parametros_manuales!$F$31*(datos_base!$C$4+IF(parametros_manuales!$H$31="Todos",datos_base!$C$11,0))*parametros_manuales!$C$105+parametros_manuales!$F$31*(datos_base!$C$20+IF(parametros_manuales!$H$31="Todos",datos_base!$C$25,0))*parametros_manuales!$C$14+parametros_manuales!$G$31*(datos_base!$C$5+IF(parametros_manuales!$H$31="Todos",datos_base!$C$12,0))*parametros_manuales!$C$110+parametros_manuales!$G$31*(datos_base!$C$21+IF(parametros_manuales!$H$31="Todos",datos_base!$C$26,0))*parametros_manuales!$C$15)*parametros_manuales!$I$31*parametros_manuales!$J$31</f>
        <v>18.5045129634</v>
      </c>
      <c r="D41" s="9" t="n">
        <f aca="false">(parametros_manuales!$D$31*(datos_base!$C$2+IF(parametros_manuales!$H$31="Todos",datos_base!$C$9,0))*parametros_manuales!$D$95+parametros_manuales!$D$31*(datos_base!$C$18+IF(parametros_manuales!$H$31="Todos",datos_base!$C$23,0))*parametros_manuales!$D$12+parametros_manuales!$E$31*(datos_base!$C$3+IF(parametros_manuales!$H$31="Todos",datos_base!$C$10,0))*parametros_manuales!$D$100+parametros_manuales!$E$31*(datos_base!$C$19+IF(parametros_manuales!$H$31="Todos",datos_base!$C$24,0))*parametros_manuales!$D$13+parametros_manuales!$F$31*(datos_base!$C$4+IF(parametros_manuales!$H$31="Todos",datos_base!$C$11,0))*parametros_manuales!$D$105+parametros_manuales!$F$31*(datos_base!$C$20+IF(parametros_manuales!$H$31="Todos",datos_base!$C$25,0))*parametros_manuales!$D$14+parametros_manuales!$G$31*(datos_base!$C$5+IF(parametros_manuales!$H$31="Todos",datos_base!$C$12,0))*parametros_manuales!$D$110+parametros_manuales!$G$31*(datos_base!$C$21+IF(parametros_manuales!$H$31="Todos",datos_base!$C$26,0))*parametros_manuales!$D$15)*parametros_manuales!$I$31*parametros_manuales!$J$31</f>
        <v>17.7868875308</v>
      </c>
      <c r="E41" s="9" t="n">
        <f aca="false">(parametros_manuales!$D$31*(datos_base!$C$2+IF(parametros_manuales!$H$31="Todos",datos_base!$C$9,0))*parametros_manuales!$E$95+parametros_manuales!$D$31*(datos_base!$C$18+IF(parametros_manuales!$H$31="Todos",datos_base!$C$23,0))*parametros_manuales!$E$12+parametros_manuales!$E$31*(datos_base!$C$3+IF(parametros_manuales!$H$31="Todos",datos_base!$C$10,0))*parametros_manuales!$E$100+parametros_manuales!$E$31*(datos_base!$C$19+IF(parametros_manuales!$H$31="Todos",datos_base!$C$24,0))*parametros_manuales!$E$13+parametros_manuales!$F$31*(datos_base!$C$4+IF(parametros_manuales!$H$31="Todos",datos_base!$C$11,0))*parametros_manuales!$E$105+parametros_manuales!$F$31*(datos_base!$C$20+IF(parametros_manuales!$H$31="Todos",datos_base!$C$25,0))*parametros_manuales!$E$14+parametros_manuales!$G$31*(datos_base!$C$5+IF(parametros_manuales!$H$31="Todos",datos_base!$C$12,0))*parametros_manuales!$E$110+parametros_manuales!$G$31*(datos_base!$C$21+IF(parametros_manuales!$H$31="Todos",datos_base!$C$26,0))*parametros_manuales!$E$15)*parametros_manuales!$I$31*parametros_manuales!$J$31</f>
        <v>17.1871571331</v>
      </c>
      <c r="F41" s="9" t="n">
        <f aca="false">(parametros_manuales!$D$31*(datos_base!$C$2+IF(parametros_manuales!$H$31="Todos",datos_base!$C$9,0))*parametros_manuales!$F$95+parametros_manuales!$D$31*(datos_base!$C$18+IF(parametros_manuales!$H$31="Todos",datos_base!$C$23,0))*parametros_manuales!$F$12+parametros_manuales!$E$31*(datos_base!$C$3+IF(parametros_manuales!$H$31="Todos",datos_base!$C$10,0))*parametros_manuales!$F$100+parametros_manuales!$E$31*(datos_base!$C$19+IF(parametros_manuales!$H$31="Todos",datos_base!$C$24,0))*parametros_manuales!$F$13+parametros_manuales!$F$31*(datos_base!$C$4+IF(parametros_manuales!$H$31="Todos",datos_base!$C$11,0))*parametros_manuales!$F$105+parametros_manuales!$F$31*(datos_base!$C$20+IF(parametros_manuales!$H$31="Todos",datos_base!$C$25,0))*parametros_manuales!$F$14+parametros_manuales!$G$31*(datos_base!$C$5+IF(parametros_manuales!$H$31="Todos",datos_base!$C$12,0))*parametros_manuales!$F$110+parametros_manuales!$G$31*(datos_base!$C$21+IF(parametros_manuales!$H$31="Todos",datos_base!$C$26,0))*parametros_manuales!$F$15)*parametros_manuales!$I$31*parametros_manuales!$J$31</f>
        <v>16.1055913726</v>
      </c>
      <c r="G41" s="9" t="n">
        <f aca="false">(parametros_manuales!$D$31*(datos_base!$C$2+IF(parametros_manuales!$H$31="Todos",datos_base!$C$9,0))*parametros_manuales!$G$95+parametros_manuales!$D$31*(datos_base!$C$18+IF(parametros_manuales!$H$31="Todos",datos_base!$C$23,0))*parametros_manuales!$G$12+parametros_manuales!$E$31*(datos_base!$C$3+IF(parametros_manuales!$H$31="Todos",datos_base!$C$10,0))*parametros_manuales!$G$100+parametros_manuales!$E$31*(datos_base!$C$19+IF(parametros_manuales!$H$31="Todos",datos_base!$C$24,0))*parametros_manuales!$G$13+parametros_manuales!$F$31*(datos_base!$C$4+IF(parametros_manuales!$H$31="Todos",datos_base!$C$11,0))*parametros_manuales!$G$105+parametros_manuales!$F$31*(datos_base!$C$20+IF(parametros_manuales!$H$31="Todos",datos_base!$C$25,0))*parametros_manuales!$G$14+parametros_manuales!$G$31*(datos_base!$C$5+IF(parametros_manuales!$H$31="Todos",datos_base!$C$12,0))*parametros_manuales!$G$110+parametros_manuales!$G$31*(datos_base!$C$21+IF(parametros_manuales!$H$31="Todos",datos_base!$C$26,0))*parametros_manuales!$G$15)*parametros_manuales!$I$31*parametros_manuales!$J$31</f>
        <v>15.6237560098</v>
      </c>
      <c r="H41" s="9" t="n">
        <f aca="false">(parametros_manuales!$D$31*(datos_base!$C$2+IF(parametros_manuales!$H$31="Todos",datos_base!$C$9,0))*parametros_manuales!$H$95+parametros_manuales!$D$31*(datos_base!$C$18+IF(parametros_manuales!$H$31="Todos",datos_base!$C$23,0))*parametros_manuales!$H$12+parametros_manuales!$E$31*(datos_base!$C$3+IF(parametros_manuales!$H$31="Todos",datos_base!$C$10,0))*parametros_manuales!$H$100+parametros_manuales!$E$31*(datos_base!$C$19+IF(parametros_manuales!$H$31="Todos",datos_base!$C$24,0))*parametros_manuales!$H$13+parametros_manuales!$F$31*(datos_base!$C$4+IF(parametros_manuales!$H$31="Todos",datos_base!$C$11,0))*parametros_manuales!$H$105+parametros_manuales!$F$31*(datos_base!$C$20+IF(parametros_manuales!$H$31="Todos",datos_base!$C$25,0))*parametros_manuales!$H$14+parametros_manuales!$G$31*(datos_base!$C$5+IF(parametros_manuales!$H$31="Todos",datos_base!$C$12,0))*parametros_manuales!$H$110+parametros_manuales!$G$31*(datos_base!$C$21+IF(parametros_manuales!$H$31="Todos",datos_base!$C$26,0))*parametros_manuales!$H$15)*parametros_manuales!$I$31*parametros_manuales!$J$31</f>
        <v>16.7053217703</v>
      </c>
      <c r="I41" s="9" t="n">
        <f aca="false">(parametros_manuales!$D$31*(datos_base!$C$2+IF(parametros_manuales!$H$31="Todos",datos_base!$C$9,0))*parametros_manuales!$I$95+parametros_manuales!$D$31*(datos_base!$C$18+IF(parametros_manuales!$H$31="Todos",datos_base!$C$23,0))*parametros_manuales!$I$12+parametros_manuales!$E$31*(datos_base!$C$3+IF(parametros_manuales!$H$31="Todos",datos_base!$C$10,0))*parametros_manuales!$I$100+parametros_manuales!$E$31*(datos_base!$C$19+IF(parametros_manuales!$H$31="Todos",datos_base!$C$24,0))*parametros_manuales!$I$13+parametros_manuales!$F$31*(datos_base!$C$4+IF(parametros_manuales!$H$31="Todos",datos_base!$C$11,0))*parametros_manuales!$I$105+parametros_manuales!$F$31*(datos_base!$C$20+IF(parametros_manuales!$H$31="Todos",datos_base!$C$25,0))*parametros_manuales!$I$14+parametros_manuales!$G$31*(datos_base!$C$5+IF(parametros_manuales!$H$31="Todos",datos_base!$C$12,0))*parametros_manuales!$I$110+parametros_manuales!$G$31*(datos_base!$C$21+IF(parametros_manuales!$H$31="Todos",datos_base!$C$26,0))*parametros_manuales!$I$15)*parametros_manuales!$I$31*parametros_manuales!$J$31</f>
        <v>18.5045129634</v>
      </c>
      <c r="J41" s="9" t="n">
        <f aca="false">(parametros_manuales!$D$31*(datos_base!$C$2+IF(parametros_manuales!$H$31="Todos",datos_base!$C$9,0))*parametros_manuales!$J$95+parametros_manuales!$D$31*(datos_base!$C$18+IF(parametros_manuales!$H$31="Todos",datos_base!$C$23,0))*parametros_manuales!$J$12+parametros_manuales!$E$31*(datos_base!$C$3+IF(parametros_manuales!$H$31="Todos",datos_base!$C$10,0))*parametros_manuales!$J$100+parametros_manuales!$E$31*(datos_base!$C$19+IF(parametros_manuales!$H$31="Todos",datos_base!$C$24,0))*parametros_manuales!$J$13+parametros_manuales!$F$31*(datos_base!$C$4+IF(parametros_manuales!$H$31="Todos",datos_base!$C$11,0))*parametros_manuales!$J$105+parametros_manuales!$F$31*(datos_base!$C$20+IF(parametros_manuales!$H$31="Todos",datos_base!$C$25,0))*parametros_manuales!$J$14+parametros_manuales!$G$31*(datos_base!$C$5+IF(parametros_manuales!$H$31="Todos",datos_base!$C$12,0))*parametros_manuales!$J$110+parametros_manuales!$G$31*(datos_base!$C$21+IF(parametros_manuales!$H$31="Todos",datos_base!$C$26,0))*parametros_manuales!$J$15)*parametros_manuales!$I$31*parametros_manuales!$J$31</f>
        <v>18.5045129634</v>
      </c>
      <c r="K41" s="9" t="n">
        <f aca="false">(parametros_manuales!$D$31*(datos_base!$C$2+IF(parametros_manuales!$H$31="Todos",datos_base!$C$9,0))*parametros_manuales!$K$95+parametros_manuales!$D$31*(datos_base!$C$18+IF(parametros_manuales!$H$31="Todos",datos_base!$C$23,0))*parametros_manuales!$K$12+parametros_manuales!$E$31*(datos_base!$C$3+IF(parametros_manuales!$H$31="Todos",datos_base!$C$10,0))*parametros_manuales!$K$100+parametros_manuales!$E$31*(datos_base!$C$19+IF(parametros_manuales!$H$31="Todos",datos_base!$C$24,0))*parametros_manuales!$K$13+parametros_manuales!$F$31*(datos_base!$C$4+IF(parametros_manuales!$H$31="Todos",datos_base!$C$11,0))*parametros_manuales!$K$105+parametros_manuales!$F$31*(datos_base!$C$20+IF(parametros_manuales!$H$31="Todos",datos_base!$C$25,0))*parametros_manuales!$K$14+parametros_manuales!$G$31*(datos_base!$C$5+IF(parametros_manuales!$H$31="Todos",datos_base!$C$12,0))*parametros_manuales!$K$110+parametros_manuales!$G$31*(datos_base!$C$21+IF(parametros_manuales!$H$31="Todos",datos_base!$C$26,0))*parametros_manuales!$K$15)*parametros_manuales!$I$31*parametros_manuales!$J$31</f>
        <v>18.9694683262</v>
      </c>
      <c r="L41" s="9" t="n">
        <f aca="false">(parametros_manuales!$D$31*(datos_base!$C$2+IF(parametros_manuales!$H$31="Todos",datos_base!$C$9,0))*parametros_manuales!$L$95+parametros_manuales!$D$31*(datos_base!$C$18+IF(parametros_manuales!$H$31="Todos",datos_base!$C$23,0))*parametros_manuales!$L$12+parametros_manuales!$E$31*(datos_base!$C$3+IF(parametros_manuales!$H$31="Todos",datos_base!$C$10,0))*parametros_manuales!$L$100+parametros_manuales!$E$31*(datos_base!$C$19+IF(parametros_manuales!$H$31="Todos",datos_base!$C$24,0))*parametros_manuales!$L$13+parametros_manuales!$F$31*(datos_base!$C$4+IF(parametros_manuales!$H$31="Todos",datos_base!$C$11,0))*parametros_manuales!$L$105+parametros_manuales!$F$31*(datos_base!$C$20+IF(parametros_manuales!$H$31="Todos",datos_base!$C$25,0))*parametros_manuales!$L$14+parametros_manuales!$G$31*(datos_base!$C$5+IF(parametros_manuales!$H$31="Todos",datos_base!$C$12,0))*parametros_manuales!$L$110+parametros_manuales!$G$31*(datos_base!$C$21+IF(parametros_manuales!$H$31="Todos",datos_base!$C$26,0))*parametros_manuales!$L$15)*parametros_manuales!$I$31*parametros_manuales!$J$31</f>
        <v>19.434423689</v>
      </c>
      <c r="M41" s="9" t="n">
        <f aca="false">(parametros_manuales!$D$31*(datos_base!$C$2+IF(parametros_manuales!$H$31="Todos",datos_base!$C$9,0))*parametros_manuales!$M$95+parametros_manuales!$D$31*(datos_base!$C$18+IF(parametros_manuales!$H$31="Todos",datos_base!$C$23,0))*parametros_manuales!$M$12+parametros_manuales!$E$31*(datos_base!$C$3+IF(parametros_manuales!$H$31="Todos",datos_base!$C$10,0))*parametros_manuales!$M$100+parametros_manuales!$E$31*(datos_base!$C$19+IF(parametros_manuales!$H$31="Todos",datos_base!$C$24,0))*parametros_manuales!$M$13+parametros_manuales!$F$31*(datos_base!$C$4+IF(parametros_manuales!$H$31="Todos",datos_base!$C$11,0))*parametros_manuales!$M$105+parametros_manuales!$F$31*(datos_base!$C$20+IF(parametros_manuales!$H$31="Todos",datos_base!$C$25,0))*parametros_manuales!$M$14+parametros_manuales!$G$31*(datos_base!$C$5+IF(parametros_manuales!$H$31="Todos",datos_base!$C$12,0))*parametros_manuales!$M$110+parametros_manuales!$G$31*(datos_base!$C$21+IF(parametros_manuales!$H$31="Todos",datos_base!$C$26,0))*parametros_manuales!$M$15)*parametros_manuales!$I$31*parametros_manuales!$J$31</f>
        <v>19.501943689</v>
      </c>
      <c r="N41" s="9" t="n">
        <f aca="false">SUM(B41:M41)</f>
        <v>216.3131521</v>
      </c>
      <c r="O41" s="9" t="n">
        <f aca="false">MAX(B41:M41)</f>
        <v>19.501943689</v>
      </c>
      <c r="P41" s="44" t="n">
        <f aca="false">O41/(parametros_manuales!$B$7)</f>
        <v>0.130012957926667</v>
      </c>
      <c r="Q41" s="8" t="str">
        <f aca="false">IF(O41=0,"-",INDEX($B$28:$M$28,MATCH(O41,B41:M41,0)))</f>
        <v>Dic</v>
      </c>
    </row>
    <row r="42" customFormat="false" ht="14.25" hidden="false" customHeight="true" outlineLevel="0" collapsed="false">
      <c r="A42" s="8" t="str">
        <f aca="false">parametros_manuales!$B$32</f>
        <v>Prueba hidráulica</v>
      </c>
      <c r="B42" s="9" t="n">
        <f aca="false">(parametros_manuales!$D$32*(datos_base!$C$2+IF(parametros_manuales!$H$32="Todos",datos_base!$C$9,0))*parametros_manuales!$B$95+parametros_manuales!$D$32*(datos_base!$C$18+IF(parametros_manuales!$H$32="Todos",datos_base!$C$23,0))*parametros_manuales!$B$12+parametros_manuales!$E$32*(datos_base!$C$3+IF(parametros_manuales!$H$32="Todos",datos_base!$C$10,0))*parametros_manuales!$B$100+parametros_manuales!$E$32*(datos_base!$C$19+IF(parametros_manuales!$H$32="Todos",datos_base!$C$24,0))*parametros_manuales!$B$13+parametros_manuales!$F$32*(datos_base!$C$4+IF(parametros_manuales!$H$32="Todos",datos_base!$C$11,0))*parametros_manuales!$B$105+parametros_manuales!$F$32*(datos_base!$C$20+IF(parametros_manuales!$H$32="Todos",datos_base!$C$25,0))*parametros_manuales!$B$14+parametros_manuales!$G$32*(datos_base!$C$5+IF(parametros_manuales!$H$32="Todos",datos_base!$C$12,0))*parametros_manuales!$B$110+parametros_manuales!$G$32*(datos_base!$C$21+IF(parametros_manuales!$H$32="Todos",datos_base!$C$26,0))*parametros_manuales!$B$15)*parametros_manuales!$I$32*parametros_manuales!$J$32</f>
        <v>974.25318445</v>
      </c>
      <c r="C42" s="9" t="n">
        <f aca="false">(parametros_manuales!$D$32*(datos_base!$C$2+IF(parametros_manuales!$H$32="Todos",datos_base!$C$9,0))*parametros_manuales!$C$95+parametros_manuales!$D$32*(datos_base!$C$18+IF(parametros_manuales!$H$32="Todos",datos_base!$C$23,0))*parametros_manuales!$C$12+parametros_manuales!$E$32*(datos_base!$C$3+IF(parametros_manuales!$H$32="Todos",datos_base!$C$10,0))*parametros_manuales!$C$100+parametros_manuales!$E$32*(datos_base!$C$19+IF(parametros_manuales!$H$32="Todos",datos_base!$C$24,0))*parametros_manuales!$C$13+parametros_manuales!$F$32*(datos_base!$C$4+IF(parametros_manuales!$H$32="Todos",datos_base!$C$11,0))*parametros_manuales!$C$105+parametros_manuales!$F$32*(datos_base!$C$20+IF(parametros_manuales!$H$32="Todos",datos_base!$C$25,0))*parametros_manuales!$C$14+parametros_manuales!$G$32*(datos_base!$C$5+IF(parametros_manuales!$H$32="Todos",datos_base!$C$12,0))*parametros_manuales!$C$110+parametros_manuales!$G$32*(datos_base!$C$21+IF(parametros_manuales!$H$32="Todos",datos_base!$C$26,0))*parametros_manuales!$C$15)*parametros_manuales!$I$32*parametros_manuales!$J$32</f>
        <v>925.22564817</v>
      </c>
      <c r="D42" s="9" t="n">
        <f aca="false">(parametros_manuales!$D$32*(datos_base!$C$2+IF(parametros_manuales!$H$32="Todos",datos_base!$C$9,0))*parametros_manuales!$D$95+parametros_manuales!$D$32*(datos_base!$C$18+IF(parametros_manuales!$H$32="Todos",datos_base!$C$23,0))*parametros_manuales!$D$12+parametros_manuales!$E$32*(datos_base!$C$3+IF(parametros_manuales!$H$32="Todos",datos_base!$C$10,0))*parametros_manuales!$D$100+parametros_manuales!$E$32*(datos_base!$C$19+IF(parametros_manuales!$H$32="Todos",datos_base!$C$24,0))*parametros_manuales!$D$13+parametros_manuales!$F$32*(datos_base!$C$4+IF(parametros_manuales!$H$32="Todos",datos_base!$C$11,0))*parametros_manuales!$D$105+parametros_manuales!$F$32*(datos_base!$C$20+IF(parametros_manuales!$H$32="Todos",datos_base!$C$25,0))*parametros_manuales!$D$14+parametros_manuales!$G$32*(datos_base!$C$5+IF(parametros_manuales!$H$32="Todos",datos_base!$C$12,0))*parametros_manuales!$D$110+parametros_manuales!$G$32*(datos_base!$C$21+IF(parametros_manuales!$H$32="Todos",datos_base!$C$26,0))*parametros_manuales!$D$15)*parametros_manuales!$I$32*parametros_manuales!$J$32</f>
        <v>889.34437654</v>
      </c>
      <c r="E42" s="9" t="n">
        <f aca="false">(parametros_manuales!$D$32*(datos_base!$C$2+IF(parametros_manuales!$H$32="Todos",datos_base!$C$9,0))*parametros_manuales!$E$95+parametros_manuales!$D$32*(datos_base!$C$18+IF(parametros_manuales!$H$32="Todos",datos_base!$C$23,0))*parametros_manuales!$E$12+parametros_manuales!$E$32*(datos_base!$C$3+IF(parametros_manuales!$H$32="Todos",datos_base!$C$10,0))*parametros_manuales!$E$100+parametros_manuales!$E$32*(datos_base!$C$19+IF(parametros_manuales!$H$32="Todos",datos_base!$C$24,0))*parametros_manuales!$E$13+parametros_manuales!$F$32*(datos_base!$C$4+IF(parametros_manuales!$H$32="Todos",datos_base!$C$11,0))*parametros_manuales!$E$105+parametros_manuales!$F$32*(datos_base!$C$20+IF(parametros_manuales!$H$32="Todos",datos_base!$C$25,0))*parametros_manuales!$E$14+parametros_manuales!$G$32*(datos_base!$C$5+IF(parametros_manuales!$H$32="Todos",datos_base!$C$12,0))*parametros_manuales!$E$110+parametros_manuales!$G$32*(datos_base!$C$21+IF(parametros_manuales!$H$32="Todos",datos_base!$C$26,0))*parametros_manuales!$E$15)*parametros_manuales!$I$32*parametros_manuales!$J$32</f>
        <v>859.357856655</v>
      </c>
      <c r="F42" s="9" t="n">
        <f aca="false">(parametros_manuales!$D$32*(datos_base!$C$2+IF(parametros_manuales!$H$32="Todos",datos_base!$C$9,0))*parametros_manuales!$F$95+parametros_manuales!$D$32*(datos_base!$C$18+IF(parametros_manuales!$H$32="Todos",datos_base!$C$23,0))*parametros_manuales!$F$12+parametros_manuales!$E$32*(datos_base!$C$3+IF(parametros_manuales!$H$32="Todos",datos_base!$C$10,0))*parametros_manuales!$F$100+parametros_manuales!$E$32*(datos_base!$C$19+IF(parametros_manuales!$H$32="Todos",datos_base!$C$24,0))*parametros_manuales!$F$13+parametros_manuales!$F$32*(datos_base!$C$4+IF(parametros_manuales!$H$32="Todos",datos_base!$C$11,0))*parametros_manuales!$F$105+parametros_manuales!$F$32*(datos_base!$C$20+IF(parametros_manuales!$H$32="Todos",datos_base!$C$25,0))*parametros_manuales!$F$14+parametros_manuales!$G$32*(datos_base!$C$5+IF(parametros_manuales!$H$32="Todos",datos_base!$C$12,0))*parametros_manuales!$F$110+parametros_manuales!$G$32*(datos_base!$C$21+IF(parametros_manuales!$H$32="Todos",datos_base!$C$26,0))*parametros_manuales!$F$15)*parametros_manuales!$I$32*parametros_manuales!$J$32</f>
        <v>805.27956863</v>
      </c>
      <c r="G42" s="9" t="n">
        <f aca="false">(parametros_manuales!$D$32*(datos_base!$C$2+IF(parametros_manuales!$H$32="Todos",datos_base!$C$9,0))*parametros_manuales!$G$95+parametros_manuales!$D$32*(datos_base!$C$18+IF(parametros_manuales!$H$32="Todos",datos_base!$C$23,0))*parametros_manuales!$G$12+parametros_manuales!$E$32*(datos_base!$C$3+IF(parametros_manuales!$H$32="Todos",datos_base!$C$10,0))*parametros_manuales!$G$100+parametros_manuales!$E$32*(datos_base!$C$19+IF(parametros_manuales!$H$32="Todos",datos_base!$C$24,0))*parametros_manuales!$G$13+parametros_manuales!$F$32*(datos_base!$C$4+IF(parametros_manuales!$H$32="Todos",datos_base!$C$11,0))*parametros_manuales!$G$105+parametros_manuales!$F$32*(datos_base!$C$20+IF(parametros_manuales!$H$32="Todos",datos_base!$C$25,0))*parametros_manuales!$G$14+parametros_manuales!$G$32*(datos_base!$C$5+IF(parametros_manuales!$H$32="Todos",datos_base!$C$12,0))*parametros_manuales!$G$110+parametros_manuales!$G$32*(datos_base!$C$21+IF(parametros_manuales!$H$32="Todos",datos_base!$C$26,0))*parametros_manuales!$G$15)*parametros_manuales!$I$32*parametros_manuales!$J$32</f>
        <v>781.18780049</v>
      </c>
      <c r="H42" s="9" t="n">
        <f aca="false">(parametros_manuales!$D$32*(datos_base!$C$2+IF(parametros_manuales!$H$32="Todos",datos_base!$C$9,0))*parametros_manuales!$H$95+parametros_manuales!$D$32*(datos_base!$C$18+IF(parametros_manuales!$H$32="Todos",datos_base!$C$23,0))*parametros_manuales!$H$12+parametros_manuales!$E$32*(datos_base!$C$3+IF(parametros_manuales!$H$32="Todos",datos_base!$C$10,0))*parametros_manuales!$H$100+parametros_manuales!$E$32*(datos_base!$C$19+IF(parametros_manuales!$H$32="Todos",datos_base!$C$24,0))*parametros_manuales!$H$13+parametros_manuales!$F$32*(datos_base!$C$4+IF(parametros_manuales!$H$32="Todos",datos_base!$C$11,0))*parametros_manuales!$H$105+parametros_manuales!$F$32*(datos_base!$C$20+IF(parametros_manuales!$H$32="Todos",datos_base!$C$25,0))*parametros_manuales!$H$14+parametros_manuales!$G$32*(datos_base!$C$5+IF(parametros_manuales!$H$32="Todos",datos_base!$C$12,0))*parametros_manuales!$H$110+parametros_manuales!$G$32*(datos_base!$C$21+IF(parametros_manuales!$H$32="Todos",datos_base!$C$26,0))*parametros_manuales!$H$15)*parametros_manuales!$I$32*parametros_manuales!$J$32</f>
        <v>835.266088515</v>
      </c>
      <c r="I42" s="9" t="n">
        <f aca="false">(parametros_manuales!$D$32*(datos_base!$C$2+IF(parametros_manuales!$H$32="Todos",datos_base!$C$9,0))*parametros_manuales!$I$95+parametros_manuales!$D$32*(datos_base!$C$18+IF(parametros_manuales!$H$32="Todos",datos_base!$C$23,0))*parametros_manuales!$I$12+parametros_manuales!$E$32*(datos_base!$C$3+IF(parametros_manuales!$H$32="Todos",datos_base!$C$10,0))*parametros_manuales!$I$100+parametros_manuales!$E$32*(datos_base!$C$19+IF(parametros_manuales!$H$32="Todos",datos_base!$C$24,0))*parametros_manuales!$I$13+parametros_manuales!$F$32*(datos_base!$C$4+IF(parametros_manuales!$H$32="Todos",datos_base!$C$11,0))*parametros_manuales!$I$105+parametros_manuales!$F$32*(datos_base!$C$20+IF(parametros_manuales!$H$32="Todos",datos_base!$C$25,0))*parametros_manuales!$I$14+parametros_manuales!$G$32*(datos_base!$C$5+IF(parametros_manuales!$H$32="Todos",datos_base!$C$12,0))*parametros_manuales!$I$110+parametros_manuales!$G$32*(datos_base!$C$21+IF(parametros_manuales!$H$32="Todos",datos_base!$C$26,0))*parametros_manuales!$I$15)*parametros_manuales!$I$32*parametros_manuales!$J$32</f>
        <v>925.22564817</v>
      </c>
      <c r="J42" s="9" t="n">
        <f aca="false">(parametros_manuales!$D$32*(datos_base!$C$2+IF(parametros_manuales!$H$32="Todos",datos_base!$C$9,0))*parametros_manuales!$J$95+parametros_manuales!$D$32*(datos_base!$C$18+IF(parametros_manuales!$H$32="Todos",datos_base!$C$23,0))*parametros_manuales!$J$12+parametros_manuales!$E$32*(datos_base!$C$3+IF(parametros_manuales!$H$32="Todos",datos_base!$C$10,0))*parametros_manuales!$J$100+parametros_manuales!$E$32*(datos_base!$C$19+IF(parametros_manuales!$H$32="Todos",datos_base!$C$24,0))*parametros_manuales!$J$13+parametros_manuales!$F$32*(datos_base!$C$4+IF(parametros_manuales!$H$32="Todos",datos_base!$C$11,0))*parametros_manuales!$J$105+parametros_manuales!$F$32*(datos_base!$C$20+IF(parametros_manuales!$H$32="Todos",datos_base!$C$25,0))*parametros_manuales!$J$14+parametros_manuales!$G$32*(datos_base!$C$5+IF(parametros_manuales!$H$32="Todos",datos_base!$C$12,0))*parametros_manuales!$J$110+parametros_manuales!$G$32*(datos_base!$C$21+IF(parametros_manuales!$H$32="Todos",datos_base!$C$26,0))*parametros_manuales!$J$15)*parametros_manuales!$I$32*parametros_manuales!$J$32</f>
        <v>925.22564817</v>
      </c>
      <c r="K42" s="9" t="n">
        <f aca="false">(parametros_manuales!$D$32*(datos_base!$C$2+IF(parametros_manuales!$H$32="Todos",datos_base!$C$9,0))*parametros_manuales!$K$95+parametros_manuales!$D$32*(datos_base!$C$18+IF(parametros_manuales!$H$32="Todos",datos_base!$C$23,0))*parametros_manuales!$K$12+parametros_manuales!$E$32*(datos_base!$C$3+IF(parametros_manuales!$H$32="Todos",datos_base!$C$10,0))*parametros_manuales!$K$100+parametros_manuales!$E$32*(datos_base!$C$19+IF(parametros_manuales!$H$32="Todos",datos_base!$C$24,0))*parametros_manuales!$K$13+parametros_manuales!$F$32*(datos_base!$C$4+IF(parametros_manuales!$H$32="Todos",datos_base!$C$11,0))*parametros_manuales!$K$105+parametros_manuales!$F$32*(datos_base!$C$20+IF(parametros_manuales!$H$32="Todos",datos_base!$C$25,0))*parametros_manuales!$K$14+parametros_manuales!$G$32*(datos_base!$C$5+IF(parametros_manuales!$H$32="Todos",datos_base!$C$12,0))*parametros_manuales!$K$110+parametros_manuales!$G$32*(datos_base!$C$21+IF(parametros_manuales!$H$32="Todos",datos_base!$C$26,0))*parametros_manuales!$K$15)*parametros_manuales!$I$32*parametros_manuales!$J$32</f>
        <v>948.47341631</v>
      </c>
      <c r="L42" s="9" t="n">
        <f aca="false">(parametros_manuales!$D$32*(datos_base!$C$2+IF(parametros_manuales!$H$32="Todos",datos_base!$C$9,0))*parametros_manuales!$L$95+parametros_manuales!$D$32*(datos_base!$C$18+IF(parametros_manuales!$H$32="Todos",datos_base!$C$23,0))*parametros_manuales!$L$12+parametros_manuales!$E$32*(datos_base!$C$3+IF(parametros_manuales!$H$32="Todos",datos_base!$C$10,0))*parametros_manuales!$L$100+parametros_manuales!$E$32*(datos_base!$C$19+IF(parametros_manuales!$H$32="Todos",datos_base!$C$24,0))*parametros_manuales!$L$13+parametros_manuales!$F$32*(datos_base!$C$4+IF(parametros_manuales!$H$32="Todos",datos_base!$C$11,0))*parametros_manuales!$L$105+parametros_manuales!$F$32*(datos_base!$C$20+IF(parametros_manuales!$H$32="Todos",datos_base!$C$25,0))*parametros_manuales!$L$14+parametros_manuales!$G$32*(datos_base!$C$5+IF(parametros_manuales!$H$32="Todos",datos_base!$C$12,0))*parametros_manuales!$L$110+parametros_manuales!$G$32*(datos_base!$C$21+IF(parametros_manuales!$H$32="Todos",datos_base!$C$26,0))*parametros_manuales!$L$15)*parametros_manuales!$I$32*parametros_manuales!$J$32</f>
        <v>971.72118445</v>
      </c>
      <c r="M42" s="9" t="n">
        <f aca="false">(parametros_manuales!$D$32*(datos_base!$C$2+IF(parametros_manuales!$H$32="Todos",datos_base!$C$9,0))*parametros_manuales!$M$95+parametros_manuales!$D$32*(datos_base!$C$18+IF(parametros_manuales!$H$32="Todos",datos_base!$C$23,0))*parametros_manuales!$M$12+parametros_manuales!$E$32*(datos_base!$C$3+IF(parametros_manuales!$H$32="Todos",datos_base!$C$10,0))*parametros_manuales!$M$100+parametros_manuales!$E$32*(datos_base!$C$19+IF(parametros_manuales!$H$32="Todos",datos_base!$C$24,0))*parametros_manuales!$M$13+parametros_manuales!$F$32*(datos_base!$C$4+IF(parametros_manuales!$H$32="Todos",datos_base!$C$11,0))*parametros_manuales!$M$105+parametros_manuales!$F$32*(datos_base!$C$20+IF(parametros_manuales!$H$32="Todos",datos_base!$C$25,0))*parametros_manuales!$M$14+parametros_manuales!$G$32*(datos_base!$C$5+IF(parametros_manuales!$H$32="Todos",datos_base!$C$12,0))*parametros_manuales!$M$110+parametros_manuales!$G$32*(datos_base!$C$21+IF(parametros_manuales!$H$32="Todos",datos_base!$C$26,0))*parametros_manuales!$M$15)*parametros_manuales!$I$32*parametros_manuales!$J$32</f>
        <v>975.09718445</v>
      </c>
      <c r="N42" s="9" t="n">
        <f aca="false">SUM(B42:M42)</f>
        <v>10815.657605</v>
      </c>
      <c r="O42" s="9" t="n">
        <f aca="false">MAX(B42:M42)</f>
        <v>975.09718445</v>
      </c>
      <c r="P42" s="44" t="n">
        <f aca="false">O42/(parametros_manuales!$B$7)</f>
        <v>6.50064789633333</v>
      </c>
      <c r="Q42" s="8" t="str">
        <f aca="false">IF(O42=0,"-",INDEX($B$28:$M$28,MATCH(O42,B42:M42,0)))</f>
        <v>Dic</v>
      </c>
    </row>
    <row r="43" customFormat="false" ht="14.25" hidden="false" customHeight="true" outlineLevel="0" collapsed="false">
      <c r="A43" s="8" t="str">
        <f aca="false">parametros_manuales!$B$33</f>
        <v>Secado</v>
      </c>
      <c r="B43" s="9" t="n">
        <f aca="false">(parametros_manuales!$D$33*(datos_base!$C$2+IF(parametros_manuales!$H$33="Todos",datos_base!$C$9,0))*parametros_manuales!$B$95+parametros_manuales!$D$33*(datos_base!$C$18+IF(parametros_manuales!$H$33="Todos",datos_base!$C$23,0))*parametros_manuales!$B$12+parametros_manuales!$E$33*(datos_base!$C$3+IF(parametros_manuales!$H$33="Todos",datos_base!$C$10,0))*parametros_manuales!$B$100+parametros_manuales!$E$33*(datos_base!$C$19+IF(parametros_manuales!$H$33="Todos",datos_base!$C$24,0))*parametros_manuales!$B$13+parametros_manuales!$F$33*(datos_base!$C$4+IF(parametros_manuales!$H$33="Todos",datos_base!$C$11,0))*parametros_manuales!$B$105+parametros_manuales!$F$33*(datos_base!$C$20+IF(parametros_manuales!$H$33="Todos",datos_base!$C$25,0))*parametros_manuales!$B$14+parametros_manuales!$G$33*(datos_base!$C$5+IF(parametros_manuales!$H$33="Todos",datos_base!$C$12,0))*parametros_manuales!$B$110+parametros_manuales!$G$33*(datos_base!$C$21+IF(parametros_manuales!$H$33="Todos",datos_base!$C$26,0))*parametros_manuales!$B$15)*parametros_manuales!$I$33*parametros_manuales!$J$33</f>
        <v>974.25318445</v>
      </c>
      <c r="C43" s="9" t="n">
        <f aca="false">(parametros_manuales!$D$33*(datos_base!$C$2+IF(parametros_manuales!$H$33="Todos",datos_base!$C$9,0))*parametros_manuales!$C$95+parametros_manuales!$D$33*(datos_base!$C$18+IF(parametros_manuales!$H$33="Todos",datos_base!$C$23,0))*parametros_manuales!$C$12+parametros_manuales!$E$33*(datos_base!$C$3+IF(parametros_manuales!$H$33="Todos",datos_base!$C$10,0))*parametros_manuales!$C$100+parametros_manuales!$E$33*(datos_base!$C$19+IF(parametros_manuales!$H$33="Todos",datos_base!$C$24,0))*parametros_manuales!$C$13+parametros_manuales!$F$33*(datos_base!$C$4+IF(parametros_manuales!$H$33="Todos",datos_base!$C$11,0))*parametros_manuales!$C$105+parametros_manuales!$F$33*(datos_base!$C$20+IF(parametros_manuales!$H$33="Todos",datos_base!$C$25,0))*parametros_manuales!$C$14+parametros_manuales!$G$33*(datos_base!$C$5+IF(parametros_manuales!$H$33="Todos",datos_base!$C$12,0))*parametros_manuales!$C$110+parametros_manuales!$G$33*(datos_base!$C$21+IF(parametros_manuales!$H$33="Todos",datos_base!$C$26,0))*parametros_manuales!$C$15)*parametros_manuales!$I$33*parametros_manuales!$J$33</f>
        <v>925.22564817</v>
      </c>
      <c r="D43" s="9" t="n">
        <f aca="false">(parametros_manuales!$D$33*(datos_base!$C$2+IF(parametros_manuales!$H$33="Todos",datos_base!$C$9,0))*parametros_manuales!$D$95+parametros_manuales!$D$33*(datos_base!$C$18+IF(parametros_manuales!$H$33="Todos",datos_base!$C$23,0))*parametros_manuales!$D$12+parametros_manuales!$E$33*(datos_base!$C$3+IF(parametros_manuales!$H$33="Todos",datos_base!$C$10,0))*parametros_manuales!$D$100+parametros_manuales!$E$33*(datos_base!$C$19+IF(parametros_manuales!$H$33="Todos",datos_base!$C$24,0))*parametros_manuales!$D$13+parametros_manuales!$F$33*(datos_base!$C$4+IF(parametros_manuales!$H$33="Todos",datos_base!$C$11,0))*parametros_manuales!$D$105+parametros_manuales!$F$33*(datos_base!$C$20+IF(parametros_manuales!$H$33="Todos",datos_base!$C$25,0))*parametros_manuales!$D$14+parametros_manuales!$G$33*(datos_base!$C$5+IF(parametros_manuales!$H$33="Todos",datos_base!$C$12,0))*parametros_manuales!$D$110+parametros_manuales!$G$33*(datos_base!$C$21+IF(parametros_manuales!$H$33="Todos",datos_base!$C$26,0))*parametros_manuales!$D$15)*parametros_manuales!$I$33*parametros_manuales!$J$33</f>
        <v>889.34437654</v>
      </c>
      <c r="E43" s="9" t="n">
        <f aca="false">(parametros_manuales!$D$33*(datos_base!$C$2+IF(parametros_manuales!$H$33="Todos",datos_base!$C$9,0))*parametros_manuales!$E$95+parametros_manuales!$D$33*(datos_base!$C$18+IF(parametros_manuales!$H$33="Todos",datos_base!$C$23,0))*parametros_manuales!$E$12+parametros_manuales!$E$33*(datos_base!$C$3+IF(parametros_manuales!$H$33="Todos",datos_base!$C$10,0))*parametros_manuales!$E$100+parametros_manuales!$E$33*(datos_base!$C$19+IF(parametros_manuales!$H$33="Todos",datos_base!$C$24,0))*parametros_manuales!$E$13+parametros_manuales!$F$33*(datos_base!$C$4+IF(parametros_manuales!$H$33="Todos",datos_base!$C$11,0))*parametros_manuales!$E$105+parametros_manuales!$F$33*(datos_base!$C$20+IF(parametros_manuales!$H$33="Todos",datos_base!$C$25,0))*parametros_manuales!$E$14+parametros_manuales!$G$33*(datos_base!$C$5+IF(parametros_manuales!$H$33="Todos",datos_base!$C$12,0))*parametros_manuales!$E$110+parametros_manuales!$G$33*(datos_base!$C$21+IF(parametros_manuales!$H$33="Todos",datos_base!$C$26,0))*parametros_manuales!$E$15)*parametros_manuales!$I$33*parametros_manuales!$J$33</f>
        <v>859.357856655</v>
      </c>
      <c r="F43" s="9" t="n">
        <f aca="false">(parametros_manuales!$D$33*(datos_base!$C$2+IF(parametros_manuales!$H$33="Todos",datos_base!$C$9,0))*parametros_manuales!$F$95+parametros_manuales!$D$33*(datos_base!$C$18+IF(parametros_manuales!$H$33="Todos",datos_base!$C$23,0))*parametros_manuales!$F$12+parametros_manuales!$E$33*(datos_base!$C$3+IF(parametros_manuales!$H$33="Todos",datos_base!$C$10,0))*parametros_manuales!$F$100+parametros_manuales!$E$33*(datos_base!$C$19+IF(parametros_manuales!$H$33="Todos",datos_base!$C$24,0))*parametros_manuales!$F$13+parametros_manuales!$F$33*(datos_base!$C$4+IF(parametros_manuales!$H$33="Todos",datos_base!$C$11,0))*parametros_manuales!$F$105+parametros_manuales!$F$33*(datos_base!$C$20+IF(parametros_manuales!$H$33="Todos",datos_base!$C$25,0))*parametros_manuales!$F$14+parametros_manuales!$G$33*(datos_base!$C$5+IF(parametros_manuales!$H$33="Todos",datos_base!$C$12,0))*parametros_manuales!$F$110+parametros_manuales!$G$33*(datos_base!$C$21+IF(parametros_manuales!$H$33="Todos",datos_base!$C$26,0))*parametros_manuales!$F$15)*parametros_manuales!$I$33*parametros_manuales!$J$33</f>
        <v>805.27956863</v>
      </c>
      <c r="G43" s="9" t="n">
        <f aca="false">(parametros_manuales!$D$33*(datos_base!$C$2+IF(parametros_manuales!$H$33="Todos",datos_base!$C$9,0))*parametros_manuales!$G$95+parametros_manuales!$D$33*(datos_base!$C$18+IF(parametros_manuales!$H$33="Todos",datos_base!$C$23,0))*parametros_manuales!$G$12+parametros_manuales!$E$33*(datos_base!$C$3+IF(parametros_manuales!$H$33="Todos",datos_base!$C$10,0))*parametros_manuales!$G$100+parametros_manuales!$E$33*(datos_base!$C$19+IF(parametros_manuales!$H$33="Todos",datos_base!$C$24,0))*parametros_manuales!$G$13+parametros_manuales!$F$33*(datos_base!$C$4+IF(parametros_manuales!$H$33="Todos",datos_base!$C$11,0))*parametros_manuales!$G$105+parametros_manuales!$F$33*(datos_base!$C$20+IF(parametros_manuales!$H$33="Todos",datos_base!$C$25,0))*parametros_manuales!$G$14+parametros_manuales!$G$33*(datos_base!$C$5+IF(parametros_manuales!$H$33="Todos",datos_base!$C$12,0))*parametros_manuales!$G$110+parametros_manuales!$G$33*(datos_base!$C$21+IF(parametros_manuales!$H$33="Todos",datos_base!$C$26,0))*parametros_manuales!$G$15)*parametros_manuales!$I$33*parametros_manuales!$J$33</f>
        <v>781.18780049</v>
      </c>
      <c r="H43" s="9" t="n">
        <f aca="false">(parametros_manuales!$D$33*(datos_base!$C$2+IF(parametros_manuales!$H$33="Todos",datos_base!$C$9,0))*parametros_manuales!$H$95+parametros_manuales!$D$33*(datos_base!$C$18+IF(parametros_manuales!$H$33="Todos",datos_base!$C$23,0))*parametros_manuales!$H$12+parametros_manuales!$E$33*(datos_base!$C$3+IF(parametros_manuales!$H$33="Todos",datos_base!$C$10,0))*parametros_manuales!$H$100+parametros_manuales!$E$33*(datos_base!$C$19+IF(parametros_manuales!$H$33="Todos",datos_base!$C$24,0))*parametros_manuales!$H$13+parametros_manuales!$F$33*(datos_base!$C$4+IF(parametros_manuales!$H$33="Todos",datos_base!$C$11,0))*parametros_manuales!$H$105+parametros_manuales!$F$33*(datos_base!$C$20+IF(parametros_manuales!$H$33="Todos",datos_base!$C$25,0))*parametros_manuales!$H$14+parametros_manuales!$G$33*(datos_base!$C$5+IF(parametros_manuales!$H$33="Todos",datos_base!$C$12,0))*parametros_manuales!$H$110+parametros_manuales!$G$33*(datos_base!$C$21+IF(parametros_manuales!$H$33="Todos",datos_base!$C$26,0))*parametros_manuales!$H$15)*parametros_manuales!$I$33*parametros_manuales!$J$33</f>
        <v>835.266088515</v>
      </c>
      <c r="I43" s="9" t="n">
        <f aca="false">(parametros_manuales!$D$33*(datos_base!$C$2+IF(parametros_manuales!$H$33="Todos",datos_base!$C$9,0))*parametros_manuales!$I$95+parametros_manuales!$D$33*(datos_base!$C$18+IF(parametros_manuales!$H$33="Todos",datos_base!$C$23,0))*parametros_manuales!$I$12+parametros_manuales!$E$33*(datos_base!$C$3+IF(parametros_manuales!$H$33="Todos",datos_base!$C$10,0))*parametros_manuales!$I$100+parametros_manuales!$E$33*(datos_base!$C$19+IF(parametros_manuales!$H$33="Todos",datos_base!$C$24,0))*parametros_manuales!$I$13+parametros_manuales!$F$33*(datos_base!$C$4+IF(parametros_manuales!$H$33="Todos",datos_base!$C$11,0))*parametros_manuales!$I$105+parametros_manuales!$F$33*(datos_base!$C$20+IF(parametros_manuales!$H$33="Todos",datos_base!$C$25,0))*parametros_manuales!$I$14+parametros_manuales!$G$33*(datos_base!$C$5+IF(parametros_manuales!$H$33="Todos",datos_base!$C$12,0))*parametros_manuales!$I$110+parametros_manuales!$G$33*(datos_base!$C$21+IF(parametros_manuales!$H$33="Todos",datos_base!$C$26,0))*parametros_manuales!$I$15)*parametros_manuales!$I$33*parametros_manuales!$J$33</f>
        <v>925.22564817</v>
      </c>
      <c r="J43" s="9" t="n">
        <f aca="false">(parametros_manuales!$D$33*(datos_base!$C$2+IF(parametros_manuales!$H$33="Todos",datos_base!$C$9,0))*parametros_manuales!$J$95+parametros_manuales!$D$33*(datos_base!$C$18+IF(parametros_manuales!$H$33="Todos",datos_base!$C$23,0))*parametros_manuales!$J$12+parametros_manuales!$E$33*(datos_base!$C$3+IF(parametros_manuales!$H$33="Todos",datos_base!$C$10,0))*parametros_manuales!$J$100+parametros_manuales!$E$33*(datos_base!$C$19+IF(parametros_manuales!$H$33="Todos",datos_base!$C$24,0))*parametros_manuales!$J$13+parametros_manuales!$F$33*(datos_base!$C$4+IF(parametros_manuales!$H$33="Todos",datos_base!$C$11,0))*parametros_manuales!$J$105+parametros_manuales!$F$33*(datos_base!$C$20+IF(parametros_manuales!$H$33="Todos",datos_base!$C$25,0))*parametros_manuales!$J$14+parametros_manuales!$G$33*(datos_base!$C$5+IF(parametros_manuales!$H$33="Todos",datos_base!$C$12,0))*parametros_manuales!$J$110+parametros_manuales!$G$33*(datos_base!$C$21+IF(parametros_manuales!$H$33="Todos",datos_base!$C$26,0))*parametros_manuales!$J$15)*parametros_manuales!$I$33*parametros_manuales!$J$33</f>
        <v>925.22564817</v>
      </c>
      <c r="K43" s="9" t="n">
        <f aca="false">(parametros_manuales!$D$33*(datos_base!$C$2+IF(parametros_manuales!$H$33="Todos",datos_base!$C$9,0))*parametros_manuales!$K$95+parametros_manuales!$D$33*(datos_base!$C$18+IF(parametros_manuales!$H$33="Todos",datos_base!$C$23,0))*parametros_manuales!$K$12+parametros_manuales!$E$33*(datos_base!$C$3+IF(parametros_manuales!$H$33="Todos",datos_base!$C$10,0))*parametros_manuales!$K$100+parametros_manuales!$E$33*(datos_base!$C$19+IF(parametros_manuales!$H$33="Todos",datos_base!$C$24,0))*parametros_manuales!$K$13+parametros_manuales!$F$33*(datos_base!$C$4+IF(parametros_manuales!$H$33="Todos",datos_base!$C$11,0))*parametros_manuales!$K$105+parametros_manuales!$F$33*(datos_base!$C$20+IF(parametros_manuales!$H$33="Todos",datos_base!$C$25,0))*parametros_manuales!$K$14+parametros_manuales!$G$33*(datos_base!$C$5+IF(parametros_manuales!$H$33="Todos",datos_base!$C$12,0))*parametros_manuales!$K$110+parametros_manuales!$G$33*(datos_base!$C$21+IF(parametros_manuales!$H$33="Todos",datos_base!$C$26,0))*parametros_manuales!$K$15)*parametros_manuales!$I$33*parametros_manuales!$J$33</f>
        <v>948.47341631</v>
      </c>
      <c r="L43" s="9" t="n">
        <f aca="false">(parametros_manuales!$D$33*(datos_base!$C$2+IF(parametros_manuales!$H$33="Todos",datos_base!$C$9,0))*parametros_manuales!$L$95+parametros_manuales!$D$33*(datos_base!$C$18+IF(parametros_manuales!$H$33="Todos",datos_base!$C$23,0))*parametros_manuales!$L$12+parametros_manuales!$E$33*(datos_base!$C$3+IF(parametros_manuales!$H$33="Todos",datos_base!$C$10,0))*parametros_manuales!$L$100+parametros_manuales!$E$33*(datos_base!$C$19+IF(parametros_manuales!$H$33="Todos",datos_base!$C$24,0))*parametros_manuales!$L$13+parametros_manuales!$F$33*(datos_base!$C$4+IF(parametros_manuales!$H$33="Todos",datos_base!$C$11,0))*parametros_manuales!$L$105+parametros_manuales!$F$33*(datos_base!$C$20+IF(parametros_manuales!$H$33="Todos",datos_base!$C$25,0))*parametros_manuales!$L$14+parametros_manuales!$G$33*(datos_base!$C$5+IF(parametros_manuales!$H$33="Todos",datos_base!$C$12,0))*parametros_manuales!$L$110+parametros_manuales!$G$33*(datos_base!$C$21+IF(parametros_manuales!$H$33="Todos",datos_base!$C$26,0))*parametros_manuales!$L$15)*parametros_manuales!$I$33*parametros_manuales!$J$33</f>
        <v>971.72118445</v>
      </c>
      <c r="M43" s="9" t="n">
        <f aca="false">(parametros_manuales!$D$33*(datos_base!$C$2+IF(parametros_manuales!$H$33="Todos",datos_base!$C$9,0))*parametros_manuales!$M$95+parametros_manuales!$D$33*(datos_base!$C$18+IF(parametros_manuales!$H$33="Todos",datos_base!$C$23,0))*parametros_manuales!$M$12+parametros_manuales!$E$33*(datos_base!$C$3+IF(parametros_manuales!$H$33="Todos",datos_base!$C$10,0))*parametros_manuales!$M$100+parametros_manuales!$E$33*(datos_base!$C$19+IF(parametros_manuales!$H$33="Todos",datos_base!$C$24,0))*parametros_manuales!$M$13+parametros_manuales!$F$33*(datos_base!$C$4+IF(parametros_manuales!$H$33="Todos",datos_base!$C$11,0))*parametros_manuales!$M$105+parametros_manuales!$F$33*(datos_base!$C$20+IF(parametros_manuales!$H$33="Todos",datos_base!$C$25,0))*parametros_manuales!$M$14+parametros_manuales!$G$33*(datos_base!$C$5+IF(parametros_manuales!$H$33="Todos",datos_base!$C$12,0))*parametros_manuales!$M$110+parametros_manuales!$G$33*(datos_base!$C$21+IF(parametros_manuales!$H$33="Todos",datos_base!$C$26,0))*parametros_manuales!$M$15)*parametros_manuales!$I$33*parametros_manuales!$J$33</f>
        <v>975.09718445</v>
      </c>
      <c r="N43" s="9" t="n">
        <f aca="false">SUM(B43:M43)</f>
        <v>10815.657605</v>
      </c>
      <c r="O43" s="9" t="n">
        <f aca="false">MAX(B43:M43)</f>
        <v>975.09718445</v>
      </c>
      <c r="P43" s="44" t="n">
        <f aca="false">O43/(parametros_manuales!$B$7)</f>
        <v>6.50064789633333</v>
      </c>
      <c r="Q43" s="8" t="str">
        <f aca="false">IF(O43=0,"-",INDEX($B$28:$M$28,MATCH(O43,B43:M43,0)))</f>
        <v>Dic</v>
      </c>
    </row>
    <row r="44" customFormat="false" ht="14.25" hidden="false" customHeight="true" outlineLevel="0" collapsed="false">
      <c r="A44" s="8" t="str">
        <f aca="false">parametros_manuales!$B$34</f>
        <v>Granallado</v>
      </c>
      <c r="B44" s="9" t="n">
        <f aca="false">(parametros_manuales!$D$34*(datos_base!$C$2+IF(parametros_manuales!$H$34="Todos",datos_base!$C$9,0))*parametros_manuales!$B$95+parametros_manuales!$D$34*(datos_base!$C$18+IF(parametros_manuales!$H$34="Todos",datos_base!$C$23,0))*parametros_manuales!$B$12+parametros_manuales!$E$34*(datos_base!$C$3+IF(parametros_manuales!$H$34="Todos",datos_base!$C$10,0))*parametros_manuales!$B$100+parametros_manuales!$E$34*(datos_base!$C$19+IF(parametros_manuales!$H$34="Todos",datos_base!$C$24,0))*parametros_manuales!$B$13+parametros_manuales!$F$34*(datos_base!$C$4+IF(parametros_manuales!$H$34="Todos",datos_base!$C$11,0))*parametros_manuales!$B$105+parametros_manuales!$F$34*(datos_base!$C$20+IF(parametros_manuales!$H$34="Todos",datos_base!$C$25,0))*parametros_manuales!$B$14+parametros_manuales!$G$34*(datos_base!$C$5+IF(parametros_manuales!$H$34="Todos",datos_base!$C$12,0))*parametros_manuales!$B$110+parametros_manuales!$G$34*(datos_base!$C$21+IF(parametros_manuales!$H$34="Todos",datos_base!$C$26,0))*parametros_manuales!$B$15)*parametros_manuales!$I$34*parametros_manuales!$J$34</f>
        <v>974.25318445</v>
      </c>
      <c r="C44" s="9" t="n">
        <f aca="false">(parametros_manuales!$D$34*(datos_base!$C$2+IF(parametros_manuales!$H$34="Todos",datos_base!$C$9,0))*parametros_manuales!$C$95+parametros_manuales!$D$34*(datos_base!$C$18+IF(parametros_manuales!$H$34="Todos",datos_base!$C$23,0))*parametros_manuales!$C$12+parametros_manuales!$E$34*(datos_base!$C$3+IF(parametros_manuales!$H$34="Todos",datos_base!$C$10,0))*parametros_manuales!$C$100+parametros_manuales!$E$34*(datos_base!$C$19+IF(parametros_manuales!$H$34="Todos",datos_base!$C$24,0))*parametros_manuales!$C$13+parametros_manuales!$F$34*(datos_base!$C$4+IF(parametros_manuales!$H$34="Todos",datos_base!$C$11,0))*parametros_manuales!$C$105+parametros_manuales!$F$34*(datos_base!$C$20+IF(parametros_manuales!$H$34="Todos",datos_base!$C$25,0))*parametros_manuales!$C$14+parametros_manuales!$G$34*(datos_base!$C$5+IF(parametros_manuales!$H$34="Todos",datos_base!$C$12,0))*parametros_manuales!$C$110+parametros_manuales!$G$34*(datos_base!$C$21+IF(parametros_manuales!$H$34="Todos",datos_base!$C$26,0))*parametros_manuales!$C$15)*parametros_manuales!$I$34*parametros_manuales!$J$34</f>
        <v>925.22564817</v>
      </c>
      <c r="D44" s="9" t="n">
        <f aca="false">(parametros_manuales!$D$34*(datos_base!$C$2+IF(parametros_manuales!$H$34="Todos",datos_base!$C$9,0))*parametros_manuales!$D$95+parametros_manuales!$D$34*(datos_base!$C$18+IF(parametros_manuales!$H$34="Todos",datos_base!$C$23,0))*parametros_manuales!$D$12+parametros_manuales!$E$34*(datos_base!$C$3+IF(parametros_manuales!$H$34="Todos",datos_base!$C$10,0))*parametros_manuales!$D$100+parametros_manuales!$E$34*(datos_base!$C$19+IF(parametros_manuales!$H$34="Todos",datos_base!$C$24,0))*parametros_manuales!$D$13+parametros_manuales!$F$34*(datos_base!$C$4+IF(parametros_manuales!$H$34="Todos",datos_base!$C$11,0))*parametros_manuales!$D$105+parametros_manuales!$F$34*(datos_base!$C$20+IF(parametros_manuales!$H$34="Todos",datos_base!$C$25,0))*parametros_manuales!$D$14+parametros_manuales!$G$34*(datos_base!$C$5+IF(parametros_manuales!$H$34="Todos",datos_base!$C$12,0))*parametros_manuales!$D$110+parametros_manuales!$G$34*(datos_base!$C$21+IF(parametros_manuales!$H$34="Todos",datos_base!$C$26,0))*parametros_manuales!$D$15)*parametros_manuales!$I$34*parametros_manuales!$J$34</f>
        <v>889.34437654</v>
      </c>
      <c r="E44" s="9" t="n">
        <f aca="false">(parametros_manuales!$D$34*(datos_base!$C$2+IF(parametros_manuales!$H$34="Todos",datos_base!$C$9,0))*parametros_manuales!$E$95+parametros_manuales!$D$34*(datos_base!$C$18+IF(parametros_manuales!$H$34="Todos",datos_base!$C$23,0))*parametros_manuales!$E$12+parametros_manuales!$E$34*(datos_base!$C$3+IF(parametros_manuales!$H$34="Todos",datos_base!$C$10,0))*parametros_manuales!$E$100+parametros_manuales!$E$34*(datos_base!$C$19+IF(parametros_manuales!$H$34="Todos",datos_base!$C$24,0))*parametros_manuales!$E$13+parametros_manuales!$F$34*(datos_base!$C$4+IF(parametros_manuales!$H$34="Todos",datos_base!$C$11,0))*parametros_manuales!$E$105+parametros_manuales!$F$34*(datos_base!$C$20+IF(parametros_manuales!$H$34="Todos",datos_base!$C$25,0))*parametros_manuales!$E$14+parametros_manuales!$G$34*(datos_base!$C$5+IF(parametros_manuales!$H$34="Todos",datos_base!$C$12,0))*parametros_manuales!$E$110+parametros_manuales!$G$34*(datos_base!$C$21+IF(parametros_manuales!$H$34="Todos",datos_base!$C$26,0))*parametros_manuales!$E$15)*parametros_manuales!$I$34*parametros_manuales!$J$34</f>
        <v>859.357856655</v>
      </c>
      <c r="F44" s="9" t="n">
        <f aca="false">(parametros_manuales!$D$34*(datos_base!$C$2+IF(parametros_manuales!$H$34="Todos",datos_base!$C$9,0))*parametros_manuales!$F$95+parametros_manuales!$D$34*(datos_base!$C$18+IF(parametros_manuales!$H$34="Todos",datos_base!$C$23,0))*parametros_manuales!$F$12+parametros_manuales!$E$34*(datos_base!$C$3+IF(parametros_manuales!$H$34="Todos",datos_base!$C$10,0))*parametros_manuales!$F$100+parametros_manuales!$E$34*(datos_base!$C$19+IF(parametros_manuales!$H$34="Todos",datos_base!$C$24,0))*parametros_manuales!$F$13+parametros_manuales!$F$34*(datos_base!$C$4+IF(parametros_manuales!$H$34="Todos",datos_base!$C$11,0))*parametros_manuales!$F$105+parametros_manuales!$F$34*(datos_base!$C$20+IF(parametros_manuales!$H$34="Todos",datos_base!$C$25,0))*parametros_manuales!$F$14+parametros_manuales!$G$34*(datos_base!$C$5+IF(parametros_manuales!$H$34="Todos",datos_base!$C$12,0))*parametros_manuales!$F$110+parametros_manuales!$G$34*(datos_base!$C$21+IF(parametros_manuales!$H$34="Todos",datos_base!$C$26,0))*parametros_manuales!$F$15)*parametros_manuales!$I$34*parametros_manuales!$J$34</f>
        <v>805.27956863</v>
      </c>
      <c r="G44" s="9" t="n">
        <f aca="false">(parametros_manuales!$D$34*(datos_base!$C$2+IF(parametros_manuales!$H$34="Todos",datos_base!$C$9,0))*parametros_manuales!$G$95+parametros_manuales!$D$34*(datos_base!$C$18+IF(parametros_manuales!$H$34="Todos",datos_base!$C$23,0))*parametros_manuales!$G$12+parametros_manuales!$E$34*(datos_base!$C$3+IF(parametros_manuales!$H$34="Todos",datos_base!$C$10,0))*parametros_manuales!$G$100+parametros_manuales!$E$34*(datos_base!$C$19+IF(parametros_manuales!$H$34="Todos",datos_base!$C$24,0))*parametros_manuales!$G$13+parametros_manuales!$F$34*(datos_base!$C$4+IF(parametros_manuales!$H$34="Todos",datos_base!$C$11,0))*parametros_manuales!$G$105+parametros_manuales!$F$34*(datos_base!$C$20+IF(parametros_manuales!$H$34="Todos",datos_base!$C$25,0))*parametros_manuales!$G$14+parametros_manuales!$G$34*(datos_base!$C$5+IF(parametros_manuales!$H$34="Todos",datos_base!$C$12,0))*parametros_manuales!$G$110+parametros_manuales!$G$34*(datos_base!$C$21+IF(parametros_manuales!$H$34="Todos",datos_base!$C$26,0))*parametros_manuales!$G$15)*parametros_manuales!$I$34*parametros_manuales!$J$34</f>
        <v>781.18780049</v>
      </c>
      <c r="H44" s="9" t="n">
        <f aca="false">(parametros_manuales!$D$34*(datos_base!$C$2+IF(parametros_manuales!$H$34="Todos",datos_base!$C$9,0))*parametros_manuales!$H$95+parametros_manuales!$D$34*(datos_base!$C$18+IF(parametros_manuales!$H$34="Todos",datos_base!$C$23,0))*parametros_manuales!$H$12+parametros_manuales!$E$34*(datos_base!$C$3+IF(parametros_manuales!$H$34="Todos",datos_base!$C$10,0))*parametros_manuales!$H$100+parametros_manuales!$E$34*(datos_base!$C$19+IF(parametros_manuales!$H$34="Todos",datos_base!$C$24,0))*parametros_manuales!$H$13+parametros_manuales!$F$34*(datos_base!$C$4+IF(parametros_manuales!$H$34="Todos",datos_base!$C$11,0))*parametros_manuales!$H$105+parametros_manuales!$F$34*(datos_base!$C$20+IF(parametros_manuales!$H$34="Todos",datos_base!$C$25,0))*parametros_manuales!$H$14+parametros_manuales!$G$34*(datos_base!$C$5+IF(parametros_manuales!$H$34="Todos",datos_base!$C$12,0))*parametros_manuales!$H$110+parametros_manuales!$G$34*(datos_base!$C$21+IF(parametros_manuales!$H$34="Todos",datos_base!$C$26,0))*parametros_manuales!$H$15)*parametros_manuales!$I$34*parametros_manuales!$J$34</f>
        <v>835.266088515</v>
      </c>
      <c r="I44" s="9" t="n">
        <f aca="false">(parametros_manuales!$D$34*(datos_base!$C$2+IF(parametros_manuales!$H$34="Todos",datos_base!$C$9,0))*parametros_manuales!$I$95+parametros_manuales!$D$34*(datos_base!$C$18+IF(parametros_manuales!$H$34="Todos",datos_base!$C$23,0))*parametros_manuales!$I$12+parametros_manuales!$E$34*(datos_base!$C$3+IF(parametros_manuales!$H$34="Todos",datos_base!$C$10,0))*parametros_manuales!$I$100+parametros_manuales!$E$34*(datos_base!$C$19+IF(parametros_manuales!$H$34="Todos",datos_base!$C$24,0))*parametros_manuales!$I$13+parametros_manuales!$F$34*(datos_base!$C$4+IF(parametros_manuales!$H$34="Todos",datos_base!$C$11,0))*parametros_manuales!$I$105+parametros_manuales!$F$34*(datos_base!$C$20+IF(parametros_manuales!$H$34="Todos",datos_base!$C$25,0))*parametros_manuales!$I$14+parametros_manuales!$G$34*(datos_base!$C$5+IF(parametros_manuales!$H$34="Todos",datos_base!$C$12,0))*parametros_manuales!$I$110+parametros_manuales!$G$34*(datos_base!$C$21+IF(parametros_manuales!$H$34="Todos",datos_base!$C$26,0))*parametros_manuales!$I$15)*parametros_manuales!$I$34*parametros_manuales!$J$34</f>
        <v>925.22564817</v>
      </c>
      <c r="J44" s="9" t="n">
        <f aca="false">(parametros_manuales!$D$34*(datos_base!$C$2+IF(parametros_manuales!$H$34="Todos",datos_base!$C$9,0))*parametros_manuales!$J$95+parametros_manuales!$D$34*(datos_base!$C$18+IF(parametros_manuales!$H$34="Todos",datos_base!$C$23,0))*parametros_manuales!$J$12+parametros_manuales!$E$34*(datos_base!$C$3+IF(parametros_manuales!$H$34="Todos",datos_base!$C$10,0))*parametros_manuales!$J$100+parametros_manuales!$E$34*(datos_base!$C$19+IF(parametros_manuales!$H$34="Todos",datos_base!$C$24,0))*parametros_manuales!$J$13+parametros_manuales!$F$34*(datos_base!$C$4+IF(parametros_manuales!$H$34="Todos",datos_base!$C$11,0))*parametros_manuales!$J$105+parametros_manuales!$F$34*(datos_base!$C$20+IF(parametros_manuales!$H$34="Todos",datos_base!$C$25,0))*parametros_manuales!$J$14+parametros_manuales!$G$34*(datos_base!$C$5+IF(parametros_manuales!$H$34="Todos",datos_base!$C$12,0))*parametros_manuales!$J$110+parametros_manuales!$G$34*(datos_base!$C$21+IF(parametros_manuales!$H$34="Todos",datos_base!$C$26,0))*parametros_manuales!$J$15)*parametros_manuales!$I$34*parametros_manuales!$J$34</f>
        <v>925.22564817</v>
      </c>
      <c r="K44" s="9" t="n">
        <f aca="false">(parametros_manuales!$D$34*(datos_base!$C$2+IF(parametros_manuales!$H$34="Todos",datos_base!$C$9,0))*parametros_manuales!$K$95+parametros_manuales!$D$34*(datos_base!$C$18+IF(parametros_manuales!$H$34="Todos",datos_base!$C$23,0))*parametros_manuales!$K$12+parametros_manuales!$E$34*(datos_base!$C$3+IF(parametros_manuales!$H$34="Todos",datos_base!$C$10,0))*parametros_manuales!$K$100+parametros_manuales!$E$34*(datos_base!$C$19+IF(parametros_manuales!$H$34="Todos",datos_base!$C$24,0))*parametros_manuales!$K$13+parametros_manuales!$F$34*(datos_base!$C$4+IF(parametros_manuales!$H$34="Todos",datos_base!$C$11,0))*parametros_manuales!$K$105+parametros_manuales!$F$34*(datos_base!$C$20+IF(parametros_manuales!$H$34="Todos",datos_base!$C$25,0))*parametros_manuales!$K$14+parametros_manuales!$G$34*(datos_base!$C$5+IF(parametros_manuales!$H$34="Todos",datos_base!$C$12,0))*parametros_manuales!$K$110+parametros_manuales!$G$34*(datos_base!$C$21+IF(parametros_manuales!$H$34="Todos",datos_base!$C$26,0))*parametros_manuales!$K$15)*parametros_manuales!$I$34*parametros_manuales!$J$34</f>
        <v>948.47341631</v>
      </c>
      <c r="L44" s="9" t="n">
        <f aca="false">(parametros_manuales!$D$34*(datos_base!$C$2+IF(parametros_manuales!$H$34="Todos",datos_base!$C$9,0))*parametros_manuales!$L$95+parametros_manuales!$D$34*(datos_base!$C$18+IF(parametros_manuales!$H$34="Todos",datos_base!$C$23,0))*parametros_manuales!$L$12+parametros_manuales!$E$34*(datos_base!$C$3+IF(parametros_manuales!$H$34="Todos",datos_base!$C$10,0))*parametros_manuales!$L$100+parametros_manuales!$E$34*(datos_base!$C$19+IF(parametros_manuales!$H$34="Todos",datos_base!$C$24,0))*parametros_manuales!$L$13+parametros_manuales!$F$34*(datos_base!$C$4+IF(parametros_manuales!$H$34="Todos",datos_base!$C$11,0))*parametros_manuales!$L$105+parametros_manuales!$F$34*(datos_base!$C$20+IF(parametros_manuales!$H$34="Todos",datos_base!$C$25,0))*parametros_manuales!$L$14+parametros_manuales!$G$34*(datos_base!$C$5+IF(parametros_manuales!$H$34="Todos",datos_base!$C$12,0))*parametros_manuales!$L$110+parametros_manuales!$G$34*(datos_base!$C$21+IF(parametros_manuales!$H$34="Todos",datos_base!$C$26,0))*parametros_manuales!$L$15)*parametros_manuales!$I$34*parametros_manuales!$J$34</f>
        <v>971.72118445</v>
      </c>
      <c r="M44" s="9" t="n">
        <f aca="false">(parametros_manuales!$D$34*(datos_base!$C$2+IF(parametros_manuales!$H$34="Todos",datos_base!$C$9,0))*parametros_manuales!$M$95+parametros_manuales!$D$34*(datos_base!$C$18+IF(parametros_manuales!$H$34="Todos",datos_base!$C$23,0))*parametros_manuales!$M$12+parametros_manuales!$E$34*(datos_base!$C$3+IF(parametros_manuales!$H$34="Todos",datos_base!$C$10,0))*parametros_manuales!$M$100+parametros_manuales!$E$34*(datos_base!$C$19+IF(parametros_manuales!$H$34="Todos",datos_base!$C$24,0))*parametros_manuales!$M$13+parametros_manuales!$F$34*(datos_base!$C$4+IF(parametros_manuales!$H$34="Todos",datos_base!$C$11,0))*parametros_manuales!$M$105+parametros_manuales!$F$34*(datos_base!$C$20+IF(parametros_manuales!$H$34="Todos",datos_base!$C$25,0))*parametros_manuales!$M$14+parametros_manuales!$G$34*(datos_base!$C$5+IF(parametros_manuales!$H$34="Todos",datos_base!$C$12,0))*parametros_manuales!$M$110+parametros_manuales!$G$34*(datos_base!$C$21+IF(parametros_manuales!$H$34="Todos",datos_base!$C$26,0))*parametros_manuales!$M$15)*parametros_manuales!$I$34*parametros_manuales!$J$34</f>
        <v>975.09718445</v>
      </c>
      <c r="N44" s="9" t="n">
        <f aca="false">SUM(B44:M44)</f>
        <v>10815.657605</v>
      </c>
      <c r="O44" s="9" t="n">
        <f aca="false">MAX(B44:M44)</f>
        <v>975.09718445</v>
      </c>
      <c r="P44" s="44" t="n">
        <f aca="false">O44/(parametros_manuales!$B$7)</f>
        <v>6.50064789633333</v>
      </c>
      <c r="Q44" s="8" t="str">
        <f aca="false">IF(O44=0,"-",INDEX($B$28:$M$28,MATCH(O44,B44:M44,0)))</f>
        <v>Dic</v>
      </c>
    </row>
    <row r="45" customFormat="false" ht="14.25" hidden="false" customHeight="true" outlineLevel="0" collapsed="false">
      <c r="A45" s="8" t="str">
        <f aca="false">parametros_manuales!$B$35</f>
        <v>Detección de defectos</v>
      </c>
      <c r="B45" s="9" t="n">
        <f aca="false">(parametros_manuales!$D$35*(datos_base!$C$2+IF(parametros_manuales!$H$35="Todos",datos_base!$C$9,0))*parametros_manuales!$B$95+parametros_manuales!$D$35*(datos_base!$C$18+IF(parametros_manuales!$H$35="Todos",datos_base!$C$23,0))*parametros_manuales!$B$12+parametros_manuales!$E$35*(datos_base!$C$3+IF(parametros_manuales!$H$35="Todos",datos_base!$C$10,0))*parametros_manuales!$B$100+parametros_manuales!$E$35*(datos_base!$C$19+IF(parametros_manuales!$H$35="Todos",datos_base!$C$24,0))*parametros_manuales!$B$13+parametros_manuales!$F$35*(datos_base!$C$4+IF(parametros_manuales!$H$35="Todos",datos_base!$C$11,0))*parametros_manuales!$B$105+parametros_manuales!$F$35*(datos_base!$C$20+IF(parametros_manuales!$H$35="Todos",datos_base!$C$25,0))*parametros_manuales!$B$14+parametros_manuales!$G$35*(datos_base!$C$5+IF(parametros_manuales!$H$35="Todos",datos_base!$C$12,0))*parametros_manuales!$B$110+parametros_manuales!$G$35*(datos_base!$C$21+IF(parametros_manuales!$H$35="Todos",datos_base!$C$26,0))*parametros_manuales!$B$15)*parametros_manuales!$I$35*parametros_manuales!$J$35</f>
        <v>974.25318445</v>
      </c>
      <c r="C45" s="9" t="n">
        <f aca="false">(parametros_manuales!$D$35*(datos_base!$C$2+IF(parametros_manuales!$H$35="Todos",datos_base!$C$9,0))*parametros_manuales!$C$95+parametros_manuales!$D$35*(datos_base!$C$18+IF(parametros_manuales!$H$35="Todos",datos_base!$C$23,0))*parametros_manuales!$C$12+parametros_manuales!$E$35*(datos_base!$C$3+IF(parametros_manuales!$H$35="Todos",datos_base!$C$10,0))*parametros_manuales!$C$100+parametros_manuales!$E$35*(datos_base!$C$19+IF(parametros_manuales!$H$35="Todos",datos_base!$C$24,0))*parametros_manuales!$C$13+parametros_manuales!$F$35*(datos_base!$C$4+IF(parametros_manuales!$H$35="Todos",datos_base!$C$11,0))*parametros_manuales!$C$105+parametros_manuales!$F$35*(datos_base!$C$20+IF(parametros_manuales!$H$35="Todos",datos_base!$C$25,0))*parametros_manuales!$C$14+parametros_manuales!$G$35*(datos_base!$C$5+IF(parametros_manuales!$H$35="Todos",datos_base!$C$12,0))*parametros_manuales!$C$110+parametros_manuales!$G$35*(datos_base!$C$21+IF(parametros_manuales!$H$35="Todos",datos_base!$C$26,0))*parametros_manuales!$C$15)*parametros_manuales!$I$35*parametros_manuales!$J$35</f>
        <v>925.22564817</v>
      </c>
      <c r="D45" s="9" t="n">
        <f aca="false">(parametros_manuales!$D$35*(datos_base!$C$2+IF(parametros_manuales!$H$35="Todos",datos_base!$C$9,0))*parametros_manuales!$D$95+parametros_manuales!$D$35*(datos_base!$C$18+IF(parametros_manuales!$H$35="Todos",datos_base!$C$23,0))*parametros_manuales!$D$12+parametros_manuales!$E$35*(datos_base!$C$3+IF(parametros_manuales!$H$35="Todos",datos_base!$C$10,0))*parametros_manuales!$D$100+parametros_manuales!$E$35*(datos_base!$C$19+IF(parametros_manuales!$H$35="Todos",datos_base!$C$24,0))*parametros_manuales!$D$13+parametros_manuales!$F$35*(datos_base!$C$4+IF(parametros_manuales!$H$35="Todos",datos_base!$C$11,0))*parametros_manuales!$D$105+parametros_manuales!$F$35*(datos_base!$C$20+IF(parametros_manuales!$H$35="Todos",datos_base!$C$25,0))*parametros_manuales!$D$14+parametros_manuales!$G$35*(datos_base!$C$5+IF(parametros_manuales!$H$35="Todos",datos_base!$C$12,0))*parametros_manuales!$D$110+parametros_manuales!$G$35*(datos_base!$C$21+IF(parametros_manuales!$H$35="Todos",datos_base!$C$26,0))*parametros_manuales!$D$15)*parametros_manuales!$I$35*parametros_manuales!$J$35</f>
        <v>889.34437654</v>
      </c>
      <c r="E45" s="9" t="n">
        <f aca="false">(parametros_manuales!$D$35*(datos_base!$C$2+IF(parametros_manuales!$H$35="Todos",datos_base!$C$9,0))*parametros_manuales!$E$95+parametros_manuales!$D$35*(datos_base!$C$18+IF(parametros_manuales!$H$35="Todos",datos_base!$C$23,0))*parametros_manuales!$E$12+parametros_manuales!$E$35*(datos_base!$C$3+IF(parametros_manuales!$H$35="Todos",datos_base!$C$10,0))*parametros_manuales!$E$100+parametros_manuales!$E$35*(datos_base!$C$19+IF(parametros_manuales!$H$35="Todos",datos_base!$C$24,0))*parametros_manuales!$E$13+parametros_manuales!$F$35*(datos_base!$C$4+IF(parametros_manuales!$H$35="Todos",datos_base!$C$11,0))*parametros_manuales!$E$105+parametros_manuales!$F$35*(datos_base!$C$20+IF(parametros_manuales!$H$35="Todos",datos_base!$C$25,0))*parametros_manuales!$E$14+parametros_manuales!$G$35*(datos_base!$C$5+IF(parametros_manuales!$H$35="Todos",datos_base!$C$12,0))*parametros_manuales!$E$110+parametros_manuales!$G$35*(datos_base!$C$21+IF(parametros_manuales!$H$35="Todos",datos_base!$C$26,0))*parametros_manuales!$E$15)*parametros_manuales!$I$35*parametros_manuales!$J$35</f>
        <v>859.357856655</v>
      </c>
      <c r="F45" s="9" t="n">
        <f aca="false">(parametros_manuales!$D$35*(datos_base!$C$2+IF(parametros_manuales!$H$35="Todos",datos_base!$C$9,0))*parametros_manuales!$F$95+parametros_manuales!$D$35*(datos_base!$C$18+IF(parametros_manuales!$H$35="Todos",datos_base!$C$23,0))*parametros_manuales!$F$12+parametros_manuales!$E$35*(datos_base!$C$3+IF(parametros_manuales!$H$35="Todos",datos_base!$C$10,0))*parametros_manuales!$F$100+parametros_manuales!$E$35*(datos_base!$C$19+IF(parametros_manuales!$H$35="Todos",datos_base!$C$24,0))*parametros_manuales!$F$13+parametros_manuales!$F$35*(datos_base!$C$4+IF(parametros_manuales!$H$35="Todos",datos_base!$C$11,0))*parametros_manuales!$F$105+parametros_manuales!$F$35*(datos_base!$C$20+IF(parametros_manuales!$H$35="Todos",datos_base!$C$25,0))*parametros_manuales!$F$14+parametros_manuales!$G$35*(datos_base!$C$5+IF(parametros_manuales!$H$35="Todos",datos_base!$C$12,0))*parametros_manuales!$F$110+parametros_manuales!$G$35*(datos_base!$C$21+IF(parametros_manuales!$H$35="Todos",datos_base!$C$26,0))*parametros_manuales!$F$15)*parametros_manuales!$I$35*parametros_manuales!$J$35</f>
        <v>805.27956863</v>
      </c>
      <c r="G45" s="9" t="n">
        <f aca="false">(parametros_manuales!$D$35*(datos_base!$C$2+IF(parametros_manuales!$H$35="Todos",datos_base!$C$9,0))*parametros_manuales!$G$95+parametros_manuales!$D$35*(datos_base!$C$18+IF(parametros_manuales!$H$35="Todos",datos_base!$C$23,0))*parametros_manuales!$G$12+parametros_manuales!$E$35*(datos_base!$C$3+IF(parametros_manuales!$H$35="Todos",datos_base!$C$10,0))*parametros_manuales!$G$100+parametros_manuales!$E$35*(datos_base!$C$19+IF(parametros_manuales!$H$35="Todos",datos_base!$C$24,0))*parametros_manuales!$G$13+parametros_manuales!$F$35*(datos_base!$C$4+IF(parametros_manuales!$H$35="Todos",datos_base!$C$11,0))*parametros_manuales!$G$105+parametros_manuales!$F$35*(datos_base!$C$20+IF(parametros_manuales!$H$35="Todos",datos_base!$C$25,0))*parametros_manuales!$G$14+parametros_manuales!$G$35*(datos_base!$C$5+IF(parametros_manuales!$H$35="Todos",datos_base!$C$12,0))*parametros_manuales!$G$110+parametros_manuales!$G$35*(datos_base!$C$21+IF(parametros_manuales!$H$35="Todos",datos_base!$C$26,0))*parametros_manuales!$G$15)*parametros_manuales!$I$35*parametros_manuales!$J$35</f>
        <v>781.18780049</v>
      </c>
      <c r="H45" s="9" t="n">
        <f aca="false">(parametros_manuales!$D$35*(datos_base!$C$2+IF(parametros_manuales!$H$35="Todos",datos_base!$C$9,0))*parametros_manuales!$H$95+parametros_manuales!$D$35*(datos_base!$C$18+IF(parametros_manuales!$H$35="Todos",datos_base!$C$23,0))*parametros_manuales!$H$12+parametros_manuales!$E$35*(datos_base!$C$3+IF(parametros_manuales!$H$35="Todos",datos_base!$C$10,0))*parametros_manuales!$H$100+parametros_manuales!$E$35*(datos_base!$C$19+IF(parametros_manuales!$H$35="Todos",datos_base!$C$24,0))*parametros_manuales!$H$13+parametros_manuales!$F$35*(datos_base!$C$4+IF(parametros_manuales!$H$35="Todos",datos_base!$C$11,0))*parametros_manuales!$H$105+parametros_manuales!$F$35*(datos_base!$C$20+IF(parametros_manuales!$H$35="Todos",datos_base!$C$25,0))*parametros_manuales!$H$14+parametros_manuales!$G$35*(datos_base!$C$5+IF(parametros_manuales!$H$35="Todos",datos_base!$C$12,0))*parametros_manuales!$H$110+parametros_manuales!$G$35*(datos_base!$C$21+IF(parametros_manuales!$H$35="Todos",datos_base!$C$26,0))*parametros_manuales!$H$15)*parametros_manuales!$I$35*parametros_manuales!$J$35</f>
        <v>835.266088515</v>
      </c>
      <c r="I45" s="9" t="n">
        <f aca="false">(parametros_manuales!$D$35*(datos_base!$C$2+IF(parametros_manuales!$H$35="Todos",datos_base!$C$9,0))*parametros_manuales!$I$95+parametros_manuales!$D$35*(datos_base!$C$18+IF(parametros_manuales!$H$35="Todos",datos_base!$C$23,0))*parametros_manuales!$I$12+parametros_manuales!$E$35*(datos_base!$C$3+IF(parametros_manuales!$H$35="Todos",datos_base!$C$10,0))*parametros_manuales!$I$100+parametros_manuales!$E$35*(datos_base!$C$19+IF(parametros_manuales!$H$35="Todos",datos_base!$C$24,0))*parametros_manuales!$I$13+parametros_manuales!$F$35*(datos_base!$C$4+IF(parametros_manuales!$H$35="Todos",datos_base!$C$11,0))*parametros_manuales!$I$105+parametros_manuales!$F$35*(datos_base!$C$20+IF(parametros_manuales!$H$35="Todos",datos_base!$C$25,0))*parametros_manuales!$I$14+parametros_manuales!$G$35*(datos_base!$C$5+IF(parametros_manuales!$H$35="Todos",datos_base!$C$12,0))*parametros_manuales!$I$110+parametros_manuales!$G$35*(datos_base!$C$21+IF(parametros_manuales!$H$35="Todos",datos_base!$C$26,0))*parametros_manuales!$I$15)*parametros_manuales!$I$35*parametros_manuales!$J$35</f>
        <v>925.22564817</v>
      </c>
      <c r="J45" s="9" t="n">
        <f aca="false">(parametros_manuales!$D$35*(datos_base!$C$2+IF(parametros_manuales!$H$35="Todos",datos_base!$C$9,0))*parametros_manuales!$J$95+parametros_manuales!$D$35*(datos_base!$C$18+IF(parametros_manuales!$H$35="Todos",datos_base!$C$23,0))*parametros_manuales!$J$12+parametros_manuales!$E$35*(datos_base!$C$3+IF(parametros_manuales!$H$35="Todos",datos_base!$C$10,0))*parametros_manuales!$J$100+parametros_manuales!$E$35*(datos_base!$C$19+IF(parametros_manuales!$H$35="Todos",datos_base!$C$24,0))*parametros_manuales!$J$13+parametros_manuales!$F$35*(datos_base!$C$4+IF(parametros_manuales!$H$35="Todos",datos_base!$C$11,0))*parametros_manuales!$J$105+parametros_manuales!$F$35*(datos_base!$C$20+IF(parametros_manuales!$H$35="Todos",datos_base!$C$25,0))*parametros_manuales!$J$14+parametros_manuales!$G$35*(datos_base!$C$5+IF(parametros_manuales!$H$35="Todos",datos_base!$C$12,0))*parametros_manuales!$J$110+parametros_manuales!$G$35*(datos_base!$C$21+IF(parametros_manuales!$H$35="Todos",datos_base!$C$26,0))*parametros_manuales!$J$15)*parametros_manuales!$I$35*parametros_manuales!$J$35</f>
        <v>925.22564817</v>
      </c>
      <c r="K45" s="9" t="n">
        <f aca="false">(parametros_manuales!$D$35*(datos_base!$C$2+IF(parametros_manuales!$H$35="Todos",datos_base!$C$9,0))*parametros_manuales!$K$95+parametros_manuales!$D$35*(datos_base!$C$18+IF(parametros_manuales!$H$35="Todos",datos_base!$C$23,0))*parametros_manuales!$K$12+parametros_manuales!$E$35*(datos_base!$C$3+IF(parametros_manuales!$H$35="Todos",datos_base!$C$10,0))*parametros_manuales!$K$100+parametros_manuales!$E$35*(datos_base!$C$19+IF(parametros_manuales!$H$35="Todos",datos_base!$C$24,0))*parametros_manuales!$K$13+parametros_manuales!$F$35*(datos_base!$C$4+IF(parametros_manuales!$H$35="Todos",datos_base!$C$11,0))*parametros_manuales!$K$105+parametros_manuales!$F$35*(datos_base!$C$20+IF(parametros_manuales!$H$35="Todos",datos_base!$C$25,0))*parametros_manuales!$K$14+parametros_manuales!$G$35*(datos_base!$C$5+IF(parametros_manuales!$H$35="Todos",datos_base!$C$12,0))*parametros_manuales!$K$110+parametros_manuales!$G$35*(datos_base!$C$21+IF(parametros_manuales!$H$35="Todos",datos_base!$C$26,0))*parametros_manuales!$K$15)*parametros_manuales!$I$35*parametros_manuales!$J$35</f>
        <v>948.47341631</v>
      </c>
      <c r="L45" s="9" t="n">
        <f aca="false">(parametros_manuales!$D$35*(datos_base!$C$2+IF(parametros_manuales!$H$35="Todos",datos_base!$C$9,0))*parametros_manuales!$L$95+parametros_manuales!$D$35*(datos_base!$C$18+IF(parametros_manuales!$H$35="Todos",datos_base!$C$23,0))*parametros_manuales!$L$12+parametros_manuales!$E$35*(datos_base!$C$3+IF(parametros_manuales!$H$35="Todos",datos_base!$C$10,0))*parametros_manuales!$L$100+parametros_manuales!$E$35*(datos_base!$C$19+IF(parametros_manuales!$H$35="Todos",datos_base!$C$24,0))*parametros_manuales!$L$13+parametros_manuales!$F$35*(datos_base!$C$4+IF(parametros_manuales!$H$35="Todos",datos_base!$C$11,0))*parametros_manuales!$L$105+parametros_manuales!$F$35*(datos_base!$C$20+IF(parametros_manuales!$H$35="Todos",datos_base!$C$25,0))*parametros_manuales!$L$14+parametros_manuales!$G$35*(datos_base!$C$5+IF(parametros_manuales!$H$35="Todos",datos_base!$C$12,0))*parametros_manuales!$L$110+parametros_manuales!$G$35*(datos_base!$C$21+IF(parametros_manuales!$H$35="Todos",datos_base!$C$26,0))*parametros_manuales!$L$15)*parametros_manuales!$I$35*parametros_manuales!$J$35</f>
        <v>971.72118445</v>
      </c>
      <c r="M45" s="9" t="n">
        <f aca="false">(parametros_manuales!$D$35*(datos_base!$C$2+IF(parametros_manuales!$H$35="Todos",datos_base!$C$9,0))*parametros_manuales!$M$95+parametros_manuales!$D$35*(datos_base!$C$18+IF(parametros_manuales!$H$35="Todos",datos_base!$C$23,0))*parametros_manuales!$M$12+parametros_manuales!$E$35*(datos_base!$C$3+IF(parametros_manuales!$H$35="Todos",datos_base!$C$10,0))*parametros_manuales!$M$100+parametros_manuales!$E$35*(datos_base!$C$19+IF(parametros_manuales!$H$35="Todos",datos_base!$C$24,0))*parametros_manuales!$M$13+parametros_manuales!$F$35*(datos_base!$C$4+IF(parametros_manuales!$H$35="Todos",datos_base!$C$11,0))*parametros_manuales!$M$105+parametros_manuales!$F$35*(datos_base!$C$20+IF(parametros_manuales!$H$35="Todos",datos_base!$C$25,0))*parametros_manuales!$M$14+parametros_manuales!$G$35*(datos_base!$C$5+IF(parametros_manuales!$H$35="Todos",datos_base!$C$12,0))*parametros_manuales!$M$110+parametros_manuales!$G$35*(datos_base!$C$21+IF(parametros_manuales!$H$35="Todos",datos_base!$C$26,0))*parametros_manuales!$M$15)*parametros_manuales!$I$35*parametros_manuales!$J$35</f>
        <v>975.09718445</v>
      </c>
      <c r="N45" s="9" t="n">
        <f aca="false">SUM(B45:M45)</f>
        <v>10815.657605</v>
      </c>
      <c r="O45" s="9" t="n">
        <f aca="false">MAX(B45:M45)</f>
        <v>975.09718445</v>
      </c>
      <c r="P45" s="44" t="n">
        <f aca="false">O45/(parametros_manuales!$B$7)</f>
        <v>6.50064789633333</v>
      </c>
      <c r="Q45" s="8" t="str">
        <f aca="false">IF(O45=0,"-",INDEX($B$28:$M$28,MATCH(O45,B45:M45,0)))</f>
        <v>Dic</v>
      </c>
    </row>
    <row r="46" customFormat="false" ht="14.25" hidden="false" customHeight="true" outlineLevel="0" collapsed="false">
      <c r="A46" s="8" t="str">
        <f aca="false">parametros_manuales!$B$36</f>
        <v>Corrección de defectos</v>
      </c>
      <c r="B46" s="9" t="n">
        <f aca="false">(parametros_manuales!$D$36*(datos_base!$C$2+IF(parametros_manuales!$H$36="Todos",datos_base!$C$9,0))*parametros_manuales!$B$95+parametros_manuales!$D$36*(datos_base!$C$18+IF(parametros_manuales!$H$36="Todos",datos_base!$C$23,0))*parametros_manuales!$B$12+parametros_manuales!$E$36*(datos_base!$C$3+IF(parametros_manuales!$H$36="Todos",datos_base!$C$10,0))*parametros_manuales!$B$100+parametros_manuales!$E$36*(datos_base!$C$19+IF(parametros_manuales!$H$36="Todos",datos_base!$C$24,0))*parametros_manuales!$B$13+parametros_manuales!$F$36*(datos_base!$C$4+IF(parametros_manuales!$H$36="Todos",datos_base!$C$11,0))*parametros_manuales!$B$105+parametros_manuales!$F$36*(datos_base!$C$20+IF(parametros_manuales!$H$36="Todos",datos_base!$C$25,0))*parametros_manuales!$B$14+parametros_manuales!$G$36*(datos_base!$C$5+IF(parametros_manuales!$H$36="Todos",datos_base!$C$12,0))*parametros_manuales!$B$110+parametros_manuales!$G$36*(datos_base!$C$21+IF(parametros_manuales!$H$36="Todos",datos_base!$C$26,0))*parametros_manuales!$B$15)*parametros_manuales!$I$36*parametros_manuales!$J$36</f>
        <v>48.7126592225</v>
      </c>
      <c r="C46" s="9" t="n">
        <f aca="false">(parametros_manuales!$D$36*(datos_base!$C$2+IF(parametros_manuales!$H$36="Todos",datos_base!$C$9,0))*parametros_manuales!$C$95+parametros_manuales!$D$36*(datos_base!$C$18+IF(parametros_manuales!$H$36="Todos",datos_base!$C$23,0))*parametros_manuales!$C$12+parametros_manuales!$E$36*(datos_base!$C$3+IF(parametros_manuales!$H$36="Todos",datos_base!$C$10,0))*parametros_manuales!$C$100+parametros_manuales!$E$36*(datos_base!$C$19+IF(parametros_manuales!$H$36="Todos",datos_base!$C$24,0))*parametros_manuales!$C$13+parametros_manuales!$F$36*(datos_base!$C$4+IF(parametros_manuales!$H$36="Todos",datos_base!$C$11,0))*parametros_manuales!$C$105+parametros_manuales!$F$36*(datos_base!$C$20+IF(parametros_manuales!$H$36="Todos",datos_base!$C$25,0))*parametros_manuales!$C$14+parametros_manuales!$G$36*(datos_base!$C$5+IF(parametros_manuales!$H$36="Todos",datos_base!$C$12,0))*parametros_manuales!$C$110+parametros_manuales!$G$36*(datos_base!$C$21+IF(parametros_manuales!$H$36="Todos",datos_base!$C$26,0))*parametros_manuales!$C$15)*parametros_manuales!$I$36*parametros_manuales!$J$36</f>
        <v>46.2612824085</v>
      </c>
      <c r="D46" s="9" t="n">
        <f aca="false">(parametros_manuales!$D$36*(datos_base!$C$2+IF(parametros_manuales!$H$36="Todos",datos_base!$C$9,0))*parametros_manuales!$D$95+parametros_manuales!$D$36*(datos_base!$C$18+IF(parametros_manuales!$H$36="Todos",datos_base!$C$23,0))*parametros_manuales!$D$12+parametros_manuales!$E$36*(datos_base!$C$3+IF(parametros_manuales!$H$36="Todos",datos_base!$C$10,0))*parametros_manuales!$D$100+parametros_manuales!$E$36*(datos_base!$C$19+IF(parametros_manuales!$H$36="Todos",datos_base!$C$24,0))*parametros_manuales!$D$13+parametros_manuales!$F$36*(datos_base!$C$4+IF(parametros_manuales!$H$36="Todos",datos_base!$C$11,0))*parametros_manuales!$D$105+parametros_manuales!$F$36*(datos_base!$C$20+IF(parametros_manuales!$H$36="Todos",datos_base!$C$25,0))*parametros_manuales!$D$14+parametros_manuales!$G$36*(datos_base!$C$5+IF(parametros_manuales!$H$36="Todos",datos_base!$C$12,0))*parametros_manuales!$D$110+parametros_manuales!$G$36*(datos_base!$C$21+IF(parametros_manuales!$H$36="Todos",datos_base!$C$26,0))*parametros_manuales!$D$15)*parametros_manuales!$I$36*parametros_manuales!$J$36</f>
        <v>44.467218827</v>
      </c>
      <c r="E46" s="9" t="n">
        <f aca="false">(parametros_manuales!$D$36*(datos_base!$C$2+IF(parametros_manuales!$H$36="Todos",datos_base!$C$9,0))*parametros_manuales!$E$95+parametros_manuales!$D$36*(datos_base!$C$18+IF(parametros_manuales!$H$36="Todos",datos_base!$C$23,0))*parametros_manuales!$E$12+parametros_manuales!$E$36*(datos_base!$C$3+IF(parametros_manuales!$H$36="Todos",datos_base!$C$10,0))*parametros_manuales!$E$100+parametros_manuales!$E$36*(datos_base!$C$19+IF(parametros_manuales!$H$36="Todos",datos_base!$C$24,0))*parametros_manuales!$E$13+parametros_manuales!$F$36*(datos_base!$C$4+IF(parametros_manuales!$H$36="Todos",datos_base!$C$11,0))*parametros_manuales!$E$105+parametros_manuales!$F$36*(datos_base!$C$20+IF(parametros_manuales!$H$36="Todos",datos_base!$C$25,0))*parametros_manuales!$E$14+parametros_manuales!$G$36*(datos_base!$C$5+IF(parametros_manuales!$H$36="Todos",datos_base!$C$12,0))*parametros_manuales!$E$110+parametros_manuales!$G$36*(datos_base!$C$21+IF(parametros_manuales!$H$36="Todos",datos_base!$C$26,0))*parametros_manuales!$E$15)*parametros_manuales!$I$36*parametros_manuales!$J$36</f>
        <v>42.96789283275</v>
      </c>
      <c r="F46" s="9" t="n">
        <f aca="false">(parametros_manuales!$D$36*(datos_base!$C$2+IF(parametros_manuales!$H$36="Todos",datos_base!$C$9,0))*parametros_manuales!$F$95+parametros_manuales!$D$36*(datos_base!$C$18+IF(parametros_manuales!$H$36="Todos",datos_base!$C$23,0))*parametros_manuales!$F$12+parametros_manuales!$E$36*(datos_base!$C$3+IF(parametros_manuales!$H$36="Todos",datos_base!$C$10,0))*parametros_manuales!$F$100+parametros_manuales!$E$36*(datos_base!$C$19+IF(parametros_manuales!$H$36="Todos",datos_base!$C$24,0))*parametros_manuales!$F$13+parametros_manuales!$F$36*(datos_base!$C$4+IF(parametros_manuales!$H$36="Todos",datos_base!$C$11,0))*parametros_manuales!$F$105+parametros_manuales!$F$36*(datos_base!$C$20+IF(parametros_manuales!$H$36="Todos",datos_base!$C$25,0))*parametros_manuales!$F$14+parametros_manuales!$G$36*(datos_base!$C$5+IF(parametros_manuales!$H$36="Todos",datos_base!$C$12,0))*parametros_manuales!$F$110+parametros_manuales!$G$36*(datos_base!$C$21+IF(parametros_manuales!$H$36="Todos",datos_base!$C$26,0))*parametros_manuales!$F$15)*parametros_manuales!$I$36*parametros_manuales!$J$36</f>
        <v>40.2639784315</v>
      </c>
      <c r="G46" s="9" t="n">
        <f aca="false">(parametros_manuales!$D$36*(datos_base!$C$2+IF(parametros_manuales!$H$36="Todos",datos_base!$C$9,0))*parametros_manuales!$G$95+parametros_manuales!$D$36*(datos_base!$C$18+IF(parametros_manuales!$H$36="Todos",datos_base!$C$23,0))*parametros_manuales!$G$12+parametros_manuales!$E$36*(datos_base!$C$3+IF(parametros_manuales!$H$36="Todos",datos_base!$C$10,0))*parametros_manuales!$G$100+parametros_manuales!$E$36*(datos_base!$C$19+IF(parametros_manuales!$H$36="Todos",datos_base!$C$24,0))*parametros_manuales!$G$13+parametros_manuales!$F$36*(datos_base!$C$4+IF(parametros_manuales!$H$36="Todos",datos_base!$C$11,0))*parametros_manuales!$G$105+parametros_manuales!$F$36*(datos_base!$C$20+IF(parametros_manuales!$H$36="Todos",datos_base!$C$25,0))*parametros_manuales!$G$14+parametros_manuales!$G$36*(datos_base!$C$5+IF(parametros_manuales!$H$36="Todos",datos_base!$C$12,0))*parametros_manuales!$G$110+parametros_manuales!$G$36*(datos_base!$C$21+IF(parametros_manuales!$H$36="Todos",datos_base!$C$26,0))*parametros_manuales!$G$15)*parametros_manuales!$I$36*parametros_manuales!$J$36</f>
        <v>39.0593900245</v>
      </c>
      <c r="H46" s="9" t="n">
        <f aca="false">(parametros_manuales!$D$36*(datos_base!$C$2+IF(parametros_manuales!$H$36="Todos",datos_base!$C$9,0))*parametros_manuales!$H$95+parametros_manuales!$D$36*(datos_base!$C$18+IF(parametros_manuales!$H$36="Todos",datos_base!$C$23,0))*parametros_manuales!$H$12+parametros_manuales!$E$36*(datos_base!$C$3+IF(parametros_manuales!$H$36="Todos",datos_base!$C$10,0))*parametros_manuales!$H$100+parametros_manuales!$E$36*(datos_base!$C$19+IF(parametros_manuales!$H$36="Todos",datos_base!$C$24,0))*parametros_manuales!$H$13+parametros_manuales!$F$36*(datos_base!$C$4+IF(parametros_manuales!$H$36="Todos",datos_base!$C$11,0))*parametros_manuales!$H$105+parametros_manuales!$F$36*(datos_base!$C$20+IF(parametros_manuales!$H$36="Todos",datos_base!$C$25,0))*parametros_manuales!$H$14+parametros_manuales!$G$36*(datos_base!$C$5+IF(parametros_manuales!$H$36="Todos",datos_base!$C$12,0))*parametros_manuales!$H$110+parametros_manuales!$G$36*(datos_base!$C$21+IF(parametros_manuales!$H$36="Todos",datos_base!$C$26,0))*parametros_manuales!$H$15)*parametros_manuales!$I$36*parametros_manuales!$J$36</f>
        <v>41.76330442575</v>
      </c>
      <c r="I46" s="9" t="n">
        <f aca="false">(parametros_manuales!$D$36*(datos_base!$C$2+IF(parametros_manuales!$H$36="Todos",datos_base!$C$9,0))*parametros_manuales!$I$95+parametros_manuales!$D$36*(datos_base!$C$18+IF(parametros_manuales!$H$36="Todos",datos_base!$C$23,0))*parametros_manuales!$I$12+parametros_manuales!$E$36*(datos_base!$C$3+IF(parametros_manuales!$H$36="Todos",datos_base!$C$10,0))*parametros_manuales!$I$100+parametros_manuales!$E$36*(datos_base!$C$19+IF(parametros_manuales!$H$36="Todos",datos_base!$C$24,0))*parametros_manuales!$I$13+parametros_manuales!$F$36*(datos_base!$C$4+IF(parametros_manuales!$H$36="Todos",datos_base!$C$11,0))*parametros_manuales!$I$105+parametros_manuales!$F$36*(datos_base!$C$20+IF(parametros_manuales!$H$36="Todos",datos_base!$C$25,0))*parametros_manuales!$I$14+parametros_manuales!$G$36*(datos_base!$C$5+IF(parametros_manuales!$H$36="Todos",datos_base!$C$12,0))*parametros_manuales!$I$110+parametros_manuales!$G$36*(datos_base!$C$21+IF(parametros_manuales!$H$36="Todos",datos_base!$C$26,0))*parametros_manuales!$I$15)*parametros_manuales!$I$36*parametros_manuales!$J$36</f>
        <v>46.2612824085</v>
      </c>
      <c r="J46" s="9" t="n">
        <f aca="false">(parametros_manuales!$D$36*(datos_base!$C$2+IF(parametros_manuales!$H$36="Todos",datos_base!$C$9,0))*parametros_manuales!$J$95+parametros_manuales!$D$36*(datos_base!$C$18+IF(parametros_manuales!$H$36="Todos",datos_base!$C$23,0))*parametros_manuales!$J$12+parametros_manuales!$E$36*(datos_base!$C$3+IF(parametros_manuales!$H$36="Todos",datos_base!$C$10,0))*parametros_manuales!$J$100+parametros_manuales!$E$36*(datos_base!$C$19+IF(parametros_manuales!$H$36="Todos",datos_base!$C$24,0))*parametros_manuales!$J$13+parametros_manuales!$F$36*(datos_base!$C$4+IF(parametros_manuales!$H$36="Todos",datos_base!$C$11,0))*parametros_manuales!$J$105+parametros_manuales!$F$36*(datos_base!$C$20+IF(parametros_manuales!$H$36="Todos",datos_base!$C$25,0))*parametros_manuales!$J$14+parametros_manuales!$G$36*(datos_base!$C$5+IF(parametros_manuales!$H$36="Todos",datos_base!$C$12,0))*parametros_manuales!$J$110+parametros_manuales!$G$36*(datos_base!$C$21+IF(parametros_manuales!$H$36="Todos",datos_base!$C$26,0))*parametros_manuales!$J$15)*parametros_manuales!$I$36*parametros_manuales!$J$36</f>
        <v>46.2612824085</v>
      </c>
      <c r="K46" s="9" t="n">
        <f aca="false">(parametros_manuales!$D$36*(datos_base!$C$2+IF(parametros_manuales!$H$36="Todos",datos_base!$C$9,0))*parametros_manuales!$K$95+parametros_manuales!$D$36*(datos_base!$C$18+IF(parametros_manuales!$H$36="Todos",datos_base!$C$23,0))*parametros_manuales!$K$12+parametros_manuales!$E$36*(datos_base!$C$3+IF(parametros_manuales!$H$36="Todos",datos_base!$C$10,0))*parametros_manuales!$K$100+parametros_manuales!$E$36*(datos_base!$C$19+IF(parametros_manuales!$H$36="Todos",datos_base!$C$24,0))*parametros_manuales!$K$13+parametros_manuales!$F$36*(datos_base!$C$4+IF(parametros_manuales!$H$36="Todos",datos_base!$C$11,0))*parametros_manuales!$K$105+parametros_manuales!$F$36*(datos_base!$C$20+IF(parametros_manuales!$H$36="Todos",datos_base!$C$25,0))*parametros_manuales!$K$14+parametros_manuales!$G$36*(datos_base!$C$5+IF(parametros_manuales!$H$36="Todos",datos_base!$C$12,0))*parametros_manuales!$K$110+parametros_manuales!$G$36*(datos_base!$C$21+IF(parametros_manuales!$H$36="Todos",datos_base!$C$26,0))*parametros_manuales!$K$15)*parametros_manuales!$I$36*parametros_manuales!$J$36</f>
        <v>47.4236708155</v>
      </c>
      <c r="L46" s="9" t="n">
        <f aca="false">(parametros_manuales!$D$36*(datos_base!$C$2+IF(parametros_manuales!$H$36="Todos",datos_base!$C$9,0))*parametros_manuales!$L$95+parametros_manuales!$D$36*(datos_base!$C$18+IF(parametros_manuales!$H$36="Todos",datos_base!$C$23,0))*parametros_manuales!$L$12+parametros_manuales!$E$36*(datos_base!$C$3+IF(parametros_manuales!$H$36="Todos",datos_base!$C$10,0))*parametros_manuales!$L$100+parametros_manuales!$E$36*(datos_base!$C$19+IF(parametros_manuales!$H$36="Todos",datos_base!$C$24,0))*parametros_manuales!$L$13+parametros_manuales!$F$36*(datos_base!$C$4+IF(parametros_manuales!$H$36="Todos",datos_base!$C$11,0))*parametros_manuales!$L$105+parametros_manuales!$F$36*(datos_base!$C$20+IF(parametros_manuales!$H$36="Todos",datos_base!$C$25,0))*parametros_manuales!$L$14+parametros_manuales!$G$36*(datos_base!$C$5+IF(parametros_manuales!$H$36="Todos",datos_base!$C$12,0))*parametros_manuales!$L$110+parametros_manuales!$G$36*(datos_base!$C$21+IF(parametros_manuales!$H$36="Todos",datos_base!$C$26,0))*parametros_manuales!$L$15)*parametros_manuales!$I$36*parametros_manuales!$J$36</f>
        <v>48.5860592225</v>
      </c>
      <c r="M46" s="9" t="n">
        <f aca="false">(parametros_manuales!$D$36*(datos_base!$C$2+IF(parametros_manuales!$H$36="Todos",datos_base!$C$9,0))*parametros_manuales!$M$95+parametros_manuales!$D$36*(datos_base!$C$18+IF(parametros_manuales!$H$36="Todos",datos_base!$C$23,0))*parametros_manuales!$M$12+parametros_manuales!$E$36*(datos_base!$C$3+IF(parametros_manuales!$H$36="Todos",datos_base!$C$10,0))*parametros_manuales!$M$100+parametros_manuales!$E$36*(datos_base!$C$19+IF(parametros_manuales!$H$36="Todos",datos_base!$C$24,0))*parametros_manuales!$M$13+parametros_manuales!$F$36*(datos_base!$C$4+IF(parametros_manuales!$H$36="Todos",datos_base!$C$11,0))*parametros_manuales!$M$105+parametros_manuales!$F$36*(datos_base!$C$20+IF(parametros_manuales!$H$36="Todos",datos_base!$C$25,0))*parametros_manuales!$M$14+parametros_manuales!$G$36*(datos_base!$C$5+IF(parametros_manuales!$H$36="Todos",datos_base!$C$12,0))*parametros_manuales!$M$110+parametros_manuales!$G$36*(datos_base!$C$21+IF(parametros_manuales!$H$36="Todos",datos_base!$C$26,0))*parametros_manuales!$M$15)*parametros_manuales!$I$36*parametros_manuales!$J$36</f>
        <v>48.7548592225</v>
      </c>
      <c r="N46" s="9" t="n">
        <f aca="false">SUM(B46:M46)</f>
        <v>540.78288025</v>
      </c>
      <c r="O46" s="9" t="n">
        <f aca="false">MAX(B46:M46)</f>
        <v>48.7548592225</v>
      </c>
      <c r="P46" s="44" t="n">
        <f aca="false">O46/(parametros_manuales!$B$7)</f>
        <v>0.325032394816667</v>
      </c>
      <c r="Q46" s="8" t="str">
        <f aca="false">IF(O46=0,"-",INDEX($B$28:$M$28,MATCH(O46,B46:M46,0)))</f>
        <v>Dic</v>
      </c>
    </row>
    <row r="47" customFormat="false" ht="14.25" hidden="false" customHeight="true" outlineLevel="0" collapsed="false">
      <c r="A47" s="8" t="str">
        <f aca="false">parametros_manuales!$B$37</f>
        <v>Pintura en polvo + horno</v>
      </c>
      <c r="B47" s="9" t="n">
        <f aca="false">(parametros_manuales!$D$37*(datos_base!$C$2+IF(parametros_manuales!$H$37="Todos",datos_base!$C$9,0))*parametros_manuales!$B$95+parametros_manuales!$D$37*(datos_base!$C$18+IF(parametros_manuales!$H$37="Todos",datos_base!$C$23,0))*parametros_manuales!$B$12+parametros_manuales!$E$37*(datos_base!$C$3+IF(parametros_manuales!$H$37="Todos",datos_base!$C$10,0))*parametros_manuales!$B$100+parametros_manuales!$E$37*(datos_base!$C$19+IF(parametros_manuales!$H$37="Todos",datos_base!$C$24,0))*parametros_manuales!$B$13+parametros_manuales!$F$37*(datos_base!$C$4+IF(parametros_manuales!$H$37="Todos",datos_base!$C$11,0))*parametros_manuales!$B$105+parametros_manuales!$F$37*(datos_base!$C$20+IF(parametros_manuales!$H$37="Todos",datos_base!$C$25,0))*parametros_manuales!$B$14+parametros_manuales!$G$37*(datos_base!$C$5+IF(parametros_manuales!$H$37="Todos",datos_base!$C$12,0))*parametros_manuales!$B$110+parametros_manuales!$G$37*(datos_base!$C$21+IF(parametros_manuales!$H$37="Todos",datos_base!$C$26,0))*parametros_manuales!$B$15)*parametros_manuales!$I$37*parametros_manuales!$J$37</f>
        <v>974.25318445</v>
      </c>
      <c r="C47" s="9" t="n">
        <f aca="false">(parametros_manuales!$D$37*(datos_base!$C$2+IF(parametros_manuales!$H$37="Todos",datos_base!$C$9,0))*parametros_manuales!$C$95+parametros_manuales!$D$37*(datos_base!$C$18+IF(parametros_manuales!$H$37="Todos",datos_base!$C$23,0))*parametros_manuales!$C$12+parametros_manuales!$E$37*(datos_base!$C$3+IF(parametros_manuales!$H$37="Todos",datos_base!$C$10,0))*parametros_manuales!$C$100+parametros_manuales!$E$37*(datos_base!$C$19+IF(parametros_manuales!$H$37="Todos",datos_base!$C$24,0))*parametros_manuales!$C$13+parametros_manuales!$F$37*(datos_base!$C$4+IF(parametros_manuales!$H$37="Todos",datos_base!$C$11,0))*parametros_manuales!$C$105+parametros_manuales!$F$37*(datos_base!$C$20+IF(parametros_manuales!$H$37="Todos",datos_base!$C$25,0))*parametros_manuales!$C$14+parametros_manuales!$G$37*(datos_base!$C$5+IF(parametros_manuales!$H$37="Todos",datos_base!$C$12,0))*parametros_manuales!$C$110+parametros_manuales!$G$37*(datos_base!$C$21+IF(parametros_manuales!$H$37="Todos",datos_base!$C$26,0))*parametros_manuales!$C$15)*parametros_manuales!$I$37*parametros_manuales!$J$37</f>
        <v>925.22564817</v>
      </c>
      <c r="D47" s="9" t="n">
        <f aca="false">(parametros_manuales!$D$37*(datos_base!$C$2+IF(parametros_manuales!$H$37="Todos",datos_base!$C$9,0))*parametros_manuales!$D$95+parametros_manuales!$D$37*(datos_base!$C$18+IF(parametros_manuales!$H$37="Todos",datos_base!$C$23,0))*parametros_manuales!$D$12+parametros_manuales!$E$37*(datos_base!$C$3+IF(parametros_manuales!$H$37="Todos",datos_base!$C$10,0))*parametros_manuales!$D$100+parametros_manuales!$E$37*(datos_base!$C$19+IF(parametros_manuales!$H$37="Todos",datos_base!$C$24,0))*parametros_manuales!$D$13+parametros_manuales!$F$37*(datos_base!$C$4+IF(parametros_manuales!$H$37="Todos",datos_base!$C$11,0))*parametros_manuales!$D$105+parametros_manuales!$F$37*(datos_base!$C$20+IF(parametros_manuales!$H$37="Todos",datos_base!$C$25,0))*parametros_manuales!$D$14+parametros_manuales!$G$37*(datos_base!$C$5+IF(parametros_manuales!$H$37="Todos",datos_base!$C$12,0))*parametros_manuales!$D$110+parametros_manuales!$G$37*(datos_base!$C$21+IF(parametros_manuales!$H$37="Todos",datos_base!$C$26,0))*parametros_manuales!$D$15)*parametros_manuales!$I$37*parametros_manuales!$J$37</f>
        <v>889.34437654</v>
      </c>
      <c r="E47" s="9" t="n">
        <f aca="false">(parametros_manuales!$D$37*(datos_base!$C$2+IF(parametros_manuales!$H$37="Todos",datos_base!$C$9,0))*parametros_manuales!$E$95+parametros_manuales!$D$37*(datos_base!$C$18+IF(parametros_manuales!$H$37="Todos",datos_base!$C$23,0))*parametros_manuales!$E$12+parametros_manuales!$E$37*(datos_base!$C$3+IF(parametros_manuales!$H$37="Todos",datos_base!$C$10,0))*parametros_manuales!$E$100+parametros_manuales!$E$37*(datos_base!$C$19+IF(parametros_manuales!$H$37="Todos",datos_base!$C$24,0))*parametros_manuales!$E$13+parametros_manuales!$F$37*(datos_base!$C$4+IF(parametros_manuales!$H$37="Todos",datos_base!$C$11,0))*parametros_manuales!$E$105+parametros_manuales!$F$37*(datos_base!$C$20+IF(parametros_manuales!$H$37="Todos",datos_base!$C$25,0))*parametros_manuales!$E$14+parametros_manuales!$G$37*(datos_base!$C$5+IF(parametros_manuales!$H$37="Todos",datos_base!$C$12,0))*parametros_manuales!$E$110+parametros_manuales!$G$37*(datos_base!$C$21+IF(parametros_manuales!$H$37="Todos",datos_base!$C$26,0))*parametros_manuales!$E$15)*parametros_manuales!$I$37*parametros_manuales!$J$37</f>
        <v>859.357856655</v>
      </c>
      <c r="F47" s="9" t="n">
        <f aca="false">(parametros_manuales!$D$37*(datos_base!$C$2+IF(parametros_manuales!$H$37="Todos",datos_base!$C$9,0))*parametros_manuales!$F$95+parametros_manuales!$D$37*(datos_base!$C$18+IF(parametros_manuales!$H$37="Todos",datos_base!$C$23,0))*parametros_manuales!$F$12+parametros_manuales!$E$37*(datos_base!$C$3+IF(parametros_manuales!$H$37="Todos",datos_base!$C$10,0))*parametros_manuales!$F$100+parametros_manuales!$E$37*(datos_base!$C$19+IF(parametros_manuales!$H$37="Todos",datos_base!$C$24,0))*parametros_manuales!$F$13+parametros_manuales!$F$37*(datos_base!$C$4+IF(parametros_manuales!$H$37="Todos",datos_base!$C$11,0))*parametros_manuales!$F$105+parametros_manuales!$F$37*(datos_base!$C$20+IF(parametros_manuales!$H$37="Todos",datos_base!$C$25,0))*parametros_manuales!$F$14+parametros_manuales!$G$37*(datos_base!$C$5+IF(parametros_manuales!$H$37="Todos",datos_base!$C$12,0))*parametros_manuales!$F$110+parametros_manuales!$G$37*(datos_base!$C$21+IF(parametros_manuales!$H$37="Todos",datos_base!$C$26,0))*parametros_manuales!$F$15)*parametros_manuales!$I$37*parametros_manuales!$J$37</f>
        <v>805.27956863</v>
      </c>
      <c r="G47" s="9" t="n">
        <f aca="false">(parametros_manuales!$D$37*(datos_base!$C$2+IF(parametros_manuales!$H$37="Todos",datos_base!$C$9,0))*parametros_manuales!$G$95+parametros_manuales!$D$37*(datos_base!$C$18+IF(parametros_manuales!$H$37="Todos",datos_base!$C$23,0))*parametros_manuales!$G$12+parametros_manuales!$E$37*(datos_base!$C$3+IF(parametros_manuales!$H$37="Todos",datos_base!$C$10,0))*parametros_manuales!$G$100+parametros_manuales!$E$37*(datos_base!$C$19+IF(parametros_manuales!$H$37="Todos",datos_base!$C$24,0))*parametros_manuales!$G$13+parametros_manuales!$F$37*(datos_base!$C$4+IF(parametros_manuales!$H$37="Todos",datos_base!$C$11,0))*parametros_manuales!$G$105+parametros_manuales!$F$37*(datos_base!$C$20+IF(parametros_manuales!$H$37="Todos",datos_base!$C$25,0))*parametros_manuales!$G$14+parametros_manuales!$G$37*(datos_base!$C$5+IF(parametros_manuales!$H$37="Todos",datos_base!$C$12,0))*parametros_manuales!$G$110+parametros_manuales!$G$37*(datos_base!$C$21+IF(parametros_manuales!$H$37="Todos",datos_base!$C$26,0))*parametros_manuales!$G$15)*parametros_manuales!$I$37*parametros_manuales!$J$37</f>
        <v>781.18780049</v>
      </c>
      <c r="H47" s="9" t="n">
        <f aca="false">(parametros_manuales!$D$37*(datos_base!$C$2+IF(parametros_manuales!$H$37="Todos",datos_base!$C$9,0))*parametros_manuales!$H$95+parametros_manuales!$D$37*(datos_base!$C$18+IF(parametros_manuales!$H$37="Todos",datos_base!$C$23,0))*parametros_manuales!$H$12+parametros_manuales!$E$37*(datos_base!$C$3+IF(parametros_manuales!$H$37="Todos",datos_base!$C$10,0))*parametros_manuales!$H$100+parametros_manuales!$E$37*(datos_base!$C$19+IF(parametros_manuales!$H$37="Todos",datos_base!$C$24,0))*parametros_manuales!$H$13+parametros_manuales!$F$37*(datos_base!$C$4+IF(parametros_manuales!$H$37="Todos",datos_base!$C$11,0))*parametros_manuales!$H$105+parametros_manuales!$F$37*(datos_base!$C$20+IF(parametros_manuales!$H$37="Todos",datos_base!$C$25,0))*parametros_manuales!$H$14+parametros_manuales!$G$37*(datos_base!$C$5+IF(parametros_manuales!$H$37="Todos",datos_base!$C$12,0))*parametros_manuales!$H$110+parametros_manuales!$G$37*(datos_base!$C$21+IF(parametros_manuales!$H$37="Todos",datos_base!$C$26,0))*parametros_manuales!$H$15)*parametros_manuales!$I$37*parametros_manuales!$J$37</f>
        <v>835.266088515</v>
      </c>
      <c r="I47" s="9" t="n">
        <f aca="false">(parametros_manuales!$D$37*(datos_base!$C$2+IF(parametros_manuales!$H$37="Todos",datos_base!$C$9,0))*parametros_manuales!$I$95+parametros_manuales!$D$37*(datos_base!$C$18+IF(parametros_manuales!$H$37="Todos",datos_base!$C$23,0))*parametros_manuales!$I$12+parametros_manuales!$E$37*(datos_base!$C$3+IF(parametros_manuales!$H$37="Todos",datos_base!$C$10,0))*parametros_manuales!$I$100+parametros_manuales!$E$37*(datos_base!$C$19+IF(parametros_manuales!$H$37="Todos",datos_base!$C$24,0))*parametros_manuales!$I$13+parametros_manuales!$F$37*(datos_base!$C$4+IF(parametros_manuales!$H$37="Todos",datos_base!$C$11,0))*parametros_manuales!$I$105+parametros_manuales!$F$37*(datos_base!$C$20+IF(parametros_manuales!$H$37="Todos",datos_base!$C$25,0))*parametros_manuales!$I$14+parametros_manuales!$G$37*(datos_base!$C$5+IF(parametros_manuales!$H$37="Todos",datos_base!$C$12,0))*parametros_manuales!$I$110+parametros_manuales!$G$37*(datos_base!$C$21+IF(parametros_manuales!$H$37="Todos",datos_base!$C$26,0))*parametros_manuales!$I$15)*parametros_manuales!$I$37*parametros_manuales!$J$37</f>
        <v>925.22564817</v>
      </c>
      <c r="J47" s="9" t="n">
        <f aca="false">(parametros_manuales!$D$37*(datos_base!$C$2+IF(parametros_manuales!$H$37="Todos",datos_base!$C$9,0))*parametros_manuales!$J$95+parametros_manuales!$D$37*(datos_base!$C$18+IF(parametros_manuales!$H$37="Todos",datos_base!$C$23,0))*parametros_manuales!$J$12+parametros_manuales!$E$37*(datos_base!$C$3+IF(parametros_manuales!$H$37="Todos",datos_base!$C$10,0))*parametros_manuales!$J$100+parametros_manuales!$E$37*(datos_base!$C$19+IF(parametros_manuales!$H$37="Todos",datos_base!$C$24,0))*parametros_manuales!$J$13+parametros_manuales!$F$37*(datos_base!$C$4+IF(parametros_manuales!$H$37="Todos",datos_base!$C$11,0))*parametros_manuales!$J$105+parametros_manuales!$F$37*(datos_base!$C$20+IF(parametros_manuales!$H$37="Todos",datos_base!$C$25,0))*parametros_manuales!$J$14+parametros_manuales!$G$37*(datos_base!$C$5+IF(parametros_manuales!$H$37="Todos",datos_base!$C$12,0))*parametros_manuales!$J$110+parametros_manuales!$G$37*(datos_base!$C$21+IF(parametros_manuales!$H$37="Todos",datos_base!$C$26,0))*parametros_manuales!$J$15)*parametros_manuales!$I$37*parametros_manuales!$J$37</f>
        <v>925.22564817</v>
      </c>
      <c r="K47" s="9" t="n">
        <f aca="false">(parametros_manuales!$D$37*(datos_base!$C$2+IF(parametros_manuales!$H$37="Todos",datos_base!$C$9,0))*parametros_manuales!$K$95+parametros_manuales!$D$37*(datos_base!$C$18+IF(parametros_manuales!$H$37="Todos",datos_base!$C$23,0))*parametros_manuales!$K$12+parametros_manuales!$E$37*(datos_base!$C$3+IF(parametros_manuales!$H$37="Todos",datos_base!$C$10,0))*parametros_manuales!$K$100+parametros_manuales!$E$37*(datos_base!$C$19+IF(parametros_manuales!$H$37="Todos",datos_base!$C$24,0))*parametros_manuales!$K$13+parametros_manuales!$F$37*(datos_base!$C$4+IF(parametros_manuales!$H$37="Todos",datos_base!$C$11,0))*parametros_manuales!$K$105+parametros_manuales!$F$37*(datos_base!$C$20+IF(parametros_manuales!$H$37="Todos",datos_base!$C$25,0))*parametros_manuales!$K$14+parametros_manuales!$G$37*(datos_base!$C$5+IF(parametros_manuales!$H$37="Todos",datos_base!$C$12,0))*parametros_manuales!$K$110+parametros_manuales!$G$37*(datos_base!$C$21+IF(parametros_manuales!$H$37="Todos",datos_base!$C$26,0))*parametros_manuales!$K$15)*parametros_manuales!$I$37*parametros_manuales!$J$37</f>
        <v>948.47341631</v>
      </c>
      <c r="L47" s="9" t="n">
        <f aca="false">(parametros_manuales!$D$37*(datos_base!$C$2+IF(parametros_manuales!$H$37="Todos",datos_base!$C$9,0))*parametros_manuales!$L$95+parametros_manuales!$D$37*(datos_base!$C$18+IF(parametros_manuales!$H$37="Todos",datos_base!$C$23,0))*parametros_manuales!$L$12+parametros_manuales!$E$37*(datos_base!$C$3+IF(parametros_manuales!$H$37="Todos",datos_base!$C$10,0))*parametros_manuales!$L$100+parametros_manuales!$E$37*(datos_base!$C$19+IF(parametros_manuales!$H$37="Todos",datos_base!$C$24,0))*parametros_manuales!$L$13+parametros_manuales!$F$37*(datos_base!$C$4+IF(parametros_manuales!$H$37="Todos",datos_base!$C$11,0))*parametros_manuales!$L$105+parametros_manuales!$F$37*(datos_base!$C$20+IF(parametros_manuales!$H$37="Todos",datos_base!$C$25,0))*parametros_manuales!$L$14+parametros_manuales!$G$37*(datos_base!$C$5+IF(parametros_manuales!$H$37="Todos",datos_base!$C$12,0))*parametros_manuales!$L$110+parametros_manuales!$G$37*(datos_base!$C$21+IF(parametros_manuales!$H$37="Todos",datos_base!$C$26,0))*parametros_manuales!$L$15)*parametros_manuales!$I$37*parametros_manuales!$J$37</f>
        <v>971.72118445</v>
      </c>
      <c r="M47" s="9" t="n">
        <f aca="false">(parametros_manuales!$D$37*(datos_base!$C$2+IF(parametros_manuales!$H$37="Todos",datos_base!$C$9,0))*parametros_manuales!$M$95+parametros_manuales!$D$37*(datos_base!$C$18+IF(parametros_manuales!$H$37="Todos",datos_base!$C$23,0))*parametros_manuales!$M$12+parametros_manuales!$E$37*(datos_base!$C$3+IF(parametros_manuales!$H$37="Todos",datos_base!$C$10,0))*parametros_manuales!$M$100+parametros_manuales!$E$37*(datos_base!$C$19+IF(parametros_manuales!$H$37="Todos",datos_base!$C$24,0))*parametros_manuales!$M$13+parametros_manuales!$F$37*(datos_base!$C$4+IF(parametros_manuales!$H$37="Todos",datos_base!$C$11,0))*parametros_manuales!$M$105+parametros_manuales!$F$37*(datos_base!$C$20+IF(parametros_manuales!$H$37="Todos",datos_base!$C$25,0))*parametros_manuales!$M$14+parametros_manuales!$G$37*(datos_base!$C$5+IF(parametros_manuales!$H$37="Todos",datos_base!$C$12,0))*parametros_manuales!$M$110+parametros_manuales!$G$37*(datos_base!$C$21+IF(parametros_manuales!$H$37="Todos",datos_base!$C$26,0))*parametros_manuales!$M$15)*parametros_manuales!$I$37*parametros_manuales!$J$37</f>
        <v>975.09718445</v>
      </c>
      <c r="N47" s="9" t="n">
        <f aca="false">SUM(B47:M47)</f>
        <v>10815.657605</v>
      </c>
      <c r="O47" s="9" t="n">
        <f aca="false">MAX(B47:M47)</f>
        <v>975.09718445</v>
      </c>
      <c r="P47" s="44" t="n">
        <f aca="false">O47/(parametros_manuales!$B$7)</f>
        <v>6.50064789633333</v>
      </c>
      <c r="Q47" s="8" t="str">
        <f aca="false">IF(O47=0,"-",INDEX($B$28:$M$28,MATCH(O47,B47:M47,0)))</f>
        <v>Dic</v>
      </c>
    </row>
    <row r="48" customFormat="false" ht="14.25" hidden="false" customHeight="true" outlineLevel="0" collapsed="false">
      <c r="A48" s="8" t="str">
        <f aca="false">parametros_manuales!$B$38</f>
        <v>Carga de polvo</v>
      </c>
      <c r="B48" s="9" t="n">
        <f aca="false">(parametros_manuales!$D$38*(datos_base!$C$2+IF(parametros_manuales!$H$38="Todos",datos_base!$C$9,0))*parametros_manuales!$B$95+parametros_manuales!$D$38*(datos_base!$C$18+IF(parametros_manuales!$H$38="Todos",datos_base!$C$23,0))*parametros_manuales!$B$12+parametros_manuales!$E$38*(datos_base!$C$3+IF(parametros_manuales!$H$38="Todos",datos_base!$C$10,0))*parametros_manuales!$B$100+parametros_manuales!$E$38*(datos_base!$C$19+IF(parametros_manuales!$H$38="Todos",datos_base!$C$24,0))*parametros_manuales!$B$13+parametros_manuales!$F$38*(datos_base!$C$4+IF(parametros_manuales!$H$38="Todos",datos_base!$C$11,0))*parametros_manuales!$B$105+parametros_manuales!$F$38*(datos_base!$C$20+IF(parametros_manuales!$H$38="Todos",datos_base!$C$25,0))*parametros_manuales!$B$14+parametros_manuales!$G$38*(datos_base!$C$5+IF(parametros_manuales!$H$38="Todos",datos_base!$C$12,0))*parametros_manuales!$B$110+parametros_manuales!$G$38*(datos_base!$C$21+IF(parametros_manuales!$H$38="Todos",datos_base!$C$26,0))*parametros_manuales!$B$15)*parametros_manuales!$I$38*parametros_manuales!$J$38</f>
        <v>968.60118445</v>
      </c>
      <c r="C48" s="9" t="n">
        <f aca="false">(parametros_manuales!$D$38*(datos_base!$C$2+IF(parametros_manuales!$H$38="Todos",datos_base!$C$9,0))*parametros_manuales!$C$95+parametros_manuales!$D$38*(datos_base!$C$18+IF(parametros_manuales!$H$38="Todos",datos_base!$C$23,0))*parametros_manuales!$C$12+parametros_manuales!$E$38*(datos_base!$C$3+IF(parametros_manuales!$H$38="Todos",datos_base!$C$10,0))*parametros_manuales!$C$100+parametros_manuales!$E$38*(datos_base!$C$19+IF(parametros_manuales!$H$38="Todos",datos_base!$C$24,0))*parametros_manuales!$C$13+parametros_manuales!$F$38*(datos_base!$C$4+IF(parametros_manuales!$H$38="Todos",datos_base!$C$11,0))*parametros_manuales!$C$105+parametros_manuales!$F$38*(datos_base!$C$20+IF(parametros_manuales!$H$38="Todos",datos_base!$C$25,0))*parametros_manuales!$C$14+parametros_manuales!$G$38*(datos_base!$C$5+IF(parametros_manuales!$H$38="Todos",datos_base!$C$12,0))*parametros_manuales!$C$110+parametros_manuales!$G$38*(datos_base!$C$21+IF(parametros_manuales!$H$38="Todos",datos_base!$C$26,0))*parametros_manuales!$C$15)*parametros_manuales!$I$38*parametros_manuales!$J$38</f>
        <v>920.70404817</v>
      </c>
      <c r="D48" s="9" t="n">
        <f aca="false">(parametros_manuales!$D$38*(datos_base!$C$2+IF(parametros_manuales!$H$38="Todos",datos_base!$C$9,0))*parametros_manuales!$D$95+parametros_manuales!$D$38*(datos_base!$C$18+IF(parametros_manuales!$H$38="Todos",datos_base!$C$23,0))*parametros_manuales!$D$12+parametros_manuales!$E$38*(datos_base!$C$3+IF(parametros_manuales!$H$38="Todos",datos_base!$C$10,0))*parametros_manuales!$D$100+parametros_manuales!$E$38*(datos_base!$C$19+IF(parametros_manuales!$H$38="Todos",datos_base!$C$24,0))*parametros_manuales!$D$13+parametros_manuales!$F$38*(datos_base!$C$4+IF(parametros_manuales!$H$38="Todos",datos_base!$C$11,0))*parametros_manuales!$D$105+parametros_manuales!$F$38*(datos_base!$C$20+IF(parametros_manuales!$H$38="Todos",datos_base!$C$25,0))*parametros_manuales!$D$14+parametros_manuales!$G$38*(datos_base!$C$5+IF(parametros_manuales!$H$38="Todos",datos_base!$C$12,0))*parametros_manuales!$D$110+parametros_manuales!$G$38*(datos_base!$C$21+IF(parametros_manuales!$H$38="Todos",datos_base!$C$26,0))*parametros_manuales!$D$15)*parametros_manuales!$I$38*parametros_manuales!$J$38</f>
        <v>884.54017654</v>
      </c>
      <c r="E48" s="9" t="n">
        <f aca="false">(parametros_manuales!$D$38*(datos_base!$C$2+IF(parametros_manuales!$H$38="Todos",datos_base!$C$9,0))*parametros_manuales!$E$95+parametros_manuales!$D$38*(datos_base!$C$18+IF(parametros_manuales!$H$38="Todos",datos_base!$C$23,0))*parametros_manuales!$E$12+parametros_manuales!$E$38*(datos_base!$C$3+IF(parametros_manuales!$H$38="Todos",datos_base!$C$10,0))*parametros_manuales!$E$100+parametros_manuales!$E$38*(datos_base!$C$19+IF(parametros_manuales!$H$38="Todos",datos_base!$C$24,0))*parametros_manuales!$E$13+parametros_manuales!$F$38*(datos_base!$C$4+IF(parametros_manuales!$H$38="Todos",datos_base!$C$11,0))*parametros_manuales!$E$105+parametros_manuales!$F$38*(datos_base!$C$20+IF(parametros_manuales!$H$38="Todos",datos_base!$C$25,0))*parametros_manuales!$E$14+parametros_manuales!$G$38*(datos_base!$C$5+IF(parametros_manuales!$H$38="Todos",datos_base!$C$12,0))*parametros_manuales!$E$110+parametros_manuales!$G$38*(datos_base!$C$21+IF(parametros_manuales!$H$38="Todos",datos_base!$C$26,0))*parametros_manuales!$E$15)*parametros_manuales!$I$38*parametros_manuales!$J$38</f>
        <v>854.553656655</v>
      </c>
      <c r="F48" s="9" t="n">
        <f aca="false">(parametros_manuales!$D$38*(datos_base!$C$2+IF(parametros_manuales!$H$38="Todos",datos_base!$C$9,0))*parametros_manuales!$F$95+parametros_manuales!$D$38*(datos_base!$C$18+IF(parametros_manuales!$H$38="Todos",datos_base!$C$23,0))*parametros_manuales!$F$12+parametros_manuales!$E$38*(datos_base!$C$3+IF(parametros_manuales!$H$38="Todos",datos_base!$C$10,0))*parametros_manuales!$F$100+parametros_manuales!$E$38*(datos_base!$C$19+IF(parametros_manuales!$H$38="Todos",datos_base!$C$24,0))*parametros_manuales!$F$13+parametros_manuales!$F$38*(datos_base!$C$4+IF(parametros_manuales!$H$38="Todos",datos_base!$C$11,0))*parametros_manuales!$F$105+parametros_manuales!$F$38*(datos_base!$C$20+IF(parametros_manuales!$H$38="Todos",datos_base!$C$25,0))*parametros_manuales!$F$14+parametros_manuales!$G$38*(datos_base!$C$5+IF(parametros_manuales!$H$38="Todos",datos_base!$C$12,0))*parametros_manuales!$F$110+parametros_manuales!$G$38*(datos_base!$C$21+IF(parametros_manuales!$H$38="Todos",datos_base!$C$26,0))*parametros_manuales!$F$15)*parametros_manuales!$I$38*parametros_manuales!$J$38</f>
        <v>800.75796863</v>
      </c>
      <c r="G48" s="9" t="n">
        <f aca="false">(parametros_manuales!$D$38*(datos_base!$C$2+IF(parametros_manuales!$H$38="Todos",datos_base!$C$9,0))*parametros_manuales!$G$95+parametros_manuales!$D$38*(datos_base!$C$18+IF(parametros_manuales!$H$38="Todos",datos_base!$C$23,0))*parametros_manuales!$G$12+parametros_manuales!$E$38*(datos_base!$C$3+IF(parametros_manuales!$H$38="Todos",datos_base!$C$10,0))*parametros_manuales!$G$100+parametros_manuales!$E$38*(datos_base!$C$19+IF(parametros_manuales!$H$38="Todos",datos_base!$C$24,0))*parametros_manuales!$G$13+parametros_manuales!$F$38*(datos_base!$C$4+IF(parametros_manuales!$H$38="Todos",datos_base!$C$11,0))*parametros_manuales!$G$105+parametros_manuales!$F$38*(datos_base!$C$20+IF(parametros_manuales!$H$38="Todos",datos_base!$C$25,0))*parametros_manuales!$G$14+parametros_manuales!$G$38*(datos_base!$C$5+IF(parametros_manuales!$H$38="Todos",datos_base!$C$12,0))*parametros_manuales!$G$110+parametros_manuales!$G$38*(datos_base!$C$21+IF(parametros_manuales!$H$38="Todos",datos_base!$C$26,0))*parametros_manuales!$G$15)*parametros_manuales!$I$38*parametros_manuales!$J$38</f>
        <v>776.94880049</v>
      </c>
      <c r="H48" s="9" t="n">
        <f aca="false">(parametros_manuales!$D$38*(datos_base!$C$2+IF(parametros_manuales!$H$38="Todos",datos_base!$C$9,0))*parametros_manuales!$H$95+parametros_manuales!$D$38*(datos_base!$C$18+IF(parametros_manuales!$H$38="Todos",datos_base!$C$23,0))*parametros_manuales!$H$12+parametros_manuales!$E$38*(datos_base!$C$3+IF(parametros_manuales!$H$38="Todos",datos_base!$C$10,0))*parametros_manuales!$H$100+parametros_manuales!$E$38*(datos_base!$C$19+IF(parametros_manuales!$H$38="Todos",datos_base!$C$24,0))*parametros_manuales!$H$13+parametros_manuales!$F$38*(datos_base!$C$4+IF(parametros_manuales!$H$38="Todos",datos_base!$C$11,0))*parametros_manuales!$H$105+parametros_manuales!$F$38*(datos_base!$C$20+IF(parametros_manuales!$H$38="Todos",datos_base!$C$25,0))*parametros_manuales!$H$14+parametros_manuales!$G$38*(datos_base!$C$5+IF(parametros_manuales!$H$38="Todos",datos_base!$C$12,0))*parametros_manuales!$H$110+parametros_manuales!$G$38*(datos_base!$C$21+IF(parametros_manuales!$H$38="Todos",datos_base!$C$26,0))*parametros_manuales!$H$15)*parametros_manuales!$I$38*parametros_manuales!$J$38</f>
        <v>830.744488515</v>
      </c>
      <c r="I48" s="9" t="n">
        <f aca="false">(parametros_manuales!$D$38*(datos_base!$C$2+IF(parametros_manuales!$H$38="Todos",datos_base!$C$9,0))*parametros_manuales!$I$95+parametros_manuales!$D$38*(datos_base!$C$18+IF(parametros_manuales!$H$38="Todos",datos_base!$C$23,0))*parametros_manuales!$I$12+parametros_manuales!$E$38*(datos_base!$C$3+IF(parametros_manuales!$H$38="Todos",datos_base!$C$10,0))*parametros_manuales!$I$100+parametros_manuales!$E$38*(datos_base!$C$19+IF(parametros_manuales!$H$38="Todos",datos_base!$C$24,0))*parametros_manuales!$I$13+parametros_manuales!$F$38*(datos_base!$C$4+IF(parametros_manuales!$H$38="Todos",datos_base!$C$11,0))*parametros_manuales!$I$105+parametros_manuales!$F$38*(datos_base!$C$20+IF(parametros_manuales!$H$38="Todos",datos_base!$C$25,0))*parametros_manuales!$I$14+parametros_manuales!$G$38*(datos_base!$C$5+IF(parametros_manuales!$H$38="Todos",datos_base!$C$12,0))*parametros_manuales!$I$110+parametros_manuales!$G$38*(datos_base!$C$21+IF(parametros_manuales!$H$38="Todos",datos_base!$C$26,0))*parametros_manuales!$I$15)*parametros_manuales!$I$38*parametros_manuales!$J$38</f>
        <v>920.70404817</v>
      </c>
      <c r="J48" s="9" t="n">
        <f aca="false">(parametros_manuales!$D$38*(datos_base!$C$2+IF(parametros_manuales!$H$38="Todos",datos_base!$C$9,0))*parametros_manuales!$J$95+parametros_manuales!$D$38*(datos_base!$C$18+IF(parametros_manuales!$H$38="Todos",datos_base!$C$23,0))*parametros_manuales!$J$12+parametros_manuales!$E$38*(datos_base!$C$3+IF(parametros_manuales!$H$38="Todos",datos_base!$C$10,0))*parametros_manuales!$J$100+parametros_manuales!$E$38*(datos_base!$C$19+IF(parametros_manuales!$H$38="Todos",datos_base!$C$24,0))*parametros_manuales!$J$13+parametros_manuales!$F$38*(datos_base!$C$4+IF(parametros_manuales!$H$38="Todos",datos_base!$C$11,0))*parametros_manuales!$J$105+parametros_manuales!$F$38*(datos_base!$C$20+IF(parametros_manuales!$H$38="Todos",datos_base!$C$25,0))*parametros_manuales!$J$14+parametros_manuales!$G$38*(datos_base!$C$5+IF(parametros_manuales!$H$38="Todos",datos_base!$C$12,0))*parametros_manuales!$J$110+parametros_manuales!$G$38*(datos_base!$C$21+IF(parametros_manuales!$H$38="Todos",datos_base!$C$26,0))*parametros_manuales!$J$15)*parametros_manuales!$I$38*parametros_manuales!$J$38</f>
        <v>920.70404817</v>
      </c>
      <c r="K48" s="9" t="n">
        <f aca="false">(parametros_manuales!$D$38*(datos_base!$C$2+IF(parametros_manuales!$H$38="Todos",datos_base!$C$9,0))*parametros_manuales!$K$95+parametros_manuales!$D$38*(datos_base!$C$18+IF(parametros_manuales!$H$38="Todos",datos_base!$C$23,0))*parametros_manuales!$K$12+parametros_manuales!$E$38*(datos_base!$C$3+IF(parametros_manuales!$H$38="Todos",datos_base!$C$10,0))*parametros_manuales!$K$100+parametros_manuales!$E$38*(datos_base!$C$19+IF(parametros_manuales!$H$38="Todos",datos_base!$C$24,0))*parametros_manuales!$K$13+parametros_manuales!$F$38*(datos_base!$C$4+IF(parametros_manuales!$H$38="Todos",datos_base!$C$11,0))*parametros_manuales!$K$105+parametros_manuales!$F$38*(datos_base!$C$20+IF(parametros_manuales!$H$38="Todos",datos_base!$C$25,0))*parametros_manuales!$K$14+parametros_manuales!$G$38*(datos_base!$C$5+IF(parametros_manuales!$H$38="Todos",datos_base!$C$12,0))*parametros_manuales!$K$110+parametros_manuales!$G$38*(datos_base!$C$21+IF(parametros_manuales!$H$38="Todos",datos_base!$C$26,0))*parametros_manuales!$K$15)*parametros_manuales!$I$38*parametros_manuales!$J$38</f>
        <v>944.23441631</v>
      </c>
      <c r="L48" s="9" t="n">
        <f aca="false">(parametros_manuales!$D$38*(datos_base!$C$2+IF(parametros_manuales!$H$38="Todos",datos_base!$C$9,0))*parametros_manuales!$L$95+parametros_manuales!$D$38*(datos_base!$C$18+IF(parametros_manuales!$H$38="Todos",datos_base!$C$23,0))*parametros_manuales!$L$12+parametros_manuales!$E$38*(datos_base!$C$3+IF(parametros_manuales!$H$38="Todos",datos_base!$C$10,0))*parametros_manuales!$L$100+parametros_manuales!$E$38*(datos_base!$C$19+IF(parametros_manuales!$H$38="Todos",datos_base!$C$24,0))*parametros_manuales!$L$13+parametros_manuales!$F$38*(datos_base!$C$4+IF(parametros_manuales!$H$38="Todos",datos_base!$C$11,0))*parametros_manuales!$L$105+parametros_manuales!$F$38*(datos_base!$C$20+IF(parametros_manuales!$H$38="Todos",datos_base!$C$25,0))*parametros_manuales!$L$14+parametros_manuales!$G$38*(datos_base!$C$5+IF(parametros_manuales!$H$38="Todos",datos_base!$C$12,0))*parametros_manuales!$L$110+parametros_manuales!$G$38*(datos_base!$C$21+IF(parametros_manuales!$H$38="Todos",datos_base!$C$26,0))*parametros_manuales!$L$15)*parametros_manuales!$I$38*parametros_manuales!$J$38</f>
        <v>967.76478445</v>
      </c>
      <c r="M48" s="9" t="n">
        <f aca="false">(parametros_manuales!$D$38*(datos_base!$C$2+IF(parametros_manuales!$H$38="Todos",datos_base!$C$9,0))*parametros_manuales!$M$95+parametros_manuales!$D$38*(datos_base!$C$18+IF(parametros_manuales!$H$38="Todos",datos_base!$C$23,0))*parametros_manuales!$M$12+parametros_manuales!$E$38*(datos_base!$C$3+IF(parametros_manuales!$H$38="Todos",datos_base!$C$10,0))*parametros_manuales!$M$100+parametros_manuales!$E$38*(datos_base!$C$19+IF(parametros_manuales!$H$38="Todos",datos_base!$C$24,0))*parametros_manuales!$M$13+parametros_manuales!$F$38*(datos_base!$C$4+IF(parametros_manuales!$H$38="Todos",datos_base!$C$11,0))*parametros_manuales!$M$105+parametros_manuales!$F$38*(datos_base!$C$20+IF(parametros_manuales!$H$38="Todos",datos_base!$C$25,0))*parametros_manuales!$M$14+parametros_manuales!$G$38*(datos_base!$C$5+IF(parametros_manuales!$H$38="Todos",datos_base!$C$12,0))*parametros_manuales!$M$110+parametros_manuales!$G$38*(datos_base!$C$21+IF(parametros_manuales!$H$38="Todos",datos_base!$C$26,0))*parametros_manuales!$M$15)*parametros_manuales!$I$38*parametros_manuales!$J$38</f>
        <v>968.87998445</v>
      </c>
      <c r="N48" s="9" t="n">
        <f aca="false">SUM(B48:M48)</f>
        <v>10759.137605</v>
      </c>
      <c r="O48" s="9" t="n">
        <f aca="false">MAX(B48:M48)</f>
        <v>968.87998445</v>
      </c>
      <c r="P48" s="44" t="n">
        <f aca="false">O48/(parametros_manuales!$B$7)</f>
        <v>6.45919989633333</v>
      </c>
      <c r="Q48" s="8" t="str">
        <f aca="false">IF(O48=0,"-",INDEX($B$28:$M$28,MATCH(O48,B48:M48,0)))</f>
        <v>Dic</v>
      </c>
    </row>
    <row r="49" customFormat="false" ht="14.25" hidden="false" customHeight="true" outlineLevel="0" collapsed="false">
      <c r="A49" s="8" t="str">
        <f aca="false">parametros_manuales!$B$39</f>
        <v>Ensamblaje</v>
      </c>
      <c r="B49" s="9" t="n">
        <f aca="false">(parametros_manuales!$D$39*(datos_base!$C$2+IF(parametros_manuales!$H$39="Todos",datos_base!$C$9,0))*parametros_manuales!$B$95+parametros_manuales!$D$39*(datos_base!$C$18+IF(parametros_manuales!$H$39="Todos",datos_base!$C$23,0))*parametros_manuales!$B$12+parametros_manuales!$E$39*(datos_base!$C$3+IF(parametros_manuales!$H$39="Todos",datos_base!$C$10,0))*parametros_manuales!$B$100+parametros_manuales!$E$39*(datos_base!$C$19+IF(parametros_manuales!$H$39="Todos",datos_base!$C$24,0))*parametros_manuales!$B$13+parametros_manuales!$F$39*(datos_base!$C$4+IF(parametros_manuales!$H$39="Todos",datos_base!$C$11,0))*parametros_manuales!$B$105+parametros_manuales!$F$39*(datos_base!$C$20+IF(parametros_manuales!$H$39="Todos",datos_base!$C$25,0))*parametros_manuales!$B$14+parametros_manuales!$G$39*(datos_base!$C$5+IF(parametros_manuales!$H$39="Todos",datos_base!$C$12,0))*parametros_manuales!$B$110+parametros_manuales!$G$39*(datos_base!$C$21+IF(parametros_manuales!$H$39="Todos",datos_base!$C$26,0))*parametros_manuales!$B$15)*parametros_manuales!$I$39*parametros_manuales!$J$39</f>
        <v>968.60118445</v>
      </c>
      <c r="C49" s="9" t="n">
        <f aca="false">(parametros_manuales!$D$39*(datos_base!$C$2+IF(parametros_manuales!$H$39="Todos",datos_base!$C$9,0))*parametros_manuales!$C$95+parametros_manuales!$D$39*(datos_base!$C$18+IF(parametros_manuales!$H$39="Todos",datos_base!$C$23,0))*parametros_manuales!$C$12+parametros_manuales!$E$39*(datos_base!$C$3+IF(parametros_manuales!$H$39="Todos",datos_base!$C$10,0))*parametros_manuales!$C$100+parametros_manuales!$E$39*(datos_base!$C$19+IF(parametros_manuales!$H$39="Todos",datos_base!$C$24,0))*parametros_manuales!$C$13+parametros_manuales!$F$39*(datos_base!$C$4+IF(parametros_manuales!$H$39="Todos",datos_base!$C$11,0))*parametros_manuales!$C$105+parametros_manuales!$F$39*(datos_base!$C$20+IF(parametros_manuales!$H$39="Todos",datos_base!$C$25,0))*parametros_manuales!$C$14+parametros_manuales!$G$39*(datos_base!$C$5+IF(parametros_manuales!$H$39="Todos",datos_base!$C$12,0))*parametros_manuales!$C$110+parametros_manuales!$G$39*(datos_base!$C$21+IF(parametros_manuales!$H$39="Todos",datos_base!$C$26,0))*parametros_manuales!$C$15)*parametros_manuales!$I$39*parametros_manuales!$J$39</f>
        <v>920.70404817</v>
      </c>
      <c r="D49" s="9" t="n">
        <f aca="false">(parametros_manuales!$D$39*(datos_base!$C$2+IF(parametros_manuales!$H$39="Todos",datos_base!$C$9,0))*parametros_manuales!$D$95+parametros_manuales!$D$39*(datos_base!$C$18+IF(parametros_manuales!$H$39="Todos",datos_base!$C$23,0))*parametros_manuales!$D$12+parametros_manuales!$E$39*(datos_base!$C$3+IF(parametros_manuales!$H$39="Todos",datos_base!$C$10,0))*parametros_manuales!$D$100+parametros_manuales!$E$39*(datos_base!$C$19+IF(parametros_manuales!$H$39="Todos",datos_base!$C$24,0))*parametros_manuales!$D$13+parametros_manuales!$F$39*(datos_base!$C$4+IF(parametros_manuales!$H$39="Todos",datos_base!$C$11,0))*parametros_manuales!$D$105+parametros_manuales!$F$39*(datos_base!$C$20+IF(parametros_manuales!$H$39="Todos",datos_base!$C$25,0))*parametros_manuales!$D$14+parametros_manuales!$G$39*(datos_base!$C$5+IF(parametros_manuales!$H$39="Todos",datos_base!$C$12,0))*parametros_manuales!$D$110+parametros_manuales!$G$39*(datos_base!$C$21+IF(parametros_manuales!$H$39="Todos",datos_base!$C$26,0))*parametros_manuales!$D$15)*parametros_manuales!$I$39*parametros_manuales!$J$39</f>
        <v>884.54017654</v>
      </c>
      <c r="E49" s="9" t="n">
        <f aca="false">(parametros_manuales!$D$39*(datos_base!$C$2+IF(parametros_manuales!$H$39="Todos",datos_base!$C$9,0))*parametros_manuales!$E$95+parametros_manuales!$D$39*(datos_base!$C$18+IF(parametros_manuales!$H$39="Todos",datos_base!$C$23,0))*parametros_manuales!$E$12+parametros_manuales!$E$39*(datos_base!$C$3+IF(parametros_manuales!$H$39="Todos",datos_base!$C$10,0))*parametros_manuales!$E$100+parametros_manuales!$E$39*(datos_base!$C$19+IF(parametros_manuales!$H$39="Todos",datos_base!$C$24,0))*parametros_manuales!$E$13+parametros_manuales!$F$39*(datos_base!$C$4+IF(parametros_manuales!$H$39="Todos",datos_base!$C$11,0))*parametros_manuales!$E$105+parametros_manuales!$F$39*(datos_base!$C$20+IF(parametros_manuales!$H$39="Todos",datos_base!$C$25,0))*parametros_manuales!$E$14+parametros_manuales!$G$39*(datos_base!$C$5+IF(parametros_manuales!$H$39="Todos",datos_base!$C$12,0))*parametros_manuales!$E$110+parametros_manuales!$G$39*(datos_base!$C$21+IF(parametros_manuales!$H$39="Todos",datos_base!$C$26,0))*parametros_manuales!$E$15)*parametros_manuales!$I$39*parametros_manuales!$J$39</f>
        <v>854.553656655</v>
      </c>
      <c r="F49" s="9" t="n">
        <f aca="false">(parametros_manuales!$D$39*(datos_base!$C$2+IF(parametros_manuales!$H$39="Todos",datos_base!$C$9,0))*parametros_manuales!$F$95+parametros_manuales!$D$39*(datos_base!$C$18+IF(parametros_manuales!$H$39="Todos",datos_base!$C$23,0))*parametros_manuales!$F$12+parametros_manuales!$E$39*(datos_base!$C$3+IF(parametros_manuales!$H$39="Todos",datos_base!$C$10,0))*parametros_manuales!$F$100+parametros_manuales!$E$39*(datos_base!$C$19+IF(parametros_manuales!$H$39="Todos",datos_base!$C$24,0))*parametros_manuales!$F$13+parametros_manuales!$F$39*(datos_base!$C$4+IF(parametros_manuales!$H$39="Todos",datos_base!$C$11,0))*parametros_manuales!$F$105+parametros_manuales!$F$39*(datos_base!$C$20+IF(parametros_manuales!$H$39="Todos",datos_base!$C$25,0))*parametros_manuales!$F$14+parametros_manuales!$G$39*(datos_base!$C$5+IF(parametros_manuales!$H$39="Todos",datos_base!$C$12,0))*parametros_manuales!$F$110+parametros_manuales!$G$39*(datos_base!$C$21+IF(parametros_manuales!$H$39="Todos",datos_base!$C$26,0))*parametros_manuales!$F$15)*parametros_manuales!$I$39*parametros_manuales!$J$39</f>
        <v>800.75796863</v>
      </c>
      <c r="G49" s="9" t="n">
        <f aca="false">(parametros_manuales!$D$39*(datos_base!$C$2+IF(parametros_manuales!$H$39="Todos",datos_base!$C$9,0))*parametros_manuales!$G$95+parametros_manuales!$D$39*(datos_base!$C$18+IF(parametros_manuales!$H$39="Todos",datos_base!$C$23,0))*parametros_manuales!$G$12+parametros_manuales!$E$39*(datos_base!$C$3+IF(parametros_manuales!$H$39="Todos",datos_base!$C$10,0))*parametros_manuales!$G$100+parametros_manuales!$E$39*(datos_base!$C$19+IF(parametros_manuales!$H$39="Todos",datos_base!$C$24,0))*parametros_manuales!$G$13+parametros_manuales!$F$39*(datos_base!$C$4+IF(parametros_manuales!$H$39="Todos",datos_base!$C$11,0))*parametros_manuales!$G$105+parametros_manuales!$F$39*(datos_base!$C$20+IF(parametros_manuales!$H$39="Todos",datos_base!$C$25,0))*parametros_manuales!$G$14+parametros_manuales!$G$39*(datos_base!$C$5+IF(parametros_manuales!$H$39="Todos",datos_base!$C$12,0))*parametros_manuales!$G$110+parametros_manuales!$G$39*(datos_base!$C$21+IF(parametros_manuales!$H$39="Todos",datos_base!$C$26,0))*parametros_manuales!$G$15)*parametros_manuales!$I$39*parametros_manuales!$J$39</f>
        <v>776.94880049</v>
      </c>
      <c r="H49" s="9" t="n">
        <f aca="false">(parametros_manuales!$D$39*(datos_base!$C$2+IF(parametros_manuales!$H$39="Todos",datos_base!$C$9,0))*parametros_manuales!$H$95+parametros_manuales!$D$39*(datos_base!$C$18+IF(parametros_manuales!$H$39="Todos",datos_base!$C$23,0))*parametros_manuales!$H$12+parametros_manuales!$E$39*(datos_base!$C$3+IF(parametros_manuales!$H$39="Todos",datos_base!$C$10,0))*parametros_manuales!$H$100+parametros_manuales!$E$39*(datos_base!$C$19+IF(parametros_manuales!$H$39="Todos",datos_base!$C$24,0))*parametros_manuales!$H$13+parametros_manuales!$F$39*(datos_base!$C$4+IF(parametros_manuales!$H$39="Todos",datos_base!$C$11,0))*parametros_manuales!$H$105+parametros_manuales!$F$39*(datos_base!$C$20+IF(parametros_manuales!$H$39="Todos",datos_base!$C$25,0))*parametros_manuales!$H$14+parametros_manuales!$G$39*(datos_base!$C$5+IF(parametros_manuales!$H$39="Todos",datos_base!$C$12,0))*parametros_manuales!$H$110+parametros_manuales!$G$39*(datos_base!$C$21+IF(parametros_manuales!$H$39="Todos",datos_base!$C$26,0))*parametros_manuales!$H$15)*parametros_manuales!$I$39*parametros_manuales!$J$39</f>
        <v>830.744488515</v>
      </c>
      <c r="I49" s="9" t="n">
        <f aca="false">(parametros_manuales!$D$39*(datos_base!$C$2+IF(parametros_manuales!$H$39="Todos",datos_base!$C$9,0))*parametros_manuales!$I$95+parametros_manuales!$D$39*(datos_base!$C$18+IF(parametros_manuales!$H$39="Todos",datos_base!$C$23,0))*parametros_manuales!$I$12+parametros_manuales!$E$39*(datos_base!$C$3+IF(parametros_manuales!$H$39="Todos",datos_base!$C$10,0))*parametros_manuales!$I$100+parametros_manuales!$E$39*(datos_base!$C$19+IF(parametros_manuales!$H$39="Todos",datos_base!$C$24,0))*parametros_manuales!$I$13+parametros_manuales!$F$39*(datos_base!$C$4+IF(parametros_manuales!$H$39="Todos",datos_base!$C$11,0))*parametros_manuales!$I$105+parametros_manuales!$F$39*(datos_base!$C$20+IF(parametros_manuales!$H$39="Todos",datos_base!$C$25,0))*parametros_manuales!$I$14+parametros_manuales!$G$39*(datos_base!$C$5+IF(parametros_manuales!$H$39="Todos",datos_base!$C$12,0))*parametros_manuales!$I$110+parametros_manuales!$G$39*(datos_base!$C$21+IF(parametros_manuales!$H$39="Todos",datos_base!$C$26,0))*parametros_manuales!$I$15)*parametros_manuales!$I$39*parametros_manuales!$J$39</f>
        <v>920.70404817</v>
      </c>
      <c r="J49" s="9" t="n">
        <f aca="false">(parametros_manuales!$D$39*(datos_base!$C$2+IF(parametros_manuales!$H$39="Todos",datos_base!$C$9,0))*parametros_manuales!$J$95+parametros_manuales!$D$39*(datos_base!$C$18+IF(parametros_manuales!$H$39="Todos",datos_base!$C$23,0))*parametros_manuales!$J$12+parametros_manuales!$E$39*(datos_base!$C$3+IF(parametros_manuales!$H$39="Todos",datos_base!$C$10,0))*parametros_manuales!$J$100+parametros_manuales!$E$39*(datos_base!$C$19+IF(parametros_manuales!$H$39="Todos",datos_base!$C$24,0))*parametros_manuales!$J$13+parametros_manuales!$F$39*(datos_base!$C$4+IF(parametros_manuales!$H$39="Todos",datos_base!$C$11,0))*parametros_manuales!$J$105+parametros_manuales!$F$39*(datos_base!$C$20+IF(parametros_manuales!$H$39="Todos",datos_base!$C$25,0))*parametros_manuales!$J$14+parametros_manuales!$G$39*(datos_base!$C$5+IF(parametros_manuales!$H$39="Todos",datos_base!$C$12,0))*parametros_manuales!$J$110+parametros_manuales!$G$39*(datos_base!$C$21+IF(parametros_manuales!$H$39="Todos",datos_base!$C$26,0))*parametros_manuales!$J$15)*parametros_manuales!$I$39*parametros_manuales!$J$39</f>
        <v>920.70404817</v>
      </c>
      <c r="K49" s="9" t="n">
        <f aca="false">(parametros_manuales!$D$39*(datos_base!$C$2+IF(parametros_manuales!$H$39="Todos",datos_base!$C$9,0))*parametros_manuales!$K$95+parametros_manuales!$D$39*(datos_base!$C$18+IF(parametros_manuales!$H$39="Todos",datos_base!$C$23,0))*parametros_manuales!$K$12+parametros_manuales!$E$39*(datos_base!$C$3+IF(parametros_manuales!$H$39="Todos",datos_base!$C$10,0))*parametros_manuales!$K$100+parametros_manuales!$E$39*(datos_base!$C$19+IF(parametros_manuales!$H$39="Todos",datos_base!$C$24,0))*parametros_manuales!$K$13+parametros_manuales!$F$39*(datos_base!$C$4+IF(parametros_manuales!$H$39="Todos",datos_base!$C$11,0))*parametros_manuales!$K$105+parametros_manuales!$F$39*(datos_base!$C$20+IF(parametros_manuales!$H$39="Todos",datos_base!$C$25,0))*parametros_manuales!$K$14+parametros_manuales!$G$39*(datos_base!$C$5+IF(parametros_manuales!$H$39="Todos",datos_base!$C$12,0))*parametros_manuales!$K$110+parametros_manuales!$G$39*(datos_base!$C$21+IF(parametros_manuales!$H$39="Todos",datos_base!$C$26,0))*parametros_manuales!$K$15)*parametros_manuales!$I$39*parametros_manuales!$J$39</f>
        <v>944.23441631</v>
      </c>
      <c r="L49" s="9" t="n">
        <f aca="false">(parametros_manuales!$D$39*(datos_base!$C$2+IF(parametros_manuales!$H$39="Todos",datos_base!$C$9,0))*parametros_manuales!$L$95+parametros_manuales!$D$39*(datos_base!$C$18+IF(parametros_manuales!$H$39="Todos",datos_base!$C$23,0))*parametros_manuales!$L$12+parametros_manuales!$E$39*(datos_base!$C$3+IF(parametros_manuales!$H$39="Todos",datos_base!$C$10,0))*parametros_manuales!$L$100+parametros_manuales!$E$39*(datos_base!$C$19+IF(parametros_manuales!$H$39="Todos",datos_base!$C$24,0))*parametros_manuales!$L$13+parametros_manuales!$F$39*(datos_base!$C$4+IF(parametros_manuales!$H$39="Todos",datos_base!$C$11,0))*parametros_manuales!$L$105+parametros_manuales!$F$39*(datos_base!$C$20+IF(parametros_manuales!$H$39="Todos",datos_base!$C$25,0))*parametros_manuales!$L$14+parametros_manuales!$G$39*(datos_base!$C$5+IF(parametros_manuales!$H$39="Todos",datos_base!$C$12,0))*parametros_manuales!$L$110+parametros_manuales!$G$39*(datos_base!$C$21+IF(parametros_manuales!$H$39="Todos",datos_base!$C$26,0))*parametros_manuales!$L$15)*parametros_manuales!$I$39*parametros_manuales!$J$39</f>
        <v>967.76478445</v>
      </c>
      <c r="M49" s="9" t="n">
        <f aca="false">(parametros_manuales!$D$39*(datos_base!$C$2+IF(parametros_manuales!$H$39="Todos",datos_base!$C$9,0))*parametros_manuales!$M$95+parametros_manuales!$D$39*(datos_base!$C$18+IF(parametros_manuales!$H$39="Todos",datos_base!$C$23,0))*parametros_manuales!$M$12+parametros_manuales!$E$39*(datos_base!$C$3+IF(parametros_manuales!$H$39="Todos",datos_base!$C$10,0))*parametros_manuales!$M$100+parametros_manuales!$E$39*(datos_base!$C$19+IF(parametros_manuales!$H$39="Todos",datos_base!$C$24,0))*parametros_manuales!$M$13+parametros_manuales!$F$39*(datos_base!$C$4+IF(parametros_manuales!$H$39="Todos",datos_base!$C$11,0))*parametros_manuales!$M$105+parametros_manuales!$F$39*(datos_base!$C$20+IF(parametros_manuales!$H$39="Todos",datos_base!$C$25,0))*parametros_manuales!$M$14+parametros_manuales!$G$39*(datos_base!$C$5+IF(parametros_manuales!$H$39="Todos",datos_base!$C$12,0))*parametros_manuales!$M$110+parametros_manuales!$G$39*(datos_base!$C$21+IF(parametros_manuales!$H$39="Todos",datos_base!$C$26,0))*parametros_manuales!$M$15)*parametros_manuales!$I$39*parametros_manuales!$J$39</f>
        <v>968.87998445</v>
      </c>
      <c r="N49" s="9" t="n">
        <f aca="false">SUM(B49:M49)</f>
        <v>10759.137605</v>
      </c>
      <c r="O49" s="9" t="n">
        <f aca="false">MAX(B49:M49)</f>
        <v>968.87998445</v>
      </c>
      <c r="P49" s="44" t="n">
        <f aca="false">O49/(parametros_manuales!$B$7)</f>
        <v>6.45919989633333</v>
      </c>
      <c r="Q49" s="8" t="str">
        <f aca="false">IF(O49=0,"-",INDEX($B$28:$M$28,MATCH(O49,B49:M49,0)))</f>
        <v>Dic</v>
      </c>
    </row>
    <row r="50" customFormat="false" ht="14.25" hidden="false" customHeight="true" outlineLevel="0" collapsed="false">
      <c r="A50" s="8" t="str">
        <f aca="false">parametros_manuales!$B$40</f>
        <v>Presurización</v>
      </c>
      <c r="B50" s="9" t="n">
        <f aca="false">(parametros_manuales!$D$40*(datos_base!$C$2+IF(parametros_manuales!$H$40="Todos",datos_base!$C$9,0))*parametros_manuales!$B$95+parametros_manuales!$D$40*(datos_base!$C$18+IF(parametros_manuales!$H$40="Todos",datos_base!$C$23,0))*parametros_manuales!$B$12+parametros_manuales!$E$40*(datos_base!$C$3+IF(parametros_manuales!$H$40="Todos",datos_base!$C$10,0))*parametros_manuales!$B$100+parametros_manuales!$E$40*(datos_base!$C$19+IF(parametros_manuales!$H$40="Todos",datos_base!$C$24,0))*parametros_manuales!$B$13+parametros_manuales!$F$40*(datos_base!$C$4+IF(parametros_manuales!$H$40="Todos",datos_base!$C$11,0))*parametros_manuales!$B$105+parametros_manuales!$F$40*(datos_base!$C$20+IF(parametros_manuales!$H$40="Todos",datos_base!$C$25,0))*parametros_manuales!$B$14+parametros_manuales!$G$40*(datos_base!$C$5+IF(parametros_manuales!$H$40="Todos",datos_base!$C$12,0))*parametros_manuales!$B$110+parametros_manuales!$G$40*(datos_base!$C$21+IF(parametros_manuales!$H$40="Todos",datos_base!$C$26,0))*parametros_manuales!$B$15)*parametros_manuales!$I$40*parametros_manuales!$J$40</f>
        <v>968.60118445</v>
      </c>
      <c r="C50" s="9" t="n">
        <f aca="false">(parametros_manuales!$D$40*(datos_base!$C$2+IF(parametros_manuales!$H$40="Todos",datos_base!$C$9,0))*parametros_manuales!$C$95+parametros_manuales!$D$40*(datos_base!$C$18+IF(parametros_manuales!$H$40="Todos",datos_base!$C$23,0))*parametros_manuales!$C$12+parametros_manuales!$E$40*(datos_base!$C$3+IF(parametros_manuales!$H$40="Todos",datos_base!$C$10,0))*parametros_manuales!$C$100+parametros_manuales!$E$40*(datos_base!$C$19+IF(parametros_manuales!$H$40="Todos",datos_base!$C$24,0))*parametros_manuales!$C$13+parametros_manuales!$F$40*(datos_base!$C$4+IF(parametros_manuales!$H$40="Todos",datos_base!$C$11,0))*parametros_manuales!$C$105+parametros_manuales!$F$40*(datos_base!$C$20+IF(parametros_manuales!$H$40="Todos",datos_base!$C$25,0))*parametros_manuales!$C$14+parametros_manuales!$G$40*(datos_base!$C$5+IF(parametros_manuales!$H$40="Todos",datos_base!$C$12,0))*parametros_manuales!$C$110+parametros_manuales!$G$40*(datos_base!$C$21+IF(parametros_manuales!$H$40="Todos",datos_base!$C$26,0))*parametros_manuales!$C$15)*parametros_manuales!$I$40*parametros_manuales!$J$40</f>
        <v>920.70404817</v>
      </c>
      <c r="D50" s="9" t="n">
        <f aca="false">(parametros_manuales!$D$40*(datos_base!$C$2+IF(parametros_manuales!$H$40="Todos",datos_base!$C$9,0))*parametros_manuales!$D$95+parametros_manuales!$D$40*(datos_base!$C$18+IF(parametros_manuales!$H$40="Todos",datos_base!$C$23,0))*parametros_manuales!$D$12+parametros_manuales!$E$40*(datos_base!$C$3+IF(parametros_manuales!$H$40="Todos",datos_base!$C$10,0))*parametros_manuales!$D$100+parametros_manuales!$E$40*(datos_base!$C$19+IF(parametros_manuales!$H$40="Todos",datos_base!$C$24,0))*parametros_manuales!$D$13+parametros_manuales!$F$40*(datos_base!$C$4+IF(parametros_manuales!$H$40="Todos",datos_base!$C$11,0))*parametros_manuales!$D$105+parametros_manuales!$F$40*(datos_base!$C$20+IF(parametros_manuales!$H$40="Todos",datos_base!$C$25,0))*parametros_manuales!$D$14+parametros_manuales!$G$40*(datos_base!$C$5+IF(parametros_manuales!$H$40="Todos",datos_base!$C$12,0))*parametros_manuales!$D$110+parametros_manuales!$G$40*(datos_base!$C$21+IF(parametros_manuales!$H$40="Todos",datos_base!$C$26,0))*parametros_manuales!$D$15)*parametros_manuales!$I$40*parametros_manuales!$J$40</f>
        <v>884.54017654</v>
      </c>
      <c r="E50" s="9" t="n">
        <f aca="false">(parametros_manuales!$D$40*(datos_base!$C$2+IF(parametros_manuales!$H$40="Todos",datos_base!$C$9,0))*parametros_manuales!$E$95+parametros_manuales!$D$40*(datos_base!$C$18+IF(parametros_manuales!$H$40="Todos",datos_base!$C$23,0))*parametros_manuales!$E$12+parametros_manuales!$E$40*(datos_base!$C$3+IF(parametros_manuales!$H$40="Todos",datos_base!$C$10,0))*parametros_manuales!$E$100+parametros_manuales!$E$40*(datos_base!$C$19+IF(parametros_manuales!$H$40="Todos",datos_base!$C$24,0))*parametros_manuales!$E$13+parametros_manuales!$F$40*(datos_base!$C$4+IF(parametros_manuales!$H$40="Todos",datos_base!$C$11,0))*parametros_manuales!$E$105+parametros_manuales!$F$40*(datos_base!$C$20+IF(parametros_manuales!$H$40="Todos",datos_base!$C$25,0))*parametros_manuales!$E$14+parametros_manuales!$G$40*(datos_base!$C$5+IF(parametros_manuales!$H$40="Todos",datos_base!$C$12,0))*parametros_manuales!$E$110+parametros_manuales!$G$40*(datos_base!$C$21+IF(parametros_manuales!$H$40="Todos",datos_base!$C$26,0))*parametros_manuales!$E$15)*parametros_manuales!$I$40*parametros_manuales!$J$40</f>
        <v>854.553656655</v>
      </c>
      <c r="F50" s="9" t="n">
        <f aca="false">(parametros_manuales!$D$40*(datos_base!$C$2+IF(parametros_manuales!$H$40="Todos",datos_base!$C$9,0))*parametros_manuales!$F$95+parametros_manuales!$D$40*(datos_base!$C$18+IF(parametros_manuales!$H$40="Todos",datos_base!$C$23,0))*parametros_manuales!$F$12+parametros_manuales!$E$40*(datos_base!$C$3+IF(parametros_manuales!$H$40="Todos",datos_base!$C$10,0))*parametros_manuales!$F$100+parametros_manuales!$E$40*(datos_base!$C$19+IF(parametros_manuales!$H$40="Todos",datos_base!$C$24,0))*parametros_manuales!$F$13+parametros_manuales!$F$40*(datos_base!$C$4+IF(parametros_manuales!$H$40="Todos",datos_base!$C$11,0))*parametros_manuales!$F$105+parametros_manuales!$F$40*(datos_base!$C$20+IF(parametros_manuales!$H$40="Todos",datos_base!$C$25,0))*parametros_manuales!$F$14+parametros_manuales!$G$40*(datos_base!$C$5+IF(parametros_manuales!$H$40="Todos",datos_base!$C$12,0))*parametros_manuales!$F$110+parametros_manuales!$G$40*(datos_base!$C$21+IF(parametros_manuales!$H$40="Todos",datos_base!$C$26,0))*parametros_manuales!$F$15)*parametros_manuales!$I$40*parametros_manuales!$J$40</f>
        <v>800.75796863</v>
      </c>
      <c r="G50" s="9" t="n">
        <f aca="false">(parametros_manuales!$D$40*(datos_base!$C$2+IF(parametros_manuales!$H$40="Todos",datos_base!$C$9,0))*parametros_manuales!$G$95+parametros_manuales!$D$40*(datos_base!$C$18+IF(parametros_manuales!$H$40="Todos",datos_base!$C$23,0))*parametros_manuales!$G$12+parametros_manuales!$E$40*(datos_base!$C$3+IF(parametros_manuales!$H$40="Todos",datos_base!$C$10,0))*parametros_manuales!$G$100+parametros_manuales!$E$40*(datos_base!$C$19+IF(parametros_manuales!$H$40="Todos",datos_base!$C$24,0))*parametros_manuales!$G$13+parametros_manuales!$F$40*(datos_base!$C$4+IF(parametros_manuales!$H$40="Todos",datos_base!$C$11,0))*parametros_manuales!$G$105+parametros_manuales!$F$40*(datos_base!$C$20+IF(parametros_manuales!$H$40="Todos",datos_base!$C$25,0))*parametros_manuales!$G$14+parametros_manuales!$G$40*(datos_base!$C$5+IF(parametros_manuales!$H$40="Todos",datos_base!$C$12,0))*parametros_manuales!$G$110+parametros_manuales!$G$40*(datos_base!$C$21+IF(parametros_manuales!$H$40="Todos",datos_base!$C$26,0))*parametros_manuales!$G$15)*parametros_manuales!$I$40*parametros_manuales!$J$40</f>
        <v>776.94880049</v>
      </c>
      <c r="H50" s="9" t="n">
        <f aca="false">(parametros_manuales!$D$40*(datos_base!$C$2+IF(parametros_manuales!$H$40="Todos",datos_base!$C$9,0))*parametros_manuales!$H$95+parametros_manuales!$D$40*(datos_base!$C$18+IF(parametros_manuales!$H$40="Todos",datos_base!$C$23,0))*parametros_manuales!$H$12+parametros_manuales!$E$40*(datos_base!$C$3+IF(parametros_manuales!$H$40="Todos",datos_base!$C$10,0))*parametros_manuales!$H$100+parametros_manuales!$E$40*(datos_base!$C$19+IF(parametros_manuales!$H$40="Todos",datos_base!$C$24,0))*parametros_manuales!$H$13+parametros_manuales!$F$40*(datos_base!$C$4+IF(parametros_manuales!$H$40="Todos",datos_base!$C$11,0))*parametros_manuales!$H$105+parametros_manuales!$F$40*(datos_base!$C$20+IF(parametros_manuales!$H$40="Todos",datos_base!$C$25,0))*parametros_manuales!$H$14+parametros_manuales!$G$40*(datos_base!$C$5+IF(parametros_manuales!$H$40="Todos",datos_base!$C$12,0))*parametros_manuales!$H$110+parametros_manuales!$G$40*(datos_base!$C$21+IF(parametros_manuales!$H$40="Todos",datos_base!$C$26,0))*parametros_manuales!$H$15)*parametros_manuales!$I$40*parametros_manuales!$J$40</f>
        <v>830.744488515</v>
      </c>
      <c r="I50" s="9" t="n">
        <f aca="false">(parametros_manuales!$D$40*(datos_base!$C$2+IF(parametros_manuales!$H$40="Todos",datos_base!$C$9,0))*parametros_manuales!$I$95+parametros_manuales!$D$40*(datos_base!$C$18+IF(parametros_manuales!$H$40="Todos",datos_base!$C$23,0))*parametros_manuales!$I$12+parametros_manuales!$E$40*(datos_base!$C$3+IF(parametros_manuales!$H$40="Todos",datos_base!$C$10,0))*parametros_manuales!$I$100+parametros_manuales!$E$40*(datos_base!$C$19+IF(parametros_manuales!$H$40="Todos",datos_base!$C$24,0))*parametros_manuales!$I$13+parametros_manuales!$F$40*(datos_base!$C$4+IF(parametros_manuales!$H$40="Todos",datos_base!$C$11,0))*parametros_manuales!$I$105+parametros_manuales!$F$40*(datos_base!$C$20+IF(parametros_manuales!$H$40="Todos",datos_base!$C$25,0))*parametros_manuales!$I$14+parametros_manuales!$G$40*(datos_base!$C$5+IF(parametros_manuales!$H$40="Todos",datos_base!$C$12,0))*parametros_manuales!$I$110+parametros_manuales!$G$40*(datos_base!$C$21+IF(parametros_manuales!$H$40="Todos",datos_base!$C$26,0))*parametros_manuales!$I$15)*parametros_manuales!$I$40*parametros_manuales!$J$40</f>
        <v>920.70404817</v>
      </c>
      <c r="J50" s="9" t="n">
        <f aca="false">(parametros_manuales!$D$40*(datos_base!$C$2+IF(parametros_manuales!$H$40="Todos",datos_base!$C$9,0))*parametros_manuales!$J$95+parametros_manuales!$D$40*(datos_base!$C$18+IF(parametros_manuales!$H$40="Todos",datos_base!$C$23,0))*parametros_manuales!$J$12+parametros_manuales!$E$40*(datos_base!$C$3+IF(parametros_manuales!$H$40="Todos",datos_base!$C$10,0))*parametros_manuales!$J$100+parametros_manuales!$E$40*(datos_base!$C$19+IF(parametros_manuales!$H$40="Todos",datos_base!$C$24,0))*parametros_manuales!$J$13+parametros_manuales!$F$40*(datos_base!$C$4+IF(parametros_manuales!$H$40="Todos",datos_base!$C$11,0))*parametros_manuales!$J$105+parametros_manuales!$F$40*(datos_base!$C$20+IF(parametros_manuales!$H$40="Todos",datos_base!$C$25,0))*parametros_manuales!$J$14+parametros_manuales!$G$40*(datos_base!$C$5+IF(parametros_manuales!$H$40="Todos",datos_base!$C$12,0))*parametros_manuales!$J$110+parametros_manuales!$G$40*(datos_base!$C$21+IF(parametros_manuales!$H$40="Todos",datos_base!$C$26,0))*parametros_manuales!$J$15)*parametros_manuales!$I$40*parametros_manuales!$J$40</f>
        <v>920.70404817</v>
      </c>
      <c r="K50" s="9" t="n">
        <f aca="false">(parametros_manuales!$D$40*(datos_base!$C$2+IF(parametros_manuales!$H$40="Todos",datos_base!$C$9,0))*parametros_manuales!$K$95+parametros_manuales!$D$40*(datos_base!$C$18+IF(parametros_manuales!$H$40="Todos",datos_base!$C$23,0))*parametros_manuales!$K$12+parametros_manuales!$E$40*(datos_base!$C$3+IF(parametros_manuales!$H$40="Todos",datos_base!$C$10,0))*parametros_manuales!$K$100+parametros_manuales!$E$40*(datos_base!$C$19+IF(parametros_manuales!$H$40="Todos",datos_base!$C$24,0))*parametros_manuales!$K$13+parametros_manuales!$F$40*(datos_base!$C$4+IF(parametros_manuales!$H$40="Todos",datos_base!$C$11,0))*parametros_manuales!$K$105+parametros_manuales!$F$40*(datos_base!$C$20+IF(parametros_manuales!$H$40="Todos",datos_base!$C$25,0))*parametros_manuales!$K$14+parametros_manuales!$G$40*(datos_base!$C$5+IF(parametros_manuales!$H$40="Todos",datos_base!$C$12,0))*parametros_manuales!$K$110+parametros_manuales!$G$40*(datos_base!$C$21+IF(parametros_manuales!$H$40="Todos",datos_base!$C$26,0))*parametros_manuales!$K$15)*parametros_manuales!$I$40*parametros_manuales!$J$40</f>
        <v>944.23441631</v>
      </c>
      <c r="L50" s="9" t="n">
        <f aca="false">(parametros_manuales!$D$40*(datos_base!$C$2+IF(parametros_manuales!$H$40="Todos",datos_base!$C$9,0))*parametros_manuales!$L$95+parametros_manuales!$D$40*(datos_base!$C$18+IF(parametros_manuales!$H$40="Todos",datos_base!$C$23,0))*parametros_manuales!$L$12+parametros_manuales!$E$40*(datos_base!$C$3+IF(parametros_manuales!$H$40="Todos",datos_base!$C$10,0))*parametros_manuales!$L$100+parametros_manuales!$E$40*(datos_base!$C$19+IF(parametros_manuales!$H$40="Todos",datos_base!$C$24,0))*parametros_manuales!$L$13+parametros_manuales!$F$40*(datos_base!$C$4+IF(parametros_manuales!$H$40="Todos",datos_base!$C$11,0))*parametros_manuales!$L$105+parametros_manuales!$F$40*(datos_base!$C$20+IF(parametros_manuales!$H$40="Todos",datos_base!$C$25,0))*parametros_manuales!$L$14+parametros_manuales!$G$40*(datos_base!$C$5+IF(parametros_manuales!$H$40="Todos",datos_base!$C$12,0))*parametros_manuales!$L$110+parametros_manuales!$G$40*(datos_base!$C$21+IF(parametros_manuales!$H$40="Todos",datos_base!$C$26,0))*parametros_manuales!$L$15)*parametros_manuales!$I$40*parametros_manuales!$J$40</f>
        <v>967.76478445</v>
      </c>
      <c r="M50" s="9" t="n">
        <f aca="false">(parametros_manuales!$D$40*(datos_base!$C$2+IF(parametros_manuales!$H$40="Todos",datos_base!$C$9,0))*parametros_manuales!$M$95+parametros_manuales!$D$40*(datos_base!$C$18+IF(parametros_manuales!$H$40="Todos",datos_base!$C$23,0))*parametros_manuales!$M$12+parametros_manuales!$E$40*(datos_base!$C$3+IF(parametros_manuales!$H$40="Todos",datos_base!$C$10,0))*parametros_manuales!$M$100+parametros_manuales!$E$40*(datos_base!$C$19+IF(parametros_manuales!$H$40="Todos",datos_base!$C$24,0))*parametros_manuales!$M$13+parametros_manuales!$F$40*(datos_base!$C$4+IF(parametros_manuales!$H$40="Todos",datos_base!$C$11,0))*parametros_manuales!$M$105+parametros_manuales!$F$40*(datos_base!$C$20+IF(parametros_manuales!$H$40="Todos",datos_base!$C$25,0))*parametros_manuales!$M$14+parametros_manuales!$G$40*(datos_base!$C$5+IF(parametros_manuales!$H$40="Todos",datos_base!$C$12,0))*parametros_manuales!$M$110+parametros_manuales!$G$40*(datos_base!$C$21+IF(parametros_manuales!$H$40="Todos",datos_base!$C$26,0))*parametros_manuales!$M$15)*parametros_manuales!$I$40*parametros_manuales!$J$40</f>
        <v>968.87998445</v>
      </c>
      <c r="N50" s="9" t="n">
        <f aca="false">SUM(B50:M50)</f>
        <v>10759.137605</v>
      </c>
      <c r="O50" s="9" t="n">
        <f aca="false">MAX(B50:M50)</f>
        <v>968.87998445</v>
      </c>
      <c r="P50" s="44" t="n">
        <f aca="false">O50/(parametros_manuales!$B$7)</f>
        <v>6.45919989633333</v>
      </c>
      <c r="Q50" s="8" t="str">
        <f aca="false">IF(O50=0,"-",INDEX($B$28:$M$28,MATCH(O50,B50:M50,0)))</f>
        <v>Dic</v>
      </c>
    </row>
    <row r="51" customFormat="false" ht="14.25" hidden="false" customHeight="true" outlineLevel="0" collapsed="false">
      <c r="A51" s="8" t="str">
        <f aca="false">parametros_manuales!$B$41</f>
        <v>Control de calidad — Ensayo de pérdidas</v>
      </c>
      <c r="B51" s="9" t="n">
        <f aca="false">(parametros_manuales!$D$41*(datos_base!$C$2+IF(parametros_manuales!$H$41="Todos",datos_base!$C$9,0))*parametros_manuales!$B$95+parametros_manuales!$D$41*(datos_base!$C$18+IF(parametros_manuales!$H$41="Todos",datos_base!$C$23,0))*parametros_manuales!$B$12+parametros_manuales!$E$41*(datos_base!$C$3+IF(parametros_manuales!$H$41="Todos",datos_base!$C$10,0))*parametros_manuales!$B$100+parametros_manuales!$E$41*(datos_base!$C$19+IF(parametros_manuales!$H$41="Todos",datos_base!$C$24,0))*parametros_manuales!$B$13+parametros_manuales!$F$41*(datos_base!$C$4+IF(parametros_manuales!$H$41="Todos",datos_base!$C$11,0))*parametros_manuales!$B$105+parametros_manuales!$F$41*(datos_base!$C$20+IF(parametros_manuales!$H$41="Todos",datos_base!$C$25,0))*parametros_manuales!$B$14+parametros_manuales!$G$41*(datos_base!$C$5+IF(parametros_manuales!$H$41="Todos",datos_base!$C$12,0))*parametros_manuales!$B$110+parametros_manuales!$G$41*(datos_base!$C$21+IF(parametros_manuales!$H$41="Todos",datos_base!$C$26,0))*parametros_manuales!$B$15)*parametros_manuales!$I$41*parametros_manuales!$J$41</f>
        <v>968.60118445</v>
      </c>
      <c r="C51" s="9" t="n">
        <f aca="false">(parametros_manuales!$D$41*(datos_base!$C$2+IF(parametros_manuales!$H$41="Todos",datos_base!$C$9,0))*parametros_manuales!$C$95+parametros_manuales!$D$41*(datos_base!$C$18+IF(parametros_manuales!$H$41="Todos",datos_base!$C$23,0))*parametros_manuales!$C$12+parametros_manuales!$E$41*(datos_base!$C$3+IF(parametros_manuales!$H$41="Todos",datos_base!$C$10,0))*parametros_manuales!$C$100+parametros_manuales!$E$41*(datos_base!$C$19+IF(parametros_manuales!$H$41="Todos",datos_base!$C$24,0))*parametros_manuales!$C$13+parametros_manuales!$F$41*(datos_base!$C$4+IF(parametros_manuales!$H$41="Todos",datos_base!$C$11,0))*parametros_manuales!$C$105+parametros_manuales!$F$41*(datos_base!$C$20+IF(parametros_manuales!$H$41="Todos",datos_base!$C$25,0))*parametros_manuales!$C$14+parametros_manuales!$G$41*(datos_base!$C$5+IF(parametros_manuales!$H$41="Todos",datos_base!$C$12,0))*parametros_manuales!$C$110+parametros_manuales!$G$41*(datos_base!$C$21+IF(parametros_manuales!$H$41="Todos",datos_base!$C$26,0))*parametros_manuales!$C$15)*parametros_manuales!$I$41*parametros_manuales!$J$41</f>
        <v>920.70404817</v>
      </c>
      <c r="D51" s="9" t="n">
        <f aca="false">(parametros_manuales!$D$41*(datos_base!$C$2+IF(parametros_manuales!$H$41="Todos",datos_base!$C$9,0))*parametros_manuales!$D$95+parametros_manuales!$D$41*(datos_base!$C$18+IF(parametros_manuales!$H$41="Todos",datos_base!$C$23,0))*parametros_manuales!$D$12+parametros_manuales!$E$41*(datos_base!$C$3+IF(parametros_manuales!$H$41="Todos",datos_base!$C$10,0))*parametros_manuales!$D$100+parametros_manuales!$E$41*(datos_base!$C$19+IF(parametros_manuales!$H$41="Todos",datos_base!$C$24,0))*parametros_manuales!$D$13+parametros_manuales!$F$41*(datos_base!$C$4+IF(parametros_manuales!$H$41="Todos",datos_base!$C$11,0))*parametros_manuales!$D$105+parametros_manuales!$F$41*(datos_base!$C$20+IF(parametros_manuales!$H$41="Todos",datos_base!$C$25,0))*parametros_manuales!$D$14+parametros_manuales!$G$41*(datos_base!$C$5+IF(parametros_manuales!$H$41="Todos",datos_base!$C$12,0))*parametros_manuales!$D$110+parametros_manuales!$G$41*(datos_base!$C$21+IF(parametros_manuales!$H$41="Todos",datos_base!$C$26,0))*parametros_manuales!$D$15)*parametros_manuales!$I$41*parametros_manuales!$J$41</f>
        <v>884.54017654</v>
      </c>
      <c r="E51" s="9" t="n">
        <f aca="false">(parametros_manuales!$D$41*(datos_base!$C$2+IF(parametros_manuales!$H$41="Todos",datos_base!$C$9,0))*parametros_manuales!$E$95+parametros_manuales!$D$41*(datos_base!$C$18+IF(parametros_manuales!$H$41="Todos",datos_base!$C$23,0))*parametros_manuales!$E$12+parametros_manuales!$E$41*(datos_base!$C$3+IF(parametros_manuales!$H$41="Todos",datos_base!$C$10,0))*parametros_manuales!$E$100+parametros_manuales!$E$41*(datos_base!$C$19+IF(parametros_manuales!$H$41="Todos",datos_base!$C$24,0))*parametros_manuales!$E$13+parametros_manuales!$F$41*(datos_base!$C$4+IF(parametros_manuales!$H$41="Todos",datos_base!$C$11,0))*parametros_manuales!$E$105+parametros_manuales!$F$41*(datos_base!$C$20+IF(parametros_manuales!$H$41="Todos",datos_base!$C$25,0))*parametros_manuales!$E$14+parametros_manuales!$G$41*(datos_base!$C$5+IF(parametros_manuales!$H$41="Todos",datos_base!$C$12,0))*parametros_manuales!$E$110+parametros_manuales!$G$41*(datos_base!$C$21+IF(parametros_manuales!$H$41="Todos",datos_base!$C$26,0))*parametros_manuales!$E$15)*parametros_manuales!$I$41*parametros_manuales!$J$41</f>
        <v>854.553656655</v>
      </c>
      <c r="F51" s="9" t="n">
        <f aca="false">(parametros_manuales!$D$41*(datos_base!$C$2+IF(parametros_manuales!$H$41="Todos",datos_base!$C$9,0))*parametros_manuales!$F$95+parametros_manuales!$D$41*(datos_base!$C$18+IF(parametros_manuales!$H$41="Todos",datos_base!$C$23,0))*parametros_manuales!$F$12+parametros_manuales!$E$41*(datos_base!$C$3+IF(parametros_manuales!$H$41="Todos",datos_base!$C$10,0))*parametros_manuales!$F$100+parametros_manuales!$E$41*(datos_base!$C$19+IF(parametros_manuales!$H$41="Todos",datos_base!$C$24,0))*parametros_manuales!$F$13+parametros_manuales!$F$41*(datos_base!$C$4+IF(parametros_manuales!$H$41="Todos",datos_base!$C$11,0))*parametros_manuales!$F$105+parametros_manuales!$F$41*(datos_base!$C$20+IF(parametros_manuales!$H$41="Todos",datos_base!$C$25,0))*parametros_manuales!$F$14+parametros_manuales!$G$41*(datos_base!$C$5+IF(parametros_manuales!$H$41="Todos",datos_base!$C$12,0))*parametros_manuales!$F$110+parametros_manuales!$G$41*(datos_base!$C$21+IF(parametros_manuales!$H$41="Todos",datos_base!$C$26,0))*parametros_manuales!$F$15)*parametros_manuales!$I$41*parametros_manuales!$J$41</f>
        <v>800.75796863</v>
      </c>
      <c r="G51" s="9" t="n">
        <f aca="false">(parametros_manuales!$D$41*(datos_base!$C$2+IF(parametros_manuales!$H$41="Todos",datos_base!$C$9,0))*parametros_manuales!$G$95+parametros_manuales!$D$41*(datos_base!$C$18+IF(parametros_manuales!$H$41="Todos",datos_base!$C$23,0))*parametros_manuales!$G$12+parametros_manuales!$E$41*(datos_base!$C$3+IF(parametros_manuales!$H$41="Todos",datos_base!$C$10,0))*parametros_manuales!$G$100+parametros_manuales!$E$41*(datos_base!$C$19+IF(parametros_manuales!$H$41="Todos",datos_base!$C$24,0))*parametros_manuales!$G$13+parametros_manuales!$F$41*(datos_base!$C$4+IF(parametros_manuales!$H$41="Todos",datos_base!$C$11,0))*parametros_manuales!$G$105+parametros_manuales!$F$41*(datos_base!$C$20+IF(parametros_manuales!$H$41="Todos",datos_base!$C$25,0))*parametros_manuales!$G$14+parametros_manuales!$G$41*(datos_base!$C$5+IF(parametros_manuales!$H$41="Todos",datos_base!$C$12,0))*parametros_manuales!$G$110+parametros_manuales!$G$41*(datos_base!$C$21+IF(parametros_manuales!$H$41="Todos",datos_base!$C$26,0))*parametros_manuales!$G$15)*parametros_manuales!$I$41*parametros_manuales!$J$41</f>
        <v>776.94880049</v>
      </c>
      <c r="H51" s="9" t="n">
        <f aca="false">(parametros_manuales!$D$41*(datos_base!$C$2+IF(parametros_manuales!$H$41="Todos",datos_base!$C$9,0))*parametros_manuales!$H$95+parametros_manuales!$D$41*(datos_base!$C$18+IF(parametros_manuales!$H$41="Todos",datos_base!$C$23,0))*parametros_manuales!$H$12+parametros_manuales!$E$41*(datos_base!$C$3+IF(parametros_manuales!$H$41="Todos",datos_base!$C$10,0))*parametros_manuales!$H$100+parametros_manuales!$E$41*(datos_base!$C$19+IF(parametros_manuales!$H$41="Todos",datos_base!$C$24,0))*parametros_manuales!$H$13+parametros_manuales!$F$41*(datos_base!$C$4+IF(parametros_manuales!$H$41="Todos",datos_base!$C$11,0))*parametros_manuales!$H$105+parametros_manuales!$F$41*(datos_base!$C$20+IF(parametros_manuales!$H$41="Todos",datos_base!$C$25,0))*parametros_manuales!$H$14+parametros_manuales!$G$41*(datos_base!$C$5+IF(parametros_manuales!$H$41="Todos",datos_base!$C$12,0))*parametros_manuales!$H$110+parametros_manuales!$G$41*(datos_base!$C$21+IF(parametros_manuales!$H$41="Todos",datos_base!$C$26,0))*parametros_manuales!$H$15)*parametros_manuales!$I$41*parametros_manuales!$J$41</f>
        <v>830.744488515</v>
      </c>
      <c r="I51" s="9" t="n">
        <f aca="false">(parametros_manuales!$D$41*(datos_base!$C$2+IF(parametros_manuales!$H$41="Todos",datos_base!$C$9,0))*parametros_manuales!$I$95+parametros_manuales!$D$41*(datos_base!$C$18+IF(parametros_manuales!$H$41="Todos",datos_base!$C$23,0))*parametros_manuales!$I$12+parametros_manuales!$E$41*(datos_base!$C$3+IF(parametros_manuales!$H$41="Todos",datos_base!$C$10,0))*parametros_manuales!$I$100+parametros_manuales!$E$41*(datos_base!$C$19+IF(parametros_manuales!$H$41="Todos",datos_base!$C$24,0))*parametros_manuales!$I$13+parametros_manuales!$F$41*(datos_base!$C$4+IF(parametros_manuales!$H$41="Todos",datos_base!$C$11,0))*parametros_manuales!$I$105+parametros_manuales!$F$41*(datos_base!$C$20+IF(parametros_manuales!$H$41="Todos",datos_base!$C$25,0))*parametros_manuales!$I$14+parametros_manuales!$G$41*(datos_base!$C$5+IF(parametros_manuales!$H$41="Todos",datos_base!$C$12,0))*parametros_manuales!$I$110+parametros_manuales!$G$41*(datos_base!$C$21+IF(parametros_manuales!$H$41="Todos",datos_base!$C$26,0))*parametros_manuales!$I$15)*parametros_manuales!$I$41*parametros_manuales!$J$41</f>
        <v>920.70404817</v>
      </c>
      <c r="J51" s="9" t="n">
        <f aca="false">(parametros_manuales!$D$41*(datos_base!$C$2+IF(parametros_manuales!$H$41="Todos",datos_base!$C$9,0))*parametros_manuales!$J$95+parametros_manuales!$D$41*(datos_base!$C$18+IF(parametros_manuales!$H$41="Todos",datos_base!$C$23,0))*parametros_manuales!$J$12+parametros_manuales!$E$41*(datos_base!$C$3+IF(parametros_manuales!$H$41="Todos",datos_base!$C$10,0))*parametros_manuales!$J$100+parametros_manuales!$E$41*(datos_base!$C$19+IF(parametros_manuales!$H$41="Todos",datos_base!$C$24,0))*parametros_manuales!$J$13+parametros_manuales!$F$41*(datos_base!$C$4+IF(parametros_manuales!$H$41="Todos",datos_base!$C$11,0))*parametros_manuales!$J$105+parametros_manuales!$F$41*(datos_base!$C$20+IF(parametros_manuales!$H$41="Todos",datos_base!$C$25,0))*parametros_manuales!$J$14+parametros_manuales!$G$41*(datos_base!$C$5+IF(parametros_manuales!$H$41="Todos",datos_base!$C$12,0))*parametros_manuales!$J$110+parametros_manuales!$G$41*(datos_base!$C$21+IF(parametros_manuales!$H$41="Todos",datos_base!$C$26,0))*parametros_manuales!$J$15)*parametros_manuales!$I$41*parametros_manuales!$J$41</f>
        <v>920.70404817</v>
      </c>
      <c r="K51" s="9" t="n">
        <f aca="false">(parametros_manuales!$D$41*(datos_base!$C$2+IF(parametros_manuales!$H$41="Todos",datos_base!$C$9,0))*parametros_manuales!$K$95+parametros_manuales!$D$41*(datos_base!$C$18+IF(parametros_manuales!$H$41="Todos",datos_base!$C$23,0))*parametros_manuales!$K$12+parametros_manuales!$E$41*(datos_base!$C$3+IF(parametros_manuales!$H$41="Todos",datos_base!$C$10,0))*parametros_manuales!$K$100+parametros_manuales!$E$41*(datos_base!$C$19+IF(parametros_manuales!$H$41="Todos",datos_base!$C$24,0))*parametros_manuales!$K$13+parametros_manuales!$F$41*(datos_base!$C$4+IF(parametros_manuales!$H$41="Todos",datos_base!$C$11,0))*parametros_manuales!$K$105+parametros_manuales!$F$41*(datos_base!$C$20+IF(parametros_manuales!$H$41="Todos",datos_base!$C$25,0))*parametros_manuales!$K$14+parametros_manuales!$G$41*(datos_base!$C$5+IF(parametros_manuales!$H$41="Todos",datos_base!$C$12,0))*parametros_manuales!$K$110+parametros_manuales!$G$41*(datos_base!$C$21+IF(parametros_manuales!$H$41="Todos",datos_base!$C$26,0))*parametros_manuales!$K$15)*parametros_manuales!$I$41*parametros_manuales!$J$41</f>
        <v>944.23441631</v>
      </c>
      <c r="L51" s="9" t="n">
        <f aca="false">(parametros_manuales!$D$41*(datos_base!$C$2+IF(parametros_manuales!$H$41="Todos",datos_base!$C$9,0))*parametros_manuales!$L$95+parametros_manuales!$D$41*(datos_base!$C$18+IF(parametros_manuales!$H$41="Todos",datos_base!$C$23,0))*parametros_manuales!$L$12+parametros_manuales!$E$41*(datos_base!$C$3+IF(parametros_manuales!$H$41="Todos",datos_base!$C$10,0))*parametros_manuales!$L$100+parametros_manuales!$E$41*(datos_base!$C$19+IF(parametros_manuales!$H$41="Todos",datos_base!$C$24,0))*parametros_manuales!$L$13+parametros_manuales!$F$41*(datos_base!$C$4+IF(parametros_manuales!$H$41="Todos",datos_base!$C$11,0))*parametros_manuales!$L$105+parametros_manuales!$F$41*(datos_base!$C$20+IF(parametros_manuales!$H$41="Todos",datos_base!$C$25,0))*parametros_manuales!$L$14+parametros_manuales!$G$41*(datos_base!$C$5+IF(parametros_manuales!$H$41="Todos",datos_base!$C$12,0))*parametros_manuales!$L$110+parametros_manuales!$G$41*(datos_base!$C$21+IF(parametros_manuales!$H$41="Todos",datos_base!$C$26,0))*parametros_manuales!$L$15)*parametros_manuales!$I$41*parametros_manuales!$J$41</f>
        <v>967.76478445</v>
      </c>
      <c r="M51" s="9" t="n">
        <f aca="false">(parametros_manuales!$D$41*(datos_base!$C$2+IF(parametros_manuales!$H$41="Todos",datos_base!$C$9,0))*parametros_manuales!$M$95+parametros_manuales!$D$41*(datos_base!$C$18+IF(parametros_manuales!$H$41="Todos",datos_base!$C$23,0))*parametros_manuales!$M$12+parametros_manuales!$E$41*(datos_base!$C$3+IF(parametros_manuales!$H$41="Todos",datos_base!$C$10,0))*parametros_manuales!$M$100+parametros_manuales!$E$41*(datos_base!$C$19+IF(parametros_manuales!$H$41="Todos",datos_base!$C$24,0))*parametros_manuales!$M$13+parametros_manuales!$F$41*(datos_base!$C$4+IF(parametros_manuales!$H$41="Todos",datos_base!$C$11,0))*parametros_manuales!$M$105+parametros_manuales!$F$41*(datos_base!$C$20+IF(parametros_manuales!$H$41="Todos",datos_base!$C$25,0))*parametros_manuales!$M$14+parametros_manuales!$G$41*(datos_base!$C$5+IF(parametros_manuales!$H$41="Todos",datos_base!$C$12,0))*parametros_manuales!$M$110+parametros_manuales!$G$41*(datos_base!$C$21+IF(parametros_manuales!$H$41="Todos",datos_base!$C$26,0))*parametros_manuales!$M$15)*parametros_manuales!$I$41*parametros_manuales!$J$41</f>
        <v>968.87998445</v>
      </c>
      <c r="N51" s="9" t="n">
        <f aca="false">SUM(B51:M51)</f>
        <v>10759.137605</v>
      </c>
      <c r="O51" s="9" t="n">
        <f aca="false">MAX(B51:M51)</f>
        <v>968.87998445</v>
      </c>
      <c r="P51" s="44" t="n">
        <f aca="false">O51/(parametros_manuales!$B$7)</f>
        <v>6.45919989633333</v>
      </c>
      <c r="Q51" s="8" t="str">
        <f aca="false">IF(O51=0,"-",INDEX($B$28:$M$28,MATCH(O51,B51:M51,0)))</f>
        <v>Dic</v>
      </c>
    </row>
    <row r="52" customFormat="false" ht="14.25" hidden="false" customHeight="true" outlineLevel="0" collapsed="false">
      <c r="A52" s="8" t="str">
        <f aca="false">parametros_manuales!$B$42</f>
        <v>Etiquetado</v>
      </c>
      <c r="B52" s="9" t="n">
        <f aca="false">(parametros_manuales!$D$42*(datos_base!$C$2+IF(parametros_manuales!$H$42="Todos",datos_base!$C$9,0))*parametros_manuales!$B$95+parametros_manuales!$D$42*(datos_base!$C$18+IF(parametros_manuales!$H$42="Todos",datos_base!$C$23,0))*parametros_manuales!$B$12+parametros_manuales!$E$42*(datos_base!$C$3+IF(parametros_manuales!$H$42="Todos",datos_base!$C$10,0))*parametros_manuales!$B$100+parametros_manuales!$E$42*(datos_base!$C$19+IF(parametros_manuales!$H$42="Todos",datos_base!$C$24,0))*parametros_manuales!$B$13+parametros_manuales!$F$42*(datos_base!$C$4+IF(parametros_manuales!$H$42="Todos",datos_base!$C$11,0))*parametros_manuales!$B$105+parametros_manuales!$F$42*(datos_base!$C$20+IF(parametros_manuales!$H$42="Todos",datos_base!$C$25,0))*parametros_manuales!$B$14+parametros_manuales!$G$42*(datos_base!$C$5+IF(parametros_manuales!$H$42="Todos",datos_base!$C$12,0))*parametros_manuales!$B$110+parametros_manuales!$G$42*(datos_base!$C$21+IF(parametros_manuales!$H$42="Todos",datos_base!$C$26,0))*parametros_manuales!$B$15)*parametros_manuales!$I$42*parametros_manuales!$J$42</f>
        <v>968.60118445</v>
      </c>
      <c r="C52" s="9" t="n">
        <f aca="false">(parametros_manuales!$D$42*(datos_base!$C$2+IF(parametros_manuales!$H$42="Todos",datos_base!$C$9,0))*parametros_manuales!$C$95+parametros_manuales!$D$42*(datos_base!$C$18+IF(parametros_manuales!$H$42="Todos",datos_base!$C$23,0))*parametros_manuales!$C$12+parametros_manuales!$E$42*(datos_base!$C$3+IF(parametros_manuales!$H$42="Todos",datos_base!$C$10,0))*parametros_manuales!$C$100+parametros_manuales!$E$42*(datos_base!$C$19+IF(parametros_manuales!$H$42="Todos",datos_base!$C$24,0))*parametros_manuales!$C$13+parametros_manuales!$F$42*(datos_base!$C$4+IF(parametros_manuales!$H$42="Todos",datos_base!$C$11,0))*parametros_manuales!$C$105+parametros_manuales!$F$42*(datos_base!$C$20+IF(parametros_manuales!$H$42="Todos",datos_base!$C$25,0))*parametros_manuales!$C$14+parametros_manuales!$G$42*(datos_base!$C$5+IF(parametros_manuales!$H$42="Todos",datos_base!$C$12,0))*parametros_manuales!$C$110+parametros_manuales!$G$42*(datos_base!$C$21+IF(parametros_manuales!$H$42="Todos",datos_base!$C$26,0))*parametros_manuales!$C$15)*parametros_manuales!$I$42*parametros_manuales!$J$42</f>
        <v>920.70404817</v>
      </c>
      <c r="D52" s="9" t="n">
        <f aca="false">(parametros_manuales!$D$42*(datos_base!$C$2+IF(parametros_manuales!$H$42="Todos",datos_base!$C$9,0))*parametros_manuales!$D$95+parametros_manuales!$D$42*(datos_base!$C$18+IF(parametros_manuales!$H$42="Todos",datos_base!$C$23,0))*parametros_manuales!$D$12+parametros_manuales!$E$42*(datos_base!$C$3+IF(parametros_manuales!$H$42="Todos",datos_base!$C$10,0))*parametros_manuales!$D$100+parametros_manuales!$E$42*(datos_base!$C$19+IF(parametros_manuales!$H$42="Todos",datos_base!$C$24,0))*parametros_manuales!$D$13+parametros_manuales!$F$42*(datos_base!$C$4+IF(parametros_manuales!$H$42="Todos",datos_base!$C$11,0))*parametros_manuales!$D$105+parametros_manuales!$F$42*(datos_base!$C$20+IF(parametros_manuales!$H$42="Todos",datos_base!$C$25,0))*parametros_manuales!$D$14+parametros_manuales!$G$42*(datos_base!$C$5+IF(parametros_manuales!$H$42="Todos",datos_base!$C$12,0))*parametros_manuales!$D$110+parametros_manuales!$G$42*(datos_base!$C$21+IF(parametros_manuales!$H$42="Todos",datos_base!$C$26,0))*parametros_manuales!$D$15)*parametros_manuales!$I$42*parametros_manuales!$J$42</f>
        <v>884.54017654</v>
      </c>
      <c r="E52" s="9" t="n">
        <f aca="false">(parametros_manuales!$D$42*(datos_base!$C$2+IF(parametros_manuales!$H$42="Todos",datos_base!$C$9,0))*parametros_manuales!$E$95+parametros_manuales!$D$42*(datos_base!$C$18+IF(parametros_manuales!$H$42="Todos",datos_base!$C$23,0))*parametros_manuales!$E$12+parametros_manuales!$E$42*(datos_base!$C$3+IF(parametros_manuales!$H$42="Todos",datos_base!$C$10,0))*parametros_manuales!$E$100+parametros_manuales!$E$42*(datos_base!$C$19+IF(parametros_manuales!$H$42="Todos",datos_base!$C$24,0))*parametros_manuales!$E$13+parametros_manuales!$F$42*(datos_base!$C$4+IF(parametros_manuales!$H$42="Todos",datos_base!$C$11,0))*parametros_manuales!$E$105+parametros_manuales!$F$42*(datos_base!$C$20+IF(parametros_manuales!$H$42="Todos",datos_base!$C$25,0))*parametros_manuales!$E$14+parametros_manuales!$G$42*(datos_base!$C$5+IF(parametros_manuales!$H$42="Todos",datos_base!$C$12,0))*parametros_manuales!$E$110+parametros_manuales!$G$42*(datos_base!$C$21+IF(parametros_manuales!$H$42="Todos",datos_base!$C$26,0))*parametros_manuales!$E$15)*parametros_manuales!$I$42*parametros_manuales!$J$42</f>
        <v>854.553656655</v>
      </c>
      <c r="F52" s="9" t="n">
        <f aca="false">(parametros_manuales!$D$42*(datos_base!$C$2+IF(parametros_manuales!$H$42="Todos",datos_base!$C$9,0))*parametros_manuales!$F$95+parametros_manuales!$D$42*(datos_base!$C$18+IF(parametros_manuales!$H$42="Todos",datos_base!$C$23,0))*parametros_manuales!$F$12+parametros_manuales!$E$42*(datos_base!$C$3+IF(parametros_manuales!$H$42="Todos",datos_base!$C$10,0))*parametros_manuales!$F$100+parametros_manuales!$E$42*(datos_base!$C$19+IF(parametros_manuales!$H$42="Todos",datos_base!$C$24,0))*parametros_manuales!$F$13+parametros_manuales!$F$42*(datos_base!$C$4+IF(parametros_manuales!$H$42="Todos",datos_base!$C$11,0))*parametros_manuales!$F$105+parametros_manuales!$F$42*(datos_base!$C$20+IF(parametros_manuales!$H$42="Todos",datos_base!$C$25,0))*parametros_manuales!$F$14+parametros_manuales!$G$42*(datos_base!$C$5+IF(parametros_manuales!$H$42="Todos",datos_base!$C$12,0))*parametros_manuales!$F$110+parametros_manuales!$G$42*(datos_base!$C$21+IF(parametros_manuales!$H$42="Todos",datos_base!$C$26,0))*parametros_manuales!$F$15)*parametros_manuales!$I$42*parametros_manuales!$J$42</f>
        <v>800.75796863</v>
      </c>
      <c r="G52" s="9" t="n">
        <f aca="false">(parametros_manuales!$D$42*(datos_base!$C$2+IF(parametros_manuales!$H$42="Todos",datos_base!$C$9,0))*parametros_manuales!$G$95+parametros_manuales!$D$42*(datos_base!$C$18+IF(parametros_manuales!$H$42="Todos",datos_base!$C$23,0))*parametros_manuales!$G$12+parametros_manuales!$E$42*(datos_base!$C$3+IF(parametros_manuales!$H$42="Todos",datos_base!$C$10,0))*parametros_manuales!$G$100+parametros_manuales!$E$42*(datos_base!$C$19+IF(parametros_manuales!$H$42="Todos",datos_base!$C$24,0))*parametros_manuales!$G$13+parametros_manuales!$F$42*(datos_base!$C$4+IF(parametros_manuales!$H$42="Todos",datos_base!$C$11,0))*parametros_manuales!$G$105+parametros_manuales!$F$42*(datos_base!$C$20+IF(parametros_manuales!$H$42="Todos",datos_base!$C$25,0))*parametros_manuales!$G$14+parametros_manuales!$G$42*(datos_base!$C$5+IF(parametros_manuales!$H$42="Todos",datos_base!$C$12,0))*parametros_manuales!$G$110+parametros_manuales!$G$42*(datos_base!$C$21+IF(parametros_manuales!$H$42="Todos",datos_base!$C$26,0))*parametros_manuales!$G$15)*parametros_manuales!$I$42*parametros_manuales!$J$42</f>
        <v>776.94880049</v>
      </c>
      <c r="H52" s="9" t="n">
        <f aca="false">(parametros_manuales!$D$42*(datos_base!$C$2+IF(parametros_manuales!$H$42="Todos",datos_base!$C$9,0))*parametros_manuales!$H$95+parametros_manuales!$D$42*(datos_base!$C$18+IF(parametros_manuales!$H$42="Todos",datos_base!$C$23,0))*parametros_manuales!$H$12+parametros_manuales!$E$42*(datos_base!$C$3+IF(parametros_manuales!$H$42="Todos",datos_base!$C$10,0))*parametros_manuales!$H$100+parametros_manuales!$E$42*(datos_base!$C$19+IF(parametros_manuales!$H$42="Todos",datos_base!$C$24,0))*parametros_manuales!$H$13+parametros_manuales!$F$42*(datos_base!$C$4+IF(parametros_manuales!$H$42="Todos",datos_base!$C$11,0))*parametros_manuales!$H$105+parametros_manuales!$F$42*(datos_base!$C$20+IF(parametros_manuales!$H$42="Todos",datos_base!$C$25,0))*parametros_manuales!$H$14+parametros_manuales!$G$42*(datos_base!$C$5+IF(parametros_manuales!$H$42="Todos",datos_base!$C$12,0))*parametros_manuales!$H$110+parametros_manuales!$G$42*(datos_base!$C$21+IF(parametros_manuales!$H$42="Todos",datos_base!$C$26,0))*parametros_manuales!$H$15)*parametros_manuales!$I$42*parametros_manuales!$J$42</f>
        <v>830.744488515</v>
      </c>
      <c r="I52" s="9" t="n">
        <f aca="false">(parametros_manuales!$D$42*(datos_base!$C$2+IF(parametros_manuales!$H$42="Todos",datos_base!$C$9,0))*parametros_manuales!$I$95+parametros_manuales!$D$42*(datos_base!$C$18+IF(parametros_manuales!$H$42="Todos",datos_base!$C$23,0))*parametros_manuales!$I$12+parametros_manuales!$E$42*(datos_base!$C$3+IF(parametros_manuales!$H$42="Todos",datos_base!$C$10,0))*parametros_manuales!$I$100+parametros_manuales!$E$42*(datos_base!$C$19+IF(parametros_manuales!$H$42="Todos",datos_base!$C$24,0))*parametros_manuales!$I$13+parametros_manuales!$F$42*(datos_base!$C$4+IF(parametros_manuales!$H$42="Todos",datos_base!$C$11,0))*parametros_manuales!$I$105+parametros_manuales!$F$42*(datos_base!$C$20+IF(parametros_manuales!$H$42="Todos",datos_base!$C$25,0))*parametros_manuales!$I$14+parametros_manuales!$G$42*(datos_base!$C$5+IF(parametros_manuales!$H$42="Todos",datos_base!$C$12,0))*parametros_manuales!$I$110+parametros_manuales!$G$42*(datos_base!$C$21+IF(parametros_manuales!$H$42="Todos",datos_base!$C$26,0))*parametros_manuales!$I$15)*parametros_manuales!$I$42*parametros_manuales!$J$42</f>
        <v>920.70404817</v>
      </c>
      <c r="J52" s="9" t="n">
        <f aca="false">(parametros_manuales!$D$42*(datos_base!$C$2+IF(parametros_manuales!$H$42="Todos",datos_base!$C$9,0))*parametros_manuales!$J$95+parametros_manuales!$D$42*(datos_base!$C$18+IF(parametros_manuales!$H$42="Todos",datos_base!$C$23,0))*parametros_manuales!$J$12+parametros_manuales!$E$42*(datos_base!$C$3+IF(parametros_manuales!$H$42="Todos",datos_base!$C$10,0))*parametros_manuales!$J$100+parametros_manuales!$E$42*(datos_base!$C$19+IF(parametros_manuales!$H$42="Todos",datos_base!$C$24,0))*parametros_manuales!$J$13+parametros_manuales!$F$42*(datos_base!$C$4+IF(parametros_manuales!$H$42="Todos",datos_base!$C$11,0))*parametros_manuales!$J$105+parametros_manuales!$F$42*(datos_base!$C$20+IF(parametros_manuales!$H$42="Todos",datos_base!$C$25,0))*parametros_manuales!$J$14+parametros_manuales!$G$42*(datos_base!$C$5+IF(parametros_manuales!$H$42="Todos",datos_base!$C$12,0))*parametros_manuales!$J$110+parametros_manuales!$G$42*(datos_base!$C$21+IF(parametros_manuales!$H$42="Todos",datos_base!$C$26,0))*parametros_manuales!$J$15)*parametros_manuales!$I$42*parametros_manuales!$J$42</f>
        <v>920.70404817</v>
      </c>
      <c r="K52" s="9" t="n">
        <f aca="false">(parametros_manuales!$D$42*(datos_base!$C$2+IF(parametros_manuales!$H$42="Todos",datos_base!$C$9,0))*parametros_manuales!$K$95+parametros_manuales!$D$42*(datos_base!$C$18+IF(parametros_manuales!$H$42="Todos",datos_base!$C$23,0))*parametros_manuales!$K$12+parametros_manuales!$E$42*(datos_base!$C$3+IF(parametros_manuales!$H$42="Todos",datos_base!$C$10,0))*parametros_manuales!$K$100+parametros_manuales!$E$42*(datos_base!$C$19+IF(parametros_manuales!$H$42="Todos",datos_base!$C$24,0))*parametros_manuales!$K$13+parametros_manuales!$F$42*(datos_base!$C$4+IF(parametros_manuales!$H$42="Todos",datos_base!$C$11,0))*parametros_manuales!$K$105+parametros_manuales!$F$42*(datos_base!$C$20+IF(parametros_manuales!$H$42="Todos",datos_base!$C$25,0))*parametros_manuales!$K$14+parametros_manuales!$G$42*(datos_base!$C$5+IF(parametros_manuales!$H$42="Todos",datos_base!$C$12,0))*parametros_manuales!$K$110+parametros_manuales!$G$42*(datos_base!$C$21+IF(parametros_manuales!$H$42="Todos",datos_base!$C$26,0))*parametros_manuales!$K$15)*parametros_manuales!$I$42*parametros_manuales!$J$42</f>
        <v>944.23441631</v>
      </c>
      <c r="L52" s="9" t="n">
        <f aca="false">(parametros_manuales!$D$42*(datos_base!$C$2+IF(parametros_manuales!$H$42="Todos",datos_base!$C$9,0))*parametros_manuales!$L$95+parametros_manuales!$D$42*(datos_base!$C$18+IF(parametros_manuales!$H$42="Todos",datos_base!$C$23,0))*parametros_manuales!$L$12+parametros_manuales!$E$42*(datos_base!$C$3+IF(parametros_manuales!$H$42="Todos",datos_base!$C$10,0))*parametros_manuales!$L$100+parametros_manuales!$E$42*(datos_base!$C$19+IF(parametros_manuales!$H$42="Todos",datos_base!$C$24,0))*parametros_manuales!$L$13+parametros_manuales!$F$42*(datos_base!$C$4+IF(parametros_manuales!$H$42="Todos",datos_base!$C$11,0))*parametros_manuales!$L$105+parametros_manuales!$F$42*(datos_base!$C$20+IF(parametros_manuales!$H$42="Todos",datos_base!$C$25,0))*parametros_manuales!$L$14+parametros_manuales!$G$42*(datos_base!$C$5+IF(parametros_manuales!$H$42="Todos",datos_base!$C$12,0))*parametros_manuales!$L$110+parametros_manuales!$G$42*(datos_base!$C$21+IF(parametros_manuales!$H$42="Todos",datos_base!$C$26,0))*parametros_manuales!$L$15)*parametros_manuales!$I$42*parametros_manuales!$J$42</f>
        <v>967.76478445</v>
      </c>
      <c r="M52" s="9" t="n">
        <f aca="false">(parametros_manuales!$D$42*(datos_base!$C$2+IF(parametros_manuales!$H$42="Todos",datos_base!$C$9,0))*parametros_manuales!$M$95+parametros_manuales!$D$42*(datos_base!$C$18+IF(parametros_manuales!$H$42="Todos",datos_base!$C$23,0))*parametros_manuales!$M$12+parametros_manuales!$E$42*(datos_base!$C$3+IF(parametros_manuales!$H$42="Todos",datos_base!$C$10,0))*parametros_manuales!$M$100+parametros_manuales!$E$42*(datos_base!$C$19+IF(parametros_manuales!$H$42="Todos",datos_base!$C$24,0))*parametros_manuales!$M$13+parametros_manuales!$F$42*(datos_base!$C$4+IF(parametros_manuales!$H$42="Todos",datos_base!$C$11,0))*parametros_manuales!$M$105+parametros_manuales!$F$42*(datos_base!$C$20+IF(parametros_manuales!$H$42="Todos",datos_base!$C$25,0))*parametros_manuales!$M$14+parametros_manuales!$G$42*(datos_base!$C$5+IF(parametros_manuales!$H$42="Todos",datos_base!$C$12,0))*parametros_manuales!$M$110+parametros_manuales!$G$42*(datos_base!$C$21+IF(parametros_manuales!$H$42="Todos",datos_base!$C$26,0))*parametros_manuales!$M$15)*parametros_manuales!$I$42*parametros_manuales!$J$42</f>
        <v>968.87998445</v>
      </c>
      <c r="N52" s="9" t="n">
        <f aca="false">SUM(B52:M52)</f>
        <v>10759.137605</v>
      </c>
      <c r="O52" s="9" t="n">
        <f aca="false">MAX(B52:M52)</f>
        <v>968.87998445</v>
      </c>
      <c r="P52" s="44" t="n">
        <f aca="false">O52/(parametros_manuales!$B$7)</f>
        <v>6.45919989633333</v>
      </c>
      <c r="Q52" s="8" t="str">
        <f aca="false">IF(O52=0,"-",INDEX($B$28:$M$28,MATCH(O52,B52:M52,0)))</f>
        <v>Dic</v>
      </c>
    </row>
    <row r="53" customFormat="false" ht="14.25" hidden="false" customHeight="true" outlineLevel="0" collapsed="false">
      <c r="A53" s="8" t="str">
        <f aca="false">parametros_manuales!$B$43</f>
        <v>Embalaje y paletizado</v>
      </c>
      <c r="B53" s="9" t="n">
        <f aca="false">(parametros_manuales!$D$43*(datos_base!$C$2+IF(parametros_manuales!$H$43="Todos",datos_base!$C$9,0))*parametros_manuales!$B$95+parametros_manuales!$D$43*(datos_base!$C$18+IF(parametros_manuales!$H$43="Todos",datos_base!$C$23,0))*parametros_manuales!$B$12+parametros_manuales!$E$43*(datos_base!$C$3+IF(parametros_manuales!$H$43="Todos",datos_base!$C$10,0))*parametros_manuales!$B$100+parametros_manuales!$E$43*(datos_base!$C$19+IF(parametros_manuales!$H$43="Todos",datos_base!$C$24,0))*parametros_manuales!$B$13+parametros_manuales!$F$43*(datos_base!$C$4+IF(parametros_manuales!$H$43="Todos",datos_base!$C$11,0))*parametros_manuales!$B$105+parametros_manuales!$F$43*(datos_base!$C$20+IF(parametros_manuales!$H$43="Todos",datos_base!$C$25,0))*parametros_manuales!$B$14+parametros_manuales!$G$43*(datos_base!$C$5+IF(parametros_manuales!$H$43="Todos",datos_base!$C$12,0))*parametros_manuales!$B$110+parametros_manuales!$G$43*(datos_base!$C$21+IF(parametros_manuales!$H$43="Todos",datos_base!$C$26,0))*parametros_manuales!$B$15)*parametros_manuales!$I$43*parametros_manuales!$J$43</f>
        <v>974.25318445</v>
      </c>
      <c r="C53" s="9" t="n">
        <f aca="false">(parametros_manuales!$D$43*(datos_base!$C$2+IF(parametros_manuales!$H$43="Todos",datos_base!$C$9,0))*parametros_manuales!$C$95+parametros_manuales!$D$43*(datos_base!$C$18+IF(parametros_manuales!$H$43="Todos",datos_base!$C$23,0))*parametros_manuales!$C$12+parametros_manuales!$E$43*(datos_base!$C$3+IF(parametros_manuales!$H$43="Todos",datos_base!$C$10,0))*parametros_manuales!$C$100+parametros_manuales!$E$43*(datos_base!$C$19+IF(parametros_manuales!$H$43="Todos",datos_base!$C$24,0))*parametros_manuales!$C$13+parametros_manuales!$F$43*(datos_base!$C$4+IF(parametros_manuales!$H$43="Todos",datos_base!$C$11,0))*parametros_manuales!$C$105+parametros_manuales!$F$43*(datos_base!$C$20+IF(parametros_manuales!$H$43="Todos",datos_base!$C$25,0))*parametros_manuales!$C$14+parametros_manuales!$G$43*(datos_base!$C$5+IF(parametros_manuales!$H$43="Todos",datos_base!$C$12,0))*parametros_manuales!$C$110+parametros_manuales!$G$43*(datos_base!$C$21+IF(parametros_manuales!$H$43="Todos",datos_base!$C$26,0))*parametros_manuales!$C$15)*parametros_manuales!$I$43*parametros_manuales!$J$43</f>
        <v>925.22564817</v>
      </c>
      <c r="D53" s="9" t="n">
        <f aca="false">(parametros_manuales!$D$43*(datos_base!$C$2+IF(parametros_manuales!$H$43="Todos",datos_base!$C$9,0))*parametros_manuales!$D$95+parametros_manuales!$D$43*(datos_base!$C$18+IF(parametros_manuales!$H$43="Todos",datos_base!$C$23,0))*parametros_manuales!$D$12+parametros_manuales!$E$43*(datos_base!$C$3+IF(parametros_manuales!$H$43="Todos",datos_base!$C$10,0))*parametros_manuales!$D$100+parametros_manuales!$E$43*(datos_base!$C$19+IF(parametros_manuales!$H$43="Todos",datos_base!$C$24,0))*parametros_manuales!$D$13+parametros_manuales!$F$43*(datos_base!$C$4+IF(parametros_manuales!$H$43="Todos",datos_base!$C$11,0))*parametros_manuales!$D$105+parametros_manuales!$F$43*(datos_base!$C$20+IF(parametros_manuales!$H$43="Todos",datos_base!$C$25,0))*parametros_manuales!$D$14+parametros_manuales!$G$43*(datos_base!$C$5+IF(parametros_manuales!$H$43="Todos",datos_base!$C$12,0))*parametros_manuales!$D$110+parametros_manuales!$G$43*(datos_base!$C$21+IF(parametros_manuales!$H$43="Todos",datos_base!$C$26,0))*parametros_manuales!$D$15)*parametros_manuales!$I$43*parametros_manuales!$J$43</f>
        <v>889.34437654</v>
      </c>
      <c r="E53" s="9" t="n">
        <f aca="false">(parametros_manuales!$D$43*(datos_base!$C$2+IF(parametros_manuales!$H$43="Todos",datos_base!$C$9,0))*parametros_manuales!$E$95+parametros_manuales!$D$43*(datos_base!$C$18+IF(parametros_manuales!$H$43="Todos",datos_base!$C$23,0))*parametros_manuales!$E$12+parametros_manuales!$E$43*(datos_base!$C$3+IF(parametros_manuales!$H$43="Todos",datos_base!$C$10,0))*parametros_manuales!$E$100+parametros_manuales!$E$43*(datos_base!$C$19+IF(parametros_manuales!$H$43="Todos",datos_base!$C$24,0))*parametros_manuales!$E$13+parametros_manuales!$F$43*(datos_base!$C$4+IF(parametros_manuales!$H$43="Todos",datos_base!$C$11,0))*parametros_manuales!$E$105+parametros_manuales!$F$43*(datos_base!$C$20+IF(parametros_manuales!$H$43="Todos",datos_base!$C$25,0))*parametros_manuales!$E$14+parametros_manuales!$G$43*(datos_base!$C$5+IF(parametros_manuales!$H$43="Todos",datos_base!$C$12,0))*parametros_manuales!$E$110+parametros_manuales!$G$43*(datos_base!$C$21+IF(parametros_manuales!$H$43="Todos",datos_base!$C$26,0))*parametros_manuales!$E$15)*parametros_manuales!$I$43*parametros_manuales!$J$43</f>
        <v>859.357856655</v>
      </c>
      <c r="F53" s="9" t="n">
        <f aca="false">(parametros_manuales!$D$43*(datos_base!$C$2+IF(parametros_manuales!$H$43="Todos",datos_base!$C$9,0))*parametros_manuales!$F$95+parametros_manuales!$D$43*(datos_base!$C$18+IF(parametros_manuales!$H$43="Todos",datos_base!$C$23,0))*parametros_manuales!$F$12+parametros_manuales!$E$43*(datos_base!$C$3+IF(parametros_manuales!$H$43="Todos",datos_base!$C$10,0))*parametros_manuales!$F$100+parametros_manuales!$E$43*(datos_base!$C$19+IF(parametros_manuales!$H$43="Todos",datos_base!$C$24,0))*parametros_manuales!$F$13+parametros_manuales!$F$43*(datos_base!$C$4+IF(parametros_manuales!$H$43="Todos",datos_base!$C$11,0))*parametros_manuales!$F$105+parametros_manuales!$F$43*(datos_base!$C$20+IF(parametros_manuales!$H$43="Todos",datos_base!$C$25,0))*parametros_manuales!$F$14+parametros_manuales!$G$43*(datos_base!$C$5+IF(parametros_manuales!$H$43="Todos",datos_base!$C$12,0))*parametros_manuales!$F$110+parametros_manuales!$G$43*(datos_base!$C$21+IF(parametros_manuales!$H$43="Todos",datos_base!$C$26,0))*parametros_manuales!$F$15)*parametros_manuales!$I$43*parametros_manuales!$J$43</f>
        <v>805.27956863</v>
      </c>
      <c r="G53" s="9" t="n">
        <f aca="false">(parametros_manuales!$D$43*(datos_base!$C$2+IF(parametros_manuales!$H$43="Todos",datos_base!$C$9,0))*parametros_manuales!$G$95+parametros_manuales!$D$43*(datos_base!$C$18+IF(parametros_manuales!$H$43="Todos",datos_base!$C$23,0))*parametros_manuales!$G$12+parametros_manuales!$E$43*(datos_base!$C$3+IF(parametros_manuales!$H$43="Todos",datos_base!$C$10,0))*parametros_manuales!$G$100+parametros_manuales!$E$43*(datos_base!$C$19+IF(parametros_manuales!$H$43="Todos",datos_base!$C$24,0))*parametros_manuales!$G$13+parametros_manuales!$F$43*(datos_base!$C$4+IF(parametros_manuales!$H$43="Todos",datos_base!$C$11,0))*parametros_manuales!$G$105+parametros_manuales!$F$43*(datos_base!$C$20+IF(parametros_manuales!$H$43="Todos",datos_base!$C$25,0))*parametros_manuales!$G$14+parametros_manuales!$G$43*(datos_base!$C$5+IF(parametros_manuales!$H$43="Todos",datos_base!$C$12,0))*parametros_manuales!$G$110+parametros_manuales!$G$43*(datos_base!$C$21+IF(parametros_manuales!$H$43="Todos",datos_base!$C$26,0))*parametros_manuales!$G$15)*parametros_manuales!$I$43*parametros_manuales!$J$43</f>
        <v>781.18780049</v>
      </c>
      <c r="H53" s="9" t="n">
        <f aca="false">(parametros_manuales!$D$43*(datos_base!$C$2+IF(parametros_manuales!$H$43="Todos",datos_base!$C$9,0))*parametros_manuales!$H$95+parametros_manuales!$D$43*(datos_base!$C$18+IF(parametros_manuales!$H$43="Todos",datos_base!$C$23,0))*parametros_manuales!$H$12+parametros_manuales!$E$43*(datos_base!$C$3+IF(parametros_manuales!$H$43="Todos",datos_base!$C$10,0))*parametros_manuales!$H$100+parametros_manuales!$E$43*(datos_base!$C$19+IF(parametros_manuales!$H$43="Todos",datos_base!$C$24,0))*parametros_manuales!$H$13+parametros_manuales!$F$43*(datos_base!$C$4+IF(parametros_manuales!$H$43="Todos",datos_base!$C$11,0))*parametros_manuales!$H$105+parametros_manuales!$F$43*(datos_base!$C$20+IF(parametros_manuales!$H$43="Todos",datos_base!$C$25,0))*parametros_manuales!$H$14+parametros_manuales!$G$43*(datos_base!$C$5+IF(parametros_manuales!$H$43="Todos",datos_base!$C$12,0))*parametros_manuales!$H$110+parametros_manuales!$G$43*(datos_base!$C$21+IF(parametros_manuales!$H$43="Todos",datos_base!$C$26,0))*parametros_manuales!$H$15)*parametros_manuales!$I$43*parametros_manuales!$J$43</f>
        <v>835.266088515</v>
      </c>
      <c r="I53" s="9" t="n">
        <f aca="false">(parametros_manuales!$D$43*(datos_base!$C$2+IF(parametros_manuales!$H$43="Todos",datos_base!$C$9,0))*parametros_manuales!$I$95+parametros_manuales!$D$43*(datos_base!$C$18+IF(parametros_manuales!$H$43="Todos",datos_base!$C$23,0))*parametros_manuales!$I$12+parametros_manuales!$E$43*(datos_base!$C$3+IF(parametros_manuales!$H$43="Todos",datos_base!$C$10,0))*parametros_manuales!$I$100+parametros_manuales!$E$43*(datos_base!$C$19+IF(parametros_manuales!$H$43="Todos",datos_base!$C$24,0))*parametros_manuales!$I$13+parametros_manuales!$F$43*(datos_base!$C$4+IF(parametros_manuales!$H$43="Todos",datos_base!$C$11,0))*parametros_manuales!$I$105+parametros_manuales!$F$43*(datos_base!$C$20+IF(parametros_manuales!$H$43="Todos",datos_base!$C$25,0))*parametros_manuales!$I$14+parametros_manuales!$G$43*(datos_base!$C$5+IF(parametros_manuales!$H$43="Todos",datos_base!$C$12,0))*parametros_manuales!$I$110+parametros_manuales!$G$43*(datos_base!$C$21+IF(parametros_manuales!$H$43="Todos",datos_base!$C$26,0))*parametros_manuales!$I$15)*parametros_manuales!$I$43*parametros_manuales!$J$43</f>
        <v>925.22564817</v>
      </c>
      <c r="J53" s="9" t="n">
        <f aca="false">(parametros_manuales!$D$43*(datos_base!$C$2+IF(parametros_manuales!$H$43="Todos",datos_base!$C$9,0))*parametros_manuales!$J$95+parametros_manuales!$D$43*(datos_base!$C$18+IF(parametros_manuales!$H$43="Todos",datos_base!$C$23,0))*parametros_manuales!$J$12+parametros_manuales!$E$43*(datos_base!$C$3+IF(parametros_manuales!$H$43="Todos",datos_base!$C$10,0))*parametros_manuales!$J$100+parametros_manuales!$E$43*(datos_base!$C$19+IF(parametros_manuales!$H$43="Todos",datos_base!$C$24,0))*parametros_manuales!$J$13+parametros_manuales!$F$43*(datos_base!$C$4+IF(parametros_manuales!$H$43="Todos",datos_base!$C$11,0))*parametros_manuales!$J$105+parametros_manuales!$F$43*(datos_base!$C$20+IF(parametros_manuales!$H$43="Todos",datos_base!$C$25,0))*parametros_manuales!$J$14+parametros_manuales!$G$43*(datos_base!$C$5+IF(parametros_manuales!$H$43="Todos",datos_base!$C$12,0))*parametros_manuales!$J$110+parametros_manuales!$G$43*(datos_base!$C$21+IF(parametros_manuales!$H$43="Todos",datos_base!$C$26,0))*parametros_manuales!$J$15)*parametros_manuales!$I$43*parametros_manuales!$J$43</f>
        <v>925.22564817</v>
      </c>
      <c r="K53" s="9" t="n">
        <f aca="false">(parametros_manuales!$D$43*(datos_base!$C$2+IF(parametros_manuales!$H$43="Todos",datos_base!$C$9,0))*parametros_manuales!$K$95+parametros_manuales!$D$43*(datos_base!$C$18+IF(parametros_manuales!$H$43="Todos",datos_base!$C$23,0))*parametros_manuales!$K$12+parametros_manuales!$E$43*(datos_base!$C$3+IF(parametros_manuales!$H$43="Todos",datos_base!$C$10,0))*parametros_manuales!$K$100+parametros_manuales!$E$43*(datos_base!$C$19+IF(parametros_manuales!$H$43="Todos",datos_base!$C$24,0))*parametros_manuales!$K$13+parametros_manuales!$F$43*(datos_base!$C$4+IF(parametros_manuales!$H$43="Todos",datos_base!$C$11,0))*parametros_manuales!$K$105+parametros_manuales!$F$43*(datos_base!$C$20+IF(parametros_manuales!$H$43="Todos",datos_base!$C$25,0))*parametros_manuales!$K$14+parametros_manuales!$G$43*(datos_base!$C$5+IF(parametros_manuales!$H$43="Todos",datos_base!$C$12,0))*parametros_manuales!$K$110+parametros_manuales!$G$43*(datos_base!$C$21+IF(parametros_manuales!$H$43="Todos",datos_base!$C$26,0))*parametros_manuales!$K$15)*parametros_manuales!$I$43*parametros_manuales!$J$43</f>
        <v>948.47341631</v>
      </c>
      <c r="L53" s="9" t="n">
        <f aca="false">(parametros_manuales!$D$43*(datos_base!$C$2+IF(parametros_manuales!$H$43="Todos",datos_base!$C$9,0))*parametros_manuales!$L$95+parametros_manuales!$D$43*(datos_base!$C$18+IF(parametros_manuales!$H$43="Todos",datos_base!$C$23,0))*parametros_manuales!$L$12+parametros_manuales!$E$43*(datos_base!$C$3+IF(parametros_manuales!$H$43="Todos",datos_base!$C$10,0))*parametros_manuales!$L$100+parametros_manuales!$E$43*(datos_base!$C$19+IF(parametros_manuales!$H$43="Todos",datos_base!$C$24,0))*parametros_manuales!$L$13+parametros_manuales!$F$43*(datos_base!$C$4+IF(parametros_manuales!$H$43="Todos",datos_base!$C$11,0))*parametros_manuales!$L$105+parametros_manuales!$F$43*(datos_base!$C$20+IF(parametros_manuales!$H$43="Todos",datos_base!$C$25,0))*parametros_manuales!$L$14+parametros_manuales!$G$43*(datos_base!$C$5+IF(parametros_manuales!$H$43="Todos",datos_base!$C$12,0))*parametros_manuales!$L$110+parametros_manuales!$G$43*(datos_base!$C$21+IF(parametros_manuales!$H$43="Todos",datos_base!$C$26,0))*parametros_manuales!$L$15)*parametros_manuales!$I$43*parametros_manuales!$J$43</f>
        <v>971.72118445</v>
      </c>
      <c r="M53" s="9" t="n">
        <f aca="false">(parametros_manuales!$D$43*(datos_base!$C$2+IF(parametros_manuales!$H$43="Todos",datos_base!$C$9,0))*parametros_manuales!$M$95+parametros_manuales!$D$43*(datos_base!$C$18+IF(parametros_manuales!$H$43="Todos",datos_base!$C$23,0))*parametros_manuales!$M$12+parametros_manuales!$E$43*(datos_base!$C$3+IF(parametros_manuales!$H$43="Todos",datos_base!$C$10,0))*parametros_manuales!$M$100+parametros_manuales!$E$43*(datos_base!$C$19+IF(parametros_manuales!$H$43="Todos",datos_base!$C$24,0))*parametros_manuales!$M$13+parametros_manuales!$F$43*(datos_base!$C$4+IF(parametros_manuales!$H$43="Todos",datos_base!$C$11,0))*parametros_manuales!$M$105+parametros_manuales!$F$43*(datos_base!$C$20+IF(parametros_manuales!$H$43="Todos",datos_base!$C$25,0))*parametros_manuales!$M$14+parametros_manuales!$G$43*(datos_base!$C$5+IF(parametros_manuales!$H$43="Todos",datos_base!$C$12,0))*parametros_manuales!$M$110+parametros_manuales!$G$43*(datos_base!$C$21+IF(parametros_manuales!$H$43="Todos",datos_base!$C$26,0))*parametros_manuales!$M$15)*parametros_manuales!$I$43*parametros_manuales!$J$43</f>
        <v>975.09718445</v>
      </c>
      <c r="N53" s="9" t="n">
        <f aca="false">SUM(B53:M53)</f>
        <v>10815.657605</v>
      </c>
      <c r="O53" s="9" t="n">
        <f aca="false">MAX(B53:M53)</f>
        <v>975.09718445</v>
      </c>
      <c r="P53" s="44" t="n">
        <f aca="false">O53/(parametros_manuales!$B$7)</f>
        <v>6.50064789633333</v>
      </c>
      <c r="Q53" s="8" t="str">
        <f aca="false">IF(O53=0,"-",INDEX($B$28:$M$28,MATCH(O53,B53:M53,0)))</f>
        <v>Dic</v>
      </c>
    </row>
    <row r="54" customFormat="false" ht="14.25" hidden="false" customHeight="true" outlineLevel="0" collapsed="false"/>
    <row r="55" customFormat="false" ht="14.25" hidden="false" customHeight="true" outlineLevel="0" collapsed="false">
      <c r="A55" s="7" t="s">
        <v>202</v>
      </c>
      <c r="B55" s="7" t="s">
        <v>59</v>
      </c>
      <c r="C55" s="7" t="s">
        <v>60</v>
      </c>
      <c r="D55" s="7" t="s">
        <v>61</v>
      </c>
      <c r="E55" s="7" t="s">
        <v>62</v>
      </c>
      <c r="F55" s="7" t="s">
        <v>63</v>
      </c>
      <c r="G55" s="7" t="s">
        <v>64</v>
      </c>
      <c r="H55" s="7" t="s">
        <v>65</v>
      </c>
      <c r="I55" s="7" t="s">
        <v>66</v>
      </c>
      <c r="J55" s="7" t="s">
        <v>67</v>
      </c>
      <c r="K55" s="7" t="s">
        <v>68</v>
      </c>
      <c r="L55" s="7" t="s">
        <v>69</v>
      </c>
      <c r="M55" s="7" t="s">
        <v>70</v>
      </c>
      <c r="N55" s="7" t="s">
        <v>181</v>
      </c>
      <c r="O55" s="7" t="s">
        <v>198</v>
      </c>
      <c r="P55" s="7" t="s">
        <v>199</v>
      </c>
      <c r="Q55" s="7" t="s">
        <v>200</v>
      </c>
    </row>
    <row r="56" customFormat="false" ht="14.25" hidden="false" customHeight="true" outlineLevel="0" collapsed="false">
      <c r="A56" s="8" t="str">
        <f aca="false">parametros_manuales!$B$19</f>
        <v>Recepción de materia prima</v>
      </c>
      <c r="B56" s="9" t="n">
        <f aca="false">(parametros_manuales!$D$19*(datos_base!$D$2+IF(parametros_manuales!$H$19="Todos",datos_base!$D$9,0))*parametros_manuales!$B$95+parametros_manuales!$D$19*(datos_base!$D$18+IF(parametros_manuales!$H$19="Todos",datos_base!$D$23,0))*parametros_manuales!$B$12+parametros_manuales!$E$19*(datos_base!$D$3+IF(parametros_manuales!$H$19="Todos",datos_base!$D$10,0))*parametros_manuales!$B$100+parametros_manuales!$E$19*(datos_base!$D$19+IF(parametros_manuales!$H$19="Todos",datos_base!$D$24,0))*parametros_manuales!$B$13+parametros_manuales!$F$19*(datos_base!$D$4+IF(parametros_manuales!$H$19="Todos",datos_base!$D$11,0))*parametros_manuales!$B$105+parametros_manuales!$F$19*(datos_base!$D$20+IF(parametros_manuales!$H$19="Todos",datos_base!$D$25,0))*parametros_manuales!$B$14+parametros_manuales!$G$19*(datos_base!$D$5+IF(parametros_manuales!$H$19="Todos",datos_base!$D$12,0))*parametros_manuales!$B$110+parametros_manuales!$G$19*(datos_base!$D$21+IF(parametros_manuales!$H$19="Todos",datos_base!$D$26,0))*parametros_manuales!$B$15)*parametros_manuales!$I$19*parametros_manuales!$J$19</f>
        <v>2058.965896776</v>
      </c>
      <c r="C56" s="9" t="n">
        <f aca="false">(parametros_manuales!$D$19*(datos_base!$D$2+IF(parametros_manuales!$H$19="Todos",datos_base!$D$9,0))*parametros_manuales!$C$95+parametros_manuales!$D$19*(datos_base!$D$18+IF(parametros_manuales!$H$19="Todos",datos_base!$D$23,0))*parametros_manuales!$C$12+parametros_manuales!$E$19*(datos_base!$D$3+IF(parametros_manuales!$H$19="Todos",datos_base!$D$10,0))*parametros_manuales!$C$100+parametros_manuales!$E$19*(datos_base!$D$19+IF(parametros_manuales!$H$19="Todos",datos_base!$D$24,0))*parametros_manuales!$C$13+parametros_manuales!$F$19*(datos_base!$D$4+IF(parametros_manuales!$H$19="Todos",datos_base!$D$11,0))*parametros_manuales!$C$105+parametros_manuales!$F$19*(datos_base!$D$20+IF(parametros_manuales!$H$19="Todos",datos_base!$D$25,0))*parametros_manuales!$C$14+parametros_manuales!$G$19*(datos_base!$D$5+IF(parametros_manuales!$H$19="Todos",datos_base!$D$12,0))*parametros_manuales!$C$110+parametros_manuales!$G$19*(datos_base!$D$21+IF(parametros_manuales!$H$19="Todos",datos_base!$D$26,0))*parametros_manuales!$C$15)*parametros_manuales!$I$19*parametros_manuales!$J$19</f>
        <v>1974.044852492</v>
      </c>
      <c r="D56" s="9" t="n">
        <f aca="false">(parametros_manuales!$D$19*(datos_base!$D$2+IF(parametros_manuales!$H$19="Todos",datos_base!$D$9,0))*parametros_manuales!$D$95+parametros_manuales!$D$19*(datos_base!$D$18+IF(parametros_manuales!$H$19="Todos",datos_base!$D$23,0))*parametros_manuales!$D$12+parametros_manuales!$E$19*(datos_base!$D$3+IF(parametros_manuales!$H$19="Todos",datos_base!$D$10,0))*parametros_manuales!$D$100+parametros_manuales!$E$19*(datos_base!$D$19+IF(parametros_manuales!$H$19="Todos",datos_base!$D$24,0))*parametros_manuales!$D$13+parametros_manuales!$F$19*(datos_base!$D$4+IF(parametros_manuales!$H$19="Todos",datos_base!$D$11,0))*parametros_manuales!$D$105+parametros_manuales!$F$19*(datos_base!$D$20+IF(parametros_manuales!$H$19="Todos",datos_base!$D$25,0))*parametros_manuales!$D$14+parametros_manuales!$G$19*(datos_base!$D$5+IF(parametros_manuales!$H$19="Todos",datos_base!$D$12,0))*parametros_manuales!$D$110+parametros_manuales!$G$19*(datos_base!$D$21+IF(parametros_manuales!$H$19="Todos",datos_base!$D$26,0))*parametros_manuales!$D$15)*parametros_manuales!$I$19*parametros_manuales!$J$19</f>
        <v>1870.639097054</v>
      </c>
      <c r="E56" s="9" t="n">
        <f aca="false">(parametros_manuales!$D$19*(datos_base!$D$2+IF(parametros_manuales!$H$19="Todos",datos_base!$D$9,0))*parametros_manuales!$E$95+parametros_manuales!$D$19*(datos_base!$D$18+IF(parametros_manuales!$H$19="Todos",datos_base!$D$23,0))*parametros_manuales!$E$12+parametros_manuales!$E$19*(datos_base!$D$3+IF(parametros_manuales!$H$19="Todos",datos_base!$D$10,0))*parametros_manuales!$E$100+parametros_manuales!$E$19*(datos_base!$D$19+IF(parametros_manuales!$H$19="Todos",datos_base!$D$24,0))*parametros_manuales!$E$13+parametros_manuales!$F$19*(datos_base!$D$4+IF(parametros_manuales!$H$19="Todos",datos_base!$D$11,0))*parametros_manuales!$E$105+parametros_manuales!$F$19*(datos_base!$D$20+IF(parametros_manuales!$H$19="Todos",datos_base!$D$25,0))*parametros_manuales!$E$14+parametros_manuales!$G$19*(datos_base!$D$5+IF(parametros_manuales!$H$19="Todos",datos_base!$D$12,0))*parametros_manuales!$E$110+parametros_manuales!$G$19*(datos_base!$D$21+IF(parametros_manuales!$H$19="Todos",datos_base!$D$26,0))*parametros_manuales!$E$15)*parametros_manuales!$I$19*parametros_manuales!$J$19</f>
        <v>1798.068358264</v>
      </c>
      <c r="F56" s="9" t="n">
        <f aca="false">(parametros_manuales!$D$19*(datos_base!$D$2+IF(parametros_manuales!$H$19="Todos",datos_base!$D$9,0))*parametros_manuales!$F$95+parametros_manuales!$D$19*(datos_base!$D$18+IF(parametros_manuales!$H$19="Todos",datos_base!$D$23,0))*parametros_manuales!$F$12+parametros_manuales!$E$19*(datos_base!$D$3+IF(parametros_manuales!$H$19="Todos",datos_base!$D$10,0))*parametros_manuales!$F$100+parametros_manuales!$E$19*(datos_base!$D$19+IF(parametros_manuales!$H$19="Todos",datos_base!$D$24,0))*parametros_manuales!$F$13+parametros_manuales!$F$19*(datos_base!$D$4+IF(parametros_manuales!$H$19="Todos",datos_base!$D$11,0))*parametros_manuales!$F$105+parametros_manuales!$F$19*(datos_base!$D$20+IF(parametros_manuales!$H$19="Todos",datos_base!$D$25,0))*parametros_manuales!$F$14+parametros_manuales!$G$19*(datos_base!$D$5+IF(parametros_manuales!$H$19="Todos",datos_base!$D$12,0))*parametros_manuales!$F$110+parametros_manuales!$G$19*(datos_base!$D$21+IF(parametros_manuales!$H$19="Todos",datos_base!$D$26,0))*parametros_manuales!$F$15)*parametros_manuales!$I$19*parametros_manuales!$J$19</f>
        <v>1683.761897332</v>
      </c>
      <c r="G56" s="9" t="n">
        <f aca="false">(parametros_manuales!$D$19*(datos_base!$D$2+IF(parametros_manuales!$H$19="Todos",datos_base!$D$9,0))*parametros_manuales!$G$95+parametros_manuales!$D$19*(datos_base!$D$18+IF(parametros_manuales!$H$19="Todos",datos_base!$D$23,0))*parametros_manuales!$G$12+parametros_manuales!$E$19*(datos_base!$D$3+IF(parametros_manuales!$H$19="Todos",datos_base!$D$10,0))*parametros_manuales!$G$100+parametros_manuales!$E$19*(datos_base!$D$19+IF(parametros_manuales!$H$19="Todos",datos_base!$D$24,0))*parametros_manuales!$G$13+parametros_manuales!$F$19*(datos_base!$D$4+IF(parametros_manuales!$H$19="Todos",datos_base!$D$11,0))*parametros_manuales!$G$105+parametros_manuales!$F$19*(datos_base!$D$20+IF(parametros_manuales!$H$19="Todos",datos_base!$D$25,0))*parametros_manuales!$G$14+parametros_manuales!$G$19*(datos_base!$D$5+IF(parametros_manuales!$H$19="Todos",datos_base!$D$12,0))*parametros_manuales!$G$110+parametros_manuales!$G$19*(datos_base!$D$21+IF(parametros_manuales!$H$19="Todos",datos_base!$D$26,0))*parametros_manuales!$G$15)*parametros_manuales!$I$19*parametros_manuales!$J$19</f>
        <v>1642.02617519</v>
      </c>
      <c r="H56" s="9" t="n">
        <f aca="false">(parametros_manuales!$D$19*(datos_base!$D$2+IF(parametros_manuales!$H$19="Todos",datos_base!$D$9,0))*parametros_manuales!$H$95+parametros_manuales!$D$19*(datos_base!$D$18+IF(parametros_manuales!$H$19="Todos",datos_base!$D$23,0))*parametros_manuales!$H$12+parametros_manuales!$E$19*(datos_base!$D$3+IF(parametros_manuales!$H$19="Todos",datos_base!$D$10,0))*parametros_manuales!$H$100+parametros_manuales!$E$19*(datos_base!$D$19+IF(parametros_manuales!$H$19="Todos",datos_base!$D$24,0))*parametros_manuales!$H$13+parametros_manuales!$F$19*(datos_base!$D$4+IF(parametros_manuales!$H$19="Todos",datos_base!$D$11,0))*parametros_manuales!$H$105+parametros_manuales!$F$19*(datos_base!$D$20+IF(parametros_manuales!$H$19="Todos",datos_base!$D$25,0))*parametros_manuales!$H$14+parametros_manuales!$G$19*(datos_base!$D$5+IF(parametros_manuales!$H$19="Todos",datos_base!$D$12,0))*parametros_manuales!$H$110+parametros_manuales!$G$19*(datos_base!$D$21+IF(parametros_manuales!$H$19="Todos",datos_base!$D$26,0))*parametros_manuales!$H$15)*parametros_manuales!$I$19*parametros_manuales!$J$19</f>
        <v>1756.332636122</v>
      </c>
      <c r="I56" s="9" t="n">
        <f aca="false">(parametros_manuales!$D$19*(datos_base!$D$2+IF(parametros_manuales!$H$19="Todos",datos_base!$D$9,0))*parametros_manuales!$I$95+parametros_manuales!$D$19*(datos_base!$D$18+IF(parametros_manuales!$H$19="Todos",datos_base!$D$23,0))*parametros_manuales!$I$12+parametros_manuales!$E$19*(datos_base!$D$3+IF(parametros_manuales!$H$19="Todos",datos_base!$D$10,0))*parametros_manuales!$I$100+parametros_manuales!$E$19*(datos_base!$D$19+IF(parametros_manuales!$H$19="Todos",datos_base!$D$24,0))*parametros_manuales!$I$13+parametros_manuales!$F$19*(datos_base!$D$4+IF(parametros_manuales!$H$19="Todos",datos_base!$D$11,0))*parametros_manuales!$I$105+parametros_manuales!$F$19*(datos_base!$D$20+IF(parametros_manuales!$H$19="Todos",datos_base!$D$25,0))*parametros_manuales!$I$14+parametros_manuales!$G$19*(datos_base!$D$5+IF(parametros_manuales!$H$19="Todos",datos_base!$D$12,0))*parametros_manuales!$I$110+parametros_manuales!$G$19*(datos_base!$D$21+IF(parametros_manuales!$H$19="Todos",datos_base!$D$26,0))*parametros_manuales!$I$15)*parametros_manuales!$I$19*parametros_manuales!$J$19</f>
        <v>1974.044852492</v>
      </c>
      <c r="J56" s="9" t="n">
        <f aca="false">(parametros_manuales!$D$19*(datos_base!$D$2+IF(parametros_manuales!$H$19="Todos",datos_base!$D$9,0))*parametros_manuales!$J$95+parametros_manuales!$D$19*(datos_base!$D$18+IF(parametros_manuales!$H$19="Todos",datos_base!$D$23,0))*parametros_manuales!$J$12+parametros_manuales!$E$19*(datos_base!$D$3+IF(parametros_manuales!$H$19="Todos",datos_base!$D$10,0))*parametros_manuales!$J$100+parametros_manuales!$E$19*(datos_base!$D$19+IF(parametros_manuales!$H$19="Todos",datos_base!$D$24,0))*parametros_manuales!$J$13+parametros_manuales!$F$19*(datos_base!$D$4+IF(parametros_manuales!$H$19="Todos",datos_base!$D$11,0))*parametros_manuales!$J$105+parametros_manuales!$F$19*(datos_base!$D$20+IF(parametros_manuales!$H$19="Todos",datos_base!$D$25,0))*parametros_manuales!$J$14+parametros_manuales!$G$19*(datos_base!$D$5+IF(parametros_manuales!$H$19="Todos",datos_base!$D$12,0))*parametros_manuales!$J$110+parametros_manuales!$G$19*(datos_base!$D$21+IF(parametros_manuales!$H$19="Todos",datos_base!$D$26,0))*parametros_manuales!$J$15)*parametros_manuales!$I$19*parametros_manuales!$J$19</f>
        <v>1974.044852492</v>
      </c>
      <c r="K56" s="9" t="n">
        <f aca="false">(parametros_manuales!$D$19*(datos_base!$D$2+IF(parametros_manuales!$H$19="Todos",datos_base!$D$9,0))*parametros_manuales!$K$95+parametros_manuales!$D$19*(datos_base!$D$18+IF(parametros_manuales!$H$19="Todos",datos_base!$D$23,0))*parametros_manuales!$K$12+parametros_manuales!$E$19*(datos_base!$D$3+IF(parametros_manuales!$H$19="Todos",datos_base!$D$10,0))*parametros_manuales!$K$100+parametros_manuales!$E$19*(datos_base!$D$19+IF(parametros_manuales!$H$19="Todos",datos_base!$D$24,0))*parametros_manuales!$K$13+parametros_manuales!$F$19*(datos_base!$D$4+IF(parametros_manuales!$H$19="Todos",datos_base!$D$11,0))*parametros_manuales!$K$105+parametros_manuales!$F$19*(datos_base!$D$20+IF(parametros_manuales!$H$19="Todos",datos_base!$D$25,0))*parametros_manuales!$K$14+parametros_manuales!$G$19*(datos_base!$D$5+IF(parametros_manuales!$H$19="Todos",datos_base!$D$12,0))*parametros_manuales!$K$110+parametros_manuales!$G$19*(datos_base!$D$21+IF(parametros_manuales!$H$19="Todos",datos_base!$D$26,0))*parametros_manuales!$K$15)*parametros_manuales!$I$19*parametros_manuales!$J$19</f>
        <v>2014.330974634</v>
      </c>
      <c r="L56" s="9" t="n">
        <f aca="false">(parametros_manuales!$D$19*(datos_base!$D$2+IF(parametros_manuales!$H$19="Todos",datos_base!$D$9,0))*parametros_manuales!$L$95+parametros_manuales!$D$19*(datos_base!$D$18+IF(parametros_manuales!$H$19="Todos",datos_base!$D$23,0))*parametros_manuales!$L$12+parametros_manuales!$E$19*(datos_base!$D$3+IF(parametros_manuales!$H$19="Todos",datos_base!$D$10,0))*parametros_manuales!$L$100+parametros_manuales!$E$19*(datos_base!$D$19+IF(parametros_manuales!$H$19="Todos",datos_base!$D$24,0))*parametros_manuales!$L$13+parametros_manuales!$F$19*(datos_base!$D$4+IF(parametros_manuales!$H$19="Todos",datos_base!$D$11,0))*parametros_manuales!$L$105+parametros_manuales!$F$19*(datos_base!$D$20+IF(parametros_manuales!$H$19="Todos",datos_base!$D$25,0))*parametros_manuales!$L$14+parametros_manuales!$G$19*(datos_base!$D$5+IF(parametros_manuales!$H$19="Todos",datos_base!$D$12,0))*parametros_manuales!$L$110+parametros_manuales!$G$19*(datos_base!$D$21+IF(parametros_manuales!$H$19="Todos",datos_base!$D$26,0))*parametros_manuales!$L$15)*parametros_manuales!$I$19*parametros_manuales!$J$19</f>
        <v>2054.617096776</v>
      </c>
      <c r="M56" s="9" t="n">
        <f aca="false">(parametros_manuales!$D$19*(datos_base!$D$2+IF(parametros_manuales!$H$19="Todos",datos_base!$D$9,0))*parametros_manuales!$M$95+parametros_manuales!$D$19*(datos_base!$D$18+IF(parametros_manuales!$H$19="Todos",datos_base!$D$23,0))*parametros_manuales!$M$12+parametros_manuales!$E$19*(datos_base!$D$3+IF(parametros_manuales!$H$19="Todos",datos_base!$D$10,0))*parametros_manuales!$M$100+parametros_manuales!$E$19*(datos_base!$D$19+IF(parametros_manuales!$H$19="Todos",datos_base!$D$24,0))*parametros_manuales!$M$13+parametros_manuales!$F$19*(datos_base!$D$4+IF(parametros_manuales!$H$19="Todos",datos_base!$D$11,0))*parametros_manuales!$M$105+parametros_manuales!$F$19*(datos_base!$D$20+IF(parametros_manuales!$H$19="Todos",datos_base!$D$25,0))*parametros_manuales!$M$14+parametros_manuales!$G$19*(datos_base!$D$5+IF(parametros_manuales!$H$19="Todos",datos_base!$D$12,0))*parametros_manuales!$M$110+parametros_manuales!$G$19*(datos_base!$D$21+IF(parametros_manuales!$H$19="Todos",datos_base!$D$26,0))*parametros_manuales!$M$15)*parametros_manuales!$I$19*parametros_manuales!$J$19</f>
        <v>2060.415496776</v>
      </c>
      <c r="N56" s="9" t="n">
        <f aca="false">SUM(B56:M56)</f>
        <v>22861.2921864</v>
      </c>
      <c r="O56" s="9" t="n">
        <f aca="false">MAX(B56:M56)</f>
        <v>2060.415496776</v>
      </c>
      <c r="P56" s="44" t="n">
        <f aca="false">O56/(parametros_manuales!$B$7)</f>
        <v>13.73610331184</v>
      </c>
      <c r="Q56" s="8" t="str">
        <f aca="false">IF(O56=0,"-",INDEX($B$55:$M$55,MATCH(O56,B56:M56,0)))</f>
        <v>Dic</v>
      </c>
    </row>
    <row r="57" customFormat="false" ht="14.25" hidden="false" customHeight="true" outlineLevel="0" collapsed="false">
      <c r="A57" s="8" t="str">
        <f aca="false">parametros_manuales!$B$20</f>
        <v>Corte de chapa (guillotina) — 2,5 a 10 kg</v>
      </c>
      <c r="B57" s="9" t="n">
        <f aca="false">(parametros_manuales!$D$20*(datos_base!$D$2+IF(parametros_manuales!$H$20="Todos",datos_base!$D$9,0))*parametros_manuales!$B$95+parametros_manuales!$D$20*(datos_base!$D$18+IF(parametros_manuales!$H$20="Todos",datos_base!$D$23,0))*parametros_manuales!$B$12+parametros_manuales!$E$20*(datos_base!$D$3+IF(parametros_manuales!$H$20="Todos",datos_base!$D$10,0))*parametros_manuales!$B$100+parametros_manuales!$E$20*(datos_base!$D$19+IF(parametros_manuales!$H$20="Todos",datos_base!$D$24,0))*parametros_manuales!$B$13+parametros_manuales!$F$20*(datos_base!$D$4+IF(parametros_manuales!$H$20="Todos",datos_base!$D$11,0))*parametros_manuales!$B$105+parametros_manuales!$F$20*(datos_base!$D$20+IF(parametros_manuales!$H$20="Todos",datos_base!$D$25,0))*parametros_manuales!$B$14+parametros_manuales!$G$20*(datos_base!$D$5+IF(parametros_manuales!$H$20="Todos",datos_base!$D$12,0))*parametros_manuales!$B$110+parametros_manuales!$G$20*(datos_base!$D$21+IF(parametros_manuales!$H$20="Todos",datos_base!$D$26,0))*parametros_manuales!$B$15)*parametros_manuales!$I$20*parametros_manuales!$J$20</f>
        <v>752.692598556</v>
      </c>
      <c r="C57" s="9" t="n">
        <f aca="false">(parametros_manuales!$D$20*(datos_base!$D$2+IF(parametros_manuales!$H$20="Todos",datos_base!$D$9,0))*parametros_manuales!$C$95+parametros_manuales!$D$20*(datos_base!$D$18+IF(parametros_manuales!$H$20="Todos",datos_base!$D$23,0))*parametros_manuales!$C$12+parametros_manuales!$E$20*(datos_base!$D$3+IF(parametros_manuales!$H$20="Todos",datos_base!$D$10,0))*parametros_manuales!$C$100+parametros_manuales!$E$20*(datos_base!$D$19+IF(parametros_manuales!$H$20="Todos",datos_base!$D$24,0))*parametros_manuales!$C$13+parametros_manuales!$F$20*(datos_base!$D$4+IF(parametros_manuales!$H$20="Todos",datos_base!$D$11,0))*parametros_manuales!$C$105+parametros_manuales!$F$20*(datos_base!$D$20+IF(parametros_manuales!$H$20="Todos",datos_base!$D$25,0))*parametros_manuales!$C$14+parametros_manuales!$G$20*(datos_base!$D$5+IF(parametros_manuales!$H$20="Todos",datos_base!$D$12,0))*parametros_manuales!$C$110+parametros_manuales!$G$20*(datos_base!$D$21+IF(parametros_manuales!$H$20="Todos",datos_base!$D$26,0))*parametros_manuales!$C$15)*parametros_manuales!$I$20*parametros_manuales!$J$20</f>
        <v>667.771554272</v>
      </c>
      <c r="D57" s="9" t="n">
        <f aca="false">(parametros_manuales!$D$20*(datos_base!$D$2+IF(parametros_manuales!$H$20="Todos",datos_base!$D$9,0))*parametros_manuales!$D$95+parametros_manuales!$D$20*(datos_base!$D$18+IF(parametros_manuales!$H$20="Todos",datos_base!$D$23,0))*parametros_manuales!$D$12+parametros_manuales!$E$20*(datos_base!$D$3+IF(parametros_manuales!$H$20="Todos",datos_base!$D$10,0))*parametros_manuales!$D$100+parametros_manuales!$E$20*(datos_base!$D$19+IF(parametros_manuales!$H$20="Todos",datos_base!$D$24,0))*parametros_manuales!$D$13+parametros_manuales!$F$20*(datos_base!$D$4+IF(parametros_manuales!$H$20="Todos",datos_base!$D$11,0))*parametros_manuales!$D$105+parametros_manuales!$F$20*(datos_base!$D$20+IF(parametros_manuales!$H$20="Todos",datos_base!$D$25,0))*parametros_manuales!$D$14+parametros_manuales!$G$20*(datos_base!$D$5+IF(parametros_manuales!$H$20="Todos",datos_base!$D$12,0))*parametros_manuales!$D$110+parametros_manuales!$G$20*(datos_base!$D$21+IF(parametros_manuales!$H$20="Todos",datos_base!$D$26,0))*parametros_manuales!$D$15)*parametros_manuales!$I$20*parametros_manuales!$J$20</f>
        <v>709.507276414</v>
      </c>
      <c r="E57" s="9" t="n">
        <f aca="false">(parametros_manuales!$D$20*(datos_base!$D$2+IF(parametros_manuales!$H$20="Todos",datos_base!$D$9,0))*parametros_manuales!$E$95+parametros_manuales!$D$20*(datos_base!$D$18+IF(parametros_manuales!$H$20="Todos",datos_base!$D$23,0))*parametros_manuales!$E$12+parametros_manuales!$E$20*(datos_base!$D$3+IF(parametros_manuales!$H$20="Todos",datos_base!$D$10,0))*parametros_manuales!$E$100+parametros_manuales!$E$20*(datos_base!$D$19+IF(parametros_manuales!$H$20="Todos",datos_base!$D$24,0))*parametros_manuales!$E$13+parametros_manuales!$F$20*(datos_base!$D$4+IF(parametros_manuales!$H$20="Todos",datos_base!$D$11,0))*parametros_manuales!$E$105+parametros_manuales!$F$20*(datos_base!$D$20+IF(parametros_manuales!$H$20="Todos",datos_base!$D$25,0))*parametros_manuales!$E$14+parametros_manuales!$G$20*(datos_base!$D$5+IF(parametros_manuales!$H$20="Todos",datos_base!$D$12,0))*parametros_manuales!$E$110+parametros_manuales!$G$20*(datos_base!$D$21+IF(parametros_manuales!$H$20="Todos",datos_base!$D$26,0))*parametros_manuales!$E$15)*parametros_manuales!$I$20*parametros_manuales!$J$20</f>
        <v>709.507276414</v>
      </c>
      <c r="F57" s="9" t="n">
        <f aca="false">(parametros_manuales!$D$20*(datos_base!$D$2+IF(parametros_manuales!$H$20="Todos",datos_base!$D$9,0))*parametros_manuales!$F$95+parametros_manuales!$D$20*(datos_base!$D$18+IF(parametros_manuales!$H$20="Todos",datos_base!$D$23,0))*parametros_manuales!$F$12+parametros_manuales!$E$20*(datos_base!$D$3+IF(parametros_manuales!$H$20="Todos",datos_base!$D$10,0))*parametros_manuales!$F$100+parametros_manuales!$E$20*(datos_base!$D$19+IF(parametros_manuales!$H$20="Todos",datos_base!$D$24,0))*parametros_manuales!$F$13+parametros_manuales!$F$20*(datos_base!$D$4+IF(parametros_manuales!$H$20="Todos",datos_base!$D$11,0))*parametros_manuales!$F$105+parametros_manuales!$F$20*(datos_base!$D$20+IF(parametros_manuales!$H$20="Todos",datos_base!$D$25,0))*parametros_manuales!$F$14+parametros_manuales!$G$20*(datos_base!$D$5+IF(parametros_manuales!$H$20="Todos",datos_base!$D$12,0))*parametros_manuales!$F$110+parametros_manuales!$G$20*(datos_base!$D$21+IF(parametros_manuales!$H$20="Todos",datos_base!$D$26,0))*parametros_manuales!$F$15)*parametros_manuales!$I$20*parametros_manuales!$J$20</f>
        <v>667.771554272</v>
      </c>
      <c r="G57" s="9" t="n">
        <f aca="false">(parametros_manuales!$D$20*(datos_base!$D$2+IF(parametros_manuales!$H$20="Todos",datos_base!$D$9,0))*parametros_manuales!$G$95+parametros_manuales!$D$20*(datos_base!$D$18+IF(parametros_manuales!$H$20="Todos",datos_base!$D$23,0))*parametros_manuales!$G$12+parametros_manuales!$E$20*(datos_base!$D$3+IF(parametros_manuales!$H$20="Todos",datos_base!$D$10,0))*parametros_manuales!$G$100+parametros_manuales!$E$20*(datos_base!$D$19+IF(parametros_manuales!$H$20="Todos",datos_base!$D$24,0))*parametros_manuales!$G$13+parametros_manuales!$F$20*(datos_base!$D$4+IF(parametros_manuales!$H$20="Todos",datos_base!$D$11,0))*parametros_manuales!$G$105+parametros_manuales!$F$20*(datos_base!$D$20+IF(parametros_manuales!$H$20="Todos",datos_base!$D$25,0))*parametros_manuales!$G$14+parametros_manuales!$G$20*(datos_base!$D$5+IF(parametros_manuales!$H$20="Todos",datos_base!$D$12,0))*parametros_manuales!$G$110+parametros_manuales!$G$20*(datos_base!$D$21+IF(parametros_manuales!$H$20="Todos",datos_base!$D$26,0))*parametros_manuales!$G$15)*parametros_manuales!$I$20*parametros_manuales!$J$20</f>
        <v>626.03583213</v>
      </c>
      <c r="H57" s="9" t="n">
        <f aca="false">(parametros_manuales!$D$20*(datos_base!$D$2+IF(parametros_manuales!$H$20="Todos",datos_base!$D$9,0))*parametros_manuales!$H$95+parametros_manuales!$D$20*(datos_base!$D$18+IF(parametros_manuales!$H$20="Todos",datos_base!$D$23,0))*parametros_manuales!$H$12+parametros_manuales!$E$20*(datos_base!$D$3+IF(parametros_manuales!$H$20="Todos",datos_base!$D$10,0))*parametros_manuales!$H$100+parametros_manuales!$E$20*(datos_base!$D$19+IF(parametros_manuales!$H$20="Todos",datos_base!$D$24,0))*parametros_manuales!$H$13+parametros_manuales!$F$20*(datos_base!$D$4+IF(parametros_manuales!$H$20="Todos",datos_base!$D$11,0))*parametros_manuales!$H$105+parametros_manuales!$F$20*(datos_base!$D$20+IF(parametros_manuales!$H$20="Todos",datos_base!$D$25,0))*parametros_manuales!$H$14+parametros_manuales!$G$20*(datos_base!$D$5+IF(parametros_manuales!$H$20="Todos",datos_base!$D$12,0))*parametros_manuales!$H$110+parametros_manuales!$G$20*(datos_base!$D$21+IF(parametros_manuales!$H$20="Todos",datos_base!$D$26,0))*parametros_manuales!$H$15)*parametros_manuales!$I$20*parametros_manuales!$J$20</f>
        <v>667.771554272</v>
      </c>
      <c r="I57" s="9" t="n">
        <f aca="false">(parametros_manuales!$D$20*(datos_base!$D$2+IF(parametros_manuales!$H$20="Todos",datos_base!$D$9,0))*parametros_manuales!$I$95+parametros_manuales!$D$20*(datos_base!$D$18+IF(parametros_manuales!$H$20="Todos",datos_base!$D$23,0))*parametros_manuales!$I$12+parametros_manuales!$E$20*(datos_base!$D$3+IF(parametros_manuales!$H$20="Todos",datos_base!$D$10,0))*parametros_manuales!$I$100+parametros_manuales!$E$20*(datos_base!$D$19+IF(parametros_manuales!$H$20="Todos",datos_base!$D$24,0))*parametros_manuales!$I$13+parametros_manuales!$F$20*(datos_base!$D$4+IF(parametros_manuales!$H$20="Todos",datos_base!$D$11,0))*parametros_manuales!$I$105+parametros_manuales!$F$20*(datos_base!$D$20+IF(parametros_manuales!$H$20="Todos",datos_base!$D$25,0))*parametros_manuales!$I$14+parametros_manuales!$G$20*(datos_base!$D$5+IF(parametros_manuales!$H$20="Todos",datos_base!$D$12,0))*parametros_manuales!$I$110+parametros_manuales!$G$20*(datos_base!$D$21+IF(parametros_manuales!$H$20="Todos",datos_base!$D$26,0))*parametros_manuales!$I$15)*parametros_manuales!$I$20*parametros_manuales!$J$20</f>
        <v>667.771554272</v>
      </c>
      <c r="J57" s="9" t="n">
        <f aca="false">(parametros_manuales!$D$20*(datos_base!$D$2+IF(parametros_manuales!$H$20="Todos",datos_base!$D$9,0))*parametros_manuales!$J$95+parametros_manuales!$D$20*(datos_base!$D$18+IF(parametros_manuales!$H$20="Todos",datos_base!$D$23,0))*parametros_manuales!$J$12+parametros_manuales!$E$20*(datos_base!$D$3+IF(parametros_manuales!$H$20="Todos",datos_base!$D$10,0))*parametros_manuales!$J$100+parametros_manuales!$E$20*(datos_base!$D$19+IF(parametros_manuales!$H$20="Todos",datos_base!$D$24,0))*parametros_manuales!$J$13+parametros_manuales!$F$20*(datos_base!$D$4+IF(parametros_manuales!$H$20="Todos",datos_base!$D$11,0))*parametros_manuales!$J$105+parametros_manuales!$F$20*(datos_base!$D$20+IF(parametros_manuales!$H$20="Todos",datos_base!$D$25,0))*parametros_manuales!$J$14+parametros_manuales!$G$20*(datos_base!$D$5+IF(parametros_manuales!$H$20="Todos",datos_base!$D$12,0))*parametros_manuales!$J$110+parametros_manuales!$G$20*(datos_base!$D$21+IF(parametros_manuales!$H$20="Todos",datos_base!$D$26,0))*parametros_manuales!$J$15)*parametros_manuales!$I$20*parametros_manuales!$J$20</f>
        <v>667.771554272</v>
      </c>
      <c r="K57" s="9" t="n">
        <f aca="false">(parametros_manuales!$D$20*(datos_base!$D$2+IF(parametros_manuales!$H$20="Todos",datos_base!$D$9,0))*parametros_manuales!$K$95+parametros_manuales!$D$20*(datos_base!$D$18+IF(parametros_manuales!$H$20="Todos",datos_base!$D$23,0))*parametros_manuales!$K$12+parametros_manuales!$E$20*(datos_base!$D$3+IF(parametros_manuales!$H$20="Todos",datos_base!$D$10,0))*parametros_manuales!$K$100+parametros_manuales!$E$20*(datos_base!$D$19+IF(parametros_manuales!$H$20="Todos",datos_base!$D$24,0))*parametros_manuales!$K$13+parametros_manuales!$F$20*(datos_base!$D$4+IF(parametros_manuales!$H$20="Todos",datos_base!$D$11,0))*parametros_manuales!$K$105+parametros_manuales!$F$20*(datos_base!$D$20+IF(parametros_manuales!$H$20="Todos",datos_base!$D$25,0))*parametros_manuales!$K$14+parametros_manuales!$G$20*(datos_base!$D$5+IF(parametros_manuales!$H$20="Todos",datos_base!$D$12,0))*parametros_manuales!$K$110+parametros_manuales!$G$20*(datos_base!$D$21+IF(parametros_manuales!$H$20="Todos",datos_base!$D$26,0))*parametros_manuales!$K$15)*parametros_manuales!$I$20*parametros_manuales!$J$20</f>
        <v>708.057676414</v>
      </c>
      <c r="L57" s="9" t="n">
        <f aca="false">(parametros_manuales!$D$20*(datos_base!$D$2+IF(parametros_manuales!$H$20="Todos",datos_base!$D$9,0))*parametros_manuales!$L$95+parametros_manuales!$D$20*(datos_base!$D$18+IF(parametros_manuales!$H$20="Todos",datos_base!$D$23,0))*parametros_manuales!$L$12+parametros_manuales!$E$20*(datos_base!$D$3+IF(parametros_manuales!$H$20="Todos",datos_base!$D$10,0))*parametros_manuales!$L$100+parametros_manuales!$E$20*(datos_base!$D$19+IF(parametros_manuales!$H$20="Todos",datos_base!$D$24,0))*parametros_manuales!$L$13+parametros_manuales!$F$20*(datos_base!$D$4+IF(parametros_manuales!$H$20="Todos",datos_base!$D$11,0))*parametros_manuales!$L$105+parametros_manuales!$F$20*(datos_base!$D$20+IF(parametros_manuales!$H$20="Todos",datos_base!$D$25,0))*parametros_manuales!$L$14+parametros_manuales!$G$20*(datos_base!$D$5+IF(parametros_manuales!$H$20="Todos",datos_base!$D$12,0))*parametros_manuales!$L$110+parametros_manuales!$G$20*(datos_base!$D$21+IF(parametros_manuales!$H$20="Todos",datos_base!$D$26,0))*parametros_manuales!$L$15)*parametros_manuales!$I$20*parametros_manuales!$J$20</f>
        <v>748.343798556</v>
      </c>
      <c r="M57" s="9" t="n">
        <f aca="false">(parametros_manuales!$D$20*(datos_base!$D$2+IF(parametros_manuales!$H$20="Todos",datos_base!$D$9,0))*parametros_manuales!$M$95+parametros_manuales!$D$20*(datos_base!$D$18+IF(parametros_manuales!$H$20="Todos",datos_base!$D$23,0))*parametros_manuales!$M$12+parametros_manuales!$E$20*(datos_base!$D$3+IF(parametros_manuales!$H$20="Todos",datos_base!$D$10,0))*parametros_manuales!$M$100+parametros_manuales!$E$20*(datos_base!$D$19+IF(parametros_manuales!$H$20="Todos",datos_base!$D$24,0))*parametros_manuales!$M$13+parametros_manuales!$F$20*(datos_base!$D$4+IF(parametros_manuales!$H$20="Todos",datos_base!$D$11,0))*parametros_manuales!$M$105+parametros_manuales!$F$20*(datos_base!$D$20+IF(parametros_manuales!$H$20="Todos",datos_base!$D$25,0))*parametros_manuales!$M$14+parametros_manuales!$G$20*(datos_base!$D$5+IF(parametros_manuales!$H$20="Todos",datos_base!$D$12,0))*parametros_manuales!$M$110+parametros_manuales!$G$20*(datos_base!$D$21+IF(parametros_manuales!$H$20="Todos",datos_base!$D$26,0))*parametros_manuales!$M$15)*parametros_manuales!$I$20*parametros_manuales!$J$20</f>
        <v>754.142198556</v>
      </c>
      <c r="N57" s="9" t="n">
        <f aca="false">SUM(B57:M57)</f>
        <v>8347.1444284</v>
      </c>
      <c r="O57" s="9" t="n">
        <f aca="false">MAX(B57:M57)</f>
        <v>754.142198556</v>
      </c>
      <c r="P57" s="44" t="n">
        <f aca="false">O57/(parametros_manuales!$B$7)</f>
        <v>5.02761465704</v>
      </c>
      <c r="Q57" s="8" t="str">
        <f aca="false">IF(O57=0,"-",INDEX($B$55:$M$55,MATCH(O57,B57:M57,0)))</f>
        <v>Dic</v>
      </c>
    </row>
    <row r="58" customFormat="false" ht="14.25" hidden="false" customHeight="true" outlineLevel="0" collapsed="false">
      <c r="A58" s="8" t="str">
        <f aca="false">parametros_manuales!$B$21</f>
        <v>Corte de tubo — 1 kg</v>
      </c>
      <c r="B58" s="9" t="n">
        <f aca="false">(parametros_manuales!$D$21*(datos_base!$D$2+IF(parametros_manuales!$H$21="Todos",datos_base!$D$9,0))*parametros_manuales!$B$95+parametros_manuales!$D$21*(datos_base!$D$18+IF(parametros_manuales!$H$21="Todos",datos_base!$D$23,0))*parametros_manuales!$B$12+parametros_manuales!$E$21*(datos_base!$D$3+IF(parametros_manuales!$H$21="Todos",datos_base!$D$10,0))*parametros_manuales!$B$100+parametros_manuales!$E$21*(datos_base!$D$19+IF(parametros_manuales!$H$21="Todos",datos_base!$D$24,0))*parametros_manuales!$B$13+parametros_manuales!$F$21*(datos_base!$D$4+IF(parametros_manuales!$H$21="Todos",datos_base!$D$11,0))*parametros_manuales!$B$105+parametros_manuales!$F$21*(datos_base!$D$20+IF(parametros_manuales!$H$21="Todos",datos_base!$D$25,0))*parametros_manuales!$B$14+parametros_manuales!$G$21*(datos_base!$D$5+IF(parametros_manuales!$H$21="Todos",datos_base!$D$12,0))*parametros_manuales!$B$110+parametros_manuales!$G$21*(datos_base!$D$21+IF(parametros_manuales!$H$21="Todos",datos_base!$D$26,0))*parametros_manuales!$B$15)*parametros_manuales!$I$21*parametros_manuales!$J$21</f>
        <v>1306.27329822</v>
      </c>
      <c r="C58" s="9" t="n">
        <f aca="false">(parametros_manuales!$D$21*(datos_base!$D$2+IF(parametros_manuales!$H$21="Todos",datos_base!$D$9,0))*parametros_manuales!$C$95+parametros_manuales!$D$21*(datos_base!$D$18+IF(parametros_manuales!$H$21="Todos",datos_base!$D$23,0))*parametros_manuales!$C$12+parametros_manuales!$E$21*(datos_base!$D$3+IF(parametros_manuales!$H$21="Todos",datos_base!$D$10,0))*parametros_manuales!$C$100+parametros_manuales!$E$21*(datos_base!$D$19+IF(parametros_manuales!$H$21="Todos",datos_base!$D$24,0))*parametros_manuales!$C$13+parametros_manuales!$F$21*(datos_base!$D$4+IF(parametros_manuales!$H$21="Todos",datos_base!$D$11,0))*parametros_manuales!$C$105+parametros_manuales!$F$21*(datos_base!$D$20+IF(parametros_manuales!$H$21="Todos",datos_base!$D$25,0))*parametros_manuales!$C$14+parametros_manuales!$G$21*(datos_base!$D$5+IF(parametros_manuales!$H$21="Todos",datos_base!$D$12,0))*parametros_manuales!$C$110+parametros_manuales!$G$21*(datos_base!$D$21+IF(parametros_manuales!$H$21="Todos",datos_base!$D$26,0))*parametros_manuales!$C$15)*parametros_manuales!$I$21*parametros_manuales!$J$21</f>
        <v>1306.27329822</v>
      </c>
      <c r="D58" s="9" t="n">
        <f aca="false">(parametros_manuales!$D$21*(datos_base!$D$2+IF(parametros_manuales!$H$21="Todos",datos_base!$D$9,0))*parametros_manuales!$D$95+parametros_manuales!$D$21*(datos_base!$D$18+IF(parametros_manuales!$H$21="Todos",datos_base!$D$23,0))*parametros_manuales!$D$12+parametros_manuales!$E$21*(datos_base!$D$3+IF(parametros_manuales!$H$21="Todos",datos_base!$D$10,0))*parametros_manuales!$D$100+parametros_manuales!$E$21*(datos_base!$D$19+IF(parametros_manuales!$H$21="Todos",datos_base!$D$24,0))*parametros_manuales!$D$13+parametros_manuales!$F$21*(datos_base!$D$4+IF(parametros_manuales!$H$21="Todos",datos_base!$D$11,0))*parametros_manuales!$D$105+parametros_manuales!$F$21*(datos_base!$D$20+IF(parametros_manuales!$H$21="Todos",datos_base!$D$25,0))*parametros_manuales!$D$14+parametros_manuales!$G$21*(datos_base!$D$5+IF(parametros_manuales!$H$21="Todos",datos_base!$D$12,0))*parametros_manuales!$D$110+parametros_manuales!$G$21*(datos_base!$D$21+IF(parametros_manuales!$H$21="Todos",datos_base!$D$26,0))*parametros_manuales!$D$15)*parametros_manuales!$I$21*parametros_manuales!$J$21</f>
        <v>1161.13182064</v>
      </c>
      <c r="E58" s="9" t="n">
        <f aca="false">(parametros_manuales!$D$21*(datos_base!$D$2+IF(parametros_manuales!$H$21="Todos",datos_base!$D$9,0))*parametros_manuales!$E$95+parametros_manuales!$D$21*(datos_base!$D$18+IF(parametros_manuales!$H$21="Todos",datos_base!$D$23,0))*parametros_manuales!$E$12+parametros_manuales!$E$21*(datos_base!$D$3+IF(parametros_manuales!$H$21="Todos",datos_base!$D$10,0))*parametros_manuales!$E$100+parametros_manuales!$E$21*(datos_base!$D$19+IF(parametros_manuales!$H$21="Todos",datos_base!$D$24,0))*parametros_manuales!$E$13+parametros_manuales!$F$21*(datos_base!$D$4+IF(parametros_manuales!$H$21="Todos",datos_base!$D$11,0))*parametros_manuales!$E$105+parametros_manuales!$F$21*(datos_base!$D$20+IF(parametros_manuales!$H$21="Todos",datos_base!$D$25,0))*parametros_manuales!$E$14+parametros_manuales!$G$21*(datos_base!$D$5+IF(parametros_manuales!$H$21="Todos",datos_base!$D$12,0))*parametros_manuales!$E$110+parametros_manuales!$G$21*(datos_base!$D$21+IF(parametros_manuales!$H$21="Todos",datos_base!$D$26,0))*parametros_manuales!$E$15)*parametros_manuales!$I$21*parametros_manuales!$J$21</f>
        <v>1088.56108185</v>
      </c>
      <c r="F58" s="9" t="n">
        <f aca="false">(parametros_manuales!$D$21*(datos_base!$D$2+IF(parametros_manuales!$H$21="Todos",datos_base!$D$9,0))*parametros_manuales!$F$95+parametros_manuales!$D$21*(datos_base!$D$18+IF(parametros_manuales!$H$21="Todos",datos_base!$D$23,0))*parametros_manuales!$F$12+parametros_manuales!$E$21*(datos_base!$D$3+IF(parametros_manuales!$H$21="Todos",datos_base!$D$10,0))*parametros_manuales!$F$100+parametros_manuales!$E$21*(datos_base!$D$19+IF(parametros_manuales!$H$21="Todos",datos_base!$D$24,0))*parametros_manuales!$F$13+parametros_manuales!$F$21*(datos_base!$D$4+IF(parametros_manuales!$H$21="Todos",datos_base!$D$11,0))*parametros_manuales!$F$105+parametros_manuales!$F$21*(datos_base!$D$20+IF(parametros_manuales!$H$21="Todos",datos_base!$D$25,0))*parametros_manuales!$F$14+parametros_manuales!$G$21*(datos_base!$D$5+IF(parametros_manuales!$H$21="Todos",datos_base!$D$12,0))*parametros_manuales!$F$110+parametros_manuales!$G$21*(datos_base!$D$21+IF(parametros_manuales!$H$21="Todos",datos_base!$D$26,0))*parametros_manuales!$F$15)*parametros_manuales!$I$21*parametros_manuales!$J$21</f>
        <v>1015.99034306</v>
      </c>
      <c r="G58" s="9" t="n">
        <f aca="false">(parametros_manuales!$D$21*(datos_base!$D$2+IF(parametros_manuales!$H$21="Todos",datos_base!$D$9,0))*parametros_manuales!$G$95+parametros_manuales!$D$21*(datos_base!$D$18+IF(parametros_manuales!$H$21="Todos",datos_base!$D$23,0))*parametros_manuales!$G$12+parametros_manuales!$E$21*(datos_base!$D$3+IF(parametros_manuales!$H$21="Todos",datos_base!$D$10,0))*parametros_manuales!$G$100+parametros_manuales!$E$21*(datos_base!$D$19+IF(parametros_manuales!$H$21="Todos",datos_base!$D$24,0))*parametros_manuales!$G$13+parametros_manuales!$F$21*(datos_base!$D$4+IF(parametros_manuales!$H$21="Todos",datos_base!$D$11,0))*parametros_manuales!$G$105+parametros_manuales!$F$21*(datos_base!$D$20+IF(parametros_manuales!$H$21="Todos",datos_base!$D$25,0))*parametros_manuales!$G$14+parametros_manuales!$G$21*(datos_base!$D$5+IF(parametros_manuales!$H$21="Todos",datos_base!$D$12,0))*parametros_manuales!$G$110+parametros_manuales!$G$21*(datos_base!$D$21+IF(parametros_manuales!$H$21="Todos",datos_base!$D$26,0))*parametros_manuales!$G$15)*parametros_manuales!$I$21*parametros_manuales!$J$21</f>
        <v>1015.99034306</v>
      </c>
      <c r="H58" s="9" t="n">
        <f aca="false">(parametros_manuales!$D$21*(datos_base!$D$2+IF(parametros_manuales!$H$21="Todos",datos_base!$D$9,0))*parametros_manuales!$H$95+parametros_manuales!$D$21*(datos_base!$D$18+IF(parametros_manuales!$H$21="Todos",datos_base!$D$23,0))*parametros_manuales!$H$12+parametros_manuales!$E$21*(datos_base!$D$3+IF(parametros_manuales!$H$21="Todos",datos_base!$D$10,0))*parametros_manuales!$H$100+parametros_manuales!$E$21*(datos_base!$D$19+IF(parametros_manuales!$H$21="Todos",datos_base!$D$24,0))*parametros_manuales!$H$13+parametros_manuales!$F$21*(datos_base!$D$4+IF(parametros_manuales!$H$21="Todos",datos_base!$D$11,0))*parametros_manuales!$H$105+parametros_manuales!$F$21*(datos_base!$D$20+IF(parametros_manuales!$H$21="Todos",datos_base!$D$25,0))*parametros_manuales!$H$14+parametros_manuales!$G$21*(datos_base!$D$5+IF(parametros_manuales!$H$21="Todos",datos_base!$D$12,0))*parametros_manuales!$H$110+parametros_manuales!$G$21*(datos_base!$D$21+IF(parametros_manuales!$H$21="Todos",datos_base!$D$26,0))*parametros_manuales!$H$15)*parametros_manuales!$I$21*parametros_manuales!$J$21</f>
        <v>1088.56108185</v>
      </c>
      <c r="I58" s="9" t="n">
        <f aca="false">(parametros_manuales!$D$21*(datos_base!$D$2+IF(parametros_manuales!$H$21="Todos",datos_base!$D$9,0))*parametros_manuales!$I$95+parametros_manuales!$D$21*(datos_base!$D$18+IF(parametros_manuales!$H$21="Todos",datos_base!$D$23,0))*parametros_manuales!$I$12+parametros_manuales!$E$21*(datos_base!$D$3+IF(parametros_manuales!$H$21="Todos",datos_base!$D$10,0))*parametros_manuales!$I$100+parametros_manuales!$E$21*(datos_base!$D$19+IF(parametros_manuales!$H$21="Todos",datos_base!$D$24,0))*parametros_manuales!$I$13+parametros_manuales!$F$21*(datos_base!$D$4+IF(parametros_manuales!$H$21="Todos",datos_base!$D$11,0))*parametros_manuales!$I$105+parametros_manuales!$F$21*(datos_base!$D$20+IF(parametros_manuales!$H$21="Todos",datos_base!$D$25,0))*parametros_manuales!$I$14+parametros_manuales!$G$21*(datos_base!$D$5+IF(parametros_manuales!$H$21="Todos",datos_base!$D$12,0))*parametros_manuales!$I$110+parametros_manuales!$G$21*(datos_base!$D$21+IF(parametros_manuales!$H$21="Todos",datos_base!$D$26,0))*parametros_manuales!$I$15)*parametros_manuales!$I$21*parametros_manuales!$J$21</f>
        <v>1306.27329822</v>
      </c>
      <c r="J58" s="9" t="n">
        <f aca="false">(parametros_manuales!$D$21*(datos_base!$D$2+IF(parametros_manuales!$H$21="Todos",datos_base!$D$9,0))*parametros_manuales!$J$95+parametros_manuales!$D$21*(datos_base!$D$18+IF(parametros_manuales!$H$21="Todos",datos_base!$D$23,0))*parametros_manuales!$J$12+parametros_manuales!$E$21*(datos_base!$D$3+IF(parametros_manuales!$H$21="Todos",datos_base!$D$10,0))*parametros_manuales!$J$100+parametros_manuales!$E$21*(datos_base!$D$19+IF(parametros_manuales!$H$21="Todos",datos_base!$D$24,0))*parametros_manuales!$J$13+parametros_manuales!$F$21*(datos_base!$D$4+IF(parametros_manuales!$H$21="Todos",datos_base!$D$11,0))*parametros_manuales!$J$105+parametros_manuales!$F$21*(datos_base!$D$20+IF(parametros_manuales!$H$21="Todos",datos_base!$D$25,0))*parametros_manuales!$J$14+parametros_manuales!$G$21*(datos_base!$D$5+IF(parametros_manuales!$H$21="Todos",datos_base!$D$12,0))*parametros_manuales!$J$110+parametros_manuales!$G$21*(datos_base!$D$21+IF(parametros_manuales!$H$21="Todos",datos_base!$D$26,0))*parametros_manuales!$J$15)*parametros_manuales!$I$21*parametros_manuales!$J$21</f>
        <v>1306.27329822</v>
      </c>
      <c r="K58" s="9" t="n">
        <f aca="false">(parametros_manuales!$D$21*(datos_base!$D$2+IF(parametros_manuales!$H$21="Todos",datos_base!$D$9,0))*parametros_manuales!$K$95+parametros_manuales!$D$21*(datos_base!$D$18+IF(parametros_manuales!$H$21="Todos",datos_base!$D$23,0))*parametros_manuales!$K$12+parametros_manuales!$E$21*(datos_base!$D$3+IF(parametros_manuales!$H$21="Todos",datos_base!$D$10,0))*parametros_manuales!$K$100+parametros_manuales!$E$21*(datos_base!$D$19+IF(parametros_manuales!$H$21="Todos",datos_base!$D$24,0))*parametros_manuales!$K$13+parametros_manuales!$F$21*(datos_base!$D$4+IF(parametros_manuales!$H$21="Todos",datos_base!$D$11,0))*parametros_manuales!$K$105+parametros_manuales!$F$21*(datos_base!$D$20+IF(parametros_manuales!$H$21="Todos",datos_base!$D$25,0))*parametros_manuales!$K$14+parametros_manuales!$G$21*(datos_base!$D$5+IF(parametros_manuales!$H$21="Todos",datos_base!$D$12,0))*parametros_manuales!$K$110+parametros_manuales!$G$21*(datos_base!$D$21+IF(parametros_manuales!$H$21="Todos",datos_base!$D$26,0))*parametros_manuales!$K$15)*parametros_manuales!$I$21*parametros_manuales!$J$21</f>
        <v>1306.27329822</v>
      </c>
      <c r="L58" s="9" t="n">
        <f aca="false">(parametros_manuales!$D$21*(datos_base!$D$2+IF(parametros_manuales!$H$21="Todos",datos_base!$D$9,0))*parametros_manuales!$L$95+parametros_manuales!$D$21*(datos_base!$D$18+IF(parametros_manuales!$H$21="Todos",datos_base!$D$23,0))*parametros_manuales!$L$12+parametros_manuales!$E$21*(datos_base!$D$3+IF(parametros_manuales!$H$21="Todos",datos_base!$D$10,0))*parametros_manuales!$L$100+parametros_manuales!$E$21*(datos_base!$D$19+IF(parametros_manuales!$H$21="Todos",datos_base!$D$24,0))*parametros_manuales!$L$13+parametros_manuales!$F$21*(datos_base!$D$4+IF(parametros_manuales!$H$21="Todos",datos_base!$D$11,0))*parametros_manuales!$L$105+parametros_manuales!$F$21*(datos_base!$D$20+IF(parametros_manuales!$H$21="Todos",datos_base!$D$25,0))*parametros_manuales!$L$14+parametros_manuales!$G$21*(datos_base!$D$5+IF(parametros_manuales!$H$21="Todos",datos_base!$D$12,0))*parametros_manuales!$L$110+parametros_manuales!$G$21*(datos_base!$D$21+IF(parametros_manuales!$H$21="Todos",datos_base!$D$26,0))*parametros_manuales!$L$15)*parametros_manuales!$I$21*parametros_manuales!$J$21</f>
        <v>1306.27329822</v>
      </c>
      <c r="M58" s="9" t="n">
        <f aca="false">(parametros_manuales!$D$21*(datos_base!$D$2+IF(parametros_manuales!$H$21="Todos",datos_base!$D$9,0))*parametros_manuales!$M$95+parametros_manuales!$D$21*(datos_base!$D$18+IF(parametros_manuales!$H$21="Todos",datos_base!$D$23,0))*parametros_manuales!$M$12+parametros_manuales!$E$21*(datos_base!$D$3+IF(parametros_manuales!$H$21="Todos",datos_base!$D$10,0))*parametros_manuales!$M$100+parametros_manuales!$E$21*(datos_base!$D$19+IF(parametros_manuales!$H$21="Todos",datos_base!$D$24,0))*parametros_manuales!$M$13+parametros_manuales!$F$21*(datos_base!$D$4+IF(parametros_manuales!$H$21="Todos",datos_base!$D$11,0))*parametros_manuales!$M$105+parametros_manuales!$F$21*(datos_base!$D$20+IF(parametros_manuales!$H$21="Todos",datos_base!$D$25,0))*parametros_manuales!$M$14+parametros_manuales!$G$21*(datos_base!$D$5+IF(parametros_manuales!$H$21="Todos",datos_base!$D$12,0))*parametros_manuales!$M$110+parametros_manuales!$G$21*(datos_base!$D$21+IF(parametros_manuales!$H$21="Todos",datos_base!$D$26,0))*parametros_manuales!$M$15)*parametros_manuales!$I$21*parametros_manuales!$J$21</f>
        <v>1306.27329822</v>
      </c>
      <c r="N58" s="9" t="n">
        <f aca="false">SUM(B58:M58)</f>
        <v>14514.147758</v>
      </c>
      <c r="O58" s="9" t="n">
        <f aca="false">MAX(B58:M58)</f>
        <v>1306.27329822</v>
      </c>
      <c r="P58" s="44" t="n">
        <f aca="false">O58/(parametros_manuales!$B$7)</f>
        <v>8.7084886548</v>
      </c>
      <c r="Q58" s="8" t="str">
        <f aca="false">IF(O58=0,"-",INDEX($B$55:$M$55,MATCH(O58,B58:M58,0)))</f>
        <v>Ene</v>
      </c>
    </row>
    <row r="59" customFormat="false" ht="14.25" hidden="false" customHeight="true" outlineLevel="0" collapsed="false">
      <c r="A59" s="8" t="str">
        <f aca="false">parametros_manuales!$B$22</f>
        <v>Corte de disco y embutido (cúpula y fondo)</v>
      </c>
      <c r="B59" s="9" t="n">
        <f aca="false">(parametros_manuales!$D$22*(datos_base!$D$2+IF(parametros_manuales!$H$22="Todos",datos_base!$D$9,0))*parametros_manuales!$B$95+parametros_manuales!$D$22*(datos_base!$D$18+IF(parametros_manuales!$H$22="Todos",datos_base!$D$23,0))*parametros_manuales!$B$12+parametros_manuales!$E$22*(datos_base!$D$3+IF(parametros_manuales!$H$22="Todos",datos_base!$D$10,0))*parametros_manuales!$B$100+parametros_manuales!$E$22*(datos_base!$D$19+IF(parametros_manuales!$H$22="Todos",datos_base!$D$24,0))*parametros_manuales!$B$13+parametros_manuales!$F$22*(datos_base!$D$4+IF(parametros_manuales!$H$22="Todos",datos_base!$D$11,0))*parametros_manuales!$B$105+parametros_manuales!$F$22*(datos_base!$D$20+IF(parametros_manuales!$H$22="Todos",datos_base!$D$25,0))*parametros_manuales!$B$14+parametros_manuales!$G$22*(datos_base!$D$5+IF(parametros_manuales!$H$22="Todos",datos_base!$D$12,0))*parametros_manuales!$B$110+parametros_manuales!$G$22*(datos_base!$D$21+IF(parametros_manuales!$H$22="Todos",datos_base!$D$26,0))*parametros_manuales!$B$15)*parametros_manuales!$I$22*parametros_manuales!$J$22</f>
        <v>4117.931793552</v>
      </c>
      <c r="C59" s="9" t="n">
        <f aca="false">(parametros_manuales!$D$22*(datos_base!$D$2+IF(parametros_manuales!$H$22="Todos",datos_base!$D$9,0))*parametros_manuales!$C$95+parametros_manuales!$D$22*(datos_base!$D$18+IF(parametros_manuales!$H$22="Todos",datos_base!$D$23,0))*parametros_manuales!$C$12+parametros_manuales!$E$22*(datos_base!$D$3+IF(parametros_manuales!$H$22="Todos",datos_base!$D$10,0))*parametros_manuales!$C$100+parametros_manuales!$E$22*(datos_base!$D$19+IF(parametros_manuales!$H$22="Todos",datos_base!$D$24,0))*parametros_manuales!$C$13+parametros_manuales!$F$22*(datos_base!$D$4+IF(parametros_manuales!$H$22="Todos",datos_base!$D$11,0))*parametros_manuales!$C$105+parametros_manuales!$F$22*(datos_base!$D$20+IF(parametros_manuales!$H$22="Todos",datos_base!$D$25,0))*parametros_manuales!$C$14+parametros_manuales!$G$22*(datos_base!$D$5+IF(parametros_manuales!$H$22="Todos",datos_base!$D$12,0))*parametros_manuales!$C$110+parametros_manuales!$G$22*(datos_base!$D$21+IF(parametros_manuales!$H$22="Todos",datos_base!$D$26,0))*parametros_manuales!$C$15)*parametros_manuales!$I$22*parametros_manuales!$J$22</f>
        <v>3948.089704984</v>
      </c>
      <c r="D59" s="9" t="n">
        <f aca="false">(parametros_manuales!$D$22*(datos_base!$D$2+IF(parametros_manuales!$H$22="Todos",datos_base!$D$9,0))*parametros_manuales!$D$95+parametros_manuales!$D$22*(datos_base!$D$18+IF(parametros_manuales!$H$22="Todos",datos_base!$D$23,0))*parametros_manuales!$D$12+parametros_manuales!$E$22*(datos_base!$D$3+IF(parametros_manuales!$H$22="Todos",datos_base!$D$10,0))*parametros_manuales!$D$100+parametros_manuales!$E$22*(datos_base!$D$19+IF(parametros_manuales!$H$22="Todos",datos_base!$D$24,0))*parametros_manuales!$D$13+parametros_manuales!$F$22*(datos_base!$D$4+IF(parametros_manuales!$H$22="Todos",datos_base!$D$11,0))*parametros_manuales!$D$105+parametros_manuales!$F$22*(datos_base!$D$20+IF(parametros_manuales!$H$22="Todos",datos_base!$D$25,0))*parametros_manuales!$D$14+parametros_manuales!$G$22*(datos_base!$D$5+IF(parametros_manuales!$H$22="Todos",datos_base!$D$12,0))*parametros_manuales!$D$110+parametros_manuales!$G$22*(datos_base!$D$21+IF(parametros_manuales!$H$22="Todos",datos_base!$D$26,0))*parametros_manuales!$D$15)*parametros_manuales!$I$22*parametros_manuales!$J$22</f>
        <v>3741.278194108</v>
      </c>
      <c r="E59" s="9" t="n">
        <f aca="false">(parametros_manuales!$D$22*(datos_base!$D$2+IF(parametros_manuales!$H$22="Todos",datos_base!$D$9,0))*parametros_manuales!$E$95+parametros_manuales!$D$22*(datos_base!$D$18+IF(parametros_manuales!$H$22="Todos",datos_base!$D$23,0))*parametros_manuales!$E$12+parametros_manuales!$E$22*(datos_base!$D$3+IF(parametros_manuales!$H$22="Todos",datos_base!$D$10,0))*parametros_manuales!$E$100+parametros_manuales!$E$22*(datos_base!$D$19+IF(parametros_manuales!$H$22="Todos",datos_base!$D$24,0))*parametros_manuales!$E$13+parametros_manuales!$F$22*(datos_base!$D$4+IF(parametros_manuales!$H$22="Todos",datos_base!$D$11,0))*parametros_manuales!$E$105+parametros_manuales!$F$22*(datos_base!$D$20+IF(parametros_manuales!$H$22="Todos",datos_base!$D$25,0))*parametros_manuales!$E$14+parametros_manuales!$G$22*(datos_base!$D$5+IF(parametros_manuales!$H$22="Todos",datos_base!$D$12,0))*parametros_manuales!$E$110+parametros_manuales!$G$22*(datos_base!$D$21+IF(parametros_manuales!$H$22="Todos",datos_base!$D$26,0))*parametros_manuales!$E$15)*parametros_manuales!$I$22*parametros_manuales!$J$22</f>
        <v>3596.136716528</v>
      </c>
      <c r="F59" s="9" t="n">
        <f aca="false">(parametros_manuales!$D$22*(datos_base!$D$2+IF(parametros_manuales!$H$22="Todos",datos_base!$D$9,0))*parametros_manuales!$F$95+parametros_manuales!$D$22*(datos_base!$D$18+IF(parametros_manuales!$H$22="Todos",datos_base!$D$23,0))*parametros_manuales!$F$12+parametros_manuales!$E$22*(datos_base!$D$3+IF(parametros_manuales!$H$22="Todos",datos_base!$D$10,0))*parametros_manuales!$F$100+parametros_manuales!$E$22*(datos_base!$D$19+IF(parametros_manuales!$H$22="Todos",datos_base!$D$24,0))*parametros_manuales!$F$13+parametros_manuales!$F$22*(datos_base!$D$4+IF(parametros_manuales!$H$22="Todos",datos_base!$D$11,0))*parametros_manuales!$F$105+parametros_manuales!$F$22*(datos_base!$D$20+IF(parametros_manuales!$H$22="Todos",datos_base!$D$25,0))*parametros_manuales!$F$14+parametros_manuales!$G$22*(datos_base!$D$5+IF(parametros_manuales!$H$22="Todos",datos_base!$D$12,0))*parametros_manuales!$F$110+parametros_manuales!$G$22*(datos_base!$D$21+IF(parametros_manuales!$H$22="Todos",datos_base!$D$26,0))*parametros_manuales!$F$15)*parametros_manuales!$I$22*parametros_manuales!$J$22</f>
        <v>3367.523794664</v>
      </c>
      <c r="G59" s="9" t="n">
        <f aca="false">(parametros_manuales!$D$22*(datos_base!$D$2+IF(parametros_manuales!$H$22="Todos",datos_base!$D$9,0))*parametros_manuales!$G$95+parametros_manuales!$D$22*(datos_base!$D$18+IF(parametros_manuales!$H$22="Todos",datos_base!$D$23,0))*parametros_manuales!$G$12+parametros_manuales!$E$22*(datos_base!$D$3+IF(parametros_manuales!$H$22="Todos",datos_base!$D$10,0))*parametros_manuales!$G$100+parametros_manuales!$E$22*(datos_base!$D$19+IF(parametros_manuales!$H$22="Todos",datos_base!$D$24,0))*parametros_manuales!$G$13+parametros_manuales!$F$22*(datos_base!$D$4+IF(parametros_manuales!$H$22="Todos",datos_base!$D$11,0))*parametros_manuales!$G$105+parametros_manuales!$F$22*(datos_base!$D$20+IF(parametros_manuales!$H$22="Todos",datos_base!$D$25,0))*parametros_manuales!$G$14+parametros_manuales!$G$22*(datos_base!$D$5+IF(parametros_manuales!$H$22="Todos",datos_base!$D$12,0))*parametros_manuales!$G$110+parametros_manuales!$G$22*(datos_base!$D$21+IF(parametros_manuales!$H$22="Todos",datos_base!$D$26,0))*parametros_manuales!$G$15)*parametros_manuales!$I$22*parametros_manuales!$J$22</f>
        <v>3284.05235038</v>
      </c>
      <c r="H59" s="9" t="n">
        <f aca="false">(parametros_manuales!$D$22*(datos_base!$D$2+IF(parametros_manuales!$H$22="Todos",datos_base!$D$9,0))*parametros_manuales!$H$95+parametros_manuales!$D$22*(datos_base!$D$18+IF(parametros_manuales!$H$22="Todos",datos_base!$D$23,0))*parametros_manuales!$H$12+parametros_manuales!$E$22*(datos_base!$D$3+IF(parametros_manuales!$H$22="Todos",datos_base!$D$10,0))*parametros_manuales!$H$100+parametros_manuales!$E$22*(datos_base!$D$19+IF(parametros_manuales!$H$22="Todos",datos_base!$D$24,0))*parametros_manuales!$H$13+parametros_manuales!$F$22*(datos_base!$D$4+IF(parametros_manuales!$H$22="Todos",datos_base!$D$11,0))*parametros_manuales!$H$105+parametros_manuales!$F$22*(datos_base!$D$20+IF(parametros_manuales!$H$22="Todos",datos_base!$D$25,0))*parametros_manuales!$H$14+parametros_manuales!$G$22*(datos_base!$D$5+IF(parametros_manuales!$H$22="Todos",datos_base!$D$12,0))*parametros_manuales!$H$110+parametros_manuales!$G$22*(datos_base!$D$21+IF(parametros_manuales!$H$22="Todos",datos_base!$D$26,0))*parametros_manuales!$H$15)*parametros_manuales!$I$22*parametros_manuales!$J$22</f>
        <v>3512.665272244</v>
      </c>
      <c r="I59" s="9" t="n">
        <f aca="false">(parametros_manuales!$D$22*(datos_base!$D$2+IF(parametros_manuales!$H$22="Todos",datos_base!$D$9,0))*parametros_manuales!$I$95+parametros_manuales!$D$22*(datos_base!$D$18+IF(parametros_manuales!$H$22="Todos",datos_base!$D$23,0))*parametros_manuales!$I$12+parametros_manuales!$E$22*(datos_base!$D$3+IF(parametros_manuales!$H$22="Todos",datos_base!$D$10,0))*parametros_manuales!$I$100+parametros_manuales!$E$22*(datos_base!$D$19+IF(parametros_manuales!$H$22="Todos",datos_base!$D$24,0))*parametros_manuales!$I$13+parametros_manuales!$F$22*(datos_base!$D$4+IF(parametros_manuales!$H$22="Todos",datos_base!$D$11,0))*parametros_manuales!$I$105+parametros_manuales!$F$22*(datos_base!$D$20+IF(parametros_manuales!$H$22="Todos",datos_base!$D$25,0))*parametros_manuales!$I$14+parametros_manuales!$G$22*(datos_base!$D$5+IF(parametros_manuales!$H$22="Todos",datos_base!$D$12,0))*parametros_manuales!$I$110+parametros_manuales!$G$22*(datos_base!$D$21+IF(parametros_manuales!$H$22="Todos",datos_base!$D$26,0))*parametros_manuales!$I$15)*parametros_manuales!$I$22*parametros_manuales!$J$22</f>
        <v>3948.089704984</v>
      </c>
      <c r="J59" s="9" t="n">
        <f aca="false">(parametros_manuales!$D$22*(datos_base!$D$2+IF(parametros_manuales!$H$22="Todos",datos_base!$D$9,0))*parametros_manuales!$J$95+parametros_manuales!$D$22*(datos_base!$D$18+IF(parametros_manuales!$H$22="Todos",datos_base!$D$23,0))*parametros_manuales!$J$12+parametros_manuales!$E$22*(datos_base!$D$3+IF(parametros_manuales!$H$22="Todos",datos_base!$D$10,0))*parametros_manuales!$J$100+parametros_manuales!$E$22*(datos_base!$D$19+IF(parametros_manuales!$H$22="Todos",datos_base!$D$24,0))*parametros_manuales!$J$13+parametros_manuales!$F$22*(datos_base!$D$4+IF(parametros_manuales!$H$22="Todos",datos_base!$D$11,0))*parametros_manuales!$J$105+parametros_manuales!$F$22*(datos_base!$D$20+IF(parametros_manuales!$H$22="Todos",datos_base!$D$25,0))*parametros_manuales!$J$14+parametros_manuales!$G$22*(datos_base!$D$5+IF(parametros_manuales!$H$22="Todos",datos_base!$D$12,0))*parametros_manuales!$J$110+parametros_manuales!$G$22*(datos_base!$D$21+IF(parametros_manuales!$H$22="Todos",datos_base!$D$26,0))*parametros_manuales!$J$15)*parametros_manuales!$I$22*parametros_manuales!$J$22</f>
        <v>3948.089704984</v>
      </c>
      <c r="K59" s="9" t="n">
        <f aca="false">(parametros_manuales!$D$22*(datos_base!$D$2+IF(parametros_manuales!$H$22="Todos",datos_base!$D$9,0))*parametros_manuales!$K$95+parametros_manuales!$D$22*(datos_base!$D$18+IF(parametros_manuales!$H$22="Todos",datos_base!$D$23,0))*parametros_manuales!$K$12+parametros_manuales!$E$22*(datos_base!$D$3+IF(parametros_manuales!$H$22="Todos",datos_base!$D$10,0))*parametros_manuales!$K$100+parametros_manuales!$E$22*(datos_base!$D$19+IF(parametros_manuales!$H$22="Todos",datos_base!$D$24,0))*parametros_manuales!$K$13+parametros_manuales!$F$22*(datos_base!$D$4+IF(parametros_manuales!$H$22="Todos",datos_base!$D$11,0))*parametros_manuales!$K$105+parametros_manuales!$F$22*(datos_base!$D$20+IF(parametros_manuales!$H$22="Todos",datos_base!$D$25,0))*parametros_manuales!$K$14+parametros_manuales!$G$22*(datos_base!$D$5+IF(parametros_manuales!$H$22="Todos",datos_base!$D$12,0))*parametros_manuales!$K$110+parametros_manuales!$G$22*(datos_base!$D$21+IF(parametros_manuales!$H$22="Todos",datos_base!$D$26,0))*parametros_manuales!$K$15)*parametros_manuales!$I$22*parametros_manuales!$J$22</f>
        <v>4028.661949268</v>
      </c>
      <c r="L59" s="9" t="n">
        <f aca="false">(parametros_manuales!$D$22*(datos_base!$D$2+IF(parametros_manuales!$H$22="Todos",datos_base!$D$9,0))*parametros_manuales!$L$95+parametros_manuales!$D$22*(datos_base!$D$18+IF(parametros_manuales!$H$22="Todos",datos_base!$D$23,0))*parametros_manuales!$L$12+parametros_manuales!$E$22*(datos_base!$D$3+IF(parametros_manuales!$H$22="Todos",datos_base!$D$10,0))*parametros_manuales!$L$100+parametros_manuales!$E$22*(datos_base!$D$19+IF(parametros_manuales!$H$22="Todos",datos_base!$D$24,0))*parametros_manuales!$L$13+parametros_manuales!$F$22*(datos_base!$D$4+IF(parametros_manuales!$H$22="Todos",datos_base!$D$11,0))*parametros_manuales!$L$105+parametros_manuales!$F$22*(datos_base!$D$20+IF(parametros_manuales!$H$22="Todos",datos_base!$D$25,0))*parametros_manuales!$L$14+parametros_manuales!$G$22*(datos_base!$D$5+IF(parametros_manuales!$H$22="Todos",datos_base!$D$12,0))*parametros_manuales!$L$110+parametros_manuales!$G$22*(datos_base!$D$21+IF(parametros_manuales!$H$22="Todos",datos_base!$D$26,0))*parametros_manuales!$L$15)*parametros_manuales!$I$22*parametros_manuales!$J$22</f>
        <v>4109.234193552</v>
      </c>
      <c r="M59" s="9" t="n">
        <f aca="false">(parametros_manuales!$D$22*(datos_base!$D$2+IF(parametros_manuales!$H$22="Todos",datos_base!$D$9,0))*parametros_manuales!$M$95+parametros_manuales!$D$22*(datos_base!$D$18+IF(parametros_manuales!$H$22="Todos",datos_base!$D$23,0))*parametros_manuales!$M$12+parametros_manuales!$E$22*(datos_base!$D$3+IF(parametros_manuales!$H$22="Todos",datos_base!$D$10,0))*parametros_manuales!$M$100+parametros_manuales!$E$22*(datos_base!$D$19+IF(parametros_manuales!$H$22="Todos",datos_base!$D$24,0))*parametros_manuales!$M$13+parametros_manuales!$F$22*(datos_base!$D$4+IF(parametros_manuales!$H$22="Todos",datos_base!$D$11,0))*parametros_manuales!$M$105+parametros_manuales!$F$22*(datos_base!$D$20+IF(parametros_manuales!$H$22="Todos",datos_base!$D$25,0))*parametros_manuales!$M$14+parametros_manuales!$G$22*(datos_base!$D$5+IF(parametros_manuales!$H$22="Todos",datos_base!$D$12,0))*parametros_manuales!$M$110+parametros_manuales!$G$22*(datos_base!$D$21+IF(parametros_manuales!$H$22="Todos",datos_base!$D$26,0))*parametros_manuales!$M$15)*parametros_manuales!$I$22*parametros_manuales!$J$22</f>
        <v>4120.830993552</v>
      </c>
      <c r="N59" s="9" t="n">
        <f aca="false">SUM(B59:M59)</f>
        <v>45722.5843728</v>
      </c>
      <c r="O59" s="9" t="n">
        <f aca="false">MAX(B59:M59)</f>
        <v>4120.830993552</v>
      </c>
      <c r="P59" s="44" t="n">
        <f aca="false">O59/(parametros_manuales!$B$7)</f>
        <v>27.47220662368</v>
      </c>
      <c r="Q59" s="8" t="str">
        <f aca="false">IF(O59=0,"-",INDEX($B$55:$M$55,MATCH(O59,B59:M59,0)))</f>
        <v>Dic</v>
      </c>
    </row>
    <row r="60" customFormat="false" ht="14.25" hidden="false" customHeight="true" outlineLevel="0" collapsed="false">
      <c r="A60" s="8" t="str">
        <f aca="false">parametros_manuales!$B$23</f>
        <v>Preparación de cuello</v>
      </c>
      <c r="B60" s="9" t="n">
        <f aca="false">(parametros_manuales!$D$23*(datos_base!$D$2+IF(parametros_manuales!$H$23="Todos",datos_base!$D$9,0))*parametros_manuales!$B$95+parametros_manuales!$D$23*(datos_base!$D$18+IF(parametros_manuales!$H$23="Todos",datos_base!$D$23,0))*parametros_manuales!$B$12+parametros_manuales!$E$23*(datos_base!$D$3+IF(parametros_manuales!$H$23="Todos",datos_base!$D$10,0))*parametros_manuales!$B$100+parametros_manuales!$E$23*(datos_base!$D$19+IF(parametros_manuales!$H$23="Todos",datos_base!$D$24,0))*parametros_manuales!$B$13+parametros_manuales!$F$23*(datos_base!$D$4+IF(parametros_manuales!$H$23="Todos",datos_base!$D$11,0))*parametros_manuales!$B$105+parametros_manuales!$F$23*(datos_base!$D$20+IF(parametros_manuales!$H$23="Todos",datos_base!$D$25,0))*parametros_manuales!$B$14+parametros_manuales!$G$23*(datos_base!$D$5+IF(parametros_manuales!$H$23="Todos",datos_base!$D$12,0))*parametros_manuales!$B$110+parametros_manuales!$G$23*(datos_base!$D$21+IF(parametros_manuales!$H$23="Todos",datos_base!$D$26,0))*parametros_manuales!$B$15)*parametros_manuales!$I$23*parametros_manuales!$J$23</f>
        <v>2058.965896776</v>
      </c>
      <c r="C60" s="9" t="n">
        <f aca="false">(parametros_manuales!$D$23*(datos_base!$D$2+IF(parametros_manuales!$H$23="Todos",datos_base!$D$9,0))*parametros_manuales!$C$95+parametros_manuales!$D$23*(datos_base!$D$18+IF(parametros_manuales!$H$23="Todos",datos_base!$D$23,0))*parametros_manuales!$C$12+parametros_manuales!$E$23*(datos_base!$D$3+IF(parametros_manuales!$H$23="Todos",datos_base!$D$10,0))*parametros_manuales!$C$100+parametros_manuales!$E$23*(datos_base!$D$19+IF(parametros_manuales!$H$23="Todos",datos_base!$D$24,0))*parametros_manuales!$C$13+parametros_manuales!$F$23*(datos_base!$D$4+IF(parametros_manuales!$H$23="Todos",datos_base!$D$11,0))*parametros_manuales!$C$105+parametros_manuales!$F$23*(datos_base!$D$20+IF(parametros_manuales!$H$23="Todos",datos_base!$D$25,0))*parametros_manuales!$C$14+parametros_manuales!$G$23*(datos_base!$D$5+IF(parametros_manuales!$H$23="Todos",datos_base!$D$12,0))*parametros_manuales!$C$110+parametros_manuales!$G$23*(datos_base!$D$21+IF(parametros_manuales!$H$23="Todos",datos_base!$D$26,0))*parametros_manuales!$C$15)*parametros_manuales!$I$23*parametros_manuales!$J$23</f>
        <v>1974.044852492</v>
      </c>
      <c r="D60" s="9" t="n">
        <f aca="false">(parametros_manuales!$D$23*(datos_base!$D$2+IF(parametros_manuales!$H$23="Todos",datos_base!$D$9,0))*parametros_manuales!$D$95+parametros_manuales!$D$23*(datos_base!$D$18+IF(parametros_manuales!$H$23="Todos",datos_base!$D$23,0))*parametros_manuales!$D$12+parametros_manuales!$E$23*(datos_base!$D$3+IF(parametros_manuales!$H$23="Todos",datos_base!$D$10,0))*parametros_manuales!$D$100+parametros_manuales!$E$23*(datos_base!$D$19+IF(parametros_manuales!$H$23="Todos",datos_base!$D$24,0))*parametros_manuales!$D$13+parametros_manuales!$F$23*(datos_base!$D$4+IF(parametros_manuales!$H$23="Todos",datos_base!$D$11,0))*parametros_manuales!$D$105+parametros_manuales!$F$23*(datos_base!$D$20+IF(parametros_manuales!$H$23="Todos",datos_base!$D$25,0))*parametros_manuales!$D$14+parametros_manuales!$G$23*(datos_base!$D$5+IF(parametros_manuales!$H$23="Todos",datos_base!$D$12,0))*parametros_manuales!$D$110+parametros_manuales!$G$23*(datos_base!$D$21+IF(parametros_manuales!$H$23="Todos",datos_base!$D$26,0))*parametros_manuales!$D$15)*parametros_manuales!$I$23*parametros_manuales!$J$23</f>
        <v>1870.639097054</v>
      </c>
      <c r="E60" s="9" t="n">
        <f aca="false">(parametros_manuales!$D$23*(datos_base!$D$2+IF(parametros_manuales!$H$23="Todos",datos_base!$D$9,0))*parametros_manuales!$E$95+parametros_manuales!$D$23*(datos_base!$D$18+IF(parametros_manuales!$H$23="Todos",datos_base!$D$23,0))*parametros_manuales!$E$12+parametros_manuales!$E$23*(datos_base!$D$3+IF(parametros_manuales!$H$23="Todos",datos_base!$D$10,0))*parametros_manuales!$E$100+parametros_manuales!$E$23*(datos_base!$D$19+IF(parametros_manuales!$H$23="Todos",datos_base!$D$24,0))*parametros_manuales!$E$13+parametros_manuales!$F$23*(datos_base!$D$4+IF(parametros_manuales!$H$23="Todos",datos_base!$D$11,0))*parametros_manuales!$E$105+parametros_manuales!$F$23*(datos_base!$D$20+IF(parametros_manuales!$H$23="Todos",datos_base!$D$25,0))*parametros_manuales!$E$14+parametros_manuales!$G$23*(datos_base!$D$5+IF(parametros_manuales!$H$23="Todos",datos_base!$D$12,0))*parametros_manuales!$E$110+parametros_manuales!$G$23*(datos_base!$D$21+IF(parametros_manuales!$H$23="Todos",datos_base!$D$26,0))*parametros_manuales!$E$15)*parametros_manuales!$I$23*parametros_manuales!$J$23</f>
        <v>1798.068358264</v>
      </c>
      <c r="F60" s="9" t="n">
        <f aca="false">(parametros_manuales!$D$23*(datos_base!$D$2+IF(parametros_manuales!$H$23="Todos",datos_base!$D$9,0))*parametros_manuales!$F$95+parametros_manuales!$D$23*(datos_base!$D$18+IF(parametros_manuales!$H$23="Todos",datos_base!$D$23,0))*parametros_manuales!$F$12+parametros_manuales!$E$23*(datos_base!$D$3+IF(parametros_manuales!$H$23="Todos",datos_base!$D$10,0))*parametros_manuales!$F$100+parametros_manuales!$E$23*(datos_base!$D$19+IF(parametros_manuales!$H$23="Todos",datos_base!$D$24,0))*parametros_manuales!$F$13+parametros_manuales!$F$23*(datos_base!$D$4+IF(parametros_manuales!$H$23="Todos",datos_base!$D$11,0))*parametros_manuales!$F$105+parametros_manuales!$F$23*(datos_base!$D$20+IF(parametros_manuales!$H$23="Todos",datos_base!$D$25,0))*parametros_manuales!$F$14+parametros_manuales!$G$23*(datos_base!$D$5+IF(parametros_manuales!$H$23="Todos",datos_base!$D$12,0))*parametros_manuales!$F$110+parametros_manuales!$G$23*(datos_base!$D$21+IF(parametros_manuales!$H$23="Todos",datos_base!$D$26,0))*parametros_manuales!$F$15)*parametros_manuales!$I$23*parametros_manuales!$J$23</f>
        <v>1683.761897332</v>
      </c>
      <c r="G60" s="9" t="n">
        <f aca="false">(parametros_manuales!$D$23*(datos_base!$D$2+IF(parametros_manuales!$H$23="Todos",datos_base!$D$9,0))*parametros_manuales!$G$95+parametros_manuales!$D$23*(datos_base!$D$18+IF(parametros_manuales!$H$23="Todos",datos_base!$D$23,0))*parametros_manuales!$G$12+parametros_manuales!$E$23*(datos_base!$D$3+IF(parametros_manuales!$H$23="Todos",datos_base!$D$10,0))*parametros_manuales!$G$100+parametros_manuales!$E$23*(datos_base!$D$19+IF(parametros_manuales!$H$23="Todos",datos_base!$D$24,0))*parametros_manuales!$G$13+parametros_manuales!$F$23*(datos_base!$D$4+IF(parametros_manuales!$H$23="Todos",datos_base!$D$11,0))*parametros_manuales!$G$105+parametros_manuales!$F$23*(datos_base!$D$20+IF(parametros_manuales!$H$23="Todos",datos_base!$D$25,0))*parametros_manuales!$G$14+parametros_manuales!$G$23*(datos_base!$D$5+IF(parametros_manuales!$H$23="Todos",datos_base!$D$12,0))*parametros_manuales!$G$110+parametros_manuales!$G$23*(datos_base!$D$21+IF(parametros_manuales!$H$23="Todos",datos_base!$D$26,0))*parametros_manuales!$G$15)*parametros_manuales!$I$23*parametros_manuales!$J$23</f>
        <v>1642.02617519</v>
      </c>
      <c r="H60" s="9" t="n">
        <f aca="false">(parametros_manuales!$D$23*(datos_base!$D$2+IF(parametros_manuales!$H$23="Todos",datos_base!$D$9,0))*parametros_manuales!$H$95+parametros_manuales!$D$23*(datos_base!$D$18+IF(parametros_manuales!$H$23="Todos",datos_base!$D$23,0))*parametros_manuales!$H$12+parametros_manuales!$E$23*(datos_base!$D$3+IF(parametros_manuales!$H$23="Todos",datos_base!$D$10,0))*parametros_manuales!$H$100+parametros_manuales!$E$23*(datos_base!$D$19+IF(parametros_manuales!$H$23="Todos",datos_base!$D$24,0))*parametros_manuales!$H$13+parametros_manuales!$F$23*(datos_base!$D$4+IF(parametros_manuales!$H$23="Todos",datos_base!$D$11,0))*parametros_manuales!$H$105+parametros_manuales!$F$23*(datos_base!$D$20+IF(parametros_manuales!$H$23="Todos",datos_base!$D$25,0))*parametros_manuales!$H$14+parametros_manuales!$G$23*(datos_base!$D$5+IF(parametros_manuales!$H$23="Todos",datos_base!$D$12,0))*parametros_manuales!$H$110+parametros_manuales!$G$23*(datos_base!$D$21+IF(parametros_manuales!$H$23="Todos",datos_base!$D$26,0))*parametros_manuales!$H$15)*parametros_manuales!$I$23*parametros_manuales!$J$23</f>
        <v>1756.332636122</v>
      </c>
      <c r="I60" s="9" t="n">
        <f aca="false">(parametros_manuales!$D$23*(datos_base!$D$2+IF(parametros_manuales!$H$23="Todos",datos_base!$D$9,0))*parametros_manuales!$I$95+parametros_manuales!$D$23*(datos_base!$D$18+IF(parametros_manuales!$H$23="Todos",datos_base!$D$23,0))*parametros_manuales!$I$12+parametros_manuales!$E$23*(datos_base!$D$3+IF(parametros_manuales!$H$23="Todos",datos_base!$D$10,0))*parametros_manuales!$I$100+parametros_manuales!$E$23*(datos_base!$D$19+IF(parametros_manuales!$H$23="Todos",datos_base!$D$24,0))*parametros_manuales!$I$13+parametros_manuales!$F$23*(datos_base!$D$4+IF(parametros_manuales!$H$23="Todos",datos_base!$D$11,0))*parametros_manuales!$I$105+parametros_manuales!$F$23*(datos_base!$D$20+IF(parametros_manuales!$H$23="Todos",datos_base!$D$25,0))*parametros_manuales!$I$14+parametros_manuales!$G$23*(datos_base!$D$5+IF(parametros_manuales!$H$23="Todos",datos_base!$D$12,0))*parametros_manuales!$I$110+parametros_manuales!$G$23*(datos_base!$D$21+IF(parametros_manuales!$H$23="Todos",datos_base!$D$26,0))*parametros_manuales!$I$15)*parametros_manuales!$I$23*parametros_manuales!$J$23</f>
        <v>1974.044852492</v>
      </c>
      <c r="J60" s="9" t="n">
        <f aca="false">(parametros_manuales!$D$23*(datos_base!$D$2+IF(parametros_manuales!$H$23="Todos",datos_base!$D$9,0))*parametros_manuales!$J$95+parametros_manuales!$D$23*(datos_base!$D$18+IF(parametros_manuales!$H$23="Todos",datos_base!$D$23,0))*parametros_manuales!$J$12+parametros_manuales!$E$23*(datos_base!$D$3+IF(parametros_manuales!$H$23="Todos",datos_base!$D$10,0))*parametros_manuales!$J$100+parametros_manuales!$E$23*(datos_base!$D$19+IF(parametros_manuales!$H$23="Todos",datos_base!$D$24,0))*parametros_manuales!$J$13+parametros_manuales!$F$23*(datos_base!$D$4+IF(parametros_manuales!$H$23="Todos",datos_base!$D$11,0))*parametros_manuales!$J$105+parametros_manuales!$F$23*(datos_base!$D$20+IF(parametros_manuales!$H$23="Todos",datos_base!$D$25,0))*parametros_manuales!$J$14+parametros_manuales!$G$23*(datos_base!$D$5+IF(parametros_manuales!$H$23="Todos",datos_base!$D$12,0))*parametros_manuales!$J$110+parametros_manuales!$G$23*(datos_base!$D$21+IF(parametros_manuales!$H$23="Todos",datos_base!$D$26,0))*parametros_manuales!$J$15)*parametros_manuales!$I$23*parametros_manuales!$J$23</f>
        <v>1974.044852492</v>
      </c>
      <c r="K60" s="9" t="n">
        <f aca="false">(parametros_manuales!$D$23*(datos_base!$D$2+IF(parametros_manuales!$H$23="Todos",datos_base!$D$9,0))*parametros_manuales!$K$95+parametros_manuales!$D$23*(datos_base!$D$18+IF(parametros_manuales!$H$23="Todos",datos_base!$D$23,0))*parametros_manuales!$K$12+parametros_manuales!$E$23*(datos_base!$D$3+IF(parametros_manuales!$H$23="Todos",datos_base!$D$10,0))*parametros_manuales!$K$100+parametros_manuales!$E$23*(datos_base!$D$19+IF(parametros_manuales!$H$23="Todos",datos_base!$D$24,0))*parametros_manuales!$K$13+parametros_manuales!$F$23*(datos_base!$D$4+IF(parametros_manuales!$H$23="Todos",datos_base!$D$11,0))*parametros_manuales!$K$105+parametros_manuales!$F$23*(datos_base!$D$20+IF(parametros_manuales!$H$23="Todos",datos_base!$D$25,0))*parametros_manuales!$K$14+parametros_manuales!$G$23*(datos_base!$D$5+IF(parametros_manuales!$H$23="Todos",datos_base!$D$12,0))*parametros_manuales!$K$110+parametros_manuales!$G$23*(datos_base!$D$21+IF(parametros_manuales!$H$23="Todos",datos_base!$D$26,0))*parametros_manuales!$K$15)*parametros_manuales!$I$23*parametros_manuales!$J$23</f>
        <v>2014.330974634</v>
      </c>
      <c r="L60" s="9" t="n">
        <f aca="false">(parametros_manuales!$D$23*(datos_base!$D$2+IF(parametros_manuales!$H$23="Todos",datos_base!$D$9,0))*parametros_manuales!$L$95+parametros_manuales!$D$23*(datos_base!$D$18+IF(parametros_manuales!$H$23="Todos",datos_base!$D$23,0))*parametros_manuales!$L$12+parametros_manuales!$E$23*(datos_base!$D$3+IF(parametros_manuales!$H$23="Todos",datos_base!$D$10,0))*parametros_manuales!$L$100+parametros_manuales!$E$23*(datos_base!$D$19+IF(parametros_manuales!$H$23="Todos",datos_base!$D$24,0))*parametros_manuales!$L$13+parametros_manuales!$F$23*(datos_base!$D$4+IF(parametros_manuales!$H$23="Todos",datos_base!$D$11,0))*parametros_manuales!$L$105+parametros_manuales!$F$23*(datos_base!$D$20+IF(parametros_manuales!$H$23="Todos",datos_base!$D$25,0))*parametros_manuales!$L$14+parametros_manuales!$G$23*(datos_base!$D$5+IF(parametros_manuales!$H$23="Todos",datos_base!$D$12,0))*parametros_manuales!$L$110+parametros_manuales!$G$23*(datos_base!$D$21+IF(parametros_manuales!$H$23="Todos",datos_base!$D$26,0))*parametros_manuales!$L$15)*parametros_manuales!$I$23*parametros_manuales!$J$23</f>
        <v>2054.617096776</v>
      </c>
      <c r="M60" s="9" t="n">
        <f aca="false">(parametros_manuales!$D$23*(datos_base!$D$2+IF(parametros_manuales!$H$23="Todos",datos_base!$D$9,0))*parametros_manuales!$M$95+parametros_manuales!$D$23*(datos_base!$D$18+IF(parametros_manuales!$H$23="Todos",datos_base!$D$23,0))*parametros_manuales!$M$12+parametros_manuales!$E$23*(datos_base!$D$3+IF(parametros_manuales!$H$23="Todos",datos_base!$D$10,0))*parametros_manuales!$M$100+parametros_manuales!$E$23*(datos_base!$D$19+IF(parametros_manuales!$H$23="Todos",datos_base!$D$24,0))*parametros_manuales!$M$13+parametros_manuales!$F$23*(datos_base!$D$4+IF(parametros_manuales!$H$23="Todos",datos_base!$D$11,0))*parametros_manuales!$M$105+parametros_manuales!$F$23*(datos_base!$D$20+IF(parametros_manuales!$H$23="Todos",datos_base!$D$25,0))*parametros_manuales!$M$14+parametros_manuales!$G$23*(datos_base!$D$5+IF(parametros_manuales!$H$23="Todos",datos_base!$D$12,0))*parametros_manuales!$M$110+parametros_manuales!$G$23*(datos_base!$D$21+IF(parametros_manuales!$H$23="Todos",datos_base!$D$26,0))*parametros_manuales!$M$15)*parametros_manuales!$I$23*parametros_manuales!$J$23</f>
        <v>2060.415496776</v>
      </c>
      <c r="N60" s="9" t="n">
        <f aca="false">SUM(B60:M60)</f>
        <v>22861.2921864</v>
      </c>
      <c r="O60" s="9" t="n">
        <f aca="false">MAX(B60:M60)</f>
        <v>2060.415496776</v>
      </c>
      <c r="P60" s="44" t="n">
        <f aca="false">O60/(parametros_manuales!$B$7)</f>
        <v>13.73610331184</v>
      </c>
      <c r="Q60" s="8" t="str">
        <f aca="false">IF(O60=0,"-",INDEX($B$55:$M$55,MATCH(O60,B60:M60,0)))</f>
        <v>Dic</v>
      </c>
    </row>
    <row r="61" customFormat="false" ht="14.25" hidden="false" customHeight="true" outlineLevel="0" collapsed="false">
      <c r="A61" s="8" t="str">
        <f aca="false">parametros_manuales!$B$24</f>
        <v>Numerado de cúpula</v>
      </c>
      <c r="B61" s="9" t="n">
        <f aca="false">(parametros_manuales!$D$24*(datos_base!$D$2+IF(parametros_manuales!$H$24="Todos",datos_base!$D$9,0))*parametros_manuales!$B$95+parametros_manuales!$D$24*(datos_base!$D$18+IF(parametros_manuales!$H$24="Todos",datos_base!$D$23,0))*parametros_manuales!$B$12+parametros_manuales!$E$24*(datos_base!$D$3+IF(parametros_manuales!$H$24="Todos",datos_base!$D$10,0))*parametros_manuales!$B$100+parametros_manuales!$E$24*(datos_base!$D$19+IF(parametros_manuales!$H$24="Todos",datos_base!$D$24,0))*parametros_manuales!$B$13+parametros_manuales!$F$24*(datos_base!$D$4+IF(parametros_manuales!$H$24="Todos",datos_base!$D$11,0))*parametros_manuales!$B$105+parametros_manuales!$F$24*(datos_base!$D$20+IF(parametros_manuales!$H$24="Todos",datos_base!$D$25,0))*parametros_manuales!$B$14+parametros_manuales!$G$24*(datos_base!$D$5+IF(parametros_manuales!$H$24="Todos",datos_base!$D$12,0))*parametros_manuales!$B$110+parametros_manuales!$G$24*(datos_base!$D$21+IF(parametros_manuales!$H$24="Todos",datos_base!$D$26,0))*parametros_manuales!$B$15)*parametros_manuales!$I$24*parametros_manuales!$J$24</f>
        <v>2058.965896776</v>
      </c>
      <c r="C61" s="9" t="n">
        <f aca="false">(parametros_manuales!$D$24*(datos_base!$D$2+IF(parametros_manuales!$H$24="Todos",datos_base!$D$9,0))*parametros_manuales!$C$95+parametros_manuales!$D$24*(datos_base!$D$18+IF(parametros_manuales!$H$24="Todos",datos_base!$D$23,0))*parametros_manuales!$C$12+parametros_manuales!$E$24*(datos_base!$D$3+IF(parametros_manuales!$H$24="Todos",datos_base!$D$10,0))*parametros_manuales!$C$100+parametros_manuales!$E$24*(datos_base!$D$19+IF(parametros_manuales!$H$24="Todos",datos_base!$D$24,0))*parametros_manuales!$C$13+parametros_manuales!$F$24*(datos_base!$D$4+IF(parametros_manuales!$H$24="Todos",datos_base!$D$11,0))*parametros_manuales!$C$105+parametros_manuales!$F$24*(datos_base!$D$20+IF(parametros_manuales!$H$24="Todos",datos_base!$D$25,0))*parametros_manuales!$C$14+parametros_manuales!$G$24*(datos_base!$D$5+IF(parametros_manuales!$H$24="Todos",datos_base!$D$12,0))*parametros_manuales!$C$110+parametros_manuales!$G$24*(datos_base!$D$21+IF(parametros_manuales!$H$24="Todos",datos_base!$D$26,0))*parametros_manuales!$C$15)*parametros_manuales!$I$24*parametros_manuales!$J$24</f>
        <v>1974.044852492</v>
      </c>
      <c r="D61" s="9" t="n">
        <f aca="false">(parametros_manuales!$D$24*(datos_base!$D$2+IF(parametros_manuales!$H$24="Todos",datos_base!$D$9,0))*parametros_manuales!$D$95+parametros_manuales!$D$24*(datos_base!$D$18+IF(parametros_manuales!$H$24="Todos",datos_base!$D$23,0))*parametros_manuales!$D$12+parametros_manuales!$E$24*(datos_base!$D$3+IF(parametros_manuales!$H$24="Todos",datos_base!$D$10,0))*parametros_manuales!$D$100+parametros_manuales!$E$24*(datos_base!$D$19+IF(parametros_manuales!$H$24="Todos",datos_base!$D$24,0))*parametros_manuales!$D$13+parametros_manuales!$F$24*(datos_base!$D$4+IF(parametros_manuales!$H$24="Todos",datos_base!$D$11,0))*parametros_manuales!$D$105+parametros_manuales!$F$24*(datos_base!$D$20+IF(parametros_manuales!$H$24="Todos",datos_base!$D$25,0))*parametros_manuales!$D$14+parametros_manuales!$G$24*(datos_base!$D$5+IF(parametros_manuales!$H$24="Todos",datos_base!$D$12,0))*parametros_manuales!$D$110+parametros_manuales!$G$24*(datos_base!$D$21+IF(parametros_manuales!$H$24="Todos",datos_base!$D$26,0))*parametros_manuales!$D$15)*parametros_manuales!$I$24*parametros_manuales!$J$24</f>
        <v>1870.639097054</v>
      </c>
      <c r="E61" s="9" t="n">
        <f aca="false">(parametros_manuales!$D$24*(datos_base!$D$2+IF(parametros_manuales!$H$24="Todos",datos_base!$D$9,0))*parametros_manuales!$E$95+parametros_manuales!$D$24*(datos_base!$D$18+IF(parametros_manuales!$H$24="Todos",datos_base!$D$23,0))*parametros_manuales!$E$12+parametros_manuales!$E$24*(datos_base!$D$3+IF(parametros_manuales!$H$24="Todos",datos_base!$D$10,0))*parametros_manuales!$E$100+parametros_manuales!$E$24*(datos_base!$D$19+IF(parametros_manuales!$H$24="Todos",datos_base!$D$24,0))*parametros_manuales!$E$13+parametros_manuales!$F$24*(datos_base!$D$4+IF(parametros_manuales!$H$24="Todos",datos_base!$D$11,0))*parametros_manuales!$E$105+parametros_manuales!$F$24*(datos_base!$D$20+IF(parametros_manuales!$H$24="Todos",datos_base!$D$25,0))*parametros_manuales!$E$14+parametros_manuales!$G$24*(datos_base!$D$5+IF(parametros_manuales!$H$24="Todos",datos_base!$D$12,0))*parametros_manuales!$E$110+parametros_manuales!$G$24*(datos_base!$D$21+IF(parametros_manuales!$H$24="Todos",datos_base!$D$26,0))*parametros_manuales!$E$15)*parametros_manuales!$I$24*parametros_manuales!$J$24</f>
        <v>1798.068358264</v>
      </c>
      <c r="F61" s="9" t="n">
        <f aca="false">(parametros_manuales!$D$24*(datos_base!$D$2+IF(parametros_manuales!$H$24="Todos",datos_base!$D$9,0))*parametros_manuales!$F$95+parametros_manuales!$D$24*(datos_base!$D$18+IF(parametros_manuales!$H$24="Todos",datos_base!$D$23,0))*parametros_manuales!$F$12+parametros_manuales!$E$24*(datos_base!$D$3+IF(parametros_manuales!$H$24="Todos",datos_base!$D$10,0))*parametros_manuales!$F$100+parametros_manuales!$E$24*(datos_base!$D$19+IF(parametros_manuales!$H$24="Todos",datos_base!$D$24,0))*parametros_manuales!$F$13+parametros_manuales!$F$24*(datos_base!$D$4+IF(parametros_manuales!$H$24="Todos",datos_base!$D$11,0))*parametros_manuales!$F$105+parametros_manuales!$F$24*(datos_base!$D$20+IF(parametros_manuales!$H$24="Todos",datos_base!$D$25,0))*parametros_manuales!$F$14+parametros_manuales!$G$24*(datos_base!$D$5+IF(parametros_manuales!$H$24="Todos",datos_base!$D$12,0))*parametros_manuales!$F$110+parametros_manuales!$G$24*(datos_base!$D$21+IF(parametros_manuales!$H$24="Todos",datos_base!$D$26,0))*parametros_manuales!$F$15)*parametros_manuales!$I$24*parametros_manuales!$J$24</f>
        <v>1683.761897332</v>
      </c>
      <c r="G61" s="9" t="n">
        <f aca="false">(parametros_manuales!$D$24*(datos_base!$D$2+IF(parametros_manuales!$H$24="Todos",datos_base!$D$9,0))*parametros_manuales!$G$95+parametros_manuales!$D$24*(datos_base!$D$18+IF(parametros_manuales!$H$24="Todos",datos_base!$D$23,0))*parametros_manuales!$G$12+parametros_manuales!$E$24*(datos_base!$D$3+IF(parametros_manuales!$H$24="Todos",datos_base!$D$10,0))*parametros_manuales!$G$100+parametros_manuales!$E$24*(datos_base!$D$19+IF(parametros_manuales!$H$24="Todos",datos_base!$D$24,0))*parametros_manuales!$G$13+parametros_manuales!$F$24*(datos_base!$D$4+IF(parametros_manuales!$H$24="Todos",datos_base!$D$11,0))*parametros_manuales!$G$105+parametros_manuales!$F$24*(datos_base!$D$20+IF(parametros_manuales!$H$24="Todos",datos_base!$D$25,0))*parametros_manuales!$G$14+parametros_manuales!$G$24*(datos_base!$D$5+IF(parametros_manuales!$H$24="Todos",datos_base!$D$12,0))*parametros_manuales!$G$110+parametros_manuales!$G$24*(datos_base!$D$21+IF(parametros_manuales!$H$24="Todos",datos_base!$D$26,0))*parametros_manuales!$G$15)*parametros_manuales!$I$24*parametros_manuales!$J$24</f>
        <v>1642.02617519</v>
      </c>
      <c r="H61" s="9" t="n">
        <f aca="false">(parametros_manuales!$D$24*(datos_base!$D$2+IF(parametros_manuales!$H$24="Todos",datos_base!$D$9,0))*parametros_manuales!$H$95+parametros_manuales!$D$24*(datos_base!$D$18+IF(parametros_manuales!$H$24="Todos",datos_base!$D$23,0))*parametros_manuales!$H$12+parametros_manuales!$E$24*(datos_base!$D$3+IF(parametros_manuales!$H$24="Todos",datos_base!$D$10,0))*parametros_manuales!$H$100+parametros_manuales!$E$24*(datos_base!$D$19+IF(parametros_manuales!$H$24="Todos",datos_base!$D$24,0))*parametros_manuales!$H$13+parametros_manuales!$F$24*(datos_base!$D$4+IF(parametros_manuales!$H$24="Todos",datos_base!$D$11,0))*parametros_manuales!$H$105+parametros_manuales!$F$24*(datos_base!$D$20+IF(parametros_manuales!$H$24="Todos",datos_base!$D$25,0))*parametros_manuales!$H$14+parametros_manuales!$G$24*(datos_base!$D$5+IF(parametros_manuales!$H$24="Todos",datos_base!$D$12,0))*parametros_manuales!$H$110+parametros_manuales!$G$24*(datos_base!$D$21+IF(parametros_manuales!$H$24="Todos",datos_base!$D$26,0))*parametros_manuales!$H$15)*parametros_manuales!$I$24*parametros_manuales!$J$24</f>
        <v>1756.332636122</v>
      </c>
      <c r="I61" s="9" t="n">
        <f aca="false">(parametros_manuales!$D$24*(datos_base!$D$2+IF(parametros_manuales!$H$24="Todos",datos_base!$D$9,0))*parametros_manuales!$I$95+parametros_manuales!$D$24*(datos_base!$D$18+IF(parametros_manuales!$H$24="Todos",datos_base!$D$23,0))*parametros_manuales!$I$12+parametros_manuales!$E$24*(datos_base!$D$3+IF(parametros_manuales!$H$24="Todos",datos_base!$D$10,0))*parametros_manuales!$I$100+parametros_manuales!$E$24*(datos_base!$D$19+IF(parametros_manuales!$H$24="Todos",datos_base!$D$24,0))*parametros_manuales!$I$13+parametros_manuales!$F$24*(datos_base!$D$4+IF(parametros_manuales!$H$24="Todos",datos_base!$D$11,0))*parametros_manuales!$I$105+parametros_manuales!$F$24*(datos_base!$D$20+IF(parametros_manuales!$H$24="Todos",datos_base!$D$25,0))*parametros_manuales!$I$14+parametros_manuales!$G$24*(datos_base!$D$5+IF(parametros_manuales!$H$24="Todos",datos_base!$D$12,0))*parametros_manuales!$I$110+parametros_manuales!$G$24*(datos_base!$D$21+IF(parametros_manuales!$H$24="Todos",datos_base!$D$26,0))*parametros_manuales!$I$15)*parametros_manuales!$I$24*parametros_manuales!$J$24</f>
        <v>1974.044852492</v>
      </c>
      <c r="J61" s="9" t="n">
        <f aca="false">(parametros_manuales!$D$24*(datos_base!$D$2+IF(parametros_manuales!$H$24="Todos",datos_base!$D$9,0))*parametros_manuales!$J$95+parametros_manuales!$D$24*(datos_base!$D$18+IF(parametros_manuales!$H$24="Todos",datos_base!$D$23,0))*parametros_manuales!$J$12+parametros_manuales!$E$24*(datos_base!$D$3+IF(parametros_manuales!$H$24="Todos",datos_base!$D$10,0))*parametros_manuales!$J$100+parametros_manuales!$E$24*(datos_base!$D$19+IF(parametros_manuales!$H$24="Todos",datos_base!$D$24,0))*parametros_manuales!$J$13+parametros_manuales!$F$24*(datos_base!$D$4+IF(parametros_manuales!$H$24="Todos",datos_base!$D$11,0))*parametros_manuales!$J$105+parametros_manuales!$F$24*(datos_base!$D$20+IF(parametros_manuales!$H$24="Todos",datos_base!$D$25,0))*parametros_manuales!$J$14+parametros_manuales!$G$24*(datos_base!$D$5+IF(parametros_manuales!$H$24="Todos",datos_base!$D$12,0))*parametros_manuales!$J$110+parametros_manuales!$G$24*(datos_base!$D$21+IF(parametros_manuales!$H$24="Todos",datos_base!$D$26,0))*parametros_manuales!$J$15)*parametros_manuales!$I$24*parametros_manuales!$J$24</f>
        <v>1974.044852492</v>
      </c>
      <c r="K61" s="9" t="n">
        <f aca="false">(parametros_manuales!$D$24*(datos_base!$D$2+IF(parametros_manuales!$H$24="Todos",datos_base!$D$9,0))*parametros_manuales!$K$95+parametros_manuales!$D$24*(datos_base!$D$18+IF(parametros_manuales!$H$24="Todos",datos_base!$D$23,0))*parametros_manuales!$K$12+parametros_manuales!$E$24*(datos_base!$D$3+IF(parametros_manuales!$H$24="Todos",datos_base!$D$10,0))*parametros_manuales!$K$100+parametros_manuales!$E$24*(datos_base!$D$19+IF(parametros_manuales!$H$24="Todos",datos_base!$D$24,0))*parametros_manuales!$K$13+parametros_manuales!$F$24*(datos_base!$D$4+IF(parametros_manuales!$H$24="Todos",datos_base!$D$11,0))*parametros_manuales!$K$105+parametros_manuales!$F$24*(datos_base!$D$20+IF(parametros_manuales!$H$24="Todos",datos_base!$D$25,0))*parametros_manuales!$K$14+parametros_manuales!$G$24*(datos_base!$D$5+IF(parametros_manuales!$H$24="Todos",datos_base!$D$12,0))*parametros_manuales!$K$110+parametros_manuales!$G$24*(datos_base!$D$21+IF(parametros_manuales!$H$24="Todos",datos_base!$D$26,0))*parametros_manuales!$K$15)*parametros_manuales!$I$24*parametros_manuales!$J$24</f>
        <v>2014.330974634</v>
      </c>
      <c r="L61" s="9" t="n">
        <f aca="false">(parametros_manuales!$D$24*(datos_base!$D$2+IF(parametros_manuales!$H$24="Todos",datos_base!$D$9,0))*parametros_manuales!$L$95+parametros_manuales!$D$24*(datos_base!$D$18+IF(parametros_manuales!$H$24="Todos",datos_base!$D$23,0))*parametros_manuales!$L$12+parametros_manuales!$E$24*(datos_base!$D$3+IF(parametros_manuales!$H$24="Todos",datos_base!$D$10,0))*parametros_manuales!$L$100+parametros_manuales!$E$24*(datos_base!$D$19+IF(parametros_manuales!$H$24="Todos",datos_base!$D$24,0))*parametros_manuales!$L$13+parametros_manuales!$F$24*(datos_base!$D$4+IF(parametros_manuales!$H$24="Todos",datos_base!$D$11,0))*parametros_manuales!$L$105+parametros_manuales!$F$24*(datos_base!$D$20+IF(parametros_manuales!$H$24="Todos",datos_base!$D$25,0))*parametros_manuales!$L$14+parametros_manuales!$G$24*(datos_base!$D$5+IF(parametros_manuales!$H$24="Todos",datos_base!$D$12,0))*parametros_manuales!$L$110+parametros_manuales!$G$24*(datos_base!$D$21+IF(parametros_manuales!$H$24="Todos",datos_base!$D$26,0))*parametros_manuales!$L$15)*parametros_manuales!$I$24*parametros_manuales!$J$24</f>
        <v>2054.617096776</v>
      </c>
      <c r="M61" s="9" t="n">
        <f aca="false">(parametros_manuales!$D$24*(datos_base!$D$2+IF(parametros_manuales!$H$24="Todos",datos_base!$D$9,0))*parametros_manuales!$M$95+parametros_manuales!$D$24*(datos_base!$D$18+IF(parametros_manuales!$H$24="Todos",datos_base!$D$23,0))*parametros_manuales!$M$12+parametros_manuales!$E$24*(datos_base!$D$3+IF(parametros_manuales!$H$24="Todos",datos_base!$D$10,0))*parametros_manuales!$M$100+parametros_manuales!$E$24*(datos_base!$D$19+IF(parametros_manuales!$H$24="Todos",datos_base!$D$24,0))*parametros_manuales!$M$13+parametros_manuales!$F$24*(datos_base!$D$4+IF(parametros_manuales!$H$24="Todos",datos_base!$D$11,0))*parametros_manuales!$M$105+parametros_manuales!$F$24*(datos_base!$D$20+IF(parametros_manuales!$H$24="Todos",datos_base!$D$25,0))*parametros_manuales!$M$14+parametros_manuales!$G$24*(datos_base!$D$5+IF(parametros_manuales!$H$24="Todos",datos_base!$D$12,0))*parametros_manuales!$M$110+parametros_manuales!$G$24*(datos_base!$D$21+IF(parametros_manuales!$H$24="Todos",datos_base!$D$26,0))*parametros_manuales!$M$15)*parametros_manuales!$I$24*parametros_manuales!$J$24</f>
        <v>2060.415496776</v>
      </c>
      <c r="N61" s="9" t="n">
        <f aca="false">SUM(B61:M61)</f>
        <v>22861.2921864</v>
      </c>
      <c r="O61" s="9" t="n">
        <f aca="false">MAX(B61:M61)</f>
        <v>2060.415496776</v>
      </c>
      <c r="P61" s="44" t="n">
        <f aca="false">O61/(parametros_manuales!$B$7)</f>
        <v>13.73610331184</v>
      </c>
      <c r="Q61" s="8" t="str">
        <f aca="false">IF(O61=0,"-",INDEX($B$55:$M$55,MATCH(O61,B61:M61,0)))</f>
        <v>Dic</v>
      </c>
    </row>
    <row r="62" customFormat="false" ht="14.25" hidden="false" customHeight="true" outlineLevel="0" collapsed="false">
      <c r="A62" s="8" t="str">
        <f aca="false">parametros_manuales!$B$25</f>
        <v>Soldadura del cuello a la cúpula</v>
      </c>
      <c r="B62" s="9" t="n">
        <f aca="false">(parametros_manuales!$D$25*(datos_base!$D$2+IF(parametros_manuales!$H$25="Todos",datos_base!$D$9,0))*parametros_manuales!$B$95+parametros_manuales!$D$25*(datos_base!$D$18+IF(parametros_manuales!$H$25="Todos",datos_base!$D$23,0))*parametros_manuales!$B$12+parametros_manuales!$E$25*(datos_base!$D$3+IF(parametros_manuales!$H$25="Todos",datos_base!$D$10,0))*parametros_manuales!$B$100+parametros_manuales!$E$25*(datos_base!$D$19+IF(parametros_manuales!$H$25="Todos",datos_base!$D$24,0))*parametros_manuales!$B$13+parametros_manuales!$F$25*(datos_base!$D$4+IF(parametros_manuales!$H$25="Todos",datos_base!$D$11,0))*parametros_manuales!$B$105+parametros_manuales!$F$25*(datos_base!$D$20+IF(parametros_manuales!$H$25="Todos",datos_base!$D$25,0))*parametros_manuales!$B$14+parametros_manuales!$G$25*(datos_base!$D$5+IF(parametros_manuales!$H$25="Todos",datos_base!$D$12,0))*parametros_manuales!$B$110+parametros_manuales!$G$25*(datos_base!$D$21+IF(parametros_manuales!$H$25="Todos",datos_base!$D$26,0))*parametros_manuales!$B$15)*parametros_manuales!$I$25*parametros_manuales!$J$25</f>
        <v>2058.965896776</v>
      </c>
      <c r="C62" s="9" t="n">
        <f aca="false">(parametros_manuales!$D$25*(datos_base!$D$2+IF(parametros_manuales!$H$25="Todos",datos_base!$D$9,0))*parametros_manuales!$C$95+parametros_manuales!$D$25*(datos_base!$D$18+IF(parametros_manuales!$H$25="Todos",datos_base!$D$23,0))*parametros_manuales!$C$12+parametros_manuales!$E$25*(datos_base!$D$3+IF(parametros_manuales!$H$25="Todos",datos_base!$D$10,0))*parametros_manuales!$C$100+parametros_manuales!$E$25*(datos_base!$D$19+IF(parametros_manuales!$H$25="Todos",datos_base!$D$24,0))*parametros_manuales!$C$13+parametros_manuales!$F$25*(datos_base!$D$4+IF(parametros_manuales!$H$25="Todos",datos_base!$D$11,0))*parametros_manuales!$C$105+parametros_manuales!$F$25*(datos_base!$D$20+IF(parametros_manuales!$H$25="Todos",datos_base!$D$25,0))*parametros_manuales!$C$14+parametros_manuales!$G$25*(datos_base!$D$5+IF(parametros_manuales!$H$25="Todos",datos_base!$D$12,0))*parametros_manuales!$C$110+parametros_manuales!$G$25*(datos_base!$D$21+IF(parametros_manuales!$H$25="Todos",datos_base!$D$26,0))*parametros_manuales!$C$15)*parametros_manuales!$I$25*parametros_manuales!$J$25</f>
        <v>1974.044852492</v>
      </c>
      <c r="D62" s="9" t="n">
        <f aca="false">(parametros_manuales!$D$25*(datos_base!$D$2+IF(parametros_manuales!$H$25="Todos",datos_base!$D$9,0))*parametros_manuales!$D$95+parametros_manuales!$D$25*(datos_base!$D$18+IF(parametros_manuales!$H$25="Todos",datos_base!$D$23,0))*parametros_manuales!$D$12+parametros_manuales!$E$25*(datos_base!$D$3+IF(parametros_manuales!$H$25="Todos",datos_base!$D$10,0))*parametros_manuales!$D$100+parametros_manuales!$E$25*(datos_base!$D$19+IF(parametros_manuales!$H$25="Todos",datos_base!$D$24,0))*parametros_manuales!$D$13+parametros_manuales!$F$25*(datos_base!$D$4+IF(parametros_manuales!$H$25="Todos",datos_base!$D$11,0))*parametros_manuales!$D$105+parametros_manuales!$F$25*(datos_base!$D$20+IF(parametros_manuales!$H$25="Todos",datos_base!$D$25,0))*parametros_manuales!$D$14+parametros_manuales!$G$25*(datos_base!$D$5+IF(parametros_manuales!$H$25="Todos",datos_base!$D$12,0))*parametros_manuales!$D$110+parametros_manuales!$G$25*(datos_base!$D$21+IF(parametros_manuales!$H$25="Todos",datos_base!$D$26,0))*parametros_manuales!$D$15)*parametros_manuales!$I$25*parametros_manuales!$J$25</f>
        <v>1870.639097054</v>
      </c>
      <c r="E62" s="9" t="n">
        <f aca="false">(parametros_manuales!$D$25*(datos_base!$D$2+IF(parametros_manuales!$H$25="Todos",datos_base!$D$9,0))*parametros_manuales!$E$95+parametros_manuales!$D$25*(datos_base!$D$18+IF(parametros_manuales!$H$25="Todos",datos_base!$D$23,0))*parametros_manuales!$E$12+parametros_manuales!$E$25*(datos_base!$D$3+IF(parametros_manuales!$H$25="Todos",datos_base!$D$10,0))*parametros_manuales!$E$100+parametros_manuales!$E$25*(datos_base!$D$19+IF(parametros_manuales!$H$25="Todos",datos_base!$D$24,0))*parametros_manuales!$E$13+parametros_manuales!$F$25*(datos_base!$D$4+IF(parametros_manuales!$H$25="Todos",datos_base!$D$11,0))*parametros_manuales!$E$105+parametros_manuales!$F$25*(datos_base!$D$20+IF(parametros_manuales!$H$25="Todos",datos_base!$D$25,0))*parametros_manuales!$E$14+parametros_manuales!$G$25*(datos_base!$D$5+IF(parametros_manuales!$H$25="Todos",datos_base!$D$12,0))*parametros_manuales!$E$110+parametros_manuales!$G$25*(datos_base!$D$21+IF(parametros_manuales!$H$25="Todos",datos_base!$D$26,0))*parametros_manuales!$E$15)*parametros_manuales!$I$25*parametros_manuales!$J$25</f>
        <v>1798.068358264</v>
      </c>
      <c r="F62" s="9" t="n">
        <f aca="false">(parametros_manuales!$D$25*(datos_base!$D$2+IF(parametros_manuales!$H$25="Todos",datos_base!$D$9,0))*parametros_manuales!$F$95+parametros_manuales!$D$25*(datos_base!$D$18+IF(parametros_manuales!$H$25="Todos",datos_base!$D$23,0))*parametros_manuales!$F$12+parametros_manuales!$E$25*(datos_base!$D$3+IF(parametros_manuales!$H$25="Todos",datos_base!$D$10,0))*parametros_manuales!$F$100+parametros_manuales!$E$25*(datos_base!$D$19+IF(parametros_manuales!$H$25="Todos",datos_base!$D$24,0))*parametros_manuales!$F$13+parametros_manuales!$F$25*(datos_base!$D$4+IF(parametros_manuales!$H$25="Todos",datos_base!$D$11,0))*parametros_manuales!$F$105+parametros_manuales!$F$25*(datos_base!$D$20+IF(parametros_manuales!$H$25="Todos",datos_base!$D$25,0))*parametros_manuales!$F$14+parametros_manuales!$G$25*(datos_base!$D$5+IF(parametros_manuales!$H$25="Todos",datos_base!$D$12,0))*parametros_manuales!$F$110+parametros_manuales!$G$25*(datos_base!$D$21+IF(parametros_manuales!$H$25="Todos",datos_base!$D$26,0))*parametros_manuales!$F$15)*parametros_manuales!$I$25*parametros_manuales!$J$25</f>
        <v>1683.761897332</v>
      </c>
      <c r="G62" s="9" t="n">
        <f aca="false">(parametros_manuales!$D$25*(datos_base!$D$2+IF(parametros_manuales!$H$25="Todos",datos_base!$D$9,0))*parametros_manuales!$G$95+parametros_manuales!$D$25*(datos_base!$D$18+IF(parametros_manuales!$H$25="Todos",datos_base!$D$23,0))*parametros_manuales!$G$12+parametros_manuales!$E$25*(datos_base!$D$3+IF(parametros_manuales!$H$25="Todos",datos_base!$D$10,0))*parametros_manuales!$G$100+parametros_manuales!$E$25*(datos_base!$D$19+IF(parametros_manuales!$H$25="Todos",datos_base!$D$24,0))*parametros_manuales!$G$13+parametros_manuales!$F$25*(datos_base!$D$4+IF(parametros_manuales!$H$25="Todos",datos_base!$D$11,0))*parametros_manuales!$G$105+parametros_manuales!$F$25*(datos_base!$D$20+IF(parametros_manuales!$H$25="Todos",datos_base!$D$25,0))*parametros_manuales!$G$14+parametros_manuales!$G$25*(datos_base!$D$5+IF(parametros_manuales!$H$25="Todos",datos_base!$D$12,0))*parametros_manuales!$G$110+parametros_manuales!$G$25*(datos_base!$D$21+IF(parametros_manuales!$H$25="Todos",datos_base!$D$26,0))*parametros_manuales!$G$15)*parametros_manuales!$I$25*parametros_manuales!$J$25</f>
        <v>1642.02617519</v>
      </c>
      <c r="H62" s="9" t="n">
        <f aca="false">(parametros_manuales!$D$25*(datos_base!$D$2+IF(parametros_manuales!$H$25="Todos",datos_base!$D$9,0))*parametros_manuales!$H$95+parametros_manuales!$D$25*(datos_base!$D$18+IF(parametros_manuales!$H$25="Todos",datos_base!$D$23,0))*parametros_manuales!$H$12+parametros_manuales!$E$25*(datos_base!$D$3+IF(parametros_manuales!$H$25="Todos",datos_base!$D$10,0))*parametros_manuales!$H$100+parametros_manuales!$E$25*(datos_base!$D$19+IF(parametros_manuales!$H$25="Todos",datos_base!$D$24,0))*parametros_manuales!$H$13+parametros_manuales!$F$25*(datos_base!$D$4+IF(parametros_manuales!$H$25="Todos",datos_base!$D$11,0))*parametros_manuales!$H$105+parametros_manuales!$F$25*(datos_base!$D$20+IF(parametros_manuales!$H$25="Todos",datos_base!$D$25,0))*parametros_manuales!$H$14+parametros_manuales!$G$25*(datos_base!$D$5+IF(parametros_manuales!$H$25="Todos",datos_base!$D$12,0))*parametros_manuales!$H$110+parametros_manuales!$G$25*(datos_base!$D$21+IF(parametros_manuales!$H$25="Todos",datos_base!$D$26,0))*parametros_manuales!$H$15)*parametros_manuales!$I$25*parametros_manuales!$J$25</f>
        <v>1756.332636122</v>
      </c>
      <c r="I62" s="9" t="n">
        <f aca="false">(parametros_manuales!$D$25*(datos_base!$D$2+IF(parametros_manuales!$H$25="Todos",datos_base!$D$9,0))*parametros_manuales!$I$95+parametros_manuales!$D$25*(datos_base!$D$18+IF(parametros_manuales!$H$25="Todos",datos_base!$D$23,0))*parametros_manuales!$I$12+parametros_manuales!$E$25*(datos_base!$D$3+IF(parametros_manuales!$H$25="Todos",datos_base!$D$10,0))*parametros_manuales!$I$100+parametros_manuales!$E$25*(datos_base!$D$19+IF(parametros_manuales!$H$25="Todos",datos_base!$D$24,0))*parametros_manuales!$I$13+parametros_manuales!$F$25*(datos_base!$D$4+IF(parametros_manuales!$H$25="Todos",datos_base!$D$11,0))*parametros_manuales!$I$105+parametros_manuales!$F$25*(datos_base!$D$20+IF(parametros_manuales!$H$25="Todos",datos_base!$D$25,0))*parametros_manuales!$I$14+parametros_manuales!$G$25*(datos_base!$D$5+IF(parametros_manuales!$H$25="Todos",datos_base!$D$12,0))*parametros_manuales!$I$110+parametros_manuales!$G$25*(datos_base!$D$21+IF(parametros_manuales!$H$25="Todos",datos_base!$D$26,0))*parametros_manuales!$I$15)*parametros_manuales!$I$25*parametros_manuales!$J$25</f>
        <v>1974.044852492</v>
      </c>
      <c r="J62" s="9" t="n">
        <f aca="false">(parametros_manuales!$D$25*(datos_base!$D$2+IF(parametros_manuales!$H$25="Todos",datos_base!$D$9,0))*parametros_manuales!$J$95+parametros_manuales!$D$25*(datos_base!$D$18+IF(parametros_manuales!$H$25="Todos",datos_base!$D$23,0))*parametros_manuales!$J$12+parametros_manuales!$E$25*(datos_base!$D$3+IF(parametros_manuales!$H$25="Todos",datos_base!$D$10,0))*parametros_manuales!$J$100+parametros_manuales!$E$25*(datos_base!$D$19+IF(parametros_manuales!$H$25="Todos",datos_base!$D$24,0))*parametros_manuales!$J$13+parametros_manuales!$F$25*(datos_base!$D$4+IF(parametros_manuales!$H$25="Todos",datos_base!$D$11,0))*parametros_manuales!$J$105+parametros_manuales!$F$25*(datos_base!$D$20+IF(parametros_manuales!$H$25="Todos",datos_base!$D$25,0))*parametros_manuales!$J$14+parametros_manuales!$G$25*(datos_base!$D$5+IF(parametros_manuales!$H$25="Todos",datos_base!$D$12,0))*parametros_manuales!$J$110+parametros_manuales!$G$25*(datos_base!$D$21+IF(parametros_manuales!$H$25="Todos",datos_base!$D$26,0))*parametros_manuales!$J$15)*parametros_manuales!$I$25*parametros_manuales!$J$25</f>
        <v>1974.044852492</v>
      </c>
      <c r="K62" s="9" t="n">
        <f aca="false">(parametros_manuales!$D$25*(datos_base!$D$2+IF(parametros_manuales!$H$25="Todos",datos_base!$D$9,0))*parametros_manuales!$K$95+parametros_manuales!$D$25*(datos_base!$D$18+IF(parametros_manuales!$H$25="Todos",datos_base!$D$23,0))*parametros_manuales!$K$12+parametros_manuales!$E$25*(datos_base!$D$3+IF(parametros_manuales!$H$25="Todos",datos_base!$D$10,0))*parametros_manuales!$K$100+parametros_manuales!$E$25*(datos_base!$D$19+IF(parametros_manuales!$H$25="Todos",datos_base!$D$24,0))*parametros_manuales!$K$13+parametros_manuales!$F$25*(datos_base!$D$4+IF(parametros_manuales!$H$25="Todos",datos_base!$D$11,0))*parametros_manuales!$K$105+parametros_manuales!$F$25*(datos_base!$D$20+IF(parametros_manuales!$H$25="Todos",datos_base!$D$25,0))*parametros_manuales!$K$14+parametros_manuales!$G$25*(datos_base!$D$5+IF(parametros_manuales!$H$25="Todos",datos_base!$D$12,0))*parametros_manuales!$K$110+parametros_manuales!$G$25*(datos_base!$D$21+IF(parametros_manuales!$H$25="Todos",datos_base!$D$26,0))*parametros_manuales!$K$15)*parametros_manuales!$I$25*parametros_manuales!$J$25</f>
        <v>2014.330974634</v>
      </c>
      <c r="L62" s="9" t="n">
        <f aca="false">(parametros_manuales!$D$25*(datos_base!$D$2+IF(parametros_manuales!$H$25="Todos",datos_base!$D$9,0))*parametros_manuales!$L$95+parametros_manuales!$D$25*(datos_base!$D$18+IF(parametros_manuales!$H$25="Todos",datos_base!$D$23,0))*parametros_manuales!$L$12+parametros_manuales!$E$25*(datos_base!$D$3+IF(parametros_manuales!$H$25="Todos",datos_base!$D$10,0))*parametros_manuales!$L$100+parametros_manuales!$E$25*(datos_base!$D$19+IF(parametros_manuales!$H$25="Todos",datos_base!$D$24,0))*parametros_manuales!$L$13+parametros_manuales!$F$25*(datos_base!$D$4+IF(parametros_manuales!$H$25="Todos",datos_base!$D$11,0))*parametros_manuales!$L$105+parametros_manuales!$F$25*(datos_base!$D$20+IF(parametros_manuales!$H$25="Todos",datos_base!$D$25,0))*parametros_manuales!$L$14+parametros_manuales!$G$25*(datos_base!$D$5+IF(parametros_manuales!$H$25="Todos",datos_base!$D$12,0))*parametros_manuales!$L$110+parametros_manuales!$G$25*(datos_base!$D$21+IF(parametros_manuales!$H$25="Todos",datos_base!$D$26,0))*parametros_manuales!$L$15)*parametros_manuales!$I$25*parametros_manuales!$J$25</f>
        <v>2054.617096776</v>
      </c>
      <c r="M62" s="9" t="n">
        <f aca="false">(parametros_manuales!$D$25*(datos_base!$D$2+IF(parametros_manuales!$H$25="Todos",datos_base!$D$9,0))*parametros_manuales!$M$95+parametros_manuales!$D$25*(datos_base!$D$18+IF(parametros_manuales!$H$25="Todos",datos_base!$D$23,0))*parametros_manuales!$M$12+parametros_manuales!$E$25*(datos_base!$D$3+IF(parametros_manuales!$H$25="Todos",datos_base!$D$10,0))*parametros_manuales!$M$100+parametros_manuales!$E$25*(datos_base!$D$19+IF(parametros_manuales!$H$25="Todos",datos_base!$D$24,0))*parametros_manuales!$M$13+parametros_manuales!$F$25*(datos_base!$D$4+IF(parametros_manuales!$H$25="Todos",datos_base!$D$11,0))*parametros_manuales!$M$105+parametros_manuales!$F$25*(datos_base!$D$20+IF(parametros_manuales!$H$25="Todos",datos_base!$D$25,0))*parametros_manuales!$M$14+parametros_manuales!$G$25*(datos_base!$D$5+IF(parametros_manuales!$H$25="Todos",datos_base!$D$12,0))*parametros_manuales!$M$110+parametros_manuales!$G$25*(datos_base!$D$21+IF(parametros_manuales!$H$25="Todos",datos_base!$D$26,0))*parametros_manuales!$M$15)*parametros_manuales!$I$25*parametros_manuales!$J$25</f>
        <v>2060.415496776</v>
      </c>
      <c r="N62" s="9" t="n">
        <f aca="false">SUM(B62:M62)</f>
        <v>22861.2921864</v>
      </c>
      <c r="O62" s="9" t="n">
        <f aca="false">MAX(B62:M62)</f>
        <v>2060.415496776</v>
      </c>
      <c r="P62" s="44" t="n">
        <f aca="false">O62/(parametros_manuales!$B$7)</f>
        <v>13.73610331184</v>
      </c>
      <c r="Q62" s="8" t="str">
        <f aca="false">IF(O62=0,"-",INDEX($B$55:$M$55,MATCH(O62,B62:M62,0)))</f>
        <v>Dic</v>
      </c>
    </row>
    <row r="63" customFormat="false" ht="14.25" hidden="false" customHeight="true" outlineLevel="0" collapsed="false">
      <c r="A63" s="8" t="str">
        <f aca="false">parametros_manuales!$B$26</f>
        <v>Cilindrado</v>
      </c>
      <c r="B63" s="9" t="n">
        <f aca="false">(parametros_manuales!$D$26*(datos_base!$D$2+IF(parametros_manuales!$H$26="Todos",datos_base!$D$9,0))*parametros_manuales!$B$95+parametros_manuales!$D$26*(datos_base!$D$18+IF(parametros_manuales!$H$26="Todos",datos_base!$D$23,0))*parametros_manuales!$B$12+parametros_manuales!$E$26*(datos_base!$D$3+IF(parametros_manuales!$H$26="Todos",datos_base!$D$10,0))*parametros_manuales!$B$100+parametros_manuales!$E$26*(datos_base!$D$19+IF(parametros_manuales!$H$26="Todos",datos_base!$D$24,0))*parametros_manuales!$B$13+parametros_manuales!$F$26*(datos_base!$D$4+IF(parametros_manuales!$H$26="Todos",datos_base!$D$11,0))*parametros_manuales!$B$105+parametros_manuales!$F$26*(datos_base!$D$20+IF(parametros_manuales!$H$26="Todos",datos_base!$D$25,0))*parametros_manuales!$B$14+parametros_manuales!$G$26*(datos_base!$D$5+IF(parametros_manuales!$H$26="Todos",datos_base!$D$12,0))*parametros_manuales!$B$110+parametros_manuales!$G$26*(datos_base!$D$21+IF(parametros_manuales!$H$26="Todos",datos_base!$D$26,0))*parametros_manuales!$B$15)*parametros_manuales!$I$26*parametros_manuales!$J$26</f>
        <v>752.692598556</v>
      </c>
      <c r="C63" s="9" t="n">
        <f aca="false">(parametros_manuales!$D$26*(datos_base!$D$2+IF(parametros_manuales!$H$26="Todos",datos_base!$D$9,0))*parametros_manuales!$C$95+parametros_manuales!$D$26*(datos_base!$D$18+IF(parametros_manuales!$H$26="Todos",datos_base!$D$23,0))*parametros_manuales!$C$12+parametros_manuales!$E$26*(datos_base!$D$3+IF(parametros_manuales!$H$26="Todos",datos_base!$D$10,0))*parametros_manuales!$C$100+parametros_manuales!$E$26*(datos_base!$D$19+IF(parametros_manuales!$H$26="Todos",datos_base!$D$24,0))*parametros_manuales!$C$13+parametros_manuales!$F$26*(datos_base!$D$4+IF(parametros_manuales!$H$26="Todos",datos_base!$D$11,0))*parametros_manuales!$C$105+parametros_manuales!$F$26*(datos_base!$D$20+IF(parametros_manuales!$H$26="Todos",datos_base!$D$25,0))*parametros_manuales!$C$14+parametros_manuales!$G$26*(datos_base!$D$5+IF(parametros_manuales!$H$26="Todos",datos_base!$D$12,0))*parametros_manuales!$C$110+parametros_manuales!$G$26*(datos_base!$D$21+IF(parametros_manuales!$H$26="Todos",datos_base!$D$26,0))*parametros_manuales!$C$15)*parametros_manuales!$I$26*parametros_manuales!$J$26</f>
        <v>667.771554272</v>
      </c>
      <c r="D63" s="9" t="n">
        <f aca="false">(parametros_manuales!$D$26*(datos_base!$D$2+IF(parametros_manuales!$H$26="Todos",datos_base!$D$9,0))*parametros_manuales!$D$95+parametros_manuales!$D$26*(datos_base!$D$18+IF(parametros_manuales!$H$26="Todos",datos_base!$D$23,0))*parametros_manuales!$D$12+parametros_manuales!$E$26*(datos_base!$D$3+IF(parametros_manuales!$H$26="Todos",datos_base!$D$10,0))*parametros_manuales!$D$100+parametros_manuales!$E$26*(datos_base!$D$19+IF(parametros_manuales!$H$26="Todos",datos_base!$D$24,0))*parametros_manuales!$D$13+parametros_manuales!$F$26*(datos_base!$D$4+IF(parametros_manuales!$H$26="Todos",datos_base!$D$11,0))*parametros_manuales!$D$105+parametros_manuales!$F$26*(datos_base!$D$20+IF(parametros_manuales!$H$26="Todos",datos_base!$D$25,0))*parametros_manuales!$D$14+parametros_manuales!$G$26*(datos_base!$D$5+IF(parametros_manuales!$H$26="Todos",datos_base!$D$12,0))*parametros_manuales!$D$110+parametros_manuales!$G$26*(datos_base!$D$21+IF(parametros_manuales!$H$26="Todos",datos_base!$D$26,0))*parametros_manuales!$D$15)*parametros_manuales!$I$26*parametros_manuales!$J$26</f>
        <v>709.507276414</v>
      </c>
      <c r="E63" s="9" t="n">
        <f aca="false">(parametros_manuales!$D$26*(datos_base!$D$2+IF(parametros_manuales!$H$26="Todos",datos_base!$D$9,0))*parametros_manuales!$E$95+parametros_manuales!$D$26*(datos_base!$D$18+IF(parametros_manuales!$H$26="Todos",datos_base!$D$23,0))*parametros_manuales!$E$12+parametros_manuales!$E$26*(datos_base!$D$3+IF(parametros_manuales!$H$26="Todos",datos_base!$D$10,0))*parametros_manuales!$E$100+parametros_manuales!$E$26*(datos_base!$D$19+IF(parametros_manuales!$H$26="Todos",datos_base!$D$24,0))*parametros_manuales!$E$13+parametros_manuales!$F$26*(datos_base!$D$4+IF(parametros_manuales!$H$26="Todos",datos_base!$D$11,0))*parametros_manuales!$E$105+parametros_manuales!$F$26*(datos_base!$D$20+IF(parametros_manuales!$H$26="Todos",datos_base!$D$25,0))*parametros_manuales!$E$14+parametros_manuales!$G$26*(datos_base!$D$5+IF(parametros_manuales!$H$26="Todos",datos_base!$D$12,0))*parametros_manuales!$E$110+parametros_manuales!$G$26*(datos_base!$D$21+IF(parametros_manuales!$H$26="Todos",datos_base!$D$26,0))*parametros_manuales!$E$15)*parametros_manuales!$I$26*parametros_manuales!$J$26</f>
        <v>709.507276414</v>
      </c>
      <c r="F63" s="9" t="n">
        <f aca="false">(parametros_manuales!$D$26*(datos_base!$D$2+IF(parametros_manuales!$H$26="Todos",datos_base!$D$9,0))*parametros_manuales!$F$95+parametros_manuales!$D$26*(datos_base!$D$18+IF(parametros_manuales!$H$26="Todos",datos_base!$D$23,0))*parametros_manuales!$F$12+parametros_manuales!$E$26*(datos_base!$D$3+IF(parametros_manuales!$H$26="Todos",datos_base!$D$10,0))*parametros_manuales!$F$100+parametros_manuales!$E$26*(datos_base!$D$19+IF(parametros_manuales!$H$26="Todos",datos_base!$D$24,0))*parametros_manuales!$F$13+parametros_manuales!$F$26*(datos_base!$D$4+IF(parametros_manuales!$H$26="Todos",datos_base!$D$11,0))*parametros_manuales!$F$105+parametros_manuales!$F$26*(datos_base!$D$20+IF(parametros_manuales!$H$26="Todos",datos_base!$D$25,0))*parametros_manuales!$F$14+parametros_manuales!$G$26*(datos_base!$D$5+IF(parametros_manuales!$H$26="Todos",datos_base!$D$12,0))*parametros_manuales!$F$110+parametros_manuales!$G$26*(datos_base!$D$21+IF(parametros_manuales!$H$26="Todos",datos_base!$D$26,0))*parametros_manuales!$F$15)*parametros_manuales!$I$26*parametros_manuales!$J$26</f>
        <v>667.771554272</v>
      </c>
      <c r="G63" s="9" t="n">
        <f aca="false">(parametros_manuales!$D$26*(datos_base!$D$2+IF(parametros_manuales!$H$26="Todos",datos_base!$D$9,0))*parametros_manuales!$G$95+parametros_manuales!$D$26*(datos_base!$D$18+IF(parametros_manuales!$H$26="Todos",datos_base!$D$23,0))*parametros_manuales!$G$12+parametros_manuales!$E$26*(datos_base!$D$3+IF(parametros_manuales!$H$26="Todos",datos_base!$D$10,0))*parametros_manuales!$G$100+parametros_manuales!$E$26*(datos_base!$D$19+IF(parametros_manuales!$H$26="Todos",datos_base!$D$24,0))*parametros_manuales!$G$13+parametros_manuales!$F$26*(datos_base!$D$4+IF(parametros_manuales!$H$26="Todos",datos_base!$D$11,0))*parametros_manuales!$G$105+parametros_manuales!$F$26*(datos_base!$D$20+IF(parametros_manuales!$H$26="Todos",datos_base!$D$25,0))*parametros_manuales!$G$14+parametros_manuales!$G$26*(datos_base!$D$5+IF(parametros_manuales!$H$26="Todos",datos_base!$D$12,0))*parametros_manuales!$G$110+parametros_manuales!$G$26*(datos_base!$D$21+IF(parametros_manuales!$H$26="Todos",datos_base!$D$26,0))*parametros_manuales!$G$15)*parametros_manuales!$I$26*parametros_manuales!$J$26</f>
        <v>626.03583213</v>
      </c>
      <c r="H63" s="9" t="n">
        <f aca="false">(parametros_manuales!$D$26*(datos_base!$D$2+IF(parametros_manuales!$H$26="Todos",datos_base!$D$9,0))*parametros_manuales!$H$95+parametros_manuales!$D$26*(datos_base!$D$18+IF(parametros_manuales!$H$26="Todos",datos_base!$D$23,0))*parametros_manuales!$H$12+parametros_manuales!$E$26*(datos_base!$D$3+IF(parametros_manuales!$H$26="Todos",datos_base!$D$10,0))*parametros_manuales!$H$100+parametros_manuales!$E$26*(datos_base!$D$19+IF(parametros_manuales!$H$26="Todos",datos_base!$D$24,0))*parametros_manuales!$H$13+parametros_manuales!$F$26*(datos_base!$D$4+IF(parametros_manuales!$H$26="Todos",datos_base!$D$11,0))*parametros_manuales!$H$105+parametros_manuales!$F$26*(datos_base!$D$20+IF(parametros_manuales!$H$26="Todos",datos_base!$D$25,0))*parametros_manuales!$H$14+parametros_manuales!$G$26*(datos_base!$D$5+IF(parametros_manuales!$H$26="Todos",datos_base!$D$12,0))*parametros_manuales!$H$110+parametros_manuales!$G$26*(datos_base!$D$21+IF(parametros_manuales!$H$26="Todos",datos_base!$D$26,0))*parametros_manuales!$H$15)*parametros_manuales!$I$26*parametros_manuales!$J$26</f>
        <v>667.771554272</v>
      </c>
      <c r="I63" s="9" t="n">
        <f aca="false">(parametros_manuales!$D$26*(datos_base!$D$2+IF(parametros_manuales!$H$26="Todos",datos_base!$D$9,0))*parametros_manuales!$I$95+parametros_manuales!$D$26*(datos_base!$D$18+IF(parametros_manuales!$H$26="Todos",datos_base!$D$23,0))*parametros_manuales!$I$12+parametros_manuales!$E$26*(datos_base!$D$3+IF(parametros_manuales!$H$26="Todos",datos_base!$D$10,0))*parametros_manuales!$I$100+parametros_manuales!$E$26*(datos_base!$D$19+IF(parametros_manuales!$H$26="Todos",datos_base!$D$24,0))*parametros_manuales!$I$13+parametros_manuales!$F$26*(datos_base!$D$4+IF(parametros_manuales!$H$26="Todos",datos_base!$D$11,0))*parametros_manuales!$I$105+parametros_manuales!$F$26*(datos_base!$D$20+IF(parametros_manuales!$H$26="Todos",datos_base!$D$25,0))*parametros_manuales!$I$14+parametros_manuales!$G$26*(datos_base!$D$5+IF(parametros_manuales!$H$26="Todos",datos_base!$D$12,0))*parametros_manuales!$I$110+parametros_manuales!$G$26*(datos_base!$D$21+IF(parametros_manuales!$H$26="Todos",datos_base!$D$26,0))*parametros_manuales!$I$15)*parametros_manuales!$I$26*parametros_manuales!$J$26</f>
        <v>667.771554272</v>
      </c>
      <c r="J63" s="9" t="n">
        <f aca="false">(parametros_manuales!$D$26*(datos_base!$D$2+IF(parametros_manuales!$H$26="Todos",datos_base!$D$9,0))*parametros_manuales!$J$95+parametros_manuales!$D$26*(datos_base!$D$18+IF(parametros_manuales!$H$26="Todos",datos_base!$D$23,0))*parametros_manuales!$J$12+parametros_manuales!$E$26*(datos_base!$D$3+IF(parametros_manuales!$H$26="Todos",datos_base!$D$10,0))*parametros_manuales!$J$100+parametros_manuales!$E$26*(datos_base!$D$19+IF(parametros_manuales!$H$26="Todos",datos_base!$D$24,0))*parametros_manuales!$J$13+parametros_manuales!$F$26*(datos_base!$D$4+IF(parametros_manuales!$H$26="Todos",datos_base!$D$11,0))*parametros_manuales!$J$105+parametros_manuales!$F$26*(datos_base!$D$20+IF(parametros_manuales!$H$26="Todos",datos_base!$D$25,0))*parametros_manuales!$J$14+parametros_manuales!$G$26*(datos_base!$D$5+IF(parametros_manuales!$H$26="Todos",datos_base!$D$12,0))*parametros_manuales!$J$110+parametros_manuales!$G$26*(datos_base!$D$21+IF(parametros_manuales!$H$26="Todos",datos_base!$D$26,0))*parametros_manuales!$J$15)*parametros_manuales!$I$26*parametros_manuales!$J$26</f>
        <v>667.771554272</v>
      </c>
      <c r="K63" s="9" t="n">
        <f aca="false">(parametros_manuales!$D$26*(datos_base!$D$2+IF(parametros_manuales!$H$26="Todos",datos_base!$D$9,0))*parametros_manuales!$K$95+parametros_manuales!$D$26*(datos_base!$D$18+IF(parametros_manuales!$H$26="Todos",datos_base!$D$23,0))*parametros_manuales!$K$12+parametros_manuales!$E$26*(datos_base!$D$3+IF(parametros_manuales!$H$26="Todos",datos_base!$D$10,0))*parametros_manuales!$K$100+parametros_manuales!$E$26*(datos_base!$D$19+IF(parametros_manuales!$H$26="Todos",datos_base!$D$24,0))*parametros_manuales!$K$13+parametros_manuales!$F$26*(datos_base!$D$4+IF(parametros_manuales!$H$26="Todos",datos_base!$D$11,0))*parametros_manuales!$K$105+parametros_manuales!$F$26*(datos_base!$D$20+IF(parametros_manuales!$H$26="Todos",datos_base!$D$25,0))*parametros_manuales!$K$14+parametros_manuales!$G$26*(datos_base!$D$5+IF(parametros_manuales!$H$26="Todos",datos_base!$D$12,0))*parametros_manuales!$K$110+parametros_manuales!$G$26*(datos_base!$D$21+IF(parametros_manuales!$H$26="Todos",datos_base!$D$26,0))*parametros_manuales!$K$15)*parametros_manuales!$I$26*parametros_manuales!$J$26</f>
        <v>708.057676414</v>
      </c>
      <c r="L63" s="9" t="n">
        <f aca="false">(parametros_manuales!$D$26*(datos_base!$D$2+IF(parametros_manuales!$H$26="Todos",datos_base!$D$9,0))*parametros_manuales!$L$95+parametros_manuales!$D$26*(datos_base!$D$18+IF(parametros_manuales!$H$26="Todos",datos_base!$D$23,0))*parametros_manuales!$L$12+parametros_manuales!$E$26*(datos_base!$D$3+IF(parametros_manuales!$H$26="Todos",datos_base!$D$10,0))*parametros_manuales!$L$100+parametros_manuales!$E$26*(datos_base!$D$19+IF(parametros_manuales!$H$26="Todos",datos_base!$D$24,0))*parametros_manuales!$L$13+parametros_manuales!$F$26*(datos_base!$D$4+IF(parametros_manuales!$H$26="Todos",datos_base!$D$11,0))*parametros_manuales!$L$105+parametros_manuales!$F$26*(datos_base!$D$20+IF(parametros_manuales!$H$26="Todos",datos_base!$D$25,0))*parametros_manuales!$L$14+parametros_manuales!$G$26*(datos_base!$D$5+IF(parametros_manuales!$H$26="Todos",datos_base!$D$12,0))*parametros_manuales!$L$110+parametros_manuales!$G$26*(datos_base!$D$21+IF(parametros_manuales!$H$26="Todos",datos_base!$D$26,0))*parametros_manuales!$L$15)*parametros_manuales!$I$26*parametros_manuales!$J$26</f>
        <v>748.343798556</v>
      </c>
      <c r="M63" s="9" t="n">
        <f aca="false">(parametros_manuales!$D$26*(datos_base!$D$2+IF(parametros_manuales!$H$26="Todos",datos_base!$D$9,0))*parametros_manuales!$M$95+parametros_manuales!$D$26*(datos_base!$D$18+IF(parametros_manuales!$H$26="Todos",datos_base!$D$23,0))*parametros_manuales!$M$12+parametros_manuales!$E$26*(datos_base!$D$3+IF(parametros_manuales!$H$26="Todos",datos_base!$D$10,0))*parametros_manuales!$M$100+parametros_manuales!$E$26*(datos_base!$D$19+IF(parametros_manuales!$H$26="Todos",datos_base!$D$24,0))*parametros_manuales!$M$13+parametros_manuales!$F$26*(datos_base!$D$4+IF(parametros_manuales!$H$26="Todos",datos_base!$D$11,0))*parametros_manuales!$M$105+parametros_manuales!$F$26*(datos_base!$D$20+IF(parametros_manuales!$H$26="Todos",datos_base!$D$25,0))*parametros_manuales!$M$14+parametros_manuales!$G$26*(datos_base!$D$5+IF(parametros_manuales!$H$26="Todos",datos_base!$D$12,0))*parametros_manuales!$M$110+parametros_manuales!$G$26*(datos_base!$D$21+IF(parametros_manuales!$H$26="Todos",datos_base!$D$26,0))*parametros_manuales!$M$15)*parametros_manuales!$I$26*parametros_manuales!$J$26</f>
        <v>754.142198556</v>
      </c>
      <c r="N63" s="9" t="n">
        <f aca="false">SUM(B63:M63)</f>
        <v>8347.1444284</v>
      </c>
      <c r="O63" s="9" t="n">
        <f aca="false">MAX(B63:M63)</f>
        <v>754.142198556</v>
      </c>
      <c r="P63" s="44" t="n">
        <f aca="false">O63/(parametros_manuales!$B$7)</f>
        <v>5.02761465704</v>
      </c>
      <c r="Q63" s="8" t="str">
        <f aca="false">IF(O63=0,"-",INDEX($B$55:$M$55,MATCH(O63,B63:M63,0)))</f>
        <v>Dic</v>
      </c>
    </row>
    <row r="64" customFormat="false" ht="14.25" hidden="false" customHeight="true" outlineLevel="0" collapsed="false">
      <c r="A64" s="8" t="str">
        <f aca="false">parametros_manuales!$B$27</f>
        <v>Soldadura longitudinal</v>
      </c>
      <c r="B64" s="9" t="n">
        <f aca="false">(parametros_manuales!$D$27*(datos_base!$D$2+IF(parametros_manuales!$H$27="Todos",datos_base!$D$9,0))*parametros_manuales!$B$95+parametros_manuales!$D$27*(datos_base!$D$18+IF(parametros_manuales!$H$27="Todos",datos_base!$D$23,0))*parametros_manuales!$B$12+parametros_manuales!$E$27*(datos_base!$D$3+IF(parametros_manuales!$H$27="Todos",datos_base!$D$10,0))*parametros_manuales!$B$100+parametros_manuales!$E$27*(datos_base!$D$19+IF(parametros_manuales!$H$27="Todos",datos_base!$D$24,0))*parametros_manuales!$B$13+parametros_manuales!$F$27*(datos_base!$D$4+IF(parametros_manuales!$H$27="Todos",datos_base!$D$11,0))*parametros_manuales!$B$105+parametros_manuales!$F$27*(datos_base!$D$20+IF(parametros_manuales!$H$27="Todos",datos_base!$D$25,0))*parametros_manuales!$B$14+parametros_manuales!$G$27*(datos_base!$D$5+IF(parametros_manuales!$H$27="Todos",datos_base!$D$12,0))*parametros_manuales!$B$110+parametros_manuales!$G$27*(datos_base!$D$21+IF(parametros_manuales!$H$27="Todos",datos_base!$D$26,0))*parametros_manuales!$B$15)*parametros_manuales!$I$27*parametros_manuales!$J$27</f>
        <v>752.692598556</v>
      </c>
      <c r="C64" s="9" t="n">
        <f aca="false">(parametros_manuales!$D$27*(datos_base!$D$2+IF(parametros_manuales!$H$27="Todos",datos_base!$D$9,0))*parametros_manuales!$C$95+parametros_manuales!$D$27*(datos_base!$D$18+IF(parametros_manuales!$H$27="Todos",datos_base!$D$23,0))*parametros_manuales!$C$12+parametros_manuales!$E$27*(datos_base!$D$3+IF(parametros_manuales!$H$27="Todos",datos_base!$D$10,0))*parametros_manuales!$C$100+parametros_manuales!$E$27*(datos_base!$D$19+IF(parametros_manuales!$H$27="Todos",datos_base!$D$24,0))*parametros_manuales!$C$13+parametros_manuales!$F$27*(datos_base!$D$4+IF(parametros_manuales!$H$27="Todos",datos_base!$D$11,0))*parametros_manuales!$C$105+parametros_manuales!$F$27*(datos_base!$D$20+IF(parametros_manuales!$H$27="Todos",datos_base!$D$25,0))*parametros_manuales!$C$14+parametros_manuales!$G$27*(datos_base!$D$5+IF(parametros_manuales!$H$27="Todos",datos_base!$D$12,0))*parametros_manuales!$C$110+parametros_manuales!$G$27*(datos_base!$D$21+IF(parametros_manuales!$H$27="Todos",datos_base!$D$26,0))*parametros_manuales!$C$15)*parametros_manuales!$I$27*parametros_manuales!$J$27</f>
        <v>667.771554272</v>
      </c>
      <c r="D64" s="9" t="n">
        <f aca="false">(parametros_manuales!$D$27*(datos_base!$D$2+IF(parametros_manuales!$H$27="Todos",datos_base!$D$9,0))*parametros_manuales!$D$95+parametros_manuales!$D$27*(datos_base!$D$18+IF(parametros_manuales!$H$27="Todos",datos_base!$D$23,0))*parametros_manuales!$D$12+parametros_manuales!$E$27*(datos_base!$D$3+IF(parametros_manuales!$H$27="Todos",datos_base!$D$10,0))*parametros_manuales!$D$100+parametros_manuales!$E$27*(datos_base!$D$19+IF(parametros_manuales!$H$27="Todos",datos_base!$D$24,0))*parametros_manuales!$D$13+parametros_manuales!$F$27*(datos_base!$D$4+IF(parametros_manuales!$H$27="Todos",datos_base!$D$11,0))*parametros_manuales!$D$105+parametros_manuales!$F$27*(datos_base!$D$20+IF(parametros_manuales!$H$27="Todos",datos_base!$D$25,0))*parametros_manuales!$D$14+parametros_manuales!$G$27*(datos_base!$D$5+IF(parametros_manuales!$H$27="Todos",datos_base!$D$12,0))*parametros_manuales!$D$110+parametros_manuales!$G$27*(datos_base!$D$21+IF(parametros_manuales!$H$27="Todos",datos_base!$D$26,0))*parametros_manuales!$D$15)*parametros_manuales!$I$27*parametros_manuales!$J$27</f>
        <v>709.507276414</v>
      </c>
      <c r="E64" s="9" t="n">
        <f aca="false">(parametros_manuales!$D$27*(datos_base!$D$2+IF(parametros_manuales!$H$27="Todos",datos_base!$D$9,0))*parametros_manuales!$E$95+parametros_manuales!$D$27*(datos_base!$D$18+IF(parametros_manuales!$H$27="Todos",datos_base!$D$23,0))*parametros_manuales!$E$12+parametros_manuales!$E$27*(datos_base!$D$3+IF(parametros_manuales!$H$27="Todos",datos_base!$D$10,0))*parametros_manuales!$E$100+parametros_manuales!$E$27*(datos_base!$D$19+IF(parametros_manuales!$H$27="Todos",datos_base!$D$24,0))*parametros_manuales!$E$13+parametros_manuales!$F$27*(datos_base!$D$4+IF(parametros_manuales!$H$27="Todos",datos_base!$D$11,0))*parametros_manuales!$E$105+parametros_manuales!$F$27*(datos_base!$D$20+IF(parametros_manuales!$H$27="Todos",datos_base!$D$25,0))*parametros_manuales!$E$14+parametros_manuales!$G$27*(datos_base!$D$5+IF(parametros_manuales!$H$27="Todos",datos_base!$D$12,0))*parametros_manuales!$E$110+parametros_manuales!$G$27*(datos_base!$D$21+IF(parametros_manuales!$H$27="Todos",datos_base!$D$26,0))*parametros_manuales!$E$15)*parametros_manuales!$I$27*parametros_manuales!$J$27</f>
        <v>709.507276414</v>
      </c>
      <c r="F64" s="9" t="n">
        <f aca="false">(parametros_manuales!$D$27*(datos_base!$D$2+IF(parametros_manuales!$H$27="Todos",datos_base!$D$9,0))*parametros_manuales!$F$95+parametros_manuales!$D$27*(datos_base!$D$18+IF(parametros_manuales!$H$27="Todos",datos_base!$D$23,0))*parametros_manuales!$F$12+parametros_manuales!$E$27*(datos_base!$D$3+IF(parametros_manuales!$H$27="Todos",datos_base!$D$10,0))*parametros_manuales!$F$100+parametros_manuales!$E$27*(datos_base!$D$19+IF(parametros_manuales!$H$27="Todos",datos_base!$D$24,0))*parametros_manuales!$F$13+parametros_manuales!$F$27*(datos_base!$D$4+IF(parametros_manuales!$H$27="Todos",datos_base!$D$11,0))*parametros_manuales!$F$105+parametros_manuales!$F$27*(datos_base!$D$20+IF(parametros_manuales!$H$27="Todos",datos_base!$D$25,0))*parametros_manuales!$F$14+parametros_manuales!$G$27*(datos_base!$D$5+IF(parametros_manuales!$H$27="Todos",datos_base!$D$12,0))*parametros_manuales!$F$110+parametros_manuales!$G$27*(datos_base!$D$21+IF(parametros_manuales!$H$27="Todos",datos_base!$D$26,0))*parametros_manuales!$F$15)*parametros_manuales!$I$27*parametros_manuales!$J$27</f>
        <v>667.771554272</v>
      </c>
      <c r="G64" s="9" t="n">
        <f aca="false">(parametros_manuales!$D$27*(datos_base!$D$2+IF(parametros_manuales!$H$27="Todos",datos_base!$D$9,0))*parametros_manuales!$G$95+parametros_manuales!$D$27*(datos_base!$D$18+IF(parametros_manuales!$H$27="Todos",datos_base!$D$23,0))*parametros_manuales!$G$12+parametros_manuales!$E$27*(datos_base!$D$3+IF(parametros_manuales!$H$27="Todos",datos_base!$D$10,0))*parametros_manuales!$G$100+parametros_manuales!$E$27*(datos_base!$D$19+IF(parametros_manuales!$H$27="Todos",datos_base!$D$24,0))*parametros_manuales!$G$13+parametros_manuales!$F$27*(datos_base!$D$4+IF(parametros_manuales!$H$27="Todos",datos_base!$D$11,0))*parametros_manuales!$G$105+parametros_manuales!$F$27*(datos_base!$D$20+IF(parametros_manuales!$H$27="Todos",datos_base!$D$25,0))*parametros_manuales!$G$14+parametros_manuales!$G$27*(datos_base!$D$5+IF(parametros_manuales!$H$27="Todos",datos_base!$D$12,0))*parametros_manuales!$G$110+parametros_manuales!$G$27*(datos_base!$D$21+IF(parametros_manuales!$H$27="Todos",datos_base!$D$26,0))*parametros_manuales!$G$15)*parametros_manuales!$I$27*parametros_manuales!$J$27</f>
        <v>626.03583213</v>
      </c>
      <c r="H64" s="9" t="n">
        <f aca="false">(parametros_manuales!$D$27*(datos_base!$D$2+IF(parametros_manuales!$H$27="Todos",datos_base!$D$9,0))*parametros_manuales!$H$95+parametros_manuales!$D$27*(datos_base!$D$18+IF(parametros_manuales!$H$27="Todos",datos_base!$D$23,0))*parametros_manuales!$H$12+parametros_manuales!$E$27*(datos_base!$D$3+IF(parametros_manuales!$H$27="Todos",datos_base!$D$10,0))*parametros_manuales!$H$100+parametros_manuales!$E$27*(datos_base!$D$19+IF(parametros_manuales!$H$27="Todos",datos_base!$D$24,0))*parametros_manuales!$H$13+parametros_manuales!$F$27*(datos_base!$D$4+IF(parametros_manuales!$H$27="Todos",datos_base!$D$11,0))*parametros_manuales!$H$105+parametros_manuales!$F$27*(datos_base!$D$20+IF(parametros_manuales!$H$27="Todos",datos_base!$D$25,0))*parametros_manuales!$H$14+parametros_manuales!$G$27*(datos_base!$D$5+IF(parametros_manuales!$H$27="Todos",datos_base!$D$12,0))*parametros_manuales!$H$110+parametros_manuales!$G$27*(datos_base!$D$21+IF(parametros_manuales!$H$27="Todos",datos_base!$D$26,0))*parametros_manuales!$H$15)*parametros_manuales!$I$27*parametros_manuales!$J$27</f>
        <v>667.771554272</v>
      </c>
      <c r="I64" s="9" t="n">
        <f aca="false">(parametros_manuales!$D$27*(datos_base!$D$2+IF(parametros_manuales!$H$27="Todos",datos_base!$D$9,0))*parametros_manuales!$I$95+parametros_manuales!$D$27*(datos_base!$D$18+IF(parametros_manuales!$H$27="Todos",datos_base!$D$23,0))*parametros_manuales!$I$12+parametros_manuales!$E$27*(datos_base!$D$3+IF(parametros_manuales!$H$27="Todos",datos_base!$D$10,0))*parametros_manuales!$I$100+parametros_manuales!$E$27*(datos_base!$D$19+IF(parametros_manuales!$H$27="Todos",datos_base!$D$24,0))*parametros_manuales!$I$13+parametros_manuales!$F$27*(datos_base!$D$4+IF(parametros_manuales!$H$27="Todos",datos_base!$D$11,0))*parametros_manuales!$I$105+parametros_manuales!$F$27*(datos_base!$D$20+IF(parametros_manuales!$H$27="Todos",datos_base!$D$25,0))*parametros_manuales!$I$14+parametros_manuales!$G$27*(datos_base!$D$5+IF(parametros_manuales!$H$27="Todos",datos_base!$D$12,0))*parametros_manuales!$I$110+parametros_manuales!$G$27*(datos_base!$D$21+IF(parametros_manuales!$H$27="Todos",datos_base!$D$26,0))*parametros_manuales!$I$15)*parametros_manuales!$I$27*parametros_manuales!$J$27</f>
        <v>667.771554272</v>
      </c>
      <c r="J64" s="9" t="n">
        <f aca="false">(parametros_manuales!$D$27*(datos_base!$D$2+IF(parametros_manuales!$H$27="Todos",datos_base!$D$9,0))*parametros_manuales!$J$95+parametros_manuales!$D$27*(datos_base!$D$18+IF(parametros_manuales!$H$27="Todos",datos_base!$D$23,0))*parametros_manuales!$J$12+parametros_manuales!$E$27*(datos_base!$D$3+IF(parametros_manuales!$H$27="Todos",datos_base!$D$10,0))*parametros_manuales!$J$100+parametros_manuales!$E$27*(datos_base!$D$19+IF(parametros_manuales!$H$27="Todos",datos_base!$D$24,0))*parametros_manuales!$J$13+parametros_manuales!$F$27*(datos_base!$D$4+IF(parametros_manuales!$H$27="Todos",datos_base!$D$11,0))*parametros_manuales!$J$105+parametros_manuales!$F$27*(datos_base!$D$20+IF(parametros_manuales!$H$27="Todos",datos_base!$D$25,0))*parametros_manuales!$J$14+parametros_manuales!$G$27*(datos_base!$D$5+IF(parametros_manuales!$H$27="Todos",datos_base!$D$12,0))*parametros_manuales!$J$110+parametros_manuales!$G$27*(datos_base!$D$21+IF(parametros_manuales!$H$27="Todos",datos_base!$D$26,0))*parametros_manuales!$J$15)*parametros_manuales!$I$27*parametros_manuales!$J$27</f>
        <v>667.771554272</v>
      </c>
      <c r="K64" s="9" t="n">
        <f aca="false">(parametros_manuales!$D$27*(datos_base!$D$2+IF(parametros_manuales!$H$27="Todos",datos_base!$D$9,0))*parametros_manuales!$K$95+parametros_manuales!$D$27*(datos_base!$D$18+IF(parametros_manuales!$H$27="Todos",datos_base!$D$23,0))*parametros_manuales!$K$12+parametros_manuales!$E$27*(datos_base!$D$3+IF(parametros_manuales!$H$27="Todos",datos_base!$D$10,0))*parametros_manuales!$K$100+parametros_manuales!$E$27*(datos_base!$D$19+IF(parametros_manuales!$H$27="Todos",datos_base!$D$24,0))*parametros_manuales!$K$13+parametros_manuales!$F$27*(datos_base!$D$4+IF(parametros_manuales!$H$27="Todos",datos_base!$D$11,0))*parametros_manuales!$K$105+parametros_manuales!$F$27*(datos_base!$D$20+IF(parametros_manuales!$H$27="Todos",datos_base!$D$25,0))*parametros_manuales!$K$14+parametros_manuales!$G$27*(datos_base!$D$5+IF(parametros_manuales!$H$27="Todos",datos_base!$D$12,0))*parametros_manuales!$K$110+parametros_manuales!$G$27*(datos_base!$D$21+IF(parametros_manuales!$H$27="Todos",datos_base!$D$26,0))*parametros_manuales!$K$15)*parametros_manuales!$I$27*parametros_manuales!$J$27</f>
        <v>708.057676414</v>
      </c>
      <c r="L64" s="9" t="n">
        <f aca="false">(parametros_manuales!$D$27*(datos_base!$D$2+IF(parametros_manuales!$H$27="Todos",datos_base!$D$9,0))*parametros_manuales!$L$95+parametros_manuales!$D$27*(datos_base!$D$18+IF(parametros_manuales!$H$27="Todos",datos_base!$D$23,0))*parametros_manuales!$L$12+parametros_manuales!$E$27*(datos_base!$D$3+IF(parametros_manuales!$H$27="Todos",datos_base!$D$10,0))*parametros_manuales!$L$100+parametros_manuales!$E$27*(datos_base!$D$19+IF(parametros_manuales!$H$27="Todos",datos_base!$D$24,0))*parametros_manuales!$L$13+parametros_manuales!$F$27*(datos_base!$D$4+IF(parametros_manuales!$H$27="Todos",datos_base!$D$11,0))*parametros_manuales!$L$105+parametros_manuales!$F$27*(datos_base!$D$20+IF(parametros_manuales!$H$27="Todos",datos_base!$D$25,0))*parametros_manuales!$L$14+parametros_manuales!$G$27*(datos_base!$D$5+IF(parametros_manuales!$H$27="Todos",datos_base!$D$12,0))*parametros_manuales!$L$110+parametros_manuales!$G$27*(datos_base!$D$21+IF(parametros_manuales!$H$27="Todos",datos_base!$D$26,0))*parametros_manuales!$L$15)*parametros_manuales!$I$27*parametros_manuales!$J$27</f>
        <v>748.343798556</v>
      </c>
      <c r="M64" s="9" t="n">
        <f aca="false">(parametros_manuales!$D$27*(datos_base!$D$2+IF(parametros_manuales!$H$27="Todos",datos_base!$D$9,0))*parametros_manuales!$M$95+parametros_manuales!$D$27*(datos_base!$D$18+IF(parametros_manuales!$H$27="Todos",datos_base!$D$23,0))*parametros_manuales!$M$12+parametros_manuales!$E$27*(datos_base!$D$3+IF(parametros_manuales!$H$27="Todos",datos_base!$D$10,0))*parametros_manuales!$M$100+parametros_manuales!$E$27*(datos_base!$D$19+IF(parametros_manuales!$H$27="Todos",datos_base!$D$24,0))*parametros_manuales!$M$13+parametros_manuales!$F$27*(datos_base!$D$4+IF(parametros_manuales!$H$27="Todos",datos_base!$D$11,0))*parametros_manuales!$M$105+parametros_manuales!$F$27*(datos_base!$D$20+IF(parametros_manuales!$H$27="Todos",datos_base!$D$25,0))*parametros_manuales!$M$14+parametros_manuales!$G$27*(datos_base!$D$5+IF(parametros_manuales!$H$27="Todos",datos_base!$D$12,0))*parametros_manuales!$M$110+parametros_manuales!$G$27*(datos_base!$D$21+IF(parametros_manuales!$H$27="Todos",datos_base!$D$26,0))*parametros_manuales!$M$15)*parametros_manuales!$I$27*parametros_manuales!$J$27</f>
        <v>754.142198556</v>
      </c>
      <c r="N64" s="9" t="n">
        <f aca="false">SUM(B64:M64)</f>
        <v>8347.1444284</v>
      </c>
      <c r="O64" s="9" t="n">
        <f aca="false">MAX(B64:M64)</f>
        <v>754.142198556</v>
      </c>
      <c r="P64" s="44" t="n">
        <f aca="false">O64/(parametros_manuales!$B$7)</f>
        <v>5.02761465704</v>
      </c>
      <c r="Q64" s="8" t="str">
        <f aca="false">IF(O64=0,"-",INDEX($B$55:$M$55,MATCH(O64,B64:M64,0)))</f>
        <v>Dic</v>
      </c>
    </row>
    <row r="65" customFormat="false" ht="14.25" hidden="false" customHeight="true" outlineLevel="0" collapsed="false">
      <c r="A65" s="8" t="str">
        <f aca="false">parametros_manuales!$B$28</f>
        <v>Encastre de fondo</v>
      </c>
      <c r="B65" s="9" t="n">
        <f aca="false">(parametros_manuales!$D$28*(datos_base!$D$2+IF(parametros_manuales!$H$28="Todos",datos_base!$D$9,0))*parametros_manuales!$B$95+parametros_manuales!$D$28*(datos_base!$D$18+IF(parametros_manuales!$H$28="Todos",datos_base!$D$23,0))*parametros_manuales!$B$12+parametros_manuales!$E$28*(datos_base!$D$3+IF(parametros_manuales!$H$28="Todos",datos_base!$D$10,0))*parametros_manuales!$B$100+parametros_manuales!$E$28*(datos_base!$D$19+IF(parametros_manuales!$H$28="Todos",datos_base!$D$24,0))*parametros_manuales!$B$13+parametros_manuales!$F$28*(datos_base!$D$4+IF(parametros_manuales!$H$28="Todos",datos_base!$D$11,0))*parametros_manuales!$B$105+parametros_manuales!$F$28*(datos_base!$D$20+IF(parametros_manuales!$H$28="Todos",datos_base!$D$25,0))*parametros_manuales!$B$14+parametros_manuales!$G$28*(datos_base!$D$5+IF(parametros_manuales!$H$28="Todos",datos_base!$D$12,0))*parametros_manuales!$B$110+parametros_manuales!$G$28*(datos_base!$D$21+IF(parametros_manuales!$H$28="Todos",datos_base!$D$26,0))*parametros_manuales!$B$15)*parametros_manuales!$I$28*parametros_manuales!$J$28</f>
        <v>2058.965896776</v>
      </c>
      <c r="C65" s="9" t="n">
        <f aca="false">(parametros_manuales!$D$28*(datos_base!$D$2+IF(parametros_manuales!$H$28="Todos",datos_base!$D$9,0))*parametros_manuales!$C$95+parametros_manuales!$D$28*(datos_base!$D$18+IF(parametros_manuales!$H$28="Todos",datos_base!$D$23,0))*parametros_manuales!$C$12+parametros_manuales!$E$28*(datos_base!$D$3+IF(parametros_manuales!$H$28="Todos",datos_base!$D$10,0))*parametros_manuales!$C$100+parametros_manuales!$E$28*(datos_base!$D$19+IF(parametros_manuales!$H$28="Todos",datos_base!$D$24,0))*parametros_manuales!$C$13+parametros_manuales!$F$28*(datos_base!$D$4+IF(parametros_manuales!$H$28="Todos",datos_base!$D$11,0))*parametros_manuales!$C$105+parametros_manuales!$F$28*(datos_base!$D$20+IF(parametros_manuales!$H$28="Todos",datos_base!$D$25,0))*parametros_manuales!$C$14+parametros_manuales!$G$28*(datos_base!$D$5+IF(parametros_manuales!$H$28="Todos",datos_base!$D$12,0))*parametros_manuales!$C$110+parametros_manuales!$G$28*(datos_base!$D$21+IF(parametros_manuales!$H$28="Todos",datos_base!$D$26,0))*parametros_manuales!$C$15)*parametros_manuales!$I$28*parametros_manuales!$J$28</f>
        <v>1974.044852492</v>
      </c>
      <c r="D65" s="9" t="n">
        <f aca="false">(parametros_manuales!$D$28*(datos_base!$D$2+IF(parametros_manuales!$H$28="Todos",datos_base!$D$9,0))*parametros_manuales!$D$95+parametros_manuales!$D$28*(datos_base!$D$18+IF(parametros_manuales!$H$28="Todos",datos_base!$D$23,0))*parametros_manuales!$D$12+parametros_manuales!$E$28*(datos_base!$D$3+IF(parametros_manuales!$H$28="Todos",datos_base!$D$10,0))*parametros_manuales!$D$100+parametros_manuales!$E$28*(datos_base!$D$19+IF(parametros_manuales!$H$28="Todos",datos_base!$D$24,0))*parametros_manuales!$D$13+parametros_manuales!$F$28*(datos_base!$D$4+IF(parametros_manuales!$H$28="Todos",datos_base!$D$11,0))*parametros_manuales!$D$105+parametros_manuales!$F$28*(datos_base!$D$20+IF(parametros_manuales!$H$28="Todos",datos_base!$D$25,0))*parametros_manuales!$D$14+parametros_manuales!$G$28*(datos_base!$D$5+IF(parametros_manuales!$H$28="Todos",datos_base!$D$12,0))*parametros_manuales!$D$110+parametros_manuales!$G$28*(datos_base!$D$21+IF(parametros_manuales!$H$28="Todos",datos_base!$D$26,0))*parametros_manuales!$D$15)*parametros_manuales!$I$28*parametros_manuales!$J$28</f>
        <v>1870.639097054</v>
      </c>
      <c r="E65" s="9" t="n">
        <f aca="false">(parametros_manuales!$D$28*(datos_base!$D$2+IF(parametros_manuales!$H$28="Todos",datos_base!$D$9,0))*parametros_manuales!$E$95+parametros_manuales!$D$28*(datos_base!$D$18+IF(parametros_manuales!$H$28="Todos",datos_base!$D$23,0))*parametros_manuales!$E$12+parametros_manuales!$E$28*(datos_base!$D$3+IF(parametros_manuales!$H$28="Todos",datos_base!$D$10,0))*parametros_manuales!$E$100+parametros_manuales!$E$28*(datos_base!$D$19+IF(parametros_manuales!$H$28="Todos",datos_base!$D$24,0))*parametros_manuales!$E$13+parametros_manuales!$F$28*(datos_base!$D$4+IF(parametros_manuales!$H$28="Todos",datos_base!$D$11,0))*parametros_manuales!$E$105+parametros_manuales!$F$28*(datos_base!$D$20+IF(parametros_manuales!$H$28="Todos",datos_base!$D$25,0))*parametros_manuales!$E$14+parametros_manuales!$G$28*(datos_base!$D$5+IF(parametros_manuales!$H$28="Todos",datos_base!$D$12,0))*parametros_manuales!$E$110+parametros_manuales!$G$28*(datos_base!$D$21+IF(parametros_manuales!$H$28="Todos",datos_base!$D$26,0))*parametros_manuales!$E$15)*parametros_manuales!$I$28*parametros_manuales!$J$28</f>
        <v>1798.068358264</v>
      </c>
      <c r="F65" s="9" t="n">
        <f aca="false">(parametros_manuales!$D$28*(datos_base!$D$2+IF(parametros_manuales!$H$28="Todos",datos_base!$D$9,0))*parametros_manuales!$F$95+parametros_manuales!$D$28*(datos_base!$D$18+IF(parametros_manuales!$H$28="Todos",datos_base!$D$23,0))*parametros_manuales!$F$12+parametros_manuales!$E$28*(datos_base!$D$3+IF(parametros_manuales!$H$28="Todos",datos_base!$D$10,0))*parametros_manuales!$F$100+parametros_manuales!$E$28*(datos_base!$D$19+IF(parametros_manuales!$H$28="Todos",datos_base!$D$24,0))*parametros_manuales!$F$13+parametros_manuales!$F$28*(datos_base!$D$4+IF(parametros_manuales!$H$28="Todos",datos_base!$D$11,0))*parametros_manuales!$F$105+parametros_manuales!$F$28*(datos_base!$D$20+IF(parametros_manuales!$H$28="Todos",datos_base!$D$25,0))*parametros_manuales!$F$14+parametros_manuales!$G$28*(datos_base!$D$5+IF(parametros_manuales!$H$28="Todos",datos_base!$D$12,0))*parametros_manuales!$F$110+parametros_manuales!$G$28*(datos_base!$D$21+IF(parametros_manuales!$H$28="Todos",datos_base!$D$26,0))*parametros_manuales!$F$15)*parametros_manuales!$I$28*parametros_manuales!$J$28</f>
        <v>1683.761897332</v>
      </c>
      <c r="G65" s="9" t="n">
        <f aca="false">(parametros_manuales!$D$28*(datos_base!$D$2+IF(parametros_manuales!$H$28="Todos",datos_base!$D$9,0))*parametros_manuales!$G$95+parametros_manuales!$D$28*(datos_base!$D$18+IF(parametros_manuales!$H$28="Todos",datos_base!$D$23,0))*parametros_manuales!$G$12+parametros_manuales!$E$28*(datos_base!$D$3+IF(parametros_manuales!$H$28="Todos",datos_base!$D$10,0))*parametros_manuales!$G$100+parametros_manuales!$E$28*(datos_base!$D$19+IF(parametros_manuales!$H$28="Todos",datos_base!$D$24,0))*parametros_manuales!$G$13+parametros_manuales!$F$28*(datos_base!$D$4+IF(parametros_manuales!$H$28="Todos",datos_base!$D$11,0))*parametros_manuales!$G$105+parametros_manuales!$F$28*(datos_base!$D$20+IF(parametros_manuales!$H$28="Todos",datos_base!$D$25,0))*parametros_manuales!$G$14+parametros_manuales!$G$28*(datos_base!$D$5+IF(parametros_manuales!$H$28="Todos",datos_base!$D$12,0))*parametros_manuales!$G$110+parametros_manuales!$G$28*(datos_base!$D$21+IF(parametros_manuales!$H$28="Todos",datos_base!$D$26,0))*parametros_manuales!$G$15)*parametros_manuales!$I$28*parametros_manuales!$J$28</f>
        <v>1642.02617519</v>
      </c>
      <c r="H65" s="9" t="n">
        <f aca="false">(parametros_manuales!$D$28*(datos_base!$D$2+IF(parametros_manuales!$H$28="Todos",datos_base!$D$9,0))*parametros_manuales!$H$95+parametros_manuales!$D$28*(datos_base!$D$18+IF(parametros_manuales!$H$28="Todos",datos_base!$D$23,0))*parametros_manuales!$H$12+parametros_manuales!$E$28*(datos_base!$D$3+IF(parametros_manuales!$H$28="Todos",datos_base!$D$10,0))*parametros_manuales!$H$100+parametros_manuales!$E$28*(datos_base!$D$19+IF(parametros_manuales!$H$28="Todos",datos_base!$D$24,0))*parametros_manuales!$H$13+parametros_manuales!$F$28*(datos_base!$D$4+IF(parametros_manuales!$H$28="Todos",datos_base!$D$11,0))*parametros_manuales!$H$105+parametros_manuales!$F$28*(datos_base!$D$20+IF(parametros_manuales!$H$28="Todos",datos_base!$D$25,0))*parametros_manuales!$H$14+parametros_manuales!$G$28*(datos_base!$D$5+IF(parametros_manuales!$H$28="Todos",datos_base!$D$12,0))*parametros_manuales!$H$110+parametros_manuales!$G$28*(datos_base!$D$21+IF(parametros_manuales!$H$28="Todos",datos_base!$D$26,0))*parametros_manuales!$H$15)*parametros_manuales!$I$28*parametros_manuales!$J$28</f>
        <v>1756.332636122</v>
      </c>
      <c r="I65" s="9" t="n">
        <f aca="false">(parametros_manuales!$D$28*(datos_base!$D$2+IF(parametros_manuales!$H$28="Todos",datos_base!$D$9,0))*parametros_manuales!$I$95+parametros_manuales!$D$28*(datos_base!$D$18+IF(parametros_manuales!$H$28="Todos",datos_base!$D$23,0))*parametros_manuales!$I$12+parametros_manuales!$E$28*(datos_base!$D$3+IF(parametros_manuales!$H$28="Todos",datos_base!$D$10,0))*parametros_manuales!$I$100+parametros_manuales!$E$28*(datos_base!$D$19+IF(parametros_manuales!$H$28="Todos",datos_base!$D$24,0))*parametros_manuales!$I$13+parametros_manuales!$F$28*(datos_base!$D$4+IF(parametros_manuales!$H$28="Todos",datos_base!$D$11,0))*parametros_manuales!$I$105+parametros_manuales!$F$28*(datos_base!$D$20+IF(parametros_manuales!$H$28="Todos",datos_base!$D$25,0))*parametros_manuales!$I$14+parametros_manuales!$G$28*(datos_base!$D$5+IF(parametros_manuales!$H$28="Todos",datos_base!$D$12,0))*parametros_manuales!$I$110+parametros_manuales!$G$28*(datos_base!$D$21+IF(parametros_manuales!$H$28="Todos",datos_base!$D$26,0))*parametros_manuales!$I$15)*parametros_manuales!$I$28*parametros_manuales!$J$28</f>
        <v>1974.044852492</v>
      </c>
      <c r="J65" s="9" t="n">
        <f aca="false">(parametros_manuales!$D$28*(datos_base!$D$2+IF(parametros_manuales!$H$28="Todos",datos_base!$D$9,0))*parametros_manuales!$J$95+parametros_manuales!$D$28*(datos_base!$D$18+IF(parametros_manuales!$H$28="Todos",datos_base!$D$23,0))*parametros_manuales!$J$12+parametros_manuales!$E$28*(datos_base!$D$3+IF(parametros_manuales!$H$28="Todos",datos_base!$D$10,0))*parametros_manuales!$J$100+parametros_manuales!$E$28*(datos_base!$D$19+IF(parametros_manuales!$H$28="Todos",datos_base!$D$24,0))*parametros_manuales!$J$13+parametros_manuales!$F$28*(datos_base!$D$4+IF(parametros_manuales!$H$28="Todos",datos_base!$D$11,0))*parametros_manuales!$J$105+parametros_manuales!$F$28*(datos_base!$D$20+IF(parametros_manuales!$H$28="Todos",datos_base!$D$25,0))*parametros_manuales!$J$14+parametros_manuales!$G$28*(datos_base!$D$5+IF(parametros_manuales!$H$28="Todos",datos_base!$D$12,0))*parametros_manuales!$J$110+parametros_manuales!$G$28*(datos_base!$D$21+IF(parametros_manuales!$H$28="Todos",datos_base!$D$26,0))*parametros_manuales!$J$15)*parametros_manuales!$I$28*parametros_manuales!$J$28</f>
        <v>1974.044852492</v>
      </c>
      <c r="K65" s="9" t="n">
        <f aca="false">(parametros_manuales!$D$28*(datos_base!$D$2+IF(parametros_manuales!$H$28="Todos",datos_base!$D$9,0))*parametros_manuales!$K$95+parametros_manuales!$D$28*(datos_base!$D$18+IF(parametros_manuales!$H$28="Todos",datos_base!$D$23,0))*parametros_manuales!$K$12+parametros_manuales!$E$28*(datos_base!$D$3+IF(parametros_manuales!$H$28="Todos",datos_base!$D$10,0))*parametros_manuales!$K$100+parametros_manuales!$E$28*(datos_base!$D$19+IF(parametros_manuales!$H$28="Todos",datos_base!$D$24,0))*parametros_manuales!$K$13+parametros_manuales!$F$28*(datos_base!$D$4+IF(parametros_manuales!$H$28="Todos",datos_base!$D$11,0))*parametros_manuales!$K$105+parametros_manuales!$F$28*(datos_base!$D$20+IF(parametros_manuales!$H$28="Todos",datos_base!$D$25,0))*parametros_manuales!$K$14+parametros_manuales!$G$28*(datos_base!$D$5+IF(parametros_manuales!$H$28="Todos",datos_base!$D$12,0))*parametros_manuales!$K$110+parametros_manuales!$G$28*(datos_base!$D$21+IF(parametros_manuales!$H$28="Todos",datos_base!$D$26,0))*parametros_manuales!$K$15)*parametros_manuales!$I$28*parametros_manuales!$J$28</f>
        <v>2014.330974634</v>
      </c>
      <c r="L65" s="9" t="n">
        <f aca="false">(parametros_manuales!$D$28*(datos_base!$D$2+IF(parametros_manuales!$H$28="Todos",datos_base!$D$9,0))*parametros_manuales!$L$95+parametros_manuales!$D$28*(datos_base!$D$18+IF(parametros_manuales!$H$28="Todos",datos_base!$D$23,0))*parametros_manuales!$L$12+parametros_manuales!$E$28*(datos_base!$D$3+IF(parametros_manuales!$H$28="Todos",datos_base!$D$10,0))*parametros_manuales!$L$100+parametros_manuales!$E$28*(datos_base!$D$19+IF(parametros_manuales!$H$28="Todos",datos_base!$D$24,0))*parametros_manuales!$L$13+parametros_manuales!$F$28*(datos_base!$D$4+IF(parametros_manuales!$H$28="Todos",datos_base!$D$11,0))*parametros_manuales!$L$105+parametros_manuales!$F$28*(datos_base!$D$20+IF(parametros_manuales!$H$28="Todos",datos_base!$D$25,0))*parametros_manuales!$L$14+parametros_manuales!$G$28*(datos_base!$D$5+IF(parametros_manuales!$H$28="Todos",datos_base!$D$12,0))*parametros_manuales!$L$110+parametros_manuales!$G$28*(datos_base!$D$21+IF(parametros_manuales!$H$28="Todos",datos_base!$D$26,0))*parametros_manuales!$L$15)*parametros_manuales!$I$28*parametros_manuales!$J$28</f>
        <v>2054.617096776</v>
      </c>
      <c r="M65" s="9" t="n">
        <f aca="false">(parametros_manuales!$D$28*(datos_base!$D$2+IF(parametros_manuales!$H$28="Todos",datos_base!$D$9,0))*parametros_manuales!$M$95+parametros_manuales!$D$28*(datos_base!$D$18+IF(parametros_manuales!$H$28="Todos",datos_base!$D$23,0))*parametros_manuales!$M$12+parametros_manuales!$E$28*(datos_base!$D$3+IF(parametros_manuales!$H$28="Todos",datos_base!$D$10,0))*parametros_manuales!$M$100+parametros_manuales!$E$28*(datos_base!$D$19+IF(parametros_manuales!$H$28="Todos",datos_base!$D$24,0))*parametros_manuales!$M$13+parametros_manuales!$F$28*(datos_base!$D$4+IF(parametros_manuales!$H$28="Todos",datos_base!$D$11,0))*parametros_manuales!$M$105+parametros_manuales!$F$28*(datos_base!$D$20+IF(parametros_manuales!$H$28="Todos",datos_base!$D$25,0))*parametros_manuales!$M$14+parametros_manuales!$G$28*(datos_base!$D$5+IF(parametros_manuales!$H$28="Todos",datos_base!$D$12,0))*parametros_manuales!$M$110+parametros_manuales!$G$28*(datos_base!$D$21+IF(parametros_manuales!$H$28="Todos",datos_base!$D$26,0))*parametros_manuales!$M$15)*parametros_manuales!$I$28*parametros_manuales!$J$28</f>
        <v>2060.415496776</v>
      </c>
      <c r="N65" s="9" t="n">
        <f aca="false">SUM(B65:M65)</f>
        <v>22861.2921864</v>
      </c>
      <c r="O65" s="9" t="n">
        <f aca="false">MAX(B65:M65)</f>
        <v>2060.415496776</v>
      </c>
      <c r="P65" s="44" t="n">
        <f aca="false">O65/(parametros_manuales!$B$7)</f>
        <v>13.73610331184</v>
      </c>
      <c r="Q65" s="8" t="str">
        <f aca="false">IF(O65=0,"-",INDEX($B$55:$M$55,MATCH(O65,B65:M65,0)))</f>
        <v>Dic</v>
      </c>
    </row>
    <row r="66" customFormat="false" ht="14.25" hidden="false" customHeight="true" outlineLevel="0" collapsed="false">
      <c r="A66" s="8" t="str">
        <f aca="false">parametros_manuales!$B$29</f>
        <v>Bordoneado</v>
      </c>
      <c r="B66" s="9" t="n">
        <f aca="false">(parametros_manuales!$D$29*(datos_base!$D$2+IF(parametros_manuales!$H$29="Todos",datos_base!$D$9,0))*parametros_manuales!$B$95+parametros_manuales!$D$29*(datos_base!$D$18+IF(parametros_manuales!$H$29="Todos",datos_base!$D$23,0))*parametros_manuales!$B$12+parametros_manuales!$E$29*(datos_base!$D$3+IF(parametros_manuales!$H$29="Todos",datos_base!$D$10,0))*parametros_manuales!$B$100+parametros_manuales!$E$29*(datos_base!$D$19+IF(parametros_manuales!$H$29="Todos",datos_base!$D$24,0))*parametros_manuales!$B$13+parametros_manuales!$F$29*(datos_base!$D$4+IF(parametros_manuales!$H$29="Todos",datos_base!$D$11,0))*parametros_manuales!$B$105+parametros_manuales!$F$29*(datos_base!$D$20+IF(parametros_manuales!$H$29="Todos",datos_base!$D$25,0))*parametros_manuales!$B$14+parametros_manuales!$G$29*(datos_base!$D$5+IF(parametros_manuales!$H$29="Todos",datos_base!$D$12,0))*parametros_manuales!$B$110+parametros_manuales!$G$29*(datos_base!$D$21+IF(parametros_manuales!$H$29="Todos",datos_base!$D$26,0))*parametros_manuales!$B$15)*parametros_manuales!$I$29*parametros_manuales!$J$29</f>
        <v>2058.965896776</v>
      </c>
      <c r="C66" s="9" t="n">
        <f aca="false">(parametros_manuales!$D$29*(datos_base!$D$2+IF(parametros_manuales!$H$29="Todos",datos_base!$D$9,0))*parametros_manuales!$C$95+parametros_manuales!$D$29*(datos_base!$D$18+IF(parametros_manuales!$H$29="Todos",datos_base!$D$23,0))*parametros_manuales!$C$12+parametros_manuales!$E$29*(datos_base!$D$3+IF(parametros_manuales!$H$29="Todos",datos_base!$D$10,0))*parametros_manuales!$C$100+parametros_manuales!$E$29*(datos_base!$D$19+IF(parametros_manuales!$H$29="Todos",datos_base!$D$24,0))*parametros_manuales!$C$13+parametros_manuales!$F$29*(datos_base!$D$4+IF(parametros_manuales!$H$29="Todos",datos_base!$D$11,0))*parametros_manuales!$C$105+parametros_manuales!$F$29*(datos_base!$D$20+IF(parametros_manuales!$H$29="Todos",datos_base!$D$25,0))*parametros_manuales!$C$14+parametros_manuales!$G$29*(datos_base!$D$5+IF(parametros_manuales!$H$29="Todos",datos_base!$D$12,0))*parametros_manuales!$C$110+parametros_manuales!$G$29*(datos_base!$D$21+IF(parametros_manuales!$H$29="Todos",datos_base!$D$26,0))*parametros_manuales!$C$15)*parametros_manuales!$I$29*parametros_manuales!$J$29</f>
        <v>1974.044852492</v>
      </c>
      <c r="D66" s="9" t="n">
        <f aca="false">(parametros_manuales!$D$29*(datos_base!$D$2+IF(parametros_manuales!$H$29="Todos",datos_base!$D$9,0))*parametros_manuales!$D$95+parametros_manuales!$D$29*(datos_base!$D$18+IF(parametros_manuales!$H$29="Todos",datos_base!$D$23,0))*parametros_manuales!$D$12+parametros_manuales!$E$29*(datos_base!$D$3+IF(parametros_manuales!$H$29="Todos",datos_base!$D$10,0))*parametros_manuales!$D$100+parametros_manuales!$E$29*(datos_base!$D$19+IF(parametros_manuales!$H$29="Todos",datos_base!$D$24,0))*parametros_manuales!$D$13+parametros_manuales!$F$29*(datos_base!$D$4+IF(parametros_manuales!$H$29="Todos",datos_base!$D$11,0))*parametros_manuales!$D$105+parametros_manuales!$F$29*(datos_base!$D$20+IF(parametros_manuales!$H$29="Todos",datos_base!$D$25,0))*parametros_manuales!$D$14+parametros_manuales!$G$29*(datos_base!$D$5+IF(parametros_manuales!$H$29="Todos",datos_base!$D$12,0))*parametros_manuales!$D$110+parametros_manuales!$G$29*(datos_base!$D$21+IF(parametros_manuales!$H$29="Todos",datos_base!$D$26,0))*parametros_manuales!$D$15)*parametros_manuales!$I$29*parametros_manuales!$J$29</f>
        <v>1870.639097054</v>
      </c>
      <c r="E66" s="9" t="n">
        <f aca="false">(parametros_manuales!$D$29*(datos_base!$D$2+IF(parametros_manuales!$H$29="Todos",datos_base!$D$9,0))*parametros_manuales!$E$95+parametros_manuales!$D$29*(datos_base!$D$18+IF(parametros_manuales!$H$29="Todos",datos_base!$D$23,0))*parametros_manuales!$E$12+parametros_manuales!$E$29*(datos_base!$D$3+IF(parametros_manuales!$H$29="Todos",datos_base!$D$10,0))*parametros_manuales!$E$100+parametros_manuales!$E$29*(datos_base!$D$19+IF(parametros_manuales!$H$29="Todos",datos_base!$D$24,0))*parametros_manuales!$E$13+parametros_manuales!$F$29*(datos_base!$D$4+IF(parametros_manuales!$H$29="Todos",datos_base!$D$11,0))*parametros_manuales!$E$105+parametros_manuales!$F$29*(datos_base!$D$20+IF(parametros_manuales!$H$29="Todos",datos_base!$D$25,0))*parametros_manuales!$E$14+parametros_manuales!$G$29*(datos_base!$D$5+IF(parametros_manuales!$H$29="Todos",datos_base!$D$12,0))*parametros_manuales!$E$110+parametros_manuales!$G$29*(datos_base!$D$21+IF(parametros_manuales!$H$29="Todos",datos_base!$D$26,0))*parametros_manuales!$E$15)*parametros_manuales!$I$29*parametros_manuales!$J$29</f>
        <v>1798.068358264</v>
      </c>
      <c r="F66" s="9" t="n">
        <f aca="false">(parametros_manuales!$D$29*(datos_base!$D$2+IF(parametros_manuales!$H$29="Todos",datos_base!$D$9,0))*parametros_manuales!$F$95+parametros_manuales!$D$29*(datos_base!$D$18+IF(parametros_manuales!$H$29="Todos",datos_base!$D$23,0))*parametros_manuales!$F$12+parametros_manuales!$E$29*(datos_base!$D$3+IF(parametros_manuales!$H$29="Todos",datos_base!$D$10,0))*parametros_manuales!$F$100+parametros_manuales!$E$29*(datos_base!$D$19+IF(parametros_manuales!$H$29="Todos",datos_base!$D$24,0))*parametros_manuales!$F$13+parametros_manuales!$F$29*(datos_base!$D$4+IF(parametros_manuales!$H$29="Todos",datos_base!$D$11,0))*parametros_manuales!$F$105+parametros_manuales!$F$29*(datos_base!$D$20+IF(parametros_manuales!$H$29="Todos",datos_base!$D$25,0))*parametros_manuales!$F$14+parametros_manuales!$G$29*(datos_base!$D$5+IF(parametros_manuales!$H$29="Todos",datos_base!$D$12,0))*parametros_manuales!$F$110+parametros_manuales!$G$29*(datos_base!$D$21+IF(parametros_manuales!$H$29="Todos",datos_base!$D$26,0))*parametros_manuales!$F$15)*parametros_manuales!$I$29*parametros_manuales!$J$29</f>
        <v>1683.761897332</v>
      </c>
      <c r="G66" s="9" t="n">
        <f aca="false">(parametros_manuales!$D$29*(datos_base!$D$2+IF(parametros_manuales!$H$29="Todos",datos_base!$D$9,0))*parametros_manuales!$G$95+parametros_manuales!$D$29*(datos_base!$D$18+IF(parametros_manuales!$H$29="Todos",datos_base!$D$23,0))*parametros_manuales!$G$12+parametros_manuales!$E$29*(datos_base!$D$3+IF(parametros_manuales!$H$29="Todos",datos_base!$D$10,0))*parametros_manuales!$G$100+parametros_manuales!$E$29*(datos_base!$D$19+IF(parametros_manuales!$H$29="Todos",datos_base!$D$24,0))*parametros_manuales!$G$13+parametros_manuales!$F$29*(datos_base!$D$4+IF(parametros_manuales!$H$29="Todos",datos_base!$D$11,0))*parametros_manuales!$G$105+parametros_manuales!$F$29*(datos_base!$D$20+IF(parametros_manuales!$H$29="Todos",datos_base!$D$25,0))*parametros_manuales!$G$14+parametros_manuales!$G$29*(datos_base!$D$5+IF(parametros_manuales!$H$29="Todos",datos_base!$D$12,0))*parametros_manuales!$G$110+parametros_manuales!$G$29*(datos_base!$D$21+IF(parametros_manuales!$H$29="Todos",datos_base!$D$26,0))*parametros_manuales!$G$15)*parametros_manuales!$I$29*parametros_manuales!$J$29</f>
        <v>1642.02617519</v>
      </c>
      <c r="H66" s="9" t="n">
        <f aca="false">(parametros_manuales!$D$29*(datos_base!$D$2+IF(parametros_manuales!$H$29="Todos",datos_base!$D$9,0))*parametros_manuales!$H$95+parametros_manuales!$D$29*(datos_base!$D$18+IF(parametros_manuales!$H$29="Todos",datos_base!$D$23,0))*parametros_manuales!$H$12+parametros_manuales!$E$29*(datos_base!$D$3+IF(parametros_manuales!$H$29="Todos",datos_base!$D$10,0))*parametros_manuales!$H$100+parametros_manuales!$E$29*(datos_base!$D$19+IF(parametros_manuales!$H$29="Todos",datos_base!$D$24,0))*parametros_manuales!$H$13+parametros_manuales!$F$29*(datos_base!$D$4+IF(parametros_manuales!$H$29="Todos",datos_base!$D$11,0))*parametros_manuales!$H$105+parametros_manuales!$F$29*(datos_base!$D$20+IF(parametros_manuales!$H$29="Todos",datos_base!$D$25,0))*parametros_manuales!$H$14+parametros_manuales!$G$29*(datos_base!$D$5+IF(parametros_manuales!$H$29="Todos",datos_base!$D$12,0))*parametros_manuales!$H$110+parametros_manuales!$G$29*(datos_base!$D$21+IF(parametros_manuales!$H$29="Todos",datos_base!$D$26,0))*parametros_manuales!$H$15)*parametros_manuales!$I$29*parametros_manuales!$J$29</f>
        <v>1756.332636122</v>
      </c>
      <c r="I66" s="9" t="n">
        <f aca="false">(parametros_manuales!$D$29*(datos_base!$D$2+IF(parametros_manuales!$H$29="Todos",datos_base!$D$9,0))*parametros_manuales!$I$95+parametros_manuales!$D$29*(datos_base!$D$18+IF(parametros_manuales!$H$29="Todos",datos_base!$D$23,0))*parametros_manuales!$I$12+parametros_manuales!$E$29*(datos_base!$D$3+IF(parametros_manuales!$H$29="Todos",datos_base!$D$10,0))*parametros_manuales!$I$100+parametros_manuales!$E$29*(datos_base!$D$19+IF(parametros_manuales!$H$29="Todos",datos_base!$D$24,0))*parametros_manuales!$I$13+parametros_manuales!$F$29*(datos_base!$D$4+IF(parametros_manuales!$H$29="Todos",datos_base!$D$11,0))*parametros_manuales!$I$105+parametros_manuales!$F$29*(datos_base!$D$20+IF(parametros_manuales!$H$29="Todos",datos_base!$D$25,0))*parametros_manuales!$I$14+parametros_manuales!$G$29*(datos_base!$D$5+IF(parametros_manuales!$H$29="Todos",datos_base!$D$12,0))*parametros_manuales!$I$110+parametros_manuales!$G$29*(datos_base!$D$21+IF(parametros_manuales!$H$29="Todos",datos_base!$D$26,0))*parametros_manuales!$I$15)*parametros_manuales!$I$29*parametros_manuales!$J$29</f>
        <v>1974.044852492</v>
      </c>
      <c r="J66" s="9" t="n">
        <f aca="false">(parametros_manuales!$D$29*(datos_base!$D$2+IF(parametros_manuales!$H$29="Todos",datos_base!$D$9,0))*parametros_manuales!$J$95+parametros_manuales!$D$29*(datos_base!$D$18+IF(parametros_manuales!$H$29="Todos",datos_base!$D$23,0))*parametros_manuales!$J$12+parametros_manuales!$E$29*(datos_base!$D$3+IF(parametros_manuales!$H$29="Todos",datos_base!$D$10,0))*parametros_manuales!$J$100+parametros_manuales!$E$29*(datos_base!$D$19+IF(parametros_manuales!$H$29="Todos",datos_base!$D$24,0))*parametros_manuales!$J$13+parametros_manuales!$F$29*(datos_base!$D$4+IF(parametros_manuales!$H$29="Todos",datos_base!$D$11,0))*parametros_manuales!$J$105+parametros_manuales!$F$29*(datos_base!$D$20+IF(parametros_manuales!$H$29="Todos",datos_base!$D$25,0))*parametros_manuales!$J$14+parametros_manuales!$G$29*(datos_base!$D$5+IF(parametros_manuales!$H$29="Todos",datos_base!$D$12,0))*parametros_manuales!$J$110+parametros_manuales!$G$29*(datos_base!$D$21+IF(parametros_manuales!$H$29="Todos",datos_base!$D$26,0))*parametros_manuales!$J$15)*parametros_manuales!$I$29*parametros_manuales!$J$29</f>
        <v>1974.044852492</v>
      </c>
      <c r="K66" s="9" t="n">
        <f aca="false">(parametros_manuales!$D$29*(datos_base!$D$2+IF(parametros_manuales!$H$29="Todos",datos_base!$D$9,0))*parametros_manuales!$K$95+parametros_manuales!$D$29*(datos_base!$D$18+IF(parametros_manuales!$H$29="Todos",datos_base!$D$23,0))*parametros_manuales!$K$12+parametros_manuales!$E$29*(datos_base!$D$3+IF(parametros_manuales!$H$29="Todos",datos_base!$D$10,0))*parametros_manuales!$K$100+parametros_manuales!$E$29*(datos_base!$D$19+IF(parametros_manuales!$H$29="Todos",datos_base!$D$24,0))*parametros_manuales!$K$13+parametros_manuales!$F$29*(datos_base!$D$4+IF(parametros_manuales!$H$29="Todos",datos_base!$D$11,0))*parametros_manuales!$K$105+parametros_manuales!$F$29*(datos_base!$D$20+IF(parametros_manuales!$H$29="Todos",datos_base!$D$25,0))*parametros_manuales!$K$14+parametros_manuales!$G$29*(datos_base!$D$5+IF(parametros_manuales!$H$29="Todos",datos_base!$D$12,0))*parametros_manuales!$K$110+parametros_manuales!$G$29*(datos_base!$D$21+IF(parametros_manuales!$H$29="Todos",datos_base!$D$26,0))*parametros_manuales!$K$15)*parametros_manuales!$I$29*parametros_manuales!$J$29</f>
        <v>2014.330974634</v>
      </c>
      <c r="L66" s="9" t="n">
        <f aca="false">(parametros_manuales!$D$29*(datos_base!$D$2+IF(parametros_manuales!$H$29="Todos",datos_base!$D$9,0))*parametros_manuales!$L$95+parametros_manuales!$D$29*(datos_base!$D$18+IF(parametros_manuales!$H$29="Todos",datos_base!$D$23,0))*parametros_manuales!$L$12+parametros_manuales!$E$29*(datos_base!$D$3+IF(parametros_manuales!$H$29="Todos",datos_base!$D$10,0))*parametros_manuales!$L$100+parametros_manuales!$E$29*(datos_base!$D$19+IF(parametros_manuales!$H$29="Todos",datos_base!$D$24,0))*parametros_manuales!$L$13+parametros_manuales!$F$29*(datos_base!$D$4+IF(parametros_manuales!$H$29="Todos",datos_base!$D$11,0))*parametros_manuales!$L$105+parametros_manuales!$F$29*(datos_base!$D$20+IF(parametros_manuales!$H$29="Todos",datos_base!$D$25,0))*parametros_manuales!$L$14+parametros_manuales!$G$29*(datos_base!$D$5+IF(parametros_manuales!$H$29="Todos",datos_base!$D$12,0))*parametros_manuales!$L$110+parametros_manuales!$G$29*(datos_base!$D$21+IF(parametros_manuales!$H$29="Todos",datos_base!$D$26,0))*parametros_manuales!$L$15)*parametros_manuales!$I$29*parametros_manuales!$J$29</f>
        <v>2054.617096776</v>
      </c>
      <c r="M66" s="9" t="n">
        <f aca="false">(parametros_manuales!$D$29*(datos_base!$D$2+IF(parametros_manuales!$H$29="Todos",datos_base!$D$9,0))*parametros_manuales!$M$95+parametros_manuales!$D$29*(datos_base!$D$18+IF(parametros_manuales!$H$29="Todos",datos_base!$D$23,0))*parametros_manuales!$M$12+parametros_manuales!$E$29*(datos_base!$D$3+IF(parametros_manuales!$H$29="Todos",datos_base!$D$10,0))*parametros_manuales!$M$100+parametros_manuales!$E$29*(datos_base!$D$19+IF(parametros_manuales!$H$29="Todos",datos_base!$D$24,0))*parametros_manuales!$M$13+parametros_manuales!$F$29*(datos_base!$D$4+IF(parametros_manuales!$H$29="Todos",datos_base!$D$11,0))*parametros_manuales!$M$105+parametros_manuales!$F$29*(datos_base!$D$20+IF(parametros_manuales!$H$29="Todos",datos_base!$D$25,0))*parametros_manuales!$M$14+parametros_manuales!$G$29*(datos_base!$D$5+IF(parametros_manuales!$H$29="Todos",datos_base!$D$12,0))*parametros_manuales!$M$110+parametros_manuales!$G$29*(datos_base!$D$21+IF(parametros_manuales!$H$29="Todos",datos_base!$D$26,0))*parametros_manuales!$M$15)*parametros_manuales!$I$29*parametros_manuales!$J$29</f>
        <v>2060.415496776</v>
      </c>
      <c r="N66" s="9" t="n">
        <f aca="false">SUM(B66:M66)</f>
        <v>22861.2921864</v>
      </c>
      <c r="O66" s="9" t="n">
        <f aca="false">MAX(B66:M66)</f>
        <v>2060.415496776</v>
      </c>
      <c r="P66" s="44" t="n">
        <f aca="false">O66/(parametros_manuales!$B$7)</f>
        <v>13.73610331184</v>
      </c>
      <c r="Q66" s="8" t="str">
        <f aca="false">IF(O66=0,"-",INDEX($B$55:$M$55,MATCH(O66,B66:M66,0)))</f>
        <v>Dic</v>
      </c>
    </row>
    <row r="67" customFormat="false" ht="14.25" hidden="false" customHeight="true" outlineLevel="0" collapsed="false">
      <c r="A67" s="8" t="str">
        <f aca="false">parametros_manuales!$B$30</f>
        <v>Soldadura circunferencial de cúpula y fondo</v>
      </c>
      <c r="B67" s="9" t="n">
        <f aca="false">(parametros_manuales!$D$30*(datos_base!$D$2+IF(parametros_manuales!$H$30="Todos",datos_base!$D$9,0))*parametros_manuales!$B$95+parametros_manuales!$D$30*(datos_base!$D$18+IF(parametros_manuales!$H$30="Todos",datos_base!$D$23,0))*parametros_manuales!$B$12+parametros_manuales!$E$30*(datos_base!$D$3+IF(parametros_manuales!$H$30="Todos",datos_base!$D$10,0))*parametros_manuales!$B$100+parametros_manuales!$E$30*(datos_base!$D$19+IF(parametros_manuales!$H$30="Todos",datos_base!$D$24,0))*parametros_manuales!$B$13+parametros_manuales!$F$30*(datos_base!$D$4+IF(parametros_manuales!$H$30="Todos",datos_base!$D$11,0))*parametros_manuales!$B$105+parametros_manuales!$F$30*(datos_base!$D$20+IF(parametros_manuales!$H$30="Todos",datos_base!$D$25,0))*parametros_manuales!$B$14+parametros_manuales!$G$30*(datos_base!$D$5+IF(parametros_manuales!$H$30="Todos",datos_base!$D$12,0))*parametros_manuales!$B$110+parametros_manuales!$G$30*(datos_base!$D$21+IF(parametros_manuales!$H$30="Todos",datos_base!$D$26,0))*parametros_manuales!$B$15)*parametros_manuales!$I$30*parametros_manuales!$J$30</f>
        <v>2058.965896776</v>
      </c>
      <c r="C67" s="9" t="n">
        <f aca="false">(parametros_manuales!$D$30*(datos_base!$D$2+IF(parametros_manuales!$H$30="Todos",datos_base!$D$9,0))*parametros_manuales!$C$95+parametros_manuales!$D$30*(datos_base!$D$18+IF(parametros_manuales!$H$30="Todos",datos_base!$D$23,0))*parametros_manuales!$C$12+parametros_manuales!$E$30*(datos_base!$D$3+IF(parametros_manuales!$H$30="Todos",datos_base!$D$10,0))*parametros_manuales!$C$100+parametros_manuales!$E$30*(datos_base!$D$19+IF(parametros_manuales!$H$30="Todos",datos_base!$D$24,0))*parametros_manuales!$C$13+parametros_manuales!$F$30*(datos_base!$D$4+IF(parametros_manuales!$H$30="Todos",datos_base!$D$11,0))*parametros_manuales!$C$105+parametros_manuales!$F$30*(datos_base!$D$20+IF(parametros_manuales!$H$30="Todos",datos_base!$D$25,0))*parametros_manuales!$C$14+parametros_manuales!$G$30*(datos_base!$D$5+IF(parametros_manuales!$H$30="Todos",datos_base!$D$12,0))*parametros_manuales!$C$110+parametros_manuales!$G$30*(datos_base!$D$21+IF(parametros_manuales!$H$30="Todos",datos_base!$D$26,0))*parametros_manuales!$C$15)*parametros_manuales!$I$30*parametros_manuales!$J$30</f>
        <v>1974.044852492</v>
      </c>
      <c r="D67" s="9" t="n">
        <f aca="false">(parametros_manuales!$D$30*(datos_base!$D$2+IF(parametros_manuales!$H$30="Todos",datos_base!$D$9,0))*parametros_manuales!$D$95+parametros_manuales!$D$30*(datos_base!$D$18+IF(parametros_manuales!$H$30="Todos",datos_base!$D$23,0))*parametros_manuales!$D$12+parametros_manuales!$E$30*(datos_base!$D$3+IF(parametros_manuales!$H$30="Todos",datos_base!$D$10,0))*parametros_manuales!$D$100+parametros_manuales!$E$30*(datos_base!$D$19+IF(parametros_manuales!$H$30="Todos",datos_base!$D$24,0))*parametros_manuales!$D$13+parametros_manuales!$F$30*(datos_base!$D$4+IF(parametros_manuales!$H$30="Todos",datos_base!$D$11,0))*parametros_manuales!$D$105+parametros_manuales!$F$30*(datos_base!$D$20+IF(parametros_manuales!$H$30="Todos",datos_base!$D$25,0))*parametros_manuales!$D$14+parametros_manuales!$G$30*(datos_base!$D$5+IF(parametros_manuales!$H$30="Todos",datos_base!$D$12,0))*parametros_manuales!$D$110+parametros_manuales!$G$30*(datos_base!$D$21+IF(parametros_manuales!$H$30="Todos",datos_base!$D$26,0))*parametros_manuales!$D$15)*parametros_manuales!$I$30*parametros_manuales!$J$30</f>
        <v>1870.639097054</v>
      </c>
      <c r="E67" s="9" t="n">
        <f aca="false">(parametros_manuales!$D$30*(datos_base!$D$2+IF(parametros_manuales!$H$30="Todos",datos_base!$D$9,0))*parametros_manuales!$E$95+parametros_manuales!$D$30*(datos_base!$D$18+IF(parametros_manuales!$H$30="Todos",datos_base!$D$23,0))*parametros_manuales!$E$12+parametros_manuales!$E$30*(datos_base!$D$3+IF(parametros_manuales!$H$30="Todos",datos_base!$D$10,0))*parametros_manuales!$E$100+parametros_manuales!$E$30*(datos_base!$D$19+IF(parametros_manuales!$H$30="Todos",datos_base!$D$24,0))*parametros_manuales!$E$13+parametros_manuales!$F$30*(datos_base!$D$4+IF(parametros_manuales!$H$30="Todos",datos_base!$D$11,0))*parametros_manuales!$E$105+parametros_manuales!$F$30*(datos_base!$D$20+IF(parametros_manuales!$H$30="Todos",datos_base!$D$25,0))*parametros_manuales!$E$14+parametros_manuales!$G$30*(datos_base!$D$5+IF(parametros_manuales!$H$30="Todos",datos_base!$D$12,0))*parametros_manuales!$E$110+parametros_manuales!$G$30*(datos_base!$D$21+IF(parametros_manuales!$H$30="Todos",datos_base!$D$26,0))*parametros_manuales!$E$15)*parametros_manuales!$I$30*parametros_manuales!$J$30</f>
        <v>1798.068358264</v>
      </c>
      <c r="F67" s="9" t="n">
        <f aca="false">(parametros_manuales!$D$30*(datos_base!$D$2+IF(parametros_manuales!$H$30="Todos",datos_base!$D$9,0))*parametros_manuales!$F$95+parametros_manuales!$D$30*(datos_base!$D$18+IF(parametros_manuales!$H$30="Todos",datos_base!$D$23,0))*parametros_manuales!$F$12+parametros_manuales!$E$30*(datos_base!$D$3+IF(parametros_manuales!$H$30="Todos",datos_base!$D$10,0))*parametros_manuales!$F$100+parametros_manuales!$E$30*(datos_base!$D$19+IF(parametros_manuales!$H$30="Todos",datos_base!$D$24,0))*parametros_manuales!$F$13+parametros_manuales!$F$30*(datos_base!$D$4+IF(parametros_manuales!$H$30="Todos",datos_base!$D$11,0))*parametros_manuales!$F$105+parametros_manuales!$F$30*(datos_base!$D$20+IF(parametros_manuales!$H$30="Todos",datos_base!$D$25,0))*parametros_manuales!$F$14+parametros_manuales!$G$30*(datos_base!$D$5+IF(parametros_manuales!$H$30="Todos",datos_base!$D$12,0))*parametros_manuales!$F$110+parametros_manuales!$G$30*(datos_base!$D$21+IF(parametros_manuales!$H$30="Todos",datos_base!$D$26,0))*parametros_manuales!$F$15)*parametros_manuales!$I$30*parametros_manuales!$J$30</f>
        <v>1683.761897332</v>
      </c>
      <c r="G67" s="9" t="n">
        <f aca="false">(parametros_manuales!$D$30*(datos_base!$D$2+IF(parametros_manuales!$H$30="Todos",datos_base!$D$9,0))*parametros_manuales!$G$95+parametros_manuales!$D$30*(datos_base!$D$18+IF(parametros_manuales!$H$30="Todos",datos_base!$D$23,0))*parametros_manuales!$G$12+parametros_manuales!$E$30*(datos_base!$D$3+IF(parametros_manuales!$H$30="Todos",datos_base!$D$10,0))*parametros_manuales!$G$100+parametros_manuales!$E$30*(datos_base!$D$19+IF(parametros_manuales!$H$30="Todos",datos_base!$D$24,0))*parametros_manuales!$G$13+parametros_manuales!$F$30*(datos_base!$D$4+IF(parametros_manuales!$H$30="Todos",datos_base!$D$11,0))*parametros_manuales!$G$105+parametros_manuales!$F$30*(datos_base!$D$20+IF(parametros_manuales!$H$30="Todos",datos_base!$D$25,0))*parametros_manuales!$G$14+parametros_manuales!$G$30*(datos_base!$D$5+IF(parametros_manuales!$H$30="Todos",datos_base!$D$12,0))*parametros_manuales!$G$110+parametros_manuales!$G$30*(datos_base!$D$21+IF(parametros_manuales!$H$30="Todos",datos_base!$D$26,0))*parametros_manuales!$G$15)*parametros_manuales!$I$30*parametros_manuales!$J$30</f>
        <v>1642.02617519</v>
      </c>
      <c r="H67" s="9" t="n">
        <f aca="false">(parametros_manuales!$D$30*(datos_base!$D$2+IF(parametros_manuales!$H$30="Todos",datos_base!$D$9,0))*parametros_manuales!$H$95+parametros_manuales!$D$30*(datos_base!$D$18+IF(parametros_manuales!$H$30="Todos",datos_base!$D$23,0))*parametros_manuales!$H$12+parametros_manuales!$E$30*(datos_base!$D$3+IF(parametros_manuales!$H$30="Todos",datos_base!$D$10,0))*parametros_manuales!$H$100+parametros_manuales!$E$30*(datos_base!$D$19+IF(parametros_manuales!$H$30="Todos",datos_base!$D$24,0))*parametros_manuales!$H$13+parametros_manuales!$F$30*(datos_base!$D$4+IF(parametros_manuales!$H$30="Todos",datos_base!$D$11,0))*parametros_manuales!$H$105+parametros_manuales!$F$30*(datos_base!$D$20+IF(parametros_manuales!$H$30="Todos",datos_base!$D$25,0))*parametros_manuales!$H$14+parametros_manuales!$G$30*(datos_base!$D$5+IF(parametros_manuales!$H$30="Todos",datos_base!$D$12,0))*parametros_manuales!$H$110+parametros_manuales!$G$30*(datos_base!$D$21+IF(parametros_manuales!$H$30="Todos",datos_base!$D$26,0))*parametros_manuales!$H$15)*parametros_manuales!$I$30*parametros_manuales!$J$30</f>
        <v>1756.332636122</v>
      </c>
      <c r="I67" s="9" t="n">
        <f aca="false">(parametros_manuales!$D$30*(datos_base!$D$2+IF(parametros_manuales!$H$30="Todos",datos_base!$D$9,0))*parametros_manuales!$I$95+parametros_manuales!$D$30*(datos_base!$D$18+IF(parametros_manuales!$H$30="Todos",datos_base!$D$23,0))*parametros_manuales!$I$12+parametros_manuales!$E$30*(datos_base!$D$3+IF(parametros_manuales!$H$30="Todos",datos_base!$D$10,0))*parametros_manuales!$I$100+parametros_manuales!$E$30*(datos_base!$D$19+IF(parametros_manuales!$H$30="Todos",datos_base!$D$24,0))*parametros_manuales!$I$13+parametros_manuales!$F$30*(datos_base!$D$4+IF(parametros_manuales!$H$30="Todos",datos_base!$D$11,0))*parametros_manuales!$I$105+parametros_manuales!$F$30*(datos_base!$D$20+IF(parametros_manuales!$H$30="Todos",datos_base!$D$25,0))*parametros_manuales!$I$14+parametros_manuales!$G$30*(datos_base!$D$5+IF(parametros_manuales!$H$30="Todos",datos_base!$D$12,0))*parametros_manuales!$I$110+parametros_manuales!$G$30*(datos_base!$D$21+IF(parametros_manuales!$H$30="Todos",datos_base!$D$26,0))*parametros_manuales!$I$15)*parametros_manuales!$I$30*parametros_manuales!$J$30</f>
        <v>1974.044852492</v>
      </c>
      <c r="J67" s="9" t="n">
        <f aca="false">(parametros_manuales!$D$30*(datos_base!$D$2+IF(parametros_manuales!$H$30="Todos",datos_base!$D$9,0))*parametros_manuales!$J$95+parametros_manuales!$D$30*(datos_base!$D$18+IF(parametros_manuales!$H$30="Todos",datos_base!$D$23,0))*parametros_manuales!$J$12+parametros_manuales!$E$30*(datos_base!$D$3+IF(parametros_manuales!$H$30="Todos",datos_base!$D$10,0))*parametros_manuales!$J$100+parametros_manuales!$E$30*(datos_base!$D$19+IF(parametros_manuales!$H$30="Todos",datos_base!$D$24,0))*parametros_manuales!$J$13+parametros_manuales!$F$30*(datos_base!$D$4+IF(parametros_manuales!$H$30="Todos",datos_base!$D$11,0))*parametros_manuales!$J$105+parametros_manuales!$F$30*(datos_base!$D$20+IF(parametros_manuales!$H$30="Todos",datos_base!$D$25,0))*parametros_manuales!$J$14+parametros_manuales!$G$30*(datos_base!$D$5+IF(parametros_manuales!$H$30="Todos",datos_base!$D$12,0))*parametros_manuales!$J$110+parametros_manuales!$G$30*(datos_base!$D$21+IF(parametros_manuales!$H$30="Todos",datos_base!$D$26,0))*parametros_manuales!$J$15)*parametros_manuales!$I$30*parametros_manuales!$J$30</f>
        <v>1974.044852492</v>
      </c>
      <c r="K67" s="9" t="n">
        <f aca="false">(parametros_manuales!$D$30*(datos_base!$D$2+IF(parametros_manuales!$H$30="Todos",datos_base!$D$9,0))*parametros_manuales!$K$95+parametros_manuales!$D$30*(datos_base!$D$18+IF(parametros_manuales!$H$30="Todos",datos_base!$D$23,0))*parametros_manuales!$K$12+parametros_manuales!$E$30*(datos_base!$D$3+IF(parametros_manuales!$H$30="Todos",datos_base!$D$10,0))*parametros_manuales!$K$100+parametros_manuales!$E$30*(datos_base!$D$19+IF(parametros_manuales!$H$30="Todos",datos_base!$D$24,0))*parametros_manuales!$K$13+parametros_manuales!$F$30*(datos_base!$D$4+IF(parametros_manuales!$H$30="Todos",datos_base!$D$11,0))*parametros_manuales!$K$105+parametros_manuales!$F$30*(datos_base!$D$20+IF(parametros_manuales!$H$30="Todos",datos_base!$D$25,0))*parametros_manuales!$K$14+parametros_manuales!$G$30*(datos_base!$D$5+IF(parametros_manuales!$H$30="Todos",datos_base!$D$12,0))*parametros_manuales!$K$110+parametros_manuales!$G$30*(datos_base!$D$21+IF(parametros_manuales!$H$30="Todos",datos_base!$D$26,0))*parametros_manuales!$K$15)*parametros_manuales!$I$30*parametros_manuales!$J$30</f>
        <v>2014.330974634</v>
      </c>
      <c r="L67" s="9" t="n">
        <f aca="false">(parametros_manuales!$D$30*(datos_base!$D$2+IF(parametros_manuales!$H$30="Todos",datos_base!$D$9,0))*parametros_manuales!$L$95+parametros_manuales!$D$30*(datos_base!$D$18+IF(parametros_manuales!$H$30="Todos",datos_base!$D$23,0))*parametros_manuales!$L$12+parametros_manuales!$E$30*(datos_base!$D$3+IF(parametros_manuales!$H$30="Todos",datos_base!$D$10,0))*parametros_manuales!$L$100+parametros_manuales!$E$30*(datos_base!$D$19+IF(parametros_manuales!$H$30="Todos",datos_base!$D$24,0))*parametros_manuales!$L$13+parametros_manuales!$F$30*(datos_base!$D$4+IF(parametros_manuales!$H$30="Todos",datos_base!$D$11,0))*parametros_manuales!$L$105+parametros_manuales!$F$30*(datos_base!$D$20+IF(parametros_manuales!$H$30="Todos",datos_base!$D$25,0))*parametros_manuales!$L$14+parametros_manuales!$G$30*(datos_base!$D$5+IF(parametros_manuales!$H$30="Todos",datos_base!$D$12,0))*parametros_manuales!$L$110+parametros_manuales!$G$30*(datos_base!$D$21+IF(parametros_manuales!$H$30="Todos",datos_base!$D$26,0))*parametros_manuales!$L$15)*parametros_manuales!$I$30*parametros_manuales!$J$30</f>
        <v>2054.617096776</v>
      </c>
      <c r="M67" s="9" t="n">
        <f aca="false">(parametros_manuales!$D$30*(datos_base!$D$2+IF(parametros_manuales!$H$30="Todos",datos_base!$D$9,0))*parametros_manuales!$M$95+parametros_manuales!$D$30*(datos_base!$D$18+IF(parametros_manuales!$H$30="Todos",datos_base!$D$23,0))*parametros_manuales!$M$12+parametros_manuales!$E$30*(datos_base!$D$3+IF(parametros_manuales!$H$30="Todos",datos_base!$D$10,0))*parametros_manuales!$M$100+parametros_manuales!$E$30*(datos_base!$D$19+IF(parametros_manuales!$H$30="Todos",datos_base!$D$24,0))*parametros_manuales!$M$13+parametros_manuales!$F$30*(datos_base!$D$4+IF(parametros_manuales!$H$30="Todos",datos_base!$D$11,0))*parametros_manuales!$M$105+parametros_manuales!$F$30*(datos_base!$D$20+IF(parametros_manuales!$H$30="Todos",datos_base!$D$25,0))*parametros_manuales!$M$14+parametros_manuales!$G$30*(datos_base!$D$5+IF(parametros_manuales!$H$30="Todos",datos_base!$D$12,0))*parametros_manuales!$M$110+parametros_manuales!$G$30*(datos_base!$D$21+IF(parametros_manuales!$H$30="Todos",datos_base!$D$26,0))*parametros_manuales!$M$15)*parametros_manuales!$I$30*parametros_manuales!$J$30</f>
        <v>2060.415496776</v>
      </c>
      <c r="N67" s="9" t="n">
        <f aca="false">SUM(B67:M67)</f>
        <v>22861.2921864</v>
      </c>
      <c r="O67" s="9" t="n">
        <f aca="false">MAX(B67:M67)</f>
        <v>2060.415496776</v>
      </c>
      <c r="P67" s="44" t="n">
        <f aca="false">O67/(parametros_manuales!$B$7)</f>
        <v>13.73610331184</v>
      </c>
      <c r="Q67" s="8" t="str">
        <f aca="false">IF(O67=0,"-",INDEX($B$55:$M$55,MATCH(O67,B67:M67,0)))</f>
        <v>Dic</v>
      </c>
    </row>
    <row r="68" customFormat="false" ht="14.25" hidden="false" customHeight="true" outlineLevel="0" collapsed="false">
      <c r="A68" s="8" t="str">
        <f aca="false">parametros_manuales!$B$31</f>
        <v>Control de calidad — Espesor</v>
      </c>
      <c r="B68" s="9" t="n">
        <f aca="false">(parametros_manuales!$D$31*(datos_base!$D$2+IF(parametros_manuales!$H$31="Todos",datos_base!$D$9,0))*parametros_manuales!$B$95+parametros_manuales!$D$31*(datos_base!$D$18+IF(parametros_manuales!$H$31="Todos",datos_base!$D$23,0))*parametros_manuales!$B$12+parametros_manuales!$E$31*(datos_base!$D$3+IF(parametros_manuales!$H$31="Todos",datos_base!$D$10,0))*parametros_manuales!$B$100+parametros_manuales!$E$31*(datos_base!$D$19+IF(parametros_manuales!$H$31="Todos",datos_base!$D$24,0))*parametros_manuales!$B$13+parametros_manuales!$F$31*(datos_base!$D$4+IF(parametros_manuales!$H$31="Todos",datos_base!$D$11,0))*parametros_manuales!$B$105+parametros_manuales!$F$31*(datos_base!$D$20+IF(parametros_manuales!$H$31="Todos",datos_base!$D$25,0))*parametros_manuales!$B$14+parametros_manuales!$G$31*(datos_base!$D$5+IF(parametros_manuales!$H$31="Todos",datos_base!$D$12,0))*parametros_manuales!$B$110+parametros_manuales!$G$31*(datos_base!$D$21+IF(parametros_manuales!$H$31="Todos",datos_base!$D$26,0))*parametros_manuales!$B$15)*parametros_manuales!$I$31*parametros_manuales!$J$31</f>
        <v>41.17931793552</v>
      </c>
      <c r="C68" s="9" t="n">
        <f aca="false">(parametros_manuales!$D$31*(datos_base!$D$2+IF(parametros_manuales!$H$31="Todos",datos_base!$D$9,0))*parametros_manuales!$C$95+parametros_manuales!$D$31*(datos_base!$D$18+IF(parametros_manuales!$H$31="Todos",datos_base!$D$23,0))*parametros_manuales!$C$12+parametros_manuales!$E$31*(datos_base!$D$3+IF(parametros_manuales!$H$31="Todos",datos_base!$D$10,0))*parametros_manuales!$C$100+parametros_manuales!$E$31*(datos_base!$D$19+IF(parametros_manuales!$H$31="Todos",datos_base!$D$24,0))*parametros_manuales!$C$13+parametros_manuales!$F$31*(datos_base!$D$4+IF(parametros_manuales!$H$31="Todos",datos_base!$D$11,0))*parametros_manuales!$C$105+parametros_manuales!$F$31*(datos_base!$D$20+IF(parametros_manuales!$H$31="Todos",datos_base!$D$25,0))*parametros_manuales!$C$14+parametros_manuales!$G$31*(datos_base!$D$5+IF(parametros_manuales!$H$31="Todos",datos_base!$D$12,0))*parametros_manuales!$C$110+parametros_manuales!$G$31*(datos_base!$D$21+IF(parametros_manuales!$H$31="Todos",datos_base!$D$26,0))*parametros_manuales!$C$15)*parametros_manuales!$I$31*parametros_manuales!$J$31</f>
        <v>39.48089704984</v>
      </c>
      <c r="D68" s="9" t="n">
        <f aca="false">(parametros_manuales!$D$31*(datos_base!$D$2+IF(parametros_manuales!$H$31="Todos",datos_base!$D$9,0))*parametros_manuales!$D$95+parametros_manuales!$D$31*(datos_base!$D$18+IF(parametros_manuales!$H$31="Todos",datos_base!$D$23,0))*parametros_manuales!$D$12+parametros_manuales!$E$31*(datos_base!$D$3+IF(parametros_manuales!$H$31="Todos",datos_base!$D$10,0))*parametros_manuales!$D$100+parametros_manuales!$E$31*(datos_base!$D$19+IF(parametros_manuales!$H$31="Todos",datos_base!$D$24,0))*parametros_manuales!$D$13+parametros_manuales!$F$31*(datos_base!$D$4+IF(parametros_manuales!$H$31="Todos",datos_base!$D$11,0))*parametros_manuales!$D$105+parametros_manuales!$F$31*(datos_base!$D$20+IF(parametros_manuales!$H$31="Todos",datos_base!$D$25,0))*parametros_manuales!$D$14+parametros_manuales!$G$31*(datos_base!$D$5+IF(parametros_manuales!$H$31="Todos",datos_base!$D$12,0))*parametros_manuales!$D$110+parametros_manuales!$G$31*(datos_base!$D$21+IF(parametros_manuales!$H$31="Todos",datos_base!$D$26,0))*parametros_manuales!$D$15)*parametros_manuales!$I$31*parametros_manuales!$J$31</f>
        <v>37.41278194108</v>
      </c>
      <c r="E68" s="9" t="n">
        <f aca="false">(parametros_manuales!$D$31*(datos_base!$D$2+IF(parametros_manuales!$H$31="Todos",datos_base!$D$9,0))*parametros_manuales!$E$95+parametros_manuales!$D$31*(datos_base!$D$18+IF(parametros_manuales!$H$31="Todos",datos_base!$D$23,0))*parametros_manuales!$E$12+parametros_manuales!$E$31*(datos_base!$D$3+IF(parametros_manuales!$H$31="Todos",datos_base!$D$10,0))*parametros_manuales!$E$100+parametros_manuales!$E$31*(datos_base!$D$19+IF(parametros_manuales!$H$31="Todos",datos_base!$D$24,0))*parametros_manuales!$E$13+parametros_manuales!$F$31*(datos_base!$D$4+IF(parametros_manuales!$H$31="Todos",datos_base!$D$11,0))*parametros_manuales!$E$105+parametros_manuales!$F$31*(datos_base!$D$20+IF(parametros_manuales!$H$31="Todos",datos_base!$D$25,0))*parametros_manuales!$E$14+parametros_manuales!$G$31*(datos_base!$D$5+IF(parametros_manuales!$H$31="Todos",datos_base!$D$12,0))*parametros_manuales!$E$110+parametros_manuales!$G$31*(datos_base!$D$21+IF(parametros_manuales!$H$31="Todos",datos_base!$D$26,0))*parametros_manuales!$E$15)*parametros_manuales!$I$31*parametros_manuales!$J$31</f>
        <v>35.96136716528</v>
      </c>
      <c r="F68" s="9" t="n">
        <f aca="false">(parametros_manuales!$D$31*(datos_base!$D$2+IF(parametros_manuales!$H$31="Todos",datos_base!$D$9,0))*parametros_manuales!$F$95+parametros_manuales!$D$31*(datos_base!$D$18+IF(parametros_manuales!$H$31="Todos",datos_base!$D$23,0))*parametros_manuales!$F$12+parametros_manuales!$E$31*(datos_base!$D$3+IF(parametros_manuales!$H$31="Todos",datos_base!$D$10,0))*parametros_manuales!$F$100+parametros_manuales!$E$31*(datos_base!$D$19+IF(parametros_manuales!$H$31="Todos",datos_base!$D$24,0))*parametros_manuales!$F$13+parametros_manuales!$F$31*(datos_base!$D$4+IF(parametros_manuales!$H$31="Todos",datos_base!$D$11,0))*parametros_manuales!$F$105+parametros_manuales!$F$31*(datos_base!$D$20+IF(parametros_manuales!$H$31="Todos",datos_base!$D$25,0))*parametros_manuales!$F$14+parametros_manuales!$G$31*(datos_base!$D$5+IF(parametros_manuales!$H$31="Todos",datos_base!$D$12,0))*parametros_manuales!$F$110+parametros_manuales!$G$31*(datos_base!$D$21+IF(parametros_manuales!$H$31="Todos",datos_base!$D$26,0))*parametros_manuales!$F$15)*parametros_manuales!$I$31*parametros_manuales!$J$31</f>
        <v>33.67523794664</v>
      </c>
      <c r="G68" s="9" t="n">
        <f aca="false">(parametros_manuales!$D$31*(datos_base!$D$2+IF(parametros_manuales!$H$31="Todos",datos_base!$D$9,0))*parametros_manuales!$G$95+parametros_manuales!$D$31*(datos_base!$D$18+IF(parametros_manuales!$H$31="Todos",datos_base!$D$23,0))*parametros_manuales!$G$12+parametros_manuales!$E$31*(datos_base!$D$3+IF(parametros_manuales!$H$31="Todos",datos_base!$D$10,0))*parametros_manuales!$G$100+parametros_manuales!$E$31*(datos_base!$D$19+IF(parametros_manuales!$H$31="Todos",datos_base!$D$24,0))*parametros_manuales!$G$13+parametros_manuales!$F$31*(datos_base!$D$4+IF(parametros_manuales!$H$31="Todos",datos_base!$D$11,0))*parametros_manuales!$G$105+parametros_manuales!$F$31*(datos_base!$D$20+IF(parametros_manuales!$H$31="Todos",datos_base!$D$25,0))*parametros_manuales!$G$14+parametros_manuales!$G$31*(datos_base!$D$5+IF(parametros_manuales!$H$31="Todos",datos_base!$D$12,0))*parametros_manuales!$G$110+parametros_manuales!$G$31*(datos_base!$D$21+IF(parametros_manuales!$H$31="Todos",datos_base!$D$26,0))*parametros_manuales!$G$15)*parametros_manuales!$I$31*parametros_manuales!$J$31</f>
        <v>32.8405235038</v>
      </c>
      <c r="H68" s="9" t="n">
        <f aca="false">(parametros_manuales!$D$31*(datos_base!$D$2+IF(parametros_manuales!$H$31="Todos",datos_base!$D$9,0))*parametros_manuales!$H$95+parametros_manuales!$D$31*(datos_base!$D$18+IF(parametros_manuales!$H$31="Todos",datos_base!$D$23,0))*parametros_manuales!$H$12+parametros_manuales!$E$31*(datos_base!$D$3+IF(parametros_manuales!$H$31="Todos",datos_base!$D$10,0))*parametros_manuales!$H$100+parametros_manuales!$E$31*(datos_base!$D$19+IF(parametros_manuales!$H$31="Todos",datos_base!$D$24,0))*parametros_manuales!$H$13+parametros_manuales!$F$31*(datos_base!$D$4+IF(parametros_manuales!$H$31="Todos",datos_base!$D$11,0))*parametros_manuales!$H$105+parametros_manuales!$F$31*(datos_base!$D$20+IF(parametros_manuales!$H$31="Todos",datos_base!$D$25,0))*parametros_manuales!$H$14+parametros_manuales!$G$31*(datos_base!$D$5+IF(parametros_manuales!$H$31="Todos",datos_base!$D$12,0))*parametros_manuales!$H$110+parametros_manuales!$G$31*(datos_base!$D$21+IF(parametros_manuales!$H$31="Todos",datos_base!$D$26,0))*parametros_manuales!$H$15)*parametros_manuales!$I$31*parametros_manuales!$J$31</f>
        <v>35.12665272244</v>
      </c>
      <c r="I68" s="9" t="n">
        <f aca="false">(parametros_manuales!$D$31*(datos_base!$D$2+IF(parametros_manuales!$H$31="Todos",datos_base!$D$9,0))*parametros_manuales!$I$95+parametros_manuales!$D$31*(datos_base!$D$18+IF(parametros_manuales!$H$31="Todos",datos_base!$D$23,0))*parametros_manuales!$I$12+parametros_manuales!$E$31*(datos_base!$D$3+IF(parametros_manuales!$H$31="Todos",datos_base!$D$10,0))*parametros_manuales!$I$100+parametros_manuales!$E$31*(datos_base!$D$19+IF(parametros_manuales!$H$31="Todos",datos_base!$D$24,0))*parametros_manuales!$I$13+parametros_manuales!$F$31*(datos_base!$D$4+IF(parametros_manuales!$H$31="Todos",datos_base!$D$11,0))*parametros_manuales!$I$105+parametros_manuales!$F$31*(datos_base!$D$20+IF(parametros_manuales!$H$31="Todos",datos_base!$D$25,0))*parametros_manuales!$I$14+parametros_manuales!$G$31*(datos_base!$D$5+IF(parametros_manuales!$H$31="Todos",datos_base!$D$12,0))*parametros_manuales!$I$110+parametros_manuales!$G$31*(datos_base!$D$21+IF(parametros_manuales!$H$31="Todos",datos_base!$D$26,0))*parametros_manuales!$I$15)*parametros_manuales!$I$31*parametros_manuales!$J$31</f>
        <v>39.48089704984</v>
      </c>
      <c r="J68" s="9" t="n">
        <f aca="false">(parametros_manuales!$D$31*(datos_base!$D$2+IF(parametros_manuales!$H$31="Todos",datos_base!$D$9,0))*parametros_manuales!$J$95+parametros_manuales!$D$31*(datos_base!$D$18+IF(parametros_manuales!$H$31="Todos",datos_base!$D$23,0))*parametros_manuales!$J$12+parametros_manuales!$E$31*(datos_base!$D$3+IF(parametros_manuales!$H$31="Todos",datos_base!$D$10,0))*parametros_manuales!$J$100+parametros_manuales!$E$31*(datos_base!$D$19+IF(parametros_manuales!$H$31="Todos",datos_base!$D$24,0))*parametros_manuales!$J$13+parametros_manuales!$F$31*(datos_base!$D$4+IF(parametros_manuales!$H$31="Todos",datos_base!$D$11,0))*parametros_manuales!$J$105+parametros_manuales!$F$31*(datos_base!$D$20+IF(parametros_manuales!$H$31="Todos",datos_base!$D$25,0))*parametros_manuales!$J$14+parametros_manuales!$G$31*(datos_base!$D$5+IF(parametros_manuales!$H$31="Todos",datos_base!$D$12,0))*parametros_manuales!$J$110+parametros_manuales!$G$31*(datos_base!$D$21+IF(parametros_manuales!$H$31="Todos",datos_base!$D$26,0))*parametros_manuales!$J$15)*parametros_manuales!$I$31*parametros_manuales!$J$31</f>
        <v>39.48089704984</v>
      </c>
      <c r="K68" s="9" t="n">
        <f aca="false">(parametros_manuales!$D$31*(datos_base!$D$2+IF(parametros_manuales!$H$31="Todos",datos_base!$D$9,0))*parametros_manuales!$K$95+parametros_manuales!$D$31*(datos_base!$D$18+IF(parametros_manuales!$H$31="Todos",datos_base!$D$23,0))*parametros_manuales!$K$12+parametros_manuales!$E$31*(datos_base!$D$3+IF(parametros_manuales!$H$31="Todos",datos_base!$D$10,0))*parametros_manuales!$K$100+parametros_manuales!$E$31*(datos_base!$D$19+IF(parametros_manuales!$H$31="Todos",datos_base!$D$24,0))*parametros_manuales!$K$13+parametros_manuales!$F$31*(datos_base!$D$4+IF(parametros_manuales!$H$31="Todos",datos_base!$D$11,0))*parametros_manuales!$K$105+parametros_manuales!$F$31*(datos_base!$D$20+IF(parametros_manuales!$H$31="Todos",datos_base!$D$25,0))*parametros_manuales!$K$14+parametros_manuales!$G$31*(datos_base!$D$5+IF(parametros_manuales!$H$31="Todos",datos_base!$D$12,0))*parametros_manuales!$K$110+parametros_manuales!$G$31*(datos_base!$D$21+IF(parametros_manuales!$H$31="Todos",datos_base!$D$26,0))*parametros_manuales!$K$15)*parametros_manuales!$I$31*parametros_manuales!$J$31</f>
        <v>40.28661949268</v>
      </c>
      <c r="L68" s="9" t="n">
        <f aca="false">(parametros_manuales!$D$31*(datos_base!$D$2+IF(parametros_manuales!$H$31="Todos",datos_base!$D$9,0))*parametros_manuales!$L$95+parametros_manuales!$D$31*(datos_base!$D$18+IF(parametros_manuales!$H$31="Todos",datos_base!$D$23,0))*parametros_manuales!$L$12+parametros_manuales!$E$31*(datos_base!$D$3+IF(parametros_manuales!$H$31="Todos",datos_base!$D$10,0))*parametros_manuales!$L$100+parametros_manuales!$E$31*(datos_base!$D$19+IF(parametros_manuales!$H$31="Todos",datos_base!$D$24,0))*parametros_manuales!$L$13+parametros_manuales!$F$31*(datos_base!$D$4+IF(parametros_manuales!$H$31="Todos",datos_base!$D$11,0))*parametros_manuales!$L$105+parametros_manuales!$F$31*(datos_base!$D$20+IF(parametros_manuales!$H$31="Todos",datos_base!$D$25,0))*parametros_manuales!$L$14+parametros_manuales!$G$31*(datos_base!$D$5+IF(parametros_manuales!$H$31="Todos",datos_base!$D$12,0))*parametros_manuales!$L$110+parametros_manuales!$G$31*(datos_base!$D$21+IF(parametros_manuales!$H$31="Todos",datos_base!$D$26,0))*parametros_manuales!$L$15)*parametros_manuales!$I$31*parametros_manuales!$J$31</f>
        <v>41.09234193552</v>
      </c>
      <c r="M68" s="9" t="n">
        <f aca="false">(parametros_manuales!$D$31*(datos_base!$D$2+IF(parametros_manuales!$H$31="Todos",datos_base!$D$9,0))*parametros_manuales!$M$95+parametros_manuales!$D$31*(datos_base!$D$18+IF(parametros_manuales!$H$31="Todos",datos_base!$D$23,0))*parametros_manuales!$M$12+parametros_manuales!$E$31*(datos_base!$D$3+IF(parametros_manuales!$H$31="Todos",datos_base!$D$10,0))*parametros_manuales!$M$100+parametros_manuales!$E$31*(datos_base!$D$19+IF(parametros_manuales!$H$31="Todos",datos_base!$D$24,0))*parametros_manuales!$M$13+parametros_manuales!$F$31*(datos_base!$D$4+IF(parametros_manuales!$H$31="Todos",datos_base!$D$11,0))*parametros_manuales!$M$105+parametros_manuales!$F$31*(datos_base!$D$20+IF(parametros_manuales!$H$31="Todos",datos_base!$D$25,0))*parametros_manuales!$M$14+parametros_manuales!$G$31*(datos_base!$D$5+IF(parametros_manuales!$H$31="Todos",datos_base!$D$12,0))*parametros_manuales!$M$110+parametros_manuales!$G$31*(datos_base!$D$21+IF(parametros_manuales!$H$31="Todos",datos_base!$D$26,0))*parametros_manuales!$M$15)*parametros_manuales!$I$31*parametros_manuales!$J$31</f>
        <v>41.20830993552</v>
      </c>
      <c r="N68" s="9" t="n">
        <f aca="false">SUM(B68:M68)</f>
        <v>457.225843728</v>
      </c>
      <c r="O68" s="9" t="n">
        <f aca="false">MAX(B68:M68)</f>
        <v>41.20830993552</v>
      </c>
      <c r="P68" s="44" t="n">
        <f aca="false">O68/(parametros_manuales!$B$7)</f>
        <v>0.2747220662368</v>
      </c>
      <c r="Q68" s="8" t="str">
        <f aca="false">IF(O68=0,"-",INDEX($B$55:$M$55,MATCH(O68,B68:M68,0)))</f>
        <v>Dic</v>
      </c>
    </row>
    <row r="69" customFormat="false" ht="14.25" hidden="false" customHeight="true" outlineLevel="0" collapsed="false">
      <c r="A69" s="8" t="str">
        <f aca="false">parametros_manuales!$B$32</f>
        <v>Prueba hidráulica</v>
      </c>
      <c r="B69" s="9" t="n">
        <f aca="false">(parametros_manuales!$D$32*(datos_base!$D$2+IF(parametros_manuales!$H$32="Todos",datos_base!$D$9,0))*parametros_manuales!$B$95+parametros_manuales!$D$32*(datos_base!$D$18+IF(parametros_manuales!$H$32="Todos",datos_base!$D$23,0))*parametros_manuales!$B$12+parametros_manuales!$E$32*(datos_base!$D$3+IF(parametros_manuales!$H$32="Todos",datos_base!$D$10,0))*parametros_manuales!$B$100+parametros_manuales!$E$32*(datos_base!$D$19+IF(parametros_manuales!$H$32="Todos",datos_base!$D$24,0))*parametros_manuales!$B$13+parametros_manuales!$F$32*(datos_base!$D$4+IF(parametros_manuales!$H$32="Todos",datos_base!$D$11,0))*parametros_manuales!$B$105+parametros_manuales!$F$32*(datos_base!$D$20+IF(parametros_manuales!$H$32="Todos",datos_base!$D$25,0))*parametros_manuales!$B$14+parametros_manuales!$G$32*(datos_base!$D$5+IF(parametros_manuales!$H$32="Todos",datos_base!$D$12,0))*parametros_manuales!$B$110+parametros_manuales!$G$32*(datos_base!$D$21+IF(parametros_manuales!$H$32="Todos",datos_base!$D$26,0))*parametros_manuales!$B$15)*parametros_manuales!$I$32*parametros_manuales!$J$32</f>
        <v>2058.965896776</v>
      </c>
      <c r="C69" s="9" t="n">
        <f aca="false">(parametros_manuales!$D$32*(datos_base!$D$2+IF(parametros_manuales!$H$32="Todos",datos_base!$D$9,0))*parametros_manuales!$C$95+parametros_manuales!$D$32*(datos_base!$D$18+IF(parametros_manuales!$H$32="Todos",datos_base!$D$23,0))*parametros_manuales!$C$12+parametros_manuales!$E$32*(datos_base!$D$3+IF(parametros_manuales!$H$32="Todos",datos_base!$D$10,0))*parametros_manuales!$C$100+parametros_manuales!$E$32*(datos_base!$D$19+IF(parametros_manuales!$H$32="Todos",datos_base!$D$24,0))*parametros_manuales!$C$13+parametros_manuales!$F$32*(datos_base!$D$4+IF(parametros_manuales!$H$32="Todos",datos_base!$D$11,0))*parametros_manuales!$C$105+parametros_manuales!$F$32*(datos_base!$D$20+IF(parametros_manuales!$H$32="Todos",datos_base!$D$25,0))*parametros_manuales!$C$14+parametros_manuales!$G$32*(datos_base!$D$5+IF(parametros_manuales!$H$32="Todos",datos_base!$D$12,0))*parametros_manuales!$C$110+parametros_manuales!$G$32*(datos_base!$D$21+IF(parametros_manuales!$H$32="Todos",datos_base!$D$26,0))*parametros_manuales!$C$15)*parametros_manuales!$I$32*parametros_manuales!$J$32</f>
        <v>1974.044852492</v>
      </c>
      <c r="D69" s="9" t="n">
        <f aca="false">(parametros_manuales!$D$32*(datos_base!$D$2+IF(parametros_manuales!$H$32="Todos",datos_base!$D$9,0))*parametros_manuales!$D$95+parametros_manuales!$D$32*(datos_base!$D$18+IF(parametros_manuales!$H$32="Todos",datos_base!$D$23,0))*parametros_manuales!$D$12+parametros_manuales!$E$32*(datos_base!$D$3+IF(parametros_manuales!$H$32="Todos",datos_base!$D$10,0))*parametros_manuales!$D$100+parametros_manuales!$E$32*(datos_base!$D$19+IF(parametros_manuales!$H$32="Todos",datos_base!$D$24,0))*parametros_manuales!$D$13+parametros_manuales!$F$32*(datos_base!$D$4+IF(parametros_manuales!$H$32="Todos",datos_base!$D$11,0))*parametros_manuales!$D$105+parametros_manuales!$F$32*(datos_base!$D$20+IF(parametros_manuales!$H$32="Todos",datos_base!$D$25,0))*parametros_manuales!$D$14+parametros_manuales!$G$32*(datos_base!$D$5+IF(parametros_manuales!$H$32="Todos",datos_base!$D$12,0))*parametros_manuales!$D$110+parametros_manuales!$G$32*(datos_base!$D$21+IF(parametros_manuales!$H$32="Todos",datos_base!$D$26,0))*parametros_manuales!$D$15)*parametros_manuales!$I$32*parametros_manuales!$J$32</f>
        <v>1870.639097054</v>
      </c>
      <c r="E69" s="9" t="n">
        <f aca="false">(parametros_manuales!$D$32*(datos_base!$D$2+IF(parametros_manuales!$H$32="Todos",datos_base!$D$9,0))*parametros_manuales!$E$95+parametros_manuales!$D$32*(datos_base!$D$18+IF(parametros_manuales!$H$32="Todos",datos_base!$D$23,0))*parametros_manuales!$E$12+parametros_manuales!$E$32*(datos_base!$D$3+IF(parametros_manuales!$H$32="Todos",datos_base!$D$10,0))*parametros_manuales!$E$100+parametros_manuales!$E$32*(datos_base!$D$19+IF(parametros_manuales!$H$32="Todos",datos_base!$D$24,0))*parametros_manuales!$E$13+parametros_manuales!$F$32*(datos_base!$D$4+IF(parametros_manuales!$H$32="Todos",datos_base!$D$11,0))*parametros_manuales!$E$105+parametros_manuales!$F$32*(datos_base!$D$20+IF(parametros_manuales!$H$32="Todos",datos_base!$D$25,0))*parametros_manuales!$E$14+parametros_manuales!$G$32*(datos_base!$D$5+IF(parametros_manuales!$H$32="Todos",datos_base!$D$12,0))*parametros_manuales!$E$110+parametros_manuales!$G$32*(datos_base!$D$21+IF(parametros_manuales!$H$32="Todos",datos_base!$D$26,0))*parametros_manuales!$E$15)*parametros_manuales!$I$32*parametros_manuales!$J$32</f>
        <v>1798.068358264</v>
      </c>
      <c r="F69" s="9" t="n">
        <f aca="false">(parametros_manuales!$D$32*(datos_base!$D$2+IF(parametros_manuales!$H$32="Todos",datos_base!$D$9,0))*parametros_manuales!$F$95+parametros_manuales!$D$32*(datos_base!$D$18+IF(parametros_manuales!$H$32="Todos",datos_base!$D$23,0))*parametros_manuales!$F$12+parametros_manuales!$E$32*(datos_base!$D$3+IF(parametros_manuales!$H$32="Todos",datos_base!$D$10,0))*parametros_manuales!$F$100+parametros_manuales!$E$32*(datos_base!$D$19+IF(parametros_manuales!$H$32="Todos",datos_base!$D$24,0))*parametros_manuales!$F$13+parametros_manuales!$F$32*(datos_base!$D$4+IF(parametros_manuales!$H$32="Todos",datos_base!$D$11,0))*parametros_manuales!$F$105+parametros_manuales!$F$32*(datos_base!$D$20+IF(parametros_manuales!$H$32="Todos",datos_base!$D$25,0))*parametros_manuales!$F$14+parametros_manuales!$G$32*(datos_base!$D$5+IF(parametros_manuales!$H$32="Todos",datos_base!$D$12,0))*parametros_manuales!$F$110+parametros_manuales!$G$32*(datos_base!$D$21+IF(parametros_manuales!$H$32="Todos",datos_base!$D$26,0))*parametros_manuales!$F$15)*parametros_manuales!$I$32*parametros_manuales!$J$32</f>
        <v>1683.761897332</v>
      </c>
      <c r="G69" s="9" t="n">
        <f aca="false">(parametros_manuales!$D$32*(datos_base!$D$2+IF(parametros_manuales!$H$32="Todos",datos_base!$D$9,0))*parametros_manuales!$G$95+parametros_manuales!$D$32*(datos_base!$D$18+IF(parametros_manuales!$H$32="Todos",datos_base!$D$23,0))*parametros_manuales!$G$12+parametros_manuales!$E$32*(datos_base!$D$3+IF(parametros_manuales!$H$32="Todos",datos_base!$D$10,0))*parametros_manuales!$G$100+parametros_manuales!$E$32*(datos_base!$D$19+IF(parametros_manuales!$H$32="Todos",datos_base!$D$24,0))*parametros_manuales!$G$13+parametros_manuales!$F$32*(datos_base!$D$4+IF(parametros_manuales!$H$32="Todos",datos_base!$D$11,0))*parametros_manuales!$G$105+parametros_manuales!$F$32*(datos_base!$D$20+IF(parametros_manuales!$H$32="Todos",datos_base!$D$25,0))*parametros_manuales!$G$14+parametros_manuales!$G$32*(datos_base!$D$5+IF(parametros_manuales!$H$32="Todos",datos_base!$D$12,0))*parametros_manuales!$G$110+parametros_manuales!$G$32*(datos_base!$D$21+IF(parametros_manuales!$H$32="Todos",datos_base!$D$26,0))*parametros_manuales!$G$15)*parametros_manuales!$I$32*parametros_manuales!$J$32</f>
        <v>1642.02617519</v>
      </c>
      <c r="H69" s="9" t="n">
        <f aca="false">(parametros_manuales!$D$32*(datos_base!$D$2+IF(parametros_manuales!$H$32="Todos",datos_base!$D$9,0))*parametros_manuales!$H$95+parametros_manuales!$D$32*(datos_base!$D$18+IF(parametros_manuales!$H$32="Todos",datos_base!$D$23,0))*parametros_manuales!$H$12+parametros_manuales!$E$32*(datos_base!$D$3+IF(parametros_manuales!$H$32="Todos",datos_base!$D$10,0))*parametros_manuales!$H$100+parametros_manuales!$E$32*(datos_base!$D$19+IF(parametros_manuales!$H$32="Todos",datos_base!$D$24,0))*parametros_manuales!$H$13+parametros_manuales!$F$32*(datos_base!$D$4+IF(parametros_manuales!$H$32="Todos",datos_base!$D$11,0))*parametros_manuales!$H$105+parametros_manuales!$F$32*(datos_base!$D$20+IF(parametros_manuales!$H$32="Todos",datos_base!$D$25,0))*parametros_manuales!$H$14+parametros_manuales!$G$32*(datos_base!$D$5+IF(parametros_manuales!$H$32="Todos",datos_base!$D$12,0))*parametros_manuales!$H$110+parametros_manuales!$G$32*(datos_base!$D$21+IF(parametros_manuales!$H$32="Todos",datos_base!$D$26,0))*parametros_manuales!$H$15)*parametros_manuales!$I$32*parametros_manuales!$J$32</f>
        <v>1756.332636122</v>
      </c>
      <c r="I69" s="9" t="n">
        <f aca="false">(parametros_manuales!$D$32*(datos_base!$D$2+IF(parametros_manuales!$H$32="Todos",datos_base!$D$9,0))*parametros_manuales!$I$95+parametros_manuales!$D$32*(datos_base!$D$18+IF(parametros_manuales!$H$32="Todos",datos_base!$D$23,0))*parametros_manuales!$I$12+parametros_manuales!$E$32*(datos_base!$D$3+IF(parametros_manuales!$H$32="Todos",datos_base!$D$10,0))*parametros_manuales!$I$100+parametros_manuales!$E$32*(datos_base!$D$19+IF(parametros_manuales!$H$32="Todos",datos_base!$D$24,0))*parametros_manuales!$I$13+parametros_manuales!$F$32*(datos_base!$D$4+IF(parametros_manuales!$H$32="Todos",datos_base!$D$11,0))*parametros_manuales!$I$105+parametros_manuales!$F$32*(datos_base!$D$20+IF(parametros_manuales!$H$32="Todos",datos_base!$D$25,0))*parametros_manuales!$I$14+parametros_manuales!$G$32*(datos_base!$D$5+IF(parametros_manuales!$H$32="Todos",datos_base!$D$12,0))*parametros_manuales!$I$110+parametros_manuales!$G$32*(datos_base!$D$21+IF(parametros_manuales!$H$32="Todos",datos_base!$D$26,0))*parametros_manuales!$I$15)*parametros_manuales!$I$32*parametros_manuales!$J$32</f>
        <v>1974.044852492</v>
      </c>
      <c r="J69" s="9" t="n">
        <f aca="false">(parametros_manuales!$D$32*(datos_base!$D$2+IF(parametros_manuales!$H$32="Todos",datos_base!$D$9,0))*parametros_manuales!$J$95+parametros_manuales!$D$32*(datos_base!$D$18+IF(parametros_manuales!$H$32="Todos",datos_base!$D$23,0))*parametros_manuales!$J$12+parametros_manuales!$E$32*(datos_base!$D$3+IF(parametros_manuales!$H$32="Todos",datos_base!$D$10,0))*parametros_manuales!$J$100+parametros_manuales!$E$32*(datos_base!$D$19+IF(parametros_manuales!$H$32="Todos",datos_base!$D$24,0))*parametros_manuales!$J$13+parametros_manuales!$F$32*(datos_base!$D$4+IF(parametros_manuales!$H$32="Todos",datos_base!$D$11,0))*parametros_manuales!$J$105+parametros_manuales!$F$32*(datos_base!$D$20+IF(parametros_manuales!$H$32="Todos",datos_base!$D$25,0))*parametros_manuales!$J$14+parametros_manuales!$G$32*(datos_base!$D$5+IF(parametros_manuales!$H$32="Todos",datos_base!$D$12,0))*parametros_manuales!$J$110+parametros_manuales!$G$32*(datos_base!$D$21+IF(parametros_manuales!$H$32="Todos",datos_base!$D$26,0))*parametros_manuales!$J$15)*parametros_manuales!$I$32*parametros_manuales!$J$32</f>
        <v>1974.044852492</v>
      </c>
      <c r="K69" s="9" t="n">
        <f aca="false">(parametros_manuales!$D$32*(datos_base!$D$2+IF(parametros_manuales!$H$32="Todos",datos_base!$D$9,0))*parametros_manuales!$K$95+parametros_manuales!$D$32*(datos_base!$D$18+IF(parametros_manuales!$H$32="Todos",datos_base!$D$23,0))*parametros_manuales!$K$12+parametros_manuales!$E$32*(datos_base!$D$3+IF(parametros_manuales!$H$32="Todos",datos_base!$D$10,0))*parametros_manuales!$K$100+parametros_manuales!$E$32*(datos_base!$D$19+IF(parametros_manuales!$H$32="Todos",datos_base!$D$24,0))*parametros_manuales!$K$13+parametros_manuales!$F$32*(datos_base!$D$4+IF(parametros_manuales!$H$32="Todos",datos_base!$D$11,0))*parametros_manuales!$K$105+parametros_manuales!$F$32*(datos_base!$D$20+IF(parametros_manuales!$H$32="Todos",datos_base!$D$25,0))*parametros_manuales!$K$14+parametros_manuales!$G$32*(datos_base!$D$5+IF(parametros_manuales!$H$32="Todos",datos_base!$D$12,0))*parametros_manuales!$K$110+parametros_manuales!$G$32*(datos_base!$D$21+IF(parametros_manuales!$H$32="Todos",datos_base!$D$26,0))*parametros_manuales!$K$15)*parametros_manuales!$I$32*parametros_manuales!$J$32</f>
        <v>2014.330974634</v>
      </c>
      <c r="L69" s="9" t="n">
        <f aca="false">(parametros_manuales!$D$32*(datos_base!$D$2+IF(parametros_manuales!$H$32="Todos",datos_base!$D$9,0))*parametros_manuales!$L$95+parametros_manuales!$D$32*(datos_base!$D$18+IF(parametros_manuales!$H$32="Todos",datos_base!$D$23,0))*parametros_manuales!$L$12+parametros_manuales!$E$32*(datos_base!$D$3+IF(parametros_manuales!$H$32="Todos",datos_base!$D$10,0))*parametros_manuales!$L$100+parametros_manuales!$E$32*(datos_base!$D$19+IF(parametros_manuales!$H$32="Todos",datos_base!$D$24,0))*parametros_manuales!$L$13+parametros_manuales!$F$32*(datos_base!$D$4+IF(parametros_manuales!$H$32="Todos",datos_base!$D$11,0))*parametros_manuales!$L$105+parametros_manuales!$F$32*(datos_base!$D$20+IF(parametros_manuales!$H$32="Todos",datos_base!$D$25,0))*parametros_manuales!$L$14+parametros_manuales!$G$32*(datos_base!$D$5+IF(parametros_manuales!$H$32="Todos",datos_base!$D$12,0))*parametros_manuales!$L$110+parametros_manuales!$G$32*(datos_base!$D$21+IF(parametros_manuales!$H$32="Todos",datos_base!$D$26,0))*parametros_manuales!$L$15)*parametros_manuales!$I$32*parametros_manuales!$J$32</f>
        <v>2054.617096776</v>
      </c>
      <c r="M69" s="9" t="n">
        <f aca="false">(parametros_manuales!$D$32*(datos_base!$D$2+IF(parametros_manuales!$H$32="Todos",datos_base!$D$9,0))*parametros_manuales!$M$95+parametros_manuales!$D$32*(datos_base!$D$18+IF(parametros_manuales!$H$32="Todos",datos_base!$D$23,0))*parametros_manuales!$M$12+parametros_manuales!$E$32*(datos_base!$D$3+IF(parametros_manuales!$H$32="Todos",datos_base!$D$10,0))*parametros_manuales!$M$100+parametros_manuales!$E$32*(datos_base!$D$19+IF(parametros_manuales!$H$32="Todos",datos_base!$D$24,0))*parametros_manuales!$M$13+parametros_manuales!$F$32*(datos_base!$D$4+IF(parametros_manuales!$H$32="Todos",datos_base!$D$11,0))*parametros_manuales!$M$105+parametros_manuales!$F$32*(datos_base!$D$20+IF(parametros_manuales!$H$32="Todos",datos_base!$D$25,0))*parametros_manuales!$M$14+parametros_manuales!$G$32*(datos_base!$D$5+IF(parametros_manuales!$H$32="Todos",datos_base!$D$12,0))*parametros_manuales!$M$110+parametros_manuales!$G$32*(datos_base!$D$21+IF(parametros_manuales!$H$32="Todos",datos_base!$D$26,0))*parametros_manuales!$M$15)*parametros_manuales!$I$32*parametros_manuales!$J$32</f>
        <v>2060.415496776</v>
      </c>
      <c r="N69" s="9" t="n">
        <f aca="false">SUM(B69:M69)</f>
        <v>22861.2921864</v>
      </c>
      <c r="O69" s="9" t="n">
        <f aca="false">MAX(B69:M69)</f>
        <v>2060.415496776</v>
      </c>
      <c r="P69" s="44" t="n">
        <f aca="false">O69/(parametros_manuales!$B$7)</f>
        <v>13.73610331184</v>
      </c>
      <c r="Q69" s="8" t="str">
        <f aca="false">IF(O69=0,"-",INDEX($B$55:$M$55,MATCH(O69,B69:M69,0)))</f>
        <v>Dic</v>
      </c>
    </row>
    <row r="70" customFormat="false" ht="14.25" hidden="false" customHeight="true" outlineLevel="0" collapsed="false">
      <c r="A70" s="8" t="str">
        <f aca="false">parametros_manuales!$B$33</f>
        <v>Secado</v>
      </c>
      <c r="B70" s="9" t="n">
        <f aca="false">(parametros_manuales!$D$33*(datos_base!$D$2+IF(parametros_manuales!$H$33="Todos",datos_base!$D$9,0))*parametros_manuales!$B$95+parametros_manuales!$D$33*(datos_base!$D$18+IF(parametros_manuales!$H$33="Todos",datos_base!$D$23,0))*parametros_manuales!$B$12+parametros_manuales!$E$33*(datos_base!$D$3+IF(parametros_manuales!$H$33="Todos",datos_base!$D$10,0))*parametros_manuales!$B$100+parametros_manuales!$E$33*(datos_base!$D$19+IF(parametros_manuales!$H$33="Todos",datos_base!$D$24,0))*parametros_manuales!$B$13+parametros_manuales!$F$33*(datos_base!$D$4+IF(parametros_manuales!$H$33="Todos",datos_base!$D$11,0))*parametros_manuales!$B$105+parametros_manuales!$F$33*(datos_base!$D$20+IF(parametros_manuales!$H$33="Todos",datos_base!$D$25,0))*parametros_manuales!$B$14+parametros_manuales!$G$33*(datos_base!$D$5+IF(parametros_manuales!$H$33="Todos",datos_base!$D$12,0))*parametros_manuales!$B$110+parametros_manuales!$G$33*(datos_base!$D$21+IF(parametros_manuales!$H$33="Todos",datos_base!$D$26,0))*parametros_manuales!$B$15)*parametros_manuales!$I$33*parametros_manuales!$J$33</f>
        <v>2058.965896776</v>
      </c>
      <c r="C70" s="9" t="n">
        <f aca="false">(parametros_manuales!$D$33*(datos_base!$D$2+IF(parametros_manuales!$H$33="Todos",datos_base!$D$9,0))*parametros_manuales!$C$95+parametros_manuales!$D$33*(datos_base!$D$18+IF(parametros_manuales!$H$33="Todos",datos_base!$D$23,0))*parametros_manuales!$C$12+parametros_manuales!$E$33*(datos_base!$D$3+IF(parametros_manuales!$H$33="Todos",datos_base!$D$10,0))*parametros_manuales!$C$100+parametros_manuales!$E$33*(datos_base!$D$19+IF(parametros_manuales!$H$33="Todos",datos_base!$D$24,0))*parametros_manuales!$C$13+parametros_manuales!$F$33*(datos_base!$D$4+IF(parametros_manuales!$H$33="Todos",datos_base!$D$11,0))*parametros_manuales!$C$105+parametros_manuales!$F$33*(datos_base!$D$20+IF(parametros_manuales!$H$33="Todos",datos_base!$D$25,0))*parametros_manuales!$C$14+parametros_manuales!$G$33*(datos_base!$D$5+IF(parametros_manuales!$H$33="Todos",datos_base!$D$12,0))*parametros_manuales!$C$110+parametros_manuales!$G$33*(datos_base!$D$21+IF(parametros_manuales!$H$33="Todos",datos_base!$D$26,0))*parametros_manuales!$C$15)*parametros_manuales!$I$33*parametros_manuales!$J$33</f>
        <v>1974.044852492</v>
      </c>
      <c r="D70" s="9" t="n">
        <f aca="false">(parametros_manuales!$D$33*(datos_base!$D$2+IF(parametros_manuales!$H$33="Todos",datos_base!$D$9,0))*parametros_manuales!$D$95+parametros_manuales!$D$33*(datos_base!$D$18+IF(parametros_manuales!$H$33="Todos",datos_base!$D$23,0))*parametros_manuales!$D$12+parametros_manuales!$E$33*(datos_base!$D$3+IF(parametros_manuales!$H$33="Todos",datos_base!$D$10,0))*parametros_manuales!$D$100+parametros_manuales!$E$33*(datos_base!$D$19+IF(parametros_manuales!$H$33="Todos",datos_base!$D$24,0))*parametros_manuales!$D$13+parametros_manuales!$F$33*(datos_base!$D$4+IF(parametros_manuales!$H$33="Todos",datos_base!$D$11,0))*parametros_manuales!$D$105+parametros_manuales!$F$33*(datos_base!$D$20+IF(parametros_manuales!$H$33="Todos",datos_base!$D$25,0))*parametros_manuales!$D$14+parametros_manuales!$G$33*(datos_base!$D$5+IF(parametros_manuales!$H$33="Todos",datos_base!$D$12,0))*parametros_manuales!$D$110+parametros_manuales!$G$33*(datos_base!$D$21+IF(parametros_manuales!$H$33="Todos",datos_base!$D$26,0))*parametros_manuales!$D$15)*parametros_manuales!$I$33*parametros_manuales!$J$33</f>
        <v>1870.639097054</v>
      </c>
      <c r="E70" s="9" t="n">
        <f aca="false">(parametros_manuales!$D$33*(datos_base!$D$2+IF(parametros_manuales!$H$33="Todos",datos_base!$D$9,0))*parametros_manuales!$E$95+parametros_manuales!$D$33*(datos_base!$D$18+IF(parametros_manuales!$H$33="Todos",datos_base!$D$23,0))*parametros_manuales!$E$12+parametros_manuales!$E$33*(datos_base!$D$3+IF(parametros_manuales!$H$33="Todos",datos_base!$D$10,0))*parametros_manuales!$E$100+parametros_manuales!$E$33*(datos_base!$D$19+IF(parametros_manuales!$H$33="Todos",datos_base!$D$24,0))*parametros_manuales!$E$13+parametros_manuales!$F$33*(datos_base!$D$4+IF(parametros_manuales!$H$33="Todos",datos_base!$D$11,0))*parametros_manuales!$E$105+parametros_manuales!$F$33*(datos_base!$D$20+IF(parametros_manuales!$H$33="Todos",datos_base!$D$25,0))*parametros_manuales!$E$14+parametros_manuales!$G$33*(datos_base!$D$5+IF(parametros_manuales!$H$33="Todos",datos_base!$D$12,0))*parametros_manuales!$E$110+parametros_manuales!$G$33*(datos_base!$D$21+IF(parametros_manuales!$H$33="Todos",datos_base!$D$26,0))*parametros_manuales!$E$15)*parametros_manuales!$I$33*parametros_manuales!$J$33</f>
        <v>1798.068358264</v>
      </c>
      <c r="F70" s="9" t="n">
        <f aca="false">(parametros_manuales!$D$33*(datos_base!$D$2+IF(parametros_manuales!$H$33="Todos",datos_base!$D$9,0))*parametros_manuales!$F$95+parametros_manuales!$D$33*(datos_base!$D$18+IF(parametros_manuales!$H$33="Todos",datos_base!$D$23,0))*parametros_manuales!$F$12+parametros_manuales!$E$33*(datos_base!$D$3+IF(parametros_manuales!$H$33="Todos",datos_base!$D$10,0))*parametros_manuales!$F$100+parametros_manuales!$E$33*(datos_base!$D$19+IF(parametros_manuales!$H$33="Todos",datos_base!$D$24,0))*parametros_manuales!$F$13+parametros_manuales!$F$33*(datos_base!$D$4+IF(parametros_manuales!$H$33="Todos",datos_base!$D$11,0))*parametros_manuales!$F$105+parametros_manuales!$F$33*(datos_base!$D$20+IF(parametros_manuales!$H$33="Todos",datos_base!$D$25,0))*parametros_manuales!$F$14+parametros_manuales!$G$33*(datos_base!$D$5+IF(parametros_manuales!$H$33="Todos",datos_base!$D$12,0))*parametros_manuales!$F$110+parametros_manuales!$G$33*(datos_base!$D$21+IF(parametros_manuales!$H$33="Todos",datos_base!$D$26,0))*parametros_manuales!$F$15)*parametros_manuales!$I$33*parametros_manuales!$J$33</f>
        <v>1683.761897332</v>
      </c>
      <c r="G70" s="9" t="n">
        <f aca="false">(parametros_manuales!$D$33*(datos_base!$D$2+IF(parametros_manuales!$H$33="Todos",datos_base!$D$9,0))*parametros_manuales!$G$95+parametros_manuales!$D$33*(datos_base!$D$18+IF(parametros_manuales!$H$33="Todos",datos_base!$D$23,0))*parametros_manuales!$G$12+parametros_manuales!$E$33*(datos_base!$D$3+IF(parametros_manuales!$H$33="Todos",datos_base!$D$10,0))*parametros_manuales!$G$100+parametros_manuales!$E$33*(datos_base!$D$19+IF(parametros_manuales!$H$33="Todos",datos_base!$D$24,0))*parametros_manuales!$G$13+parametros_manuales!$F$33*(datos_base!$D$4+IF(parametros_manuales!$H$33="Todos",datos_base!$D$11,0))*parametros_manuales!$G$105+parametros_manuales!$F$33*(datos_base!$D$20+IF(parametros_manuales!$H$33="Todos",datos_base!$D$25,0))*parametros_manuales!$G$14+parametros_manuales!$G$33*(datos_base!$D$5+IF(parametros_manuales!$H$33="Todos",datos_base!$D$12,0))*parametros_manuales!$G$110+parametros_manuales!$G$33*(datos_base!$D$21+IF(parametros_manuales!$H$33="Todos",datos_base!$D$26,0))*parametros_manuales!$G$15)*parametros_manuales!$I$33*parametros_manuales!$J$33</f>
        <v>1642.02617519</v>
      </c>
      <c r="H70" s="9" t="n">
        <f aca="false">(parametros_manuales!$D$33*(datos_base!$D$2+IF(parametros_manuales!$H$33="Todos",datos_base!$D$9,0))*parametros_manuales!$H$95+parametros_manuales!$D$33*(datos_base!$D$18+IF(parametros_manuales!$H$33="Todos",datos_base!$D$23,0))*parametros_manuales!$H$12+parametros_manuales!$E$33*(datos_base!$D$3+IF(parametros_manuales!$H$33="Todos",datos_base!$D$10,0))*parametros_manuales!$H$100+parametros_manuales!$E$33*(datos_base!$D$19+IF(parametros_manuales!$H$33="Todos",datos_base!$D$24,0))*parametros_manuales!$H$13+parametros_manuales!$F$33*(datos_base!$D$4+IF(parametros_manuales!$H$33="Todos",datos_base!$D$11,0))*parametros_manuales!$H$105+parametros_manuales!$F$33*(datos_base!$D$20+IF(parametros_manuales!$H$33="Todos",datos_base!$D$25,0))*parametros_manuales!$H$14+parametros_manuales!$G$33*(datos_base!$D$5+IF(parametros_manuales!$H$33="Todos",datos_base!$D$12,0))*parametros_manuales!$H$110+parametros_manuales!$G$33*(datos_base!$D$21+IF(parametros_manuales!$H$33="Todos",datos_base!$D$26,0))*parametros_manuales!$H$15)*parametros_manuales!$I$33*parametros_manuales!$J$33</f>
        <v>1756.332636122</v>
      </c>
      <c r="I70" s="9" t="n">
        <f aca="false">(parametros_manuales!$D$33*(datos_base!$D$2+IF(parametros_manuales!$H$33="Todos",datos_base!$D$9,0))*parametros_manuales!$I$95+parametros_manuales!$D$33*(datos_base!$D$18+IF(parametros_manuales!$H$33="Todos",datos_base!$D$23,0))*parametros_manuales!$I$12+parametros_manuales!$E$33*(datos_base!$D$3+IF(parametros_manuales!$H$33="Todos",datos_base!$D$10,0))*parametros_manuales!$I$100+parametros_manuales!$E$33*(datos_base!$D$19+IF(parametros_manuales!$H$33="Todos",datos_base!$D$24,0))*parametros_manuales!$I$13+parametros_manuales!$F$33*(datos_base!$D$4+IF(parametros_manuales!$H$33="Todos",datos_base!$D$11,0))*parametros_manuales!$I$105+parametros_manuales!$F$33*(datos_base!$D$20+IF(parametros_manuales!$H$33="Todos",datos_base!$D$25,0))*parametros_manuales!$I$14+parametros_manuales!$G$33*(datos_base!$D$5+IF(parametros_manuales!$H$33="Todos",datos_base!$D$12,0))*parametros_manuales!$I$110+parametros_manuales!$G$33*(datos_base!$D$21+IF(parametros_manuales!$H$33="Todos",datos_base!$D$26,0))*parametros_manuales!$I$15)*parametros_manuales!$I$33*parametros_manuales!$J$33</f>
        <v>1974.044852492</v>
      </c>
      <c r="J70" s="9" t="n">
        <f aca="false">(parametros_manuales!$D$33*(datos_base!$D$2+IF(parametros_manuales!$H$33="Todos",datos_base!$D$9,0))*parametros_manuales!$J$95+parametros_manuales!$D$33*(datos_base!$D$18+IF(parametros_manuales!$H$33="Todos",datos_base!$D$23,0))*parametros_manuales!$J$12+parametros_manuales!$E$33*(datos_base!$D$3+IF(parametros_manuales!$H$33="Todos",datos_base!$D$10,0))*parametros_manuales!$J$100+parametros_manuales!$E$33*(datos_base!$D$19+IF(parametros_manuales!$H$33="Todos",datos_base!$D$24,0))*parametros_manuales!$J$13+parametros_manuales!$F$33*(datos_base!$D$4+IF(parametros_manuales!$H$33="Todos",datos_base!$D$11,0))*parametros_manuales!$J$105+parametros_manuales!$F$33*(datos_base!$D$20+IF(parametros_manuales!$H$33="Todos",datos_base!$D$25,0))*parametros_manuales!$J$14+parametros_manuales!$G$33*(datos_base!$D$5+IF(parametros_manuales!$H$33="Todos",datos_base!$D$12,0))*parametros_manuales!$J$110+parametros_manuales!$G$33*(datos_base!$D$21+IF(parametros_manuales!$H$33="Todos",datos_base!$D$26,0))*parametros_manuales!$J$15)*parametros_manuales!$I$33*parametros_manuales!$J$33</f>
        <v>1974.044852492</v>
      </c>
      <c r="K70" s="9" t="n">
        <f aca="false">(parametros_manuales!$D$33*(datos_base!$D$2+IF(parametros_manuales!$H$33="Todos",datos_base!$D$9,0))*parametros_manuales!$K$95+parametros_manuales!$D$33*(datos_base!$D$18+IF(parametros_manuales!$H$33="Todos",datos_base!$D$23,0))*parametros_manuales!$K$12+parametros_manuales!$E$33*(datos_base!$D$3+IF(parametros_manuales!$H$33="Todos",datos_base!$D$10,0))*parametros_manuales!$K$100+parametros_manuales!$E$33*(datos_base!$D$19+IF(parametros_manuales!$H$33="Todos",datos_base!$D$24,0))*parametros_manuales!$K$13+parametros_manuales!$F$33*(datos_base!$D$4+IF(parametros_manuales!$H$33="Todos",datos_base!$D$11,0))*parametros_manuales!$K$105+parametros_manuales!$F$33*(datos_base!$D$20+IF(parametros_manuales!$H$33="Todos",datos_base!$D$25,0))*parametros_manuales!$K$14+parametros_manuales!$G$33*(datos_base!$D$5+IF(parametros_manuales!$H$33="Todos",datos_base!$D$12,0))*parametros_manuales!$K$110+parametros_manuales!$G$33*(datos_base!$D$21+IF(parametros_manuales!$H$33="Todos",datos_base!$D$26,0))*parametros_manuales!$K$15)*parametros_manuales!$I$33*parametros_manuales!$J$33</f>
        <v>2014.330974634</v>
      </c>
      <c r="L70" s="9" t="n">
        <f aca="false">(parametros_manuales!$D$33*(datos_base!$D$2+IF(parametros_manuales!$H$33="Todos",datos_base!$D$9,0))*parametros_manuales!$L$95+parametros_manuales!$D$33*(datos_base!$D$18+IF(parametros_manuales!$H$33="Todos",datos_base!$D$23,0))*parametros_manuales!$L$12+parametros_manuales!$E$33*(datos_base!$D$3+IF(parametros_manuales!$H$33="Todos",datos_base!$D$10,0))*parametros_manuales!$L$100+parametros_manuales!$E$33*(datos_base!$D$19+IF(parametros_manuales!$H$33="Todos",datos_base!$D$24,0))*parametros_manuales!$L$13+parametros_manuales!$F$33*(datos_base!$D$4+IF(parametros_manuales!$H$33="Todos",datos_base!$D$11,0))*parametros_manuales!$L$105+parametros_manuales!$F$33*(datos_base!$D$20+IF(parametros_manuales!$H$33="Todos",datos_base!$D$25,0))*parametros_manuales!$L$14+parametros_manuales!$G$33*(datos_base!$D$5+IF(parametros_manuales!$H$33="Todos",datos_base!$D$12,0))*parametros_manuales!$L$110+parametros_manuales!$G$33*(datos_base!$D$21+IF(parametros_manuales!$H$33="Todos",datos_base!$D$26,0))*parametros_manuales!$L$15)*parametros_manuales!$I$33*parametros_manuales!$J$33</f>
        <v>2054.617096776</v>
      </c>
      <c r="M70" s="9" t="n">
        <f aca="false">(parametros_manuales!$D$33*(datos_base!$D$2+IF(parametros_manuales!$H$33="Todos",datos_base!$D$9,0))*parametros_manuales!$M$95+parametros_manuales!$D$33*(datos_base!$D$18+IF(parametros_manuales!$H$33="Todos",datos_base!$D$23,0))*parametros_manuales!$M$12+parametros_manuales!$E$33*(datos_base!$D$3+IF(parametros_manuales!$H$33="Todos",datos_base!$D$10,0))*parametros_manuales!$M$100+parametros_manuales!$E$33*(datos_base!$D$19+IF(parametros_manuales!$H$33="Todos",datos_base!$D$24,0))*parametros_manuales!$M$13+parametros_manuales!$F$33*(datos_base!$D$4+IF(parametros_manuales!$H$33="Todos",datos_base!$D$11,0))*parametros_manuales!$M$105+parametros_manuales!$F$33*(datos_base!$D$20+IF(parametros_manuales!$H$33="Todos",datos_base!$D$25,0))*parametros_manuales!$M$14+parametros_manuales!$G$33*(datos_base!$D$5+IF(parametros_manuales!$H$33="Todos",datos_base!$D$12,0))*parametros_manuales!$M$110+parametros_manuales!$G$33*(datos_base!$D$21+IF(parametros_manuales!$H$33="Todos",datos_base!$D$26,0))*parametros_manuales!$M$15)*parametros_manuales!$I$33*parametros_manuales!$J$33</f>
        <v>2060.415496776</v>
      </c>
      <c r="N70" s="9" t="n">
        <f aca="false">SUM(B70:M70)</f>
        <v>22861.2921864</v>
      </c>
      <c r="O70" s="9" t="n">
        <f aca="false">MAX(B70:M70)</f>
        <v>2060.415496776</v>
      </c>
      <c r="P70" s="44" t="n">
        <f aca="false">O70/(parametros_manuales!$B$7)</f>
        <v>13.73610331184</v>
      </c>
      <c r="Q70" s="8" t="str">
        <f aca="false">IF(O70=0,"-",INDEX($B$55:$M$55,MATCH(O70,B70:M70,0)))</f>
        <v>Dic</v>
      </c>
    </row>
    <row r="71" customFormat="false" ht="14.25" hidden="false" customHeight="true" outlineLevel="0" collapsed="false">
      <c r="A71" s="8" t="str">
        <f aca="false">parametros_manuales!$B$34</f>
        <v>Granallado</v>
      </c>
      <c r="B71" s="9" t="n">
        <f aca="false">(parametros_manuales!$D$34*(datos_base!$D$2+IF(parametros_manuales!$H$34="Todos",datos_base!$D$9,0))*parametros_manuales!$B$95+parametros_manuales!$D$34*(datos_base!$D$18+IF(parametros_manuales!$H$34="Todos",datos_base!$D$23,0))*parametros_manuales!$B$12+parametros_manuales!$E$34*(datos_base!$D$3+IF(parametros_manuales!$H$34="Todos",datos_base!$D$10,0))*parametros_manuales!$B$100+parametros_manuales!$E$34*(datos_base!$D$19+IF(parametros_manuales!$H$34="Todos",datos_base!$D$24,0))*parametros_manuales!$B$13+parametros_manuales!$F$34*(datos_base!$D$4+IF(parametros_manuales!$H$34="Todos",datos_base!$D$11,0))*parametros_manuales!$B$105+parametros_manuales!$F$34*(datos_base!$D$20+IF(parametros_manuales!$H$34="Todos",datos_base!$D$25,0))*parametros_manuales!$B$14+parametros_manuales!$G$34*(datos_base!$D$5+IF(parametros_manuales!$H$34="Todos",datos_base!$D$12,0))*parametros_manuales!$B$110+parametros_manuales!$G$34*(datos_base!$D$21+IF(parametros_manuales!$H$34="Todos",datos_base!$D$26,0))*parametros_manuales!$B$15)*parametros_manuales!$I$34*parametros_manuales!$J$34</f>
        <v>2058.965896776</v>
      </c>
      <c r="C71" s="9" t="n">
        <f aca="false">(parametros_manuales!$D$34*(datos_base!$D$2+IF(parametros_manuales!$H$34="Todos",datos_base!$D$9,0))*parametros_manuales!$C$95+parametros_manuales!$D$34*(datos_base!$D$18+IF(parametros_manuales!$H$34="Todos",datos_base!$D$23,0))*parametros_manuales!$C$12+parametros_manuales!$E$34*(datos_base!$D$3+IF(parametros_manuales!$H$34="Todos",datos_base!$D$10,0))*parametros_manuales!$C$100+parametros_manuales!$E$34*(datos_base!$D$19+IF(parametros_manuales!$H$34="Todos",datos_base!$D$24,0))*parametros_manuales!$C$13+parametros_manuales!$F$34*(datos_base!$D$4+IF(parametros_manuales!$H$34="Todos",datos_base!$D$11,0))*parametros_manuales!$C$105+parametros_manuales!$F$34*(datos_base!$D$20+IF(parametros_manuales!$H$34="Todos",datos_base!$D$25,0))*parametros_manuales!$C$14+parametros_manuales!$G$34*(datos_base!$D$5+IF(parametros_manuales!$H$34="Todos",datos_base!$D$12,0))*parametros_manuales!$C$110+parametros_manuales!$G$34*(datos_base!$D$21+IF(parametros_manuales!$H$34="Todos",datos_base!$D$26,0))*parametros_manuales!$C$15)*parametros_manuales!$I$34*parametros_manuales!$J$34</f>
        <v>1974.044852492</v>
      </c>
      <c r="D71" s="9" t="n">
        <f aca="false">(parametros_manuales!$D$34*(datos_base!$D$2+IF(parametros_manuales!$H$34="Todos",datos_base!$D$9,0))*parametros_manuales!$D$95+parametros_manuales!$D$34*(datos_base!$D$18+IF(parametros_manuales!$H$34="Todos",datos_base!$D$23,0))*parametros_manuales!$D$12+parametros_manuales!$E$34*(datos_base!$D$3+IF(parametros_manuales!$H$34="Todos",datos_base!$D$10,0))*parametros_manuales!$D$100+parametros_manuales!$E$34*(datos_base!$D$19+IF(parametros_manuales!$H$34="Todos",datos_base!$D$24,0))*parametros_manuales!$D$13+parametros_manuales!$F$34*(datos_base!$D$4+IF(parametros_manuales!$H$34="Todos",datos_base!$D$11,0))*parametros_manuales!$D$105+parametros_manuales!$F$34*(datos_base!$D$20+IF(parametros_manuales!$H$34="Todos",datos_base!$D$25,0))*parametros_manuales!$D$14+parametros_manuales!$G$34*(datos_base!$D$5+IF(parametros_manuales!$H$34="Todos",datos_base!$D$12,0))*parametros_manuales!$D$110+parametros_manuales!$G$34*(datos_base!$D$21+IF(parametros_manuales!$H$34="Todos",datos_base!$D$26,0))*parametros_manuales!$D$15)*parametros_manuales!$I$34*parametros_manuales!$J$34</f>
        <v>1870.639097054</v>
      </c>
      <c r="E71" s="9" t="n">
        <f aca="false">(parametros_manuales!$D$34*(datos_base!$D$2+IF(parametros_manuales!$H$34="Todos",datos_base!$D$9,0))*parametros_manuales!$E$95+parametros_manuales!$D$34*(datos_base!$D$18+IF(parametros_manuales!$H$34="Todos",datos_base!$D$23,0))*parametros_manuales!$E$12+parametros_manuales!$E$34*(datos_base!$D$3+IF(parametros_manuales!$H$34="Todos",datos_base!$D$10,0))*parametros_manuales!$E$100+parametros_manuales!$E$34*(datos_base!$D$19+IF(parametros_manuales!$H$34="Todos",datos_base!$D$24,0))*parametros_manuales!$E$13+parametros_manuales!$F$34*(datos_base!$D$4+IF(parametros_manuales!$H$34="Todos",datos_base!$D$11,0))*parametros_manuales!$E$105+parametros_manuales!$F$34*(datos_base!$D$20+IF(parametros_manuales!$H$34="Todos",datos_base!$D$25,0))*parametros_manuales!$E$14+parametros_manuales!$G$34*(datos_base!$D$5+IF(parametros_manuales!$H$34="Todos",datos_base!$D$12,0))*parametros_manuales!$E$110+parametros_manuales!$G$34*(datos_base!$D$21+IF(parametros_manuales!$H$34="Todos",datos_base!$D$26,0))*parametros_manuales!$E$15)*parametros_manuales!$I$34*parametros_manuales!$J$34</f>
        <v>1798.068358264</v>
      </c>
      <c r="F71" s="9" t="n">
        <f aca="false">(parametros_manuales!$D$34*(datos_base!$D$2+IF(parametros_manuales!$H$34="Todos",datos_base!$D$9,0))*parametros_manuales!$F$95+parametros_manuales!$D$34*(datos_base!$D$18+IF(parametros_manuales!$H$34="Todos",datos_base!$D$23,0))*parametros_manuales!$F$12+parametros_manuales!$E$34*(datos_base!$D$3+IF(parametros_manuales!$H$34="Todos",datos_base!$D$10,0))*parametros_manuales!$F$100+parametros_manuales!$E$34*(datos_base!$D$19+IF(parametros_manuales!$H$34="Todos",datos_base!$D$24,0))*parametros_manuales!$F$13+parametros_manuales!$F$34*(datos_base!$D$4+IF(parametros_manuales!$H$34="Todos",datos_base!$D$11,0))*parametros_manuales!$F$105+parametros_manuales!$F$34*(datos_base!$D$20+IF(parametros_manuales!$H$34="Todos",datos_base!$D$25,0))*parametros_manuales!$F$14+parametros_manuales!$G$34*(datos_base!$D$5+IF(parametros_manuales!$H$34="Todos",datos_base!$D$12,0))*parametros_manuales!$F$110+parametros_manuales!$G$34*(datos_base!$D$21+IF(parametros_manuales!$H$34="Todos",datos_base!$D$26,0))*parametros_manuales!$F$15)*parametros_manuales!$I$34*parametros_manuales!$J$34</f>
        <v>1683.761897332</v>
      </c>
      <c r="G71" s="9" t="n">
        <f aca="false">(parametros_manuales!$D$34*(datos_base!$D$2+IF(parametros_manuales!$H$34="Todos",datos_base!$D$9,0))*parametros_manuales!$G$95+parametros_manuales!$D$34*(datos_base!$D$18+IF(parametros_manuales!$H$34="Todos",datos_base!$D$23,0))*parametros_manuales!$G$12+parametros_manuales!$E$34*(datos_base!$D$3+IF(parametros_manuales!$H$34="Todos",datos_base!$D$10,0))*parametros_manuales!$G$100+parametros_manuales!$E$34*(datos_base!$D$19+IF(parametros_manuales!$H$34="Todos",datos_base!$D$24,0))*parametros_manuales!$G$13+parametros_manuales!$F$34*(datos_base!$D$4+IF(parametros_manuales!$H$34="Todos",datos_base!$D$11,0))*parametros_manuales!$G$105+parametros_manuales!$F$34*(datos_base!$D$20+IF(parametros_manuales!$H$34="Todos",datos_base!$D$25,0))*parametros_manuales!$G$14+parametros_manuales!$G$34*(datos_base!$D$5+IF(parametros_manuales!$H$34="Todos",datos_base!$D$12,0))*parametros_manuales!$G$110+parametros_manuales!$G$34*(datos_base!$D$21+IF(parametros_manuales!$H$34="Todos",datos_base!$D$26,0))*parametros_manuales!$G$15)*parametros_manuales!$I$34*parametros_manuales!$J$34</f>
        <v>1642.02617519</v>
      </c>
      <c r="H71" s="9" t="n">
        <f aca="false">(parametros_manuales!$D$34*(datos_base!$D$2+IF(parametros_manuales!$H$34="Todos",datos_base!$D$9,0))*parametros_manuales!$H$95+parametros_manuales!$D$34*(datos_base!$D$18+IF(parametros_manuales!$H$34="Todos",datos_base!$D$23,0))*parametros_manuales!$H$12+parametros_manuales!$E$34*(datos_base!$D$3+IF(parametros_manuales!$H$34="Todos",datos_base!$D$10,0))*parametros_manuales!$H$100+parametros_manuales!$E$34*(datos_base!$D$19+IF(parametros_manuales!$H$34="Todos",datos_base!$D$24,0))*parametros_manuales!$H$13+parametros_manuales!$F$34*(datos_base!$D$4+IF(parametros_manuales!$H$34="Todos",datos_base!$D$11,0))*parametros_manuales!$H$105+parametros_manuales!$F$34*(datos_base!$D$20+IF(parametros_manuales!$H$34="Todos",datos_base!$D$25,0))*parametros_manuales!$H$14+parametros_manuales!$G$34*(datos_base!$D$5+IF(parametros_manuales!$H$34="Todos",datos_base!$D$12,0))*parametros_manuales!$H$110+parametros_manuales!$G$34*(datos_base!$D$21+IF(parametros_manuales!$H$34="Todos",datos_base!$D$26,0))*parametros_manuales!$H$15)*parametros_manuales!$I$34*parametros_manuales!$J$34</f>
        <v>1756.332636122</v>
      </c>
      <c r="I71" s="9" t="n">
        <f aca="false">(parametros_manuales!$D$34*(datos_base!$D$2+IF(parametros_manuales!$H$34="Todos",datos_base!$D$9,0))*parametros_manuales!$I$95+parametros_manuales!$D$34*(datos_base!$D$18+IF(parametros_manuales!$H$34="Todos",datos_base!$D$23,0))*parametros_manuales!$I$12+parametros_manuales!$E$34*(datos_base!$D$3+IF(parametros_manuales!$H$34="Todos",datos_base!$D$10,0))*parametros_manuales!$I$100+parametros_manuales!$E$34*(datos_base!$D$19+IF(parametros_manuales!$H$34="Todos",datos_base!$D$24,0))*parametros_manuales!$I$13+parametros_manuales!$F$34*(datos_base!$D$4+IF(parametros_manuales!$H$34="Todos",datos_base!$D$11,0))*parametros_manuales!$I$105+parametros_manuales!$F$34*(datos_base!$D$20+IF(parametros_manuales!$H$34="Todos",datos_base!$D$25,0))*parametros_manuales!$I$14+parametros_manuales!$G$34*(datos_base!$D$5+IF(parametros_manuales!$H$34="Todos",datos_base!$D$12,0))*parametros_manuales!$I$110+parametros_manuales!$G$34*(datos_base!$D$21+IF(parametros_manuales!$H$34="Todos",datos_base!$D$26,0))*parametros_manuales!$I$15)*parametros_manuales!$I$34*parametros_manuales!$J$34</f>
        <v>1974.044852492</v>
      </c>
      <c r="J71" s="9" t="n">
        <f aca="false">(parametros_manuales!$D$34*(datos_base!$D$2+IF(parametros_manuales!$H$34="Todos",datos_base!$D$9,0))*parametros_manuales!$J$95+parametros_manuales!$D$34*(datos_base!$D$18+IF(parametros_manuales!$H$34="Todos",datos_base!$D$23,0))*parametros_manuales!$J$12+parametros_manuales!$E$34*(datos_base!$D$3+IF(parametros_manuales!$H$34="Todos",datos_base!$D$10,0))*parametros_manuales!$J$100+parametros_manuales!$E$34*(datos_base!$D$19+IF(parametros_manuales!$H$34="Todos",datos_base!$D$24,0))*parametros_manuales!$J$13+parametros_manuales!$F$34*(datos_base!$D$4+IF(parametros_manuales!$H$34="Todos",datos_base!$D$11,0))*parametros_manuales!$J$105+parametros_manuales!$F$34*(datos_base!$D$20+IF(parametros_manuales!$H$34="Todos",datos_base!$D$25,0))*parametros_manuales!$J$14+parametros_manuales!$G$34*(datos_base!$D$5+IF(parametros_manuales!$H$34="Todos",datos_base!$D$12,0))*parametros_manuales!$J$110+parametros_manuales!$G$34*(datos_base!$D$21+IF(parametros_manuales!$H$34="Todos",datos_base!$D$26,0))*parametros_manuales!$J$15)*parametros_manuales!$I$34*parametros_manuales!$J$34</f>
        <v>1974.044852492</v>
      </c>
      <c r="K71" s="9" t="n">
        <f aca="false">(parametros_manuales!$D$34*(datos_base!$D$2+IF(parametros_manuales!$H$34="Todos",datos_base!$D$9,0))*parametros_manuales!$K$95+parametros_manuales!$D$34*(datos_base!$D$18+IF(parametros_manuales!$H$34="Todos",datos_base!$D$23,0))*parametros_manuales!$K$12+parametros_manuales!$E$34*(datos_base!$D$3+IF(parametros_manuales!$H$34="Todos",datos_base!$D$10,0))*parametros_manuales!$K$100+parametros_manuales!$E$34*(datos_base!$D$19+IF(parametros_manuales!$H$34="Todos",datos_base!$D$24,0))*parametros_manuales!$K$13+parametros_manuales!$F$34*(datos_base!$D$4+IF(parametros_manuales!$H$34="Todos",datos_base!$D$11,0))*parametros_manuales!$K$105+parametros_manuales!$F$34*(datos_base!$D$20+IF(parametros_manuales!$H$34="Todos",datos_base!$D$25,0))*parametros_manuales!$K$14+parametros_manuales!$G$34*(datos_base!$D$5+IF(parametros_manuales!$H$34="Todos",datos_base!$D$12,0))*parametros_manuales!$K$110+parametros_manuales!$G$34*(datos_base!$D$21+IF(parametros_manuales!$H$34="Todos",datos_base!$D$26,0))*parametros_manuales!$K$15)*parametros_manuales!$I$34*parametros_manuales!$J$34</f>
        <v>2014.330974634</v>
      </c>
      <c r="L71" s="9" t="n">
        <f aca="false">(parametros_manuales!$D$34*(datos_base!$D$2+IF(parametros_manuales!$H$34="Todos",datos_base!$D$9,0))*parametros_manuales!$L$95+parametros_manuales!$D$34*(datos_base!$D$18+IF(parametros_manuales!$H$34="Todos",datos_base!$D$23,0))*parametros_manuales!$L$12+parametros_manuales!$E$34*(datos_base!$D$3+IF(parametros_manuales!$H$34="Todos",datos_base!$D$10,0))*parametros_manuales!$L$100+parametros_manuales!$E$34*(datos_base!$D$19+IF(parametros_manuales!$H$34="Todos",datos_base!$D$24,0))*parametros_manuales!$L$13+parametros_manuales!$F$34*(datos_base!$D$4+IF(parametros_manuales!$H$34="Todos",datos_base!$D$11,0))*parametros_manuales!$L$105+parametros_manuales!$F$34*(datos_base!$D$20+IF(parametros_manuales!$H$34="Todos",datos_base!$D$25,0))*parametros_manuales!$L$14+parametros_manuales!$G$34*(datos_base!$D$5+IF(parametros_manuales!$H$34="Todos",datos_base!$D$12,0))*parametros_manuales!$L$110+parametros_manuales!$G$34*(datos_base!$D$21+IF(parametros_manuales!$H$34="Todos",datos_base!$D$26,0))*parametros_manuales!$L$15)*parametros_manuales!$I$34*parametros_manuales!$J$34</f>
        <v>2054.617096776</v>
      </c>
      <c r="M71" s="9" t="n">
        <f aca="false">(parametros_manuales!$D$34*(datos_base!$D$2+IF(parametros_manuales!$H$34="Todos",datos_base!$D$9,0))*parametros_manuales!$M$95+parametros_manuales!$D$34*(datos_base!$D$18+IF(parametros_manuales!$H$34="Todos",datos_base!$D$23,0))*parametros_manuales!$M$12+parametros_manuales!$E$34*(datos_base!$D$3+IF(parametros_manuales!$H$34="Todos",datos_base!$D$10,0))*parametros_manuales!$M$100+parametros_manuales!$E$34*(datos_base!$D$19+IF(parametros_manuales!$H$34="Todos",datos_base!$D$24,0))*parametros_manuales!$M$13+parametros_manuales!$F$34*(datos_base!$D$4+IF(parametros_manuales!$H$34="Todos",datos_base!$D$11,0))*parametros_manuales!$M$105+parametros_manuales!$F$34*(datos_base!$D$20+IF(parametros_manuales!$H$34="Todos",datos_base!$D$25,0))*parametros_manuales!$M$14+parametros_manuales!$G$34*(datos_base!$D$5+IF(parametros_manuales!$H$34="Todos",datos_base!$D$12,0))*parametros_manuales!$M$110+parametros_manuales!$G$34*(datos_base!$D$21+IF(parametros_manuales!$H$34="Todos",datos_base!$D$26,0))*parametros_manuales!$M$15)*parametros_manuales!$I$34*parametros_manuales!$J$34</f>
        <v>2060.415496776</v>
      </c>
      <c r="N71" s="9" t="n">
        <f aca="false">SUM(B71:M71)</f>
        <v>22861.2921864</v>
      </c>
      <c r="O71" s="9" t="n">
        <f aca="false">MAX(B71:M71)</f>
        <v>2060.415496776</v>
      </c>
      <c r="P71" s="44" t="n">
        <f aca="false">O71/(parametros_manuales!$B$7)</f>
        <v>13.73610331184</v>
      </c>
      <c r="Q71" s="8" t="str">
        <f aca="false">IF(O71=0,"-",INDEX($B$55:$M$55,MATCH(O71,B71:M71,0)))</f>
        <v>Dic</v>
      </c>
    </row>
    <row r="72" customFormat="false" ht="14.25" hidden="false" customHeight="true" outlineLevel="0" collapsed="false">
      <c r="A72" s="8" t="str">
        <f aca="false">parametros_manuales!$B$35</f>
        <v>Detección de defectos</v>
      </c>
      <c r="B72" s="9" t="n">
        <f aca="false">(parametros_manuales!$D$35*(datos_base!$D$2+IF(parametros_manuales!$H$35="Todos",datos_base!$D$9,0))*parametros_manuales!$B$95+parametros_manuales!$D$35*(datos_base!$D$18+IF(parametros_manuales!$H$35="Todos",datos_base!$D$23,0))*parametros_manuales!$B$12+parametros_manuales!$E$35*(datos_base!$D$3+IF(parametros_manuales!$H$35="Todos",datos_base!$D$10,0))*parametros_manuales!$B$100+parametros_manuales!$E$35*(datos_base!$D$19+IF(parametros_manuales!$H$35="Todos",datos_base!$D$24,0))*parametros_manuales!$B$13+parametros_manuales!$F$35*(datos_base!$D$4+IF(parametros_manuales!$H$35="Todos",datos_base!$D$11,0))*parametros_manuales!$B$105+parametros_manuales!$F$35*(datos_base!$D$20+IF(parametros_manuales!$H$35="Todos",datos_base!$D$25,0))*parametros_manuales!$B$14+parametros_manuales!$G$35*(datos_base!$D$5+IF(parametros_manuales!$H$35="Todos",datos_base!$D$12,0))*parametros_manuales!$B$110+parametros_manuales!$G$35*(datos_base!$D$21+IF(parametros_manuales!$H$35="Todos",datos_base!$D$26,0))*parametros_manuales!$B$15)*parametros_manuales!$I$35*parametros_manuales!$J$35</f>
        <v>2058.965896776</v>
      </c>
      <c r="C72" s="9" t="n">
        <f aca="false">(parametros_manuales!$D$35*(datos_base!$D$2+IF(parametros_manuales!$H$35="Todos",datos_base!$D$9,0))*parametros_manuales!$C$95+parametros_manuales!$D$35*(datos_base!$D$18+IF(parametros_manuales!$H$35="Todos",datos_base!$D$23,0))*parametros_manuales!$C$12+parametros_manuales!$E$35*(datos_base!$D$3+IF(parametros_manuales!$H$35="Todos",datos_base!$D$10,0))*parametros_manuales!$C$100+parametros_manuales!$E$35*(datos_base!$D$19+IF(parametros_manuales!$H$35="Todos",datos_base!$D$24,0))*parametros_manuales!$C$13+parametros_manuales!$F$35*(datos_base!$D$4+IF(parametros_manuales!$H$35="Todos",datos_base!$D$11,0))*parametros_manuales!$C$105+parametros_manuales!$F$35*(datos_base!$D$20+IF(parametros_manuales!$H$35="Todos",datos_base!$D$25,0))*parametros_manuales!$C$14+parametros_manuales!$G$35*(datos_base!$D$5+IF(parametros_manuales!$H$35="Todos",datos_base!$D$12,0))*parametros_manuales!$C$110+parametros_manuales!$G$35*(datos_base!$D$21+IF(parametros_manuales!$H$35="Todos",datos_base!$D$26,0))*parametros_manuales!$C$15)*parametros_manuales!$I$35*parametros_manuales!$J$35</f>
        <v>1974.044852492</v>
      </c>
      <c r="D72" s="9" t="n">
        <f aca="false">(parametros_manuales!$D$35*(datos_base!$D$2+IF(parametros_manuales!$H$35="Todos",datos_base!$D$9,0))*parametros_manuales!$D$95+parametros_manuales!$D$35*(datos_base!$D$18+IF(parametros_manuales!$H$35="Todos",datos_base!$D$23,0))*parametros_manuales!$D$12+parametros_manuales!$E$35*(datos_base!$D$3+IF(parametros_manuales!$H$35="Todos",datos_base!$D$10,0))*parametros_manuales!$D$100+parametros_manuales!$E$35*(datos_base!$D$19+IF(parametros_manuales!$H$35="Todos",datos_base!$D$24,0))*parametros_manuales!$D$13+parametros_manuales!$F$35*(datos_base!$D$4+IF(parametros_manuales!$H$35="Todos",datos_base!$D$11,0))*parametros_manuales!$D$105+parametros_manuales!$F$35*(datos_base!$D$20+IF(parametros_manuales!$H$35="Todos",datos_base!$D$25,0))*parametros_manuales!$D$14+parametros_manuales!$G$35*(datos_base!$D$5+IF(parametros_manuales!$H$35="Todos",datos_base!$D$12,0))*parametros_manuales!$D$110+parametros_manuales!$G$35*(datos_base!$D$21+IF(parametros_manuales!$H$35="Todos",datos_base!$D$26,0))*parametros_manuales!$D$15)*parametros_manuales!$I$35*parametros_manuales!$J$35</f>
        <v>1870.639097054</v>
      </c>
      <c r="E72" s="9" t="n">
        <f aca="false">(parametros_manuales!$D$35*(datos_base!$D$2+IF(parametros_manuales!$H$35="Todos",datos_base!$D$9,0))*parametros_manuales!$E$95+parametros_manuales!$D$35*(datos_base!$D$18+IF(parametros_manuales!$H$35="Todos",datos_base!$D$23,0))*parametros_manuales!$E$12+parametros_manuales!$E$35*(datos_base!$D$3+IF(parametros_manuales!$H$35="Todos",datos_base!$D$10,0))*parametros_manuales!$E$100+parametros_manuales!$E$35*(datos_base!$D$19+IF(parametros_manuales!$H$35="Todos",datos_base!$D$24,0))*parametros_manuales!$E$13+parametros_manuales!$F$35*(datos_base!$D$4+IF(parametros_manuales!$H$35="Todos",datos_base!$D$11,0))*parametros_manuales!$E$105+parametros_manuales!$F$35*(datos_base!$D$20+IF(parametros_manuales!$H$35="Todos",datos_base!$D$25,0))*parametros_manuales!$E$14+parametros_manuales!$G$35*(datos_base!$D$5+IF(parametros_manuales!$H$35="Todos",datos_base!$D$12,0))*parametros_manuales!$E$110+parametros_manuales!$G$35*(datos_base!$D$21+IF(parametros_manuales!$H$35="Todos",datos_base!$D$26,0))*parametros_manuales!$E$15)*parametros_manuales!$I$35*parametros_manuales!$J$35</f>
        <v>1798.068358264</v>
      </c>
      <c r="F72" s="9" t="n">
        <f aca="false">(parametros_manuales!$D$35*(datos_base!$D$2+IF(parametros_manuales!$H$35="Todos",datos_base!$D$9,0))*parametros_manuales!$F$95+parametros_manuales!$D$35*(datos_base!$D$18+IF(parametros_manuales!$H$35="Todos",datos_base!$D$23,0))*parametros_manuales!$F$12+parametros_manuales!$E$35*(datos_base!$D$3+IF(parametros_manuales!$H$35="Todos",datos_base!$D$10,0))*parametros_manuales!$F$100+parametros_manuales!$E$35*(datos_base!$D$19+IF(parametros_manuales!$H$35="Todos",datos_base!$D$24,0))*parametros_manuales!$F$13+parametros_manuales!$F$35*(datos_base!$D$4+IF(parametros_manuales!$H$35="Todos",datos_base!$D$11,0))*parametros_manuales!$F$105+parametros_manuales!$F$35*(datos_base!$D$20+IF(parametros_manuales!$H$35="Todos",datos_base!$D$25,0))*parametros_manuales!$F$14+parametros_manuales!$G$35*(datos_base!$D$5+IF(parametros_manuales!$H$35="Todos",datos_base!$D$12,0))*parametros_manuales!$F$110+parametros_manuales!$G$35*(datos_base!$D$21+IF(parametros_manuales!$H$35="Todos",datos_base!$D$26,0))*parametros_manuales!$F$15)*parametros_manuales!$I$35*parametros_manuales!$J$35</f>
        <v>1683.761897332</v>
      </c>
      <c r="G72" s="9" t="n">
        <f aca="false">(parametros_manuales!$D$35*(datos_base!$D$2+IF(parametros_manuales!$H$35="Todos",datos_base!$D$9,0))*parametros_manuales!$G$95+parametros_manuales!$D$35*(datos_base!$D$18+IF(parametros_manuales!$H$35="Todos",datos_base!$D$23,0))*parametros_manuales!$G$12+parametros_manuales!$E$35*(datos_base!$D$3+IF(parametros_manuales!$H$35="Todos",datos_base!$D$10,0))*parametros_manuales!$G$100+parametros_manuales!$E$35*(datos_base!$D$19+IF(parametros_manuales!$H$35="Todos",datos_base!$D$24,0))*parametros_manuales!$G$13+parametros_manuales!$F$35*(datos_base!$D$4+IF(parametros_manuales!$H$35="Todos",datos_base!$D$11,0))*parametros_manuales!$G$105+parametros_manuales!$F$35*(datos_base!$D$20+IF(parametros_manuales!$H$35="Todos",datos_base!$D$25,0))*parametros_manuales!$G$14+parametros_manuales!$G$35*(datos_base!$D$5+IF(parametros_manuales!$H$35="Todos",datos_base!$D$12,0))*parametros_manuales!$G$110+parametros_manuales!$G$35*(datos_base!$D$21+IF(parametros_manuales!$H$35="Todos",datos_base!$D$26,0))*parametros_manuales!$G$15)*parametros_manuales!$I$35*parametros_manuales!$J$35</f>
        <v>1642.02617519</v>
      </c>
      <c r="H72" s="9" t="n">
        <f aca="false">(parametros_manuales!$D$35*(datos_base!$D$2+IF(parametros_manuales!$H$35="Todos",datos_base!$D$9,0))*parametros_manuales!$H$95+parametros_manuales!$D$35*(datos_base!$D$18+IF(parametros_manuales!$H$35="Todos",datos_base!$D$23,0))*parametros_manuales!$H$12+parametros_manuales!$E$35*(datos_base!$D$3+IF(parametros_manuales!$H$35="Todos",datos_base!$D$10,0))*parametros_manuales!$H$100+parametros_manuales!$E$35*(datos_base!$D$19+IF(parametros_manuales!$H$35="Todos",datos_base!$D$24,0))*parametros_manuales!$H$13+parametros_manuales!$F$35*(datos_base!$D$4+IF(parametros_manuales!$H$35="Todos",datos_base!$D$11,0))*parametros_manuales!$H$105+parametros_manuales!$F$35*(datos_base!$D$20+IF(parametros_manuales!$H$35="Todos",datos_base!$D$25,0))*parametros_manuales!$H$14+parametros_manuales!$G$35*(datos_base!$D$5+IF(parametros_manuales!$H$35="Todos",datos_base!$D$12,0))*parametros_manuales!$H$110+parametros_manuales!$G$35*(datos_base!$D$21+IF(parametros_manuales!$H$35="Todos",datos_base!$D$26,0))*parametros_manuales!$H$15)*parametros_manuales!$I$35*parametros_manuales!$J$35</f>
        <v>1756.332636122</v>
      </c>
      <c r="I72" s="9" t="n">
        <f aca="false">(parametros_manuales!$D$35*(datos_base!$D$2+IF(parametros_manuales!$H$35="Todos",datos_base!$D$9,0))*parametros_manuales!$I$95+parametros_manuales!$D$35*(datos_base!$D$18+IF(parametros_manuales!$H$35="Todos",datos_base!$D$23,0))*parametros_manuales!$I$12+parametros_manuales!$E$35*(datos_base!$D$3+IF(parametros_manuales!$H$35="Todos",datos_base!$D$10,0))*parametros_manuales!$I$100+parametros_manuales!$E$35*(datos_base!$D$19+IF(parametros_manuales!$H$35="Todos",datos_base!$D$24,0))*parametros_manuales!$I$13+parametros_manuales!$F$35*(datos_base!$D$4+IF(parametros_manuales!$H$35="Todos",datos_base!$D$11,0))*parametros_manuales!$I$105+parametros_manuales!$F$35*(datos_base!$D$20+IF(parametros_manuales!$H$35="Todos",datos_base!$D$25,0))*parametros_manuales!$I$14+parametros_manuales!$G$35*(datos_base!$D$5+IF(parametros_manuales!$H$35="Todos",datos_base!$D$12,0))*parametros_manuales!$I$110+parametros_manuales!$G$35*(datos_base!$D$21+IF(parametros_manuales!$H$35="Todos",datos_base!$D$26,0))*parametros_manuales!$I$15)*parametros_manuales!$I$35*parametros_manuales!$J$35</f>
        <v>1974.044852492</v>
      </c>
      <c r="J72" s="9" t="n">
        <f aca="false">(parametros_manuales!$D$35*(datos_base!$D$2+IF(parametros_manuales!$H$35="Todos",datos_base!$D$9,0))*parametros_manuales!$J$95+parametros_manuales!$D$35*(datos_base!$D$18+IF(parametros_manuales!$H$35="Todos",datos_base!$D$23,0))*parametros_manuales!$J$12+parametros_manuales!$E$35*(datos_base!$D$3+IF(parametros_manuales!$H$35="Todos",datos_base!$D$10,0))*parametros_manuales!$J$100+parametros_manuales!$E$35*(datos_base!$D$19+IF(parametros_manuales!$H$35="Todos",datos_base!$D$24,0))*parametros_manuales!$J$13+parametros_manuales!$F$35*(datos_base!$D$4+IF(parametros_manuales!$H$35="Todos",datos_base!$D$11,0))*parametros_manuales!$J$105+parametros_manuales!$F$35*(datos_base!$D$20+IF(parametros_manuales!$H$35="Todos",datos_base!$D$25,0))*parametros_manuales!$J$14+parametros_manuales!$G$35*(datos_base!$D$5+IF(parametros_manuales!$H$35="Todos",datos_base!$D$12,0))*parametros_manuales!$J$110+parametros_manuales!$G$35*(datos_base!$D$21+IF(parametros_manuales!$H$35="Todos",datos_base!$D$26,0))*parametros_manuales!$J$15)*parametros_manuales!$I$35*parametros_manuales!$J$35</f>
        <v>1974.044852492</v>
      </c>
      <c r="K72" s="9" t="n">
        <f aca="false">(parametros_manuales!$D$35*(datos_base!$D$2+IF(parametros_manuales!$H$35="Todos",datos_base!$D$9,0))*parametros_manuales!$K$95+parametros_manuales!$D$35*(datos_base!$D$18+IF(parametros_manuales!$H$35="Todos",datos_base!$D$23,0))*parametros_manuales!$K$12+parametros_manuales!$E$35*(datos_base!$D$3+IF(parametros_manuales!$H$35="Todos",datos_base!$D$10,0))*parametros_manuales!$K$100+parametros_manuales!$E$35*(datos_base!$D$19+IF(parametros_manuales!$H$35="Todos",datos_base!$D$24,0))*parametros_manuales!$K$13+parametros_manuales!$F$35*(datos_base!$D$4+IF(parametros_manuales!$H$35="Todos",datos_base!$D$11,0))*parametros_manuales!$K$105+parametros_manuales!$F$35*(datos_base!$D$20+IF(parametros_manuales!$H$35="Todos",datos_base!$D$25,0))*parametros_manuales!$K$14+parametros_manuales!$G$35*(datos_base!$D$5+IF(parametros_manuales!$H$35="Todos",datos_base!$D$12,0))*parametros_manuales!$K$110+parametros_manuales!$G$35*(datos_base!$D$21+IF(parametros_manuales!$H$35="Todos",datos_base!$D$26,0))*parametros_manuales!$K$15)*parametros_manuales!$I$35*parametros_manuales!$J$35</f>
        <v>2014.330974634</v>
      </c>
      <c r="L72" s="9" t="n">
        <f aca="false">(parametros_manuales!$D$35*(datos_base!$D$2+IF(parametros_manuales!$H$35="Todos",datos_base!$D$9,0))*parametros_manuales!$L$95+parametros_manuales!$D$35*(datos_base!$D$18+IF(parametros_manuales!$H$35="Todos",datos_base!$D$23,0))*parametros_manuales!$L$12+parametros_manuales!$E$35*(datos_base!$D$3+IF(parametros_manuales!$H$35="Todos",datos_base!$D$10,0))*parametros_manuales!$L$100+parametros_manuales!$E$35*(datos_base!$D$19+IF(parametros_manuales!$H$35="Todos",datos_base!$D$24,0))*parametros_manuales!$L$13+parametros_manuales!$F$35*(datos_base!$D$4+IF(parametros_manuales!$H$35="Todos",datos_base!$D$11,0))*parametros_manuales!$L$105+parametros_manuales!$F$35*(datos_base!$D$20+IF(parametros_manuales!$H$35="Todos",datos_base!$D$25,0))*parametros_manuales!$L$14+parametros_manuales!$G$35*(datos_base!$D$5+IF(parametros_manuales!$H$35="Todos",datos_base!$D$12,0))*parametros_manuales!$L$110+parametros_manuales!$G$35*(datos_base!$D$21+IF(parametros_manuales!$H$35="Todos",datos_base!$D$26,0))*parametros_manuales!$L$15)*parametros_manuales!$I$35*parametros_manuales!$J$35</f>
        <v>2054.617096776</v>
      </c>
      <c r="M72" s="9" t="n">
        <f aca="false">(parametros_manuales!$D$35*(datos_base!$D$2+IF(parametros_manuales!$H$35="Todos",datos_base!$D$9,0))*parametros_manuales!$M$95+parametros_manuales!$D$35*(datos_base!$D$18+IF(parametros_manuales!$H$35="Todos",datos_base!$D$23,0))*parametros_manuales!$M$12+parametros_manuales!$E$35*(datos_base!$D$3+IF(parametros_manuales!$H$35="Todos",datos_base!$D$10,0))*parametros_manuales!$M$100+parametros_manuales!$E$35*(datos_base!$D$19+IF(parametros_manuales!$H$35="Todos",datos_base!$D$24,0))*parametros_manuales!$M$13+parametros_manuales!$F$35*(datos_base!$D$4+IF(parametros_manuales!$H$35="Todos",datos_base!$D$11,0))*parametros_manuales!$M$105+parametros_manuales!$F$35*(datos_base!$D$20+IF(parametros_manuales!$H$35="Todos",datos_base!$D$25,0))*parametros_manuales!$M$14+parametros_manuales!$G$35*(datos_base!$D$5+IF(parametros_manuales!$H$35="Todos",datos_base!$D$12,0))*parametros_manuales!$M$110+parametros_manuales!$G$35*(datos_base!$D$21+IF(parametros_manuales!$H$35="Todos",datos_base!$D$26,0))*parametros_manuales!$M$15)*parametros_manuales!$I$35*parametros_manuales!$J$35</f>
        <v>2060.415496776</v>
      </c>
      <c r="N72" s="9" t="n">
        <f aca="false">SUM(B72:M72)</f>
        <v>22861.2921864</v>
      </c>
      <c r="O72" s="9" t="n">
        <f aca="false">MAX(B72:M72)</f>
        <v>2060.415496776</v>
      </c>
      <c r="P72" s="44" t="n">
        <f aca="false">O72/(parametros_manuales!$B$7)</f>
        <v>13.73610331184</v>
      </c>
      <c r="Q72" s="8" t="str">
        <f aca="false">IF(O72=0,"-",INDEX($B$55:$M$55,MATCH(O72,B72:M72,0)))</f>
        <v>Dic</v>
      </c>
    </row>
    <row r="73" customFormat="false" ht="14.25" hidden="false" customHeight="true" outlineLevel="0" collapsed="false">
      <c r="A73" s="8" t="str">
        <f aca="false">parametros_manuales!$B$36</f>
        <v>Corrección de defectos</v>
      </c>
      <c r="B73" s="9" t="n">
        <f aca="false">(parametros_manuales!$D$36*(datos_base!$D$2+IF(parametros_manuales!$H$36="Todos",datos_base!$D$9,0))*parametros_manuales!$B$95+parametros_manuales!$D$36*(datos_base!$D$18+IF(parametros_manuales!$H$36="Todos",datos_base!$D$23,0))*parametros_manuales!$B$12+parametros_manuales!$E$36*(datos_base!$D$3+IF(parametros_manuales!$H$36="Todos",datos_base!$D$10,0))*parametros_manuales!$B$100+parametros_manuales!$E$36*(datos_base!$D$19+IF(parametros_manuales!$H$36="Todos",datos_base!$D$24,0))*parametros_manuales!$B$13+parametros_manuales!$F$36*(datos_base!$D$4+IF(parametros_manuales!$H$36="Todos",datos_base!$D$11,0))*parametros_manuales!$B$105+parametros_manuales!$F$36*(datos_base!$D$20+IF(parametros_manuales!$H$36="Todos",datos_base!$D$25,0))*parametros_manuales!$B$14+parametros_manuales!$G$36*(datos_base!$D$5+IF(parametros_manuales!$H$36="Todos",datos_base!$D$12,0))*parametros_manuales!$B$110+parametros_manuales!$G$36*(datos_base!$D$21+IF(parametros_manuales!$H$36="Todos",datos_base!$D$26,0))*parametros_manuales!$B$15)*parametros_manuales!$I$36*parametros_manuales!$J$36</f>
        <v>102.9482948388</v>
      </c>
      <c r="C73" s="9" t="n">
        <f aca="false">(parametros_manuales!$D$36*(datos_base!$D$2+IF(parametros_manuales!$H$36="Todos",datos_base!$D$9,0))*parametros_manuales!$C$95+parametros_manuales!$D$36*(datos_base!$D$18+IF(parametros_manuales!$H$36="Todos",datos_base!$D$23,0))*parametros_manuales!$C$12+parametros_manuales!$E$36*(datos_base!$D$3+IF(parametros_manuales!$H$36="Todos",datos_base!$D$10,0))*parametros_manuales!$C$100+parametros_manuales!$E$36*(datos_base!$D$19+IF(parametros_manuales!$H$36="Todos",datos_base!$D$24,0))*parametros_manuales!$C$13+parametros_manuales!$F$36*(datos_base!$D$4+IF(parametros_manuales!$H$36="Todos",datos_base!$D$11,0))*parametros_manuales!$C$105+parametros_manuales!$F$36*(datos_base!$D$20+IF(parametros_manuales!$H$36="Todos",datos_base!$D$25,0))*parametros_manuales!$C$14+parametros_manuales!$G$36*(datos_base!$D$5+IF(parametros_manuales!$H$36="Todos",datos_base!$D$12,0))*parametros_manuales!$C$110+parametros_manuales!$G$36*(datos_base!$D$21+IF(parametros_manuales!$H$36="Todos",datos_base!$D$26,0))*parametros_manuales!$C$15)*parametros_manuales!$I$36*parametros_manuales!$J$36</f>
        <v>98.7022426246</v>
      </c>
      <c r="D73" s="9" t="n">
        <f aca="false">(parametros_manuales!$D$36*(datos_base!$D$2+IF(parametros_manuales!$H$36="Todos",datos_base!$D$9,0))*parametros_manuales!$D$95+parametros_manuales!$D$36*(datos_base!$D$18+IF(parametros_manuales!$H$36="Todos",datos_base!$D$23,0))*parametros_manuales!$D$12+parametros_manuales!$E$36*(datos_base!$D$3+IF(parametros_manuales!$H$36="Todos",datos_base!$D$10,0))*parametros_manuales!$D$100+parametros_manuales!$E$36*(datos_base!$D$19+IF(parametros_manuales!$H$36="Todos",datos_base!$D$24,0))*parametros_manuales!$D$13+parametros_manuales!$F$36*(datos_base!$D$4+IF(parametros_manuales!$H$36="Todos",datos_base!$D$11,0))*parametros_manuales!$D$105+parametros_manuales!$F$36*(datos_base!$D$20+IF(parametros_manuales!$H$36="Todos",datos_base!$D$25,0))*parametros_manuales!$D$14+parametros_manuales!$G$36*(datos_base!$D$5+IF(parametros_manuales!$H$36="Todos",datos_base!$D$12,0))*parametros_manuales!$D$110+parametros_manuales!$G$36*(datos_base!$D$21+IF(parametros_manuales!$H$36="Todos",datos_base!$D$26,0))*parametros_manuales!$D$15)*parametros_manuales!$I$36*parametros_manuales!$J$36</f>
        <v>93.5319548527</v>
      </c>
      <c r="E73" s="9" t="n">
        <f aca="false">(parametros_manuales!$D$36*(datos_base!$D$2+IF(parametros_manuales!$H$36="Todos",datos_base!$D$9,0))*parametros_manuales!$E$95+parametros_manuales!$D$36*(datos_base!$D$18+IF(parametros_manuales!$H$36="Todos",datos_base!$D$23,0))*parametros_manuales!$E$12+parametros_manuales!$E$36*(datos_base!$D$3+IF(parametros_manuales!$H$36="Todos",datos_base!$D$10,0))*parametros_manuales!$E$100+parametros_manuales!$E$36*(datos_base!$D$19+IF(parametros_manuales!$H$36="Todos",datos_base!$D$24,0))*parametros_manuales!$E$13+parametros_manuales!$F$36*(datos_base!$D$4+IF(parametros_manuales!$H$36="Todos",datos_base!$D$11,0))*parametros_manuales!$E$105+parametros_manuales!$F$36*(datos_base!$D$20+IF(parametros_manuales!$H$36="Todos",datos_base!$D$25,0))*parametros_manuales!$E$14+parametros_manuales!$G$36*(datos_base!$D$5+IF(parametros_manuales!$H$36="Todos",datos_base!$D$12,0))*parametros_manuales!$E$110+parametros_manuales!$G$36*(datos_base!$D$21+IF(parametros_manuales!$H$36="Todos",datos_base!$D$26,0))*parametros_manuales!$E$15)*parametros_manuales!$I$36*parametros_manuales!$J$36</f>
        <v>89.9034179132</v>
      </c>
      <c r="F73" s="9" t="n">
        <f aca="false">(parametros_manuales!$D$36*(datos_base!$D$2+IF(parametros_manuales!$H$36="Todos",datos_base!$D$9,0))*parametros_manuales!$F$95+parametros_manuales!$D$36*(datos_base!$D$18+IF(parametros_manuales!$H$36="Todos",datos_base!$D$23,0))*parametros_manuales!$F$12+parametros_manuales!$E$36*(datos_base!$D$3+IF(parametros_manuales!$H$36="Todos",datos_base!$D$10,0))*parametros_manuales!$F$100+parametros_manuales!$E$36*(datos_base!$D$19+IF(parametros_manuales!$H$36="Todos",datos_base!$D$24,0))*parametros_manuales!$F$13+parametros_manuales!$F$36*(datos_base!$D$4+IF(parametros_manuales!$H$36="Todos",datos_base!$D$11,0))*parametros_manuales!$F$105+parametros_manuales!$F$36*(datos_base!$D$20+IF(parametros_manuales!$H$36="Todos",datos_base!$D$25,0))*parametros_manuales!$F$14+parametros_manuales!$G$36*(datos_base!$D$5+IF(parametros_manuales!$H$36="Todos",datos_base!$D$12,0))*parametros_manuales!$F$110+parametros_manuales!$G$36*(datos_base!$D$21+IF(parametros_manuales!$H$36="Todos",datos_base!$D$26,0))*parametros_manuales!$F$15)*parametros_manuales!$I$36*parametros_manuales!$J$36</f>
        <v>84.1880948666</v>
      </c>
      <c r="G73" s="9" t="n">
        <f aca="false">(parametros_manuales!$D$36*(datos_base!$D$2+IF(parametros_manuales!$H$36="Todos",datos_base!$D$9,0))*parametros_manuales!$G$95+parametros_manuales!$D$36*(datos_base!$D$18+IF(parametros_manuales!$H$36="Todos",datos_base!$D$23,0))*parametros_manuales!$G$12+parametros_manuales!$E$36*(datos_base!$D$3+IF(parametros_manuales!$H$36="Todos",datos_base!$D$10,0))*parametros_manuales!$G$100+parametros_manuales!$E$36*(datos_base!$D$19+IF(parametros_manuales!$H$36="Todos",datos_base!$D$24,0))*parametros_manuales!$G$13+parametros_manuales!$F$36*(datos_base!$D$4+IF(parametros_manuales!$H$36="Todos",datos_base!$D$11,0))*parametros_manuales!$G$105+parametros_manuales!$F$36*(datos_base!$D$20+IF(parametros_manuales!$H$36="Todos",datos_base!$D$25,0))*parametros_manuales!$G$14+parametros_manuales!$G$36*(datos_base!$D$5+IF(parametros_manuales!$H$36="Todos",datos_base!$D$12,0))*parametros_manuales!$G$110+parametros_manuales!$G$36*(datos_base!$D$21+IF(parametros_manuales!$H$36="Todos",datos_base!$D$26,0))*parametros_manuales!$G$15)*parametros_manuales!$I$36*parametros_manuales!$J$36</f>
        <v>82.1013087595</v>
      </c>
      <c r="H73" s="9" t="n">
        <f aca="false">(parametros_manuales!$D$36*(datos_base!$D$2+IF(parametros_manuales!$H$36="Todos",datos_base!$D$9,0))*parametros_manuales!$H$95+parametros_manuales!$D$36*(datos_base!$D$18+IF(parametros_manuales!$H$36="Todos",datos_base!$D$23,0))*parametros_manuales!$H$12+parametros_manuales!$E$36*(datos_base!$D$3+IF(parametros_manuales!$H$36="Todos",datos_base!$D$10,0))*parametros_manuales!$H$100+parametros_manuales!$E$36*(datos_base!$D$19+IF(parametros_manuales!$H$36="Todos",datos_base!$D$24,0))*parametros_manuales!$H$13+parametros_manuales!$F$36*(datos_base!$D$4+IF(parametros_manuales!$H$36="Todos",datos_base!$D$11,0))*parametros_manuales!$H$105+parametros_manuales!$F$36*(datos_base!$D$20+IF(parametros_manuales!$H$36="Todos",datos_base!$D$25,0))*parametros_manuales!$H$14+parametros_manuales!$G$36*(datos_base!$D$5+IF(parametros_manuales!$H$36="Todos",datos_base!$D$12,0))*parametros_manuales!$H$110+parametros_manuales!$G$36*(datos_base!$D$21+IF(parametros_manuales!$H$36="Todos",datos_base!$D$26,0))*parametros_manuales!$H$15)*parametros_manuales!$I$36*parametros_manuales!$J$36</f>
        <v>87.8166318061</v>
      </c>
      <c r="I73" s="9" t="n">
        <f aca="false">(parametros_manuales!$D$36*(datos_base!$D$2+IF(parametros_manuales!$H$36="Todos",datos_base!$D$9,0))*parametros_manuales!$I$95+parametros_manuales!$D$36*(datos_base!$D$18+IF(parametros_manuales!$H$36="Todos",datos_base!$D$23,0))*parametros_manuales!$I$12+parametros_manuales!$E$36*(datos_base!$D$3+IF(parametros_manuales!$H$36="Todos",datos_base!$D$10,0))*parametros_manuales!$I$100+parametros_manuales!$E$36*(datos_base!$D$19+IF(parametros_manuales!$H$36="Todos",datos_base!$D$24,0))*parametros_manuales!$I$13+parametros_manuales!$F$36*(datos_base!$D$4+IF(parametros_manuales!$H$36="Todos",datos_base!$D$11,0))*parametros_manuales!$I$105+parametros_manuales!$F$36*(datos_base!$D$20+IF(parametros_manuales!$H$36="Todos",datos_base!$D$25,0))*parametros_manuales!$I$14+parametros_manuales!$G$36*(datos_base!$D$5+IF(parametros_manuales!$H$36="Todos",datos_base!$D$12,0))*parametros_manuales!$I$110+parametros_manuales!$G$36*(datos_base!$D$21+IF(parametros_manuales!$H$36="Todos",datos_base!$D$26,0))*parametros_manuales!$I$15)*parametros_manuales!$I$36*parametros_manuales!$J$36</f>
        <v>98.7022426246</v>
      </c>
      <c r="J73" s="9" t="n">
        <f aca="false">(parametros_manuales!$D$36*(datos_base!$D$2+IF(parametros_manuales!$H$36="Todos",datos_base!$D$9,0))*parametros_manuales!$J$95+parametros_manuales!$D$36*(datos_base!$D$18+IF(parametros_manuales!$H$36="Todos",datos_base!$D$23,0))*parametros_manuales!$J$12+parametros_manuales!$E$36*(datos_base!$D$3+IF(parametros_manuales!$H$36="Todos",datos_base!$D$10,0))*parametros_manuales!$J$100+parametros_manuales!$E$36*(datos_base!$D$19+IF(parametros_manuales!$H$36="Todos",datos_base!$D$24,0))*parametros_manuales!$J$13+parametros_manuales!$F$36*(datos_base!$D$4+IF(parametros_manuales!$H$36="Todos",datos_base!$D$11,0))*parametros_manuales!$J$105+parametros_manuales!$F$36*(datos_base!$D$20+IF(parametros_manuales!$H$36="Todos",datos_base!$D$25,0))*parametros_manuales!$J$14+parametros_manuales!$G$36*(datos_base!$D$5+IF(parametros_manuales!$H$36="Todos",datos_base!$D$12,0))*parametros_manuales!$J$110+parametros_manuales!$G$36*(datos_base!$D$21+IF(parametros_manuales!$H$36="Todos",datos_base!$D$26,0))*parametros_manuales!$J$15)*parametros_manuales!$I$36*parametros_manuales!$J$36</f>
        <v>98.7022426246</v>
      </c>
      <c r="K73" s="9" t="n">
        <f aca="false">(parametros_manuales!$D$36*(datos_base!$D$2+IF(parametros_manuales!$H$36="Todos",datos_base!$D$9,0))*parametros_manuales!$K$95+parametros_manuales!$D$36*(datos_base!$D$18+IF(parametros_manuales!$H$36="Todos",datos_base!$D$23,0))*parametros_manuales!$K$12+parametros_manuales!$E$36*(datos_base!$D$3+IF(parametros_manuales!$H$36="Todos",datos_base!$D$10,0))*parametros_manuales!$K$100+parametros_manuales!$E$36*(datos_base!$D$19+IF(parametros_manuales!$H$36="Todos",datos_base!$D$24,0))*parametros_manuales!$K$13+parametros_manuales!$F$36*(datos_base!$D$4+IF(parametros_manuales!$H$36="Todos",datos_base!$D$11,0))*parametros_manuales!$K$105+parametros_manuales!$F$36*(datos_base!$D$20+IF(parametros_manuales!$H$36="Todos",datos_base!$D$25,0))*parametros_manuales!$K$14+parametros_manuales!$G$36*(datos_base!$D$5+IF(parametros_manuales!$H$36="Todos",datos_base!$D$12,0))*parametros_manuales!$K$110+parametros_manuales!$G$36*(datos_base!$D$21+IF(parametros_manuales!$H$36="Todos",datos_base!$D$26,0))*parametros_manuales!$K$15)*parametros_manuales!$I$36*parametros_manuales!$J$36</f>
        <v>100.7165487317</v>
      </c>
      <c r="L73" s="9" t="n">
        <f aca="false">(parametros_manuales!$D$36*(datos_base!$D$2+IF(parametros_manuales!$H$36="Todos",datos_base!$D$9,0))*parametros_manuales!$L$95+parametros_manuales!$D$36*(datos_base!$D$18+IF(parametros_manuales!$H$36="Todos",datos_base!$D$23,0))*parametros_manuales!$L$12+parametros_manuales!$E$36*(datos_base!$D$3+IF(parametros_manuales!$H$36="Todos",datos_base!$D$10,0))*parametros_manuales!$L$100+parametros_manuales!$E$36*(datos_base!$D$19+IF(parametros_manuales!$H$36="Todos",datos_base!$D$24,0))*parametros_manuales!$L$13+parametros_manuales!$F$36*(datos_base!$D$4+IF(parametros_manuales!$H$36="Todos",datos_base!$D$11,0))*parametros_manuales!$L$105+parametros_manuales!$F$36*(datos_base!$D$20+IF(parametros_manuales!$H$36="Todos",datos_base!$D$25,0))*parametros_manuales!$L$14+parametros_manuales!$G$36*(datos_base!$D$5+IF(parametros_manuales!$H$36="Todos",datos_base!$D$12,0))*parametros_manuales!$L$110+parametros_manuales!$G$36*(datos_base!$D$21+IF(parametros_manuales!$H$36="Todos",datos_base!$D$26,0))*parametros_manuales!$L$15)*parametros_manuales!$I$36*parametros_manuales!$J$36</f>
        <v>102.7308548388</v>
      </c>
      <c r="M73" s="9" t="n">
        <f aca="false">(parametros_manuales!$D$36*(datos_base!$D$2+IF(parametros_manuales!$H$36="Todos",datos_base!$D$9,0))*parametros_manuales!$M$95+parametros_manuales!$D$36*(datos_base!$D$18+IF(parametros_manuales!$H$36="Todos",datos_base!$D$23,0))*parametros_manuales!$M$12+parametros_manuales!$E$36*(datos_base!$D$3+IF(parametros_manuales!$H$36="Todos",datos_base!$D$10,0))*parametros_manuales!$M$100+parametros_manuales!$E$36*(datos_base!$D$19+IF(parametros_manuales!$H$36="Todos",datos_base!$D$24,0))*parametros_manuales!$M$13+parametros_manuales!$F$36*(datos_base!$D$4+IF(parametros_manuales!$H$36="Todos",datos_base!$D$11,0))*parametros_manuales!$M$105+parametros_manuales!$F$36*(datos_base!$D$20+IF(parametros_manuales!$H$36="Todos",datos_base!$D$25,0))*parametros_manuales!$M$14+parametros_manuales!$G$36*(datos_base!$D$5+IF(parametros_manuales!$H$36="Todos",datos_base!$D$12,0))*parametros_manuales!$M$110+parametros_manuales!$G$36*(datos_base!$D$21+IF(parametros_manuales!$H$36="Todos",datos_base!$D$26,0))*parametros_manuales!$M$15)*parametros_manuales!$I$36*parametros_manuales!$J$36</f>
        <v>103.0207748388</v>
      </c>
      <c r="N73" s="9" t="n">
        <f aca="false">SUM(B73:M73)</f>
        <v>1143.06460932</v>
      </c>
      <c r="O73" s="9" t="n">
        <f aca="false">MAX(B73:M73)</f>
        <v>103.0207748388</v>
      </c>
      <c r="P73" s="44" t="n">
        <f aca="false">O73/(parametros_manuales!$B$7)</f>
        <v>0.686805165592</v>
      </c>
      <c r="Q73" s="8" t="str">
        <f aca="false">IF(O73=0,"-",INDEX($B$55:$M$55,MATCH(O73,B73:M73,0)))</f>
        <v>Dic</v>
      </c>
    </row>
    <row r="74" customFormat="false" ht="14.25" hidden="false" customHeight="true" outlineLevel="0" collapsed="false">
      <c r="A74" s="8" t="str">
        <f aca="false">parametros_manuales!$B$37</f>
        <v>Pintura en polvo + horno</v>
      </c>
      <c r="B74" s="9" t="n">
        <f aca="false">(parametros_manuales!$D$37*(datos_base!$D$2+IF(parametros_manuales!$H$37="Todos",datos_base!$D$9,0))*parametros_manuales!$B$95+parametros_manuales!$D$37*(datos_base!$D$18+IF(parametros_manuales!$H$37="Todos",datos_base!$D$23,0))*parametros_manuales!$B$12+parametros_manuales!$E$37*(datos_base!$D$3+IF(parametros_manuales!$H$37="Todos",datos_base!$D$10,0))*parametros_manuales!$B$100+parametros_manuales!$E$37*(datos_base!$D$19+IF(parametros_manuales!$H$37="Todos",datos_base!$D$24,0))*parametros_manuales!$B$13+parametros_manuales!$F$37*(datos_base!$D$4+IF(parametros_manuales!$H$37="Todos",datos_base!$D$11,0))*parametros_manuales!$B$105+parametros_manuales!$F$37*(datos_base!$D$20+IF(parametros_manuales!$H$37="Todos",datos_base!$D$25,0))*parametros_manuales!$B$14+parametros_manuales!$G$37*(datos_base!$D$5+IF(parametros_manuales!$H$37="Todos",datos_base!$D$12,0))*parametros_manuales!$B$110+parametros_manuales!$G$37*(datos_base!$D$21+IF(parametros_manuales!$H$37="Todos",datos_base!$D$26,0))*parametros_manuales!$B$15)*parametros_manuales!$I$37*parametros_manuales!$J$37</f>
        <v>2058.965896776</v>
      </c>
      <c r="C74" s="9" t="n">
        <f aca="false">(parametros_manuales!$D$37*(datos_base!$D$2+IF(parametros_manuales!$H$37="Todos",datos_base!$D$9,0))*parametros_manuales!$C$95+parametros_manuales!$D$37*(datos_base!$D$18+IF(parametros_manuales!$H$37="Todos",datos_base!$D$23,0))*parametros_manuales!$C$12+parametros_manuales!$E$37*(datos_base!$D$3+IF(parametros_manuales!$H$37="Todos",datos_base!$D$10,0))*parametros_manuales!$C$100+parametros_manuales!$E$37*(datos_base!$D$19+IF(parametros_manuales!$H$37="Todos",datos_base!$D$24,0))*parametros_manuales!$C$13+parametros_manuales!$F$37*(datos_base!$D$4+IF(parametros_manuales!$H$37="Todos",datos_base!$D$11,0))*parametros_manuales!$C$105+parametros_manuales!$F$37*(datos_base!$D$20+IF(parametros_manuales!$H$37="Todos",datos_base!$D$25,0))*parametros_manuales!$C$14+parametros_manuales!$G$37*(datos_base!$D$5+IF(parametros_manuales!$H$37="Todos",datos_base!$D$12,0))*parametros_manuales!$C$110+parametros_manuales!$G$37*(datos_base!$D$21+IF(parametros_manuales!$H$37="Todos",datos_base!$D$26,0))*parametros_manuales!$C$15)*parametros_manuales!$I$37*parametros_manuales!$J$37</f>
        <v>1974.044852492</v>
      </c>
      <c r="D74" s="9" t="n">
        <f aca="false">(parametros_manuales!$D$37*(datos_base!$D$2+IF(parametros_manuales!$H$37="Todos",datos_base!$D$9,0))*parametros_manuales!$D$95+parametros_manuales!$D$37*(datos_base!$D$18+IF(parametros_manuales!$H$37="Todos",datos_base!$D$23,0))*parametros_manuales!$D$12+parametros_manuales!$E$37*(datos_base!$D$3+IF(parametros_manuales!$H$37="Todos",datos_base!$D$10,0))*parametros_manuales!$D$100+parametros_manuales!$E$37*(datos_base!$D$19+IF(parametros_manuales!$H$37="Todos",datos_base!$D$24,0))*parametros_manuales!$D$13+parametros_manuales!$F$37*(datos_base!$D$4+IF(parametros_manuales!$H$37="Todos",datos_base!$D$11,0))*parametros_manuales!$D$105+parametros_manuales!$F$37*(datos_base!$D$20+IF(parametros_manuales!$H$37="Todos",datos_base!$D$25,0))*parametros_manuales!$D$14+parametros_manuales!$G$37*(datos_base!$D$5+IF(parametros_manuales!$H$37="Todos",datos_base!$D$12,0))*parametros_manuales!$D$110+parametros_manuales!$G$37*(datos_base!$D$21+IF(parametros_manuales!$H$37="Todos",datos_base!$D$26,0))*parametros_manuales!$D$15)*parametros_manuales!$I$37*parametros_manuales!$J$37</f>
        <v>1870.639097054</v>
      </c>
      <c r="E74" s="9" t="n">
        <f aca="false">(parametros_manuales!$D$37*(datos_base!$D$2+IF(parametros_manuales!$H$37="Todos",datos_base!$D$9,0))*parametros_manuales!$E$95+parametros_manuales!$D$37*(datos_base!$D$18+IF(parametros_manuales!$H$37="Todos",datos_base!$D$23,0))*parametros_manuales!$E$12+parametros_manuales!$E$37*(datos_base!$D$3+IF(parametros_manuales!$H$37="Todos",datos_base!$D$10,0))*parametros_manuales!$E$100+parametros_manuales!$E$37*(datos_base!$D$19+IF(parametros_manuales!$H$37="Todos",datos_base!$D$24,0))*parametros_manuales!$E$13+parametros_manuales!$F$37*(datos_base!$D$4+IF(parametros_manuales!$H$37="Todos",datos_base!$D$11,0))*parametros_manuales!$E$105+parametros_manuales!$F$37*(datos_base!$D$20+IF(parametros_manuales!$H$37="Todos",datos_base!$D$25,0))*parametros_manuales!$E$14+parametros_manuales!$G$37*(datos_base!$D$5+IF(parametros_manuales!$H$37="Todos",datos_base!$D$12,0))*parametros_manuales!$E$110+parametros_manuales!$G$37*(datos_base!$D$21+IF(parametros_manuales!$H$37="Todos",datos_base!$D$26,0))*parametros_manuales!$E$15)*parametros_manuales!$I$37*parametros_manuales!$J$37</f>
        <v>1798.068358264</v>
      </c>
      <c r="F74" s="9" t="n">
        <f aca="false">(parametros_manuales!$D$37*(datos_base!$D$2+IF(parametros_manuales!$H$37="Todos",datos_base!$D$9,0))*parametros_manuales!$F$95+parametros_manuales!$D$37*(datos_base!$D$18+IF(parametros_manuales!$H$37="Todos",datos_base!$D$23,0))*parametros_manuales!$F$12+parametros_manuales!$E$37*(datos_base!$D$3+IF(parametros_manuales!$H$37="Todos",datos_base!$D$10,0))*parametros_manuales!$F$100+parametros_manuales!$E$37*(datos_base!$D$19+IF(parametros_manuales!$H$37="Todos",datos_base!$D$24,0))*parametros_manuales!$F$13+parametros_manuales!$F$37*(datos_base!$D$4+IF(parametros_manuales!$H$37="Todos",datos_base!$D$11,0))*parametros_manuales!$F$105+parametros_manuales!$F$37*(datos_base!$D$20+IF(parametros_manuales!$H$37="Todos",datos_base!$D$25,0))*parametros_manuales!$F$14+parametros_manuales!$G$37*(datos_base!$D$5+IF(parametros_manuales!$H$37="Todos",datos_base!$D$12,0))*parametros_manuales!$F$110+parametros_manuales!$G$37*(datos_base!$D$21+IF(parametros_manuales!$H$37="Todos",datos_base!$D$26,0))*parametros_manuales!$F$15)*parametros_manuales!$I$37*parametros_manuales!$J$37</f>
        <v>1683.761897332</v>
      </c>
      <c r="G74" s="9" t="n">
        <f aca="false">(parametros_manuales!$D$37*(datos_base!$D$2+IF(parametros_manuales!$H$37="Todos",datos_base!$D$9,0))*parametros_manuales!$G$95+parametros_manuales!$D$37*(datos_base!$D$18+IF(parametros_manuales!$H$37="Todos",datos_base!$D$23,0))*parametros_manuales!$G$12+parametros_manuales!$E$37*(datos_base!$D$3+IF(parametros_manuales!$H$37="Todos",datos_base!$D$10,0))*parametros_manuales!$G$100+parametros_manuales!$E$37*(datos_base!$D$19+IF(parametros_manuales!$H$37="Todos",datos_base!$D$24,0))*parametros_manuales!$G$13+parametros_manuales!$F$37*(datos_base!$D$4+IF(parametros_manuales!$H$37="Todos",datos_base!$D$11,0))*parametros_manuales!$G$105+parametros_manuales!$F$37*(datos_base!$D$20+IF(parametros_manuales!$H$37="Todos",datos_base!$D$25,0))*parametros_manuales!$G$14+parametros_manuales!$G$37*(datos_base!$D$5+IF(parametros_manuales!$H$37="Todos",datos_base!$D$12,0))*parametros_manuales!$G$110+parametros_manuales!$G$37*(datos_base!$D$21+IF(parametros_manuales!$H$37="Todos",datos_base!$D$26,0))*parametros_manuales!$G$15)*parametros_manuales!$I$37*parametros_manuales!$J$37</f>
        <v>1642.02617519</v>
      </c>
      <c r="H74" s="9" t="n">
        <f aca="false">(parametros_manuales!$D$37*(datos_base!$D$2+IF(parametros_manuales!$H$37="Todos",datos_base!$D$9,0))*parametros_manuales!$H$95+parametros_manuales!$D$37*(datos_base!$D$18+IF(parametros_manuales!$H$37="Todos",datos_base!$D$23,0))*parametros_manuales!$H$12+parametros_manuales!$E$37*(datos_base!$D$3+IF(parametros_manuales!$H$37="Todos",datos_base!$D$10,0))*parametros_manuales!$H$100+parametros_manuales!$E$37*(datos_base!$D$19+IF(parametros_manuales!$H$37="Todos",datos_base!$D$24,0))*parametros_manuales!$H$13+parametros_manuales!$F$37*(datos_base!$D$4+IF(parametros_manuales!$H$37="Todos",datos_base!$D$11,0))*parametros_manuales!$H$105+parametros_manuales!$F$37*(datos_base!$D$20+IF(parametros_manuales!$H$37="Todos",datos_base!$D$25,0))*parametros_manuales!$H$14+parametros_manuales!$G$37*(datos_base!$D$5+IF(parametros_manuales!$H$37="Todos",datos_base!$D$12,0))*parametros_manuales!$H$110+parametros_manuales!$G$37*(datos_base!$D$21+IF(parametros_manuales!$H$37="Todos",datos_base!$D$26,0))*parametros_manuales!$H$15)*parametros_manuales!$I$37*parametros_manuales!$J$37</f>
        <v>1756.332636122</v>
      </c>
      <c r="I74" s="9" t="n">
        <f aca="false">(parametros_manuales!$D$37*(datos_base!$D$2+IF(parametros_manuales!$H$37="Todos",datos_base!$D$9,0))*parametros_manuales!$I$95+parametros_manuales!$D$37*(datos_base!$D$18+IF(parametros_manuales!$H$37="Todos",datos_base!$D$23,0))*parametros_manuales!$I$12+parametros_manuales!$E$37*(datos_base!$D$3+IF(parametros_manuales!$H$37="Todos",datos_base!$D$10,0))*parametros_manuales!$I$100+parametros_manuales!$E$37*(datos_base!$D$19+IF(parametros_manuales!$H$37="Todos",datos_base!$D$24,0))*parametros_manuales!$I$13+parametros_manuales!$F$37*(datos_base!$D$4+IF(parametros_manuales!$H$37="Todos",datos_base!$D$11,0))*parametros_manuales!$I$105+parametros_manuales!$F$37*(datos_base!$D$20+IF(parametros_manuales!$H$37="Todos",datos_base!$D$25,0))*parametros_manuales!$I$14+parametros_manuales!$G$37*(datos_base!$D$5+IF(parametros_manuales!$H$37="Todos",datos_base!$D$12,0))*parametros_manuales!$I$110+parametros_manuales!$G$37*(datos_base!$D$21+IF(parametros_manuales!$H$37="Todos",datos_base!$D$26,0))*parametros_manuales!$I$15)*parametros_manuales!$I$37*parametros_manuales!$J$37</f>
        <v>1974.044852492</v>
      </c>
      <c r="J74" s="9" t="n">
        <f aca="false">(parametros_manuales!$D$37*(datos_base!$D$2+IF(parametros_manuales!$H$37="Todos",datos_base!$D$9,0))*parametros_manuales!$J$95+parametros_manuales!$D$37*(datos_base!$D$18+IF(parametros_manuales!$H$37="Todos",datos_base!$D$23,0))*parametros_manuales!$J$12+parametros_manuales!$E$37*(datos_base!$D$3+IF(parametros_manuales!$H$37="Todos",datos_base!$D$10,0))*parametros_manuales!$J$100+parametros_manuales!$E$37*(datos_base!$D$19+IF(parametros_manuales!$H$37="Todos",datos_base!$D$24,0))*parametros_manuales!$J$13+parametros_manuales!$F$37*(datos_base!$D$4+IF(parametros_manuales!$H$37="Todos",datos_base!$D$11,0))*parametros_manuales!$J$105+parametros_manuales!$F$37*(datos_base!$D$20+IF(parametros_manuales!$H$37="Todos",datos_base!$D$25,0))*parametros_manuales!$J$14+parametros_manuales!$G$37*(datos_base!$D$5+IF(parametros_manuales!$H$37="Todos",datos_base!$D$12,0))*parametros_manuales!$J$110+parametros_manuales!$G$37*(datos_base!$D$21+IF(parametros_manuales!$H$37="Todos",datos_base!$D$26,0))*parametros_manuales!$J$15)*parametros_manuales!$I$37*parametros_manuales!$J$37</f>
        <v>1974.044852492</v>
      </c>
      <c r="K74" s="9" t="n">
        <f aca="false">(parametros_manuales!$D$37*(datos_base!$D$2+IF(parametros_manuales!$H$37="Todos",datos_base!$D$9,0))*parametros_manuales!$K$95+parametros_manuales!$D$37*(datos_base!$D$18+IF(parametros_manuales!$H$37="Todos",datos_base!$D$23,0))*parametros_manuales!$K$12+parametros_manuales!$E$37*(datos_base!$D$3+IF(parametros_manuales!$H$37="Todos",datos_base!$D$10,0))*parametros_manuales!$K$100+parametros_manuales!$E$37*(datos_base!$D$19+IF(parametros_manuales!$H$37="Todos",datos_base!$D$24,0))*parametros_manuales!$K$13+parametros_manuales!$F$37*(datos_base!$D$4+IF(parametros_manuales!$H$37="Todos",datos_base!$D$11,0))*parametros_manuales!$K$105+parametros_manuales!$F$37*(datos_base!$D$20+IF(parametros_manuales!$H$37="Todos",datos_base!$D$25,0))*parametros_manuales!$K$14+parametros_manuales!$G$37*(datos_base!$D$5+IF(parametros_manuales!$H$37="Todos",datos_base!$D$12,0))*parametros_manuales!$K$110+parametros_manuales!$G$37*(datos_base!$D$21+IF(parametros_manuales!$H$37="Todos",datos_base!$D$26,0))*parametros_manuales!$K$15)*parametros_manuales!$I$37*parametros_manuales!$J$37</f>
        <v>2014.330974634</v>
      </c>
      <c r="L74" s="9" t="n">
        <f aca="false">(parametros_manuales!$D$37*(datos_base!$D$2+IF(parametros_manuales!$H$37="Todos",datos_base!$D$9,0))*parametros_manuales!$L$95+parametros_manuales!$D$37*(datos_base!$D$18+IF(parametros_manuales!$H$37="Todos",datos_base!$D$23,0))*parametros_manuales!$L$12+parametros_manuales!$E$37*(datos_base!$D$3+IF(parametros_manuales!$H$37="Todos",datos_base!$D$10,0))*parametros_manuales!$L$100+parametros_manuales!$E$37*(datos_base!$D$19+IF(parametros_manuales!$H$37="Todos",datos_base!$D$24,0))*parametros_manuales!$L$13+parametros_manuales!$F$37*(datos_base!$D$4+IF(parametros_manuales!$H$37="Todos",datos_base!$D$11,0))*parametros_manuales!$L$105+parametros_manuales!$F$37*(datos_base!$D$20+IF(parametros_manuales!$H$37="Todos",datos_base!$D$25,0))*parametros_manuales!$L$14+parametros_manuales!$G$37*(datos_base!$D$5+IF(parametros_manuales!$H$37="Todos",datos_base!$D$12,0))*parametros_manuales!$L$110+parametros_manuales!$G$37*(datos_base!$D$21+IF(parametros_manuales!$H$37="Todos",datos_base!$D$26,0))*parametros_manuales!$L$15)*parametros_manuales!$I$37*parametros_manuales!$J$37</f>
        <v>2054.617096776</v>
      </c>
      <c r="M74" s="9" t="n">
        <f aca="false">(parametros_manuales!$D$37*(datos_base!$D$2+IF(parametros_manuales!$H$37="Todos",datos_base!$D$9,0))*parametros_manuales!$M$95+parametros_manuales!$D$37*(datos_base!$D$18+IF(parametros_manuales!$H$37="Todos",datos_base!$D$23,0))*parametros_manuales!$M$12+parametros_manuales!$E$37*(datos_base!$D$3+IF(parametros_manuales!$H$37="Todos",datos_base!$D$10,0))*parametros_manuales!$M$100+parametros_manuales!$E$37*(datos_base!$D$19+IF(parametros_manuales!$H$37="Todos",datos_base!$D$24,0))*parametros_manuales!$M$13+parametros_manuales!$F$37*(datos_base!$D$4+IF(parametros_manuales!$H$37="Todos",datos_base!$D$11,0))*parametros_manuales!$M$105+parametros_manuales!$F$37*(datos_base!$D$20+IF(parametros_manuales!$H$37="Todos",datos_base!$D$25,0))*parametros_manuales!$M$14+parametros_manuales!$G$37*(datos_base!$D$5+IF(parametros_manuales!$H$37="Todos",datos_base!$D$12,0))*parametros_manuales!$M$110+parametros_manuales!$G$37*(datos_base!$D$21+IF(parametros_manuales!$H$37="Todos",datos_base!$D$26,0))*parametros_manuales!$M$15)*parametros_manuales!$I$37*parametros_manuales!$J$37</f>
        <v>2060.415496776</v>
      </c>
      <c r="N74" s="9" t="n">
        <f aca="false">SUM(B74:M74)</f>
        <v>22861.2921864</v>
      </c>
      <c r="O74" s="9" t="n">
        <f aca="false">MAX(B74:M74)</f>
        <v>2060.415496776</v>
      </c>
      <c r="P74" s="44" t="n">
        <f aca="false">O74/(parametros_manuales!$B$7)</f>
        <v>13.73610331184</v>
      </c>
      <c r="Q74" s="8" t="str">
        <f aca="false">IF(O74=0,"-",INDEX($B$55:$M$55,MATCH(O74,B74:M74,0)))</f>
        <v>Dic</v>
      </c>
    </row>
    <row r="75" customFormat="false" ht="14.25" hidden="false" customHeight="true" outlineLevel="0" collapsed="false">
      <c r="A75" s="8" t="str">
        <f aca="false">parametros_manuales!$B$38</f>
        <v>Carga de polvo</v>
      </c>
      <c r="B75" s="9" t="n">
        <f aca="false">(parametros_manuales!$D$38*(datos_base!$D$2+IF(parametros_manuales!$H$38="Todos",datos_base!$D$9,0))*parametros_manuales!$B$95+parametros_manuales!$D$38*(datos_base!$D$18+IF(parametros_manuales!$H$38="Todos",datos_base!$D$23,0))*parametros_manuales!$B$12+parametros_manuales!$E$38*(datos_base!$D$3+IF(parametros_manuales!$H$38="Todos",datos_base!$D$10,0))*parametros_manuales!$B$100+parametros_manuales!$E$38*(datos_base!$D$19+IF(parametros_manuales!$H$38="Todos",datos_base!$D$24,0))*parametros_manuales!$B$13+parametros_manuales!$F$38*(datos_base!$D$4+IF(parametros_manuales!$H$38="Todos",datos_base!$D$11,0))*parametros_manuales!$B$105+parametros_manuales!$F$38*(datos_base!$D$20+IF(parametros_manuales!$H$38="Todos",datos_base!$D$25,0))*parametros_manuales!$B$14+parametros_manuales!$G$38*(datos_base!$D$5+IF(parametros_manuales!$H$38="Todos",datos_base!$D$12,0))*parametros_manuales!$B$110+parametros_manuales!$G$38*(datos_base!$D$21+IF(parametros_manuales!$H$38="Todos",datos_base!$D$26,0))*parametros_manuales!$B$15)*parametros_manuales!$I$38*parametros_manuales!$J$38</f>
        <v>1191.565896776</v>
      </c>
      <c r="C75" s="9" t="n">
        <f aca="false">(parametros_manuales!$D$38*(datos_base!$D$2+IF(parametros_manuales!$H$38="Todos",datos_base!$D$9,0))*parametros_manuales!$C$95+parametros_manuales!$D$38*(datos_base!$D$18+IF(parametros_manuales!$H$38="Todos",datos_base!$D$23,0))*parametros_manuales!$C$12+parametros_manuales!$E$38*(datos_base!$D$3+IF(parametros_manuales!$H$38="Todos",datos_base!$D$10,0))*parametros_manuales!$C$100+parametros_manuales!$E$38*(datos_base!$D$19+IF(parametros_manuales!$H$38="Todos",datos_base!$D$24,0))*parametros_manuales!$C$13+parametros_manuales!$F$38*(datos_base!$D$4+IF(parametros_manuales!$H$38="Todos",datos_base!$D$11,0))*parametros_manuales!$C$105+parametros_manuales!$F$38*(datos_base!$D$20+IF(parametros_manuales!$H$38="Todos",datos_base!$D$25,0))*parametros_manuales!$C$14+parametros_manuales!$G$38*(datos_base!$D$5+IF(parametros_manuales!$H$38="Todos",datos_base!$D$12,0))*parametros_manuales!$C$110+parametros_manuales!$G$38*(datos_base!$D$21+IF(parametros_manuales!$H$38="Todos",datos_base!$D$26,0))*parametros_manuales!$C$15)*parametros_manuales!$I$38*parametros_manuales!$J$38</f>
        <v>1127.251252492</v>
      </c>
      <c r="D75" s="9" t="n">
        <f aca="false">(parametros_manuales!$D$38*(datos_base!$D$2+IF(parametros_manuales!$H$38="Todos",datos_base!$D$9,0))*parametros_manuales!$D$95+parametros_manuales!$D$38*(datos_base!$D$18+IF(parametros_manuales!$H$38="Todos",datos_base!$D$23,0))*parametros_manuales!$D$12+parametros_manuales!$E$38*(datos_base!$D$3+IF(parametros_manuales!$H$38="Todos",datos_base!$D$10,0))*parametros_manuales!$D$100+parametros_manuales!$E$38*(datos_base!$D$19+IF(parametros_manuales!$H$38="Todos",datos_base!$D$24,0))*parametros_manuales!$D$13+parametros_manuales!$F$38*(datos_base!$D$4+IF(parametros_manuales!$H$38="Todos",datos_base!$D$11,0))*parametros_manuales!$D$105+parametros_manuales!$F$38*(datos_base!$D$20+IF(parametros_manuales!$H$38="Todos",datos_base!$D$25,0))*parametros_manuales!$D$14+parametros_manuales!$G$38*(datos_base!$D$5+IF(parametros_manuales!$H$38="Todos",datos_base!$D$12,0))*parametros_manuales!$D$110+parametros_manuales!$G$38*(datos_base!$D$21+IF(parametros_manuales!$H$38="Todos",datos_base!$D$26,0))*parametros_manuales!$D$15)*parametros_manuales!$I$38*parametros_manuales!$J$38</f>
        <v>1090.645897054</v>
      </c>
      <c r="E75" s="9" t="n">
        <f aca="false">(parametros_manuales!$D$38*(datos_base!$D$2+IF(parametros_manuales!$H$38="Todos",datos_base!$D$9,0))*parametros_manuales!$E$95+parametros_manuales!$D$38*(datos_base!$D$18+IF(parametros_manuales!$H$38="Todos",datos_base!$D$23,0))*parametros_manuales!$E$12+parametros_manuales!$E$38*(datos_base!$D$3+IF(parametros_manuales!$H$38="Todos",datos_base!$D$10,0))*parametros_manuales!$E$100+parametros_manuales!$E$38*(datos_base!$D$19+IF(parametros_manuales!$H$38="Todos",datos_base!$D$24,0))*parametros_manuales!$E$13+parametros_manuales!$F$38*(datos_base!$D$4+IF(parametros_manuales!$H$38="Todos",datos_base!$D$11,0))*parametros_manuales!$E$105+parametros_manuales!$F$38*(datos_base!$D$20+IF(parametros_manuales!$H$38="Todos",datos_base!$D$25,0))*parametros_manuales!$E$14+parametros_manuales!$G$38*(datos_base!$D$5+IF(parametros_manuales!$H$38="Todos",datos_base!$D$12,0))*parametros_manuales!$E$110+parametros_manuales!$G$38*(datos_base!$D$21+IF(parametros_manuales!$H$38="Todos",datos_base!$D$26,0))*parametros_manuales!$E$15)*parametros_manuales!$I$38*parametros_manuales!$J$38</f>
        <v>1056.387158264</v>
      </c>
      <c r="F75" s="9" t="n">
        <f aca="false">(parametros_manuales!$D$38*(datos_base!$D$2+IF(parametros_manuales!$H$38="Todos",datos_base!$D$9,0))*parametros_manuales!$F$95+parametros_manuales!$D$38*(datos_base!$D$18+IF(parametros_manuales!$H$38="Todos",datos_base!$D$23,0))*parametros_manuales!$F$12+parametros_manuales!$E$38*(datos_base!$D$3+IF(parametros_manuales!$H$38="Todos",datos_base!$D$10,0))*parametros_manuales!$F$100+parametros_manuales!$E$38*(datos_base!$D$19+IF(parametros_manuales!$H$38="Todos",datos_base!$D$24,0))*parametros_manuales!$F$13+parametros_manuales!$F$38*(datos_base!$D$4+IF(parametros_manuales!$H$38="Todos",datos_base!$D$11,0))*parametros_manuales!$F$105+parametros_manuales!$F$38*(datos_base!$D$20+IF(parametros_manuales!$H$38="Todos",datos_base!$D$25,0))*parametros_manuales!$F$14+parametros_manuales!$G$38*(datos_base!$D$5+IF(parametros_manuales!$H$38="Todos",datos_base!$D$12,0))*parametros_manuales!$F$110+parametros_manuales!$G$38*(datos_base!$D$21+IF(parametros_manuales!$H$38="Todos",datos_base!$D$26,0))*parametros_manuales!$F$15)*parametros_manuales!$I$38*parametros_manuales!$J$38</f>
        <v>990.216297332</v>
      </c>
      <c r="G75" s="9" t="n">
        <f aca="false">(parametros_manuales!$D$38*(datos_base!$D$2+IF(parametros_manuales!$H$38="Todos",datos_base!$D$9,0))*parametros_manuales!$G$95+parametros_manuales!$D$38*(datos_base!$D$18+IF(parametros_manuales!$H$38="Todos",datos_base!$D$23,0))*parametros_manuales!$G$12+parametros_manuales!$E$38*(datos_base!$D$3+IF(parametros_manuales!$H$38="Todos",datos_base!$D$10,0))*parametros_manuales!$G$100+parametros_manuales!$E$38*(datos_base!$D$19+IF(parametros_manuales!$H$38="Todos",datos_base!$D$24,0))*parametros_manuales!$G$13+parametros_manuales!$F$38*(datos_base!$D$4+IF(parametros_manuales!$H$38="Todos",datos_base!$D$11,0))*parametros_manuales!$G$105+parametros_manuales!$F$38*(datos_base!$D$20+IF(parametros_manuales!$H$38="Todos",datos_base!$D$25,0))*parametros_manuales!$G$14+parametros_manuales!$G$38*(datos_base!$D$5+IF(parametros_manuales!$H$38="Todos",datos_base!$D$12,0))*parametros_manuales!$G$110+parametros_manuales!$G$38*(datos_base!$D$21+IF(parametros_manuales!$H$38="Todos",datos_base!$D$26,0))*parametros_manuales!$G$15)*parametros_manuales!$I$38*parametros_manuales!$J$38</f>
        <v>958.30417519</v>
      </c>
      <c r="H75" s="9" t="n">
        <f aca="false">(parametros_manuales!$D$38*(datos_base!$D$2+IF(parametros_manuales!$H$38="Todos",datos_base!$D$9,0))*parametros_manuales!$H$95+parametros_manuales!$D$38*(datos_base!$D$18+IF(parametros_manuales!$H$38="Todos",datos_base!$D$23,0))*parametros_manuales!$H$12+parametros_manuales!$E$38*(datos_base!$D$3+IF(parametros_manuales!$H$38="Todos",datos_base!$D$10,0))*parametros_manuales!$H$100+parametros_manuales!$E$38*(datos_base!$D$19+IF(parametros_manuales!$H$38="Todos",datos_base!$D$24,0))*parametros_manuales!$H$13+parametros_manuales!$F$38*(datos_base!$D$4+IF(parametros_manuales!$H$38="Todos",datos_base!$D$11,0))*parametros_manuales!$H$105+parametros_manuales!$F$38*(datos_base!$D$20+IF(parametros_manuales!$H$38="Todos",datos_base!$D$25,0))*parametros_manuales!$H$14+parametros_manuales!$G$38*(datos_base!$D$5+IF(parametros_manuales!$H$38="Todos",datos_base!$D$12,0))*parametros_manuales!$H$110+parametros_manuales!$G$38*(datos_base!$D$21+IF(parametros_manuales!$H$38="Todos",datos_base!$D$26,0))*parametros_manuales!$H$15)*parametros_manuales!$I$38*parametros_manuales!$J$38</f>
        <v>1024.475036122</v>
      </c>
      <c r="I75" s="9" t="n">
        <f aca="false">(parametros_manuales!$D$38*(datos_base!$D$2+IF(parametros_manuales!$H$38="Todos",datos_base!$D$9,0))*parametros_manuales!$I$95+parametros_manuales!$D$38*(datos_base!$D$18+IF(parametros_manuales!$H$38="Todos",datos_base!$D$23,0))*parametros_manuales!$I$12+parametros_manuales!$E$38*(datos_base!$D$3+IF(parametros_manuales!$H$38="Todos",datos_base!$D$10,0))*parametros_manuales!$I$100+parametros_manuales!$E$38*(datos_base!$D$19+IF(parametros_manuales!$H$38="Todos",datos_base!$D$24,0))*parametros_manuales!$I$13+parametros_manuales!$F$38*(datos_base!$D$4+IF(parametros_manuales!$H$38="Todos",datos_base!$D$11,0))*parametros_manuales!$I$105+parametros_manuales!$F$38*(datos_base!$D$20+IF(parametros_manuales!$H$38="Todos",datos_base!$D$25,0))*parametros_manuales!$I$14+parametros_manuales!$G$38*(datos_base!$D$5+IF(parametros_manuales!$H$38="Todos",datos_base!$D$12,0))*parametros_manuales!$I$110+parametros_manuales!$G$38*(datos_base!$D$21+IF(parametros_manuales!$H$38="Todos",datos_base!$D$26,0))*parametros_manuales!$I$15)*parametros_manuales!$I$38*parametros_manuales!$J$38</f>
        <v>1127.251252492</v>
      </c>
      <c r="J75" s="9" t="n">
        <f aca="false">(parametros_manuales!$D$38*(datos_base!$D$2+IF(parametros_manuales!$H$38="Todos",datos_base!$D$9,0))*parametros_manuales!$J$95+parametros_manuales!$D$38*(datos_base!$D$18+IF(parametros_manuales!$H$38="Todos",datos_base!$D$23,0))*parametros_manuales!$J$12+parametros_manuales!$E$38*(datos_base!$D$3+IF(parametros_manuales!$H$38="Todos",datos_base!$D$10,0))*parametros_manuales!$J$100+parametros_manuales!$E$38*(datos_base!$D$19+IF(parametros_manuales!$H$38="Todos",datos_base!$D$24,0))*parametros_manuales!$J$13+parametros_manuales!$F$38*(datos_base!$D$4+IF(parametros_manuales!$H$38="Todos",datos_base!$D$11,0))*parametros_manuales!$J$105+parametros_manuales!$F$38*(datos_base!$D$20+IF(parametros_manuales!$H$38="Todos",datos_base!$D$25,0))*parametros_manuales!$J$14+parametros_manuales!$G$38*(datos_base!$D$5+IF(parametros_manuales!$H$38="Todos",datos_base!$D$12,0))*parametros_manuales!$J$110+parametros_manuales!$G$38*(datos_base!$D$21+IF(parametros_manuales!$H$38="Todos",datos_base!$D$26,0))*parametros_manuales!$J$15)*parametros_manuales!$I$38*parametros_manuales!$J$38</f>
        <v>1127.251252492</v>
      </c>
      <c r="K75" s="9" t="n">
        <f aca="false">(parametros_manuales!$D$38*(datos_base!$D$2+IF(parametros_manuales!$H$38="Todos",datos_base!$D$9,0))*parametros_manuales!$K$95+parametros_manuales!$D$38*(datos_base!$D$18+IF(parametros_manuales!$H$38="Todos",datos_base!$D$23,0))*parametros_manuales!$K$12+parametros_manuales!$E$38*(datos_base!$D$3+IF(parametros_manuales!$H$38="Todos",datos_base!$D$10,0))*parametros_manuales!$K$100+parametros_manuales!$E$38*(datos_base!$D$19+IF(parametros_manuales!$H$38="Todos",datos_base!$D$24,0))*parametros_manuales!$K$13+parametros_manuales!$F$38*(datos_base!$D$4+IF(parametros_manuales!$H$38="Todos",datos_base!$D$11,0))*parametros_manuales!$K$105+parametros_manuales!$F$38*(datos_base!$D$20+IF(parametros_manuales!$H$38="Todos",datos_base!$D$25,0))*parametros_manuales!$K$14+parametros_manuales!$G$38*(datos_base!$D$5+IF(parametros_manuales!$H$38="Todos",datos_base!$D$12,0))*parametros_manuales!$K$110+parametros_manuales!$G$38*(datos_base!$D$21+IF(parametros_manuales!$H$38="Todos",datos_base!$D$26,0))*parametros_manuales!$K$15)*parametros_manuales!$I$38*parametros_manuales!$J$38</f>
        <v>1158.672974634</v>
      </c>
      <c r="L75" s="9" t="n">
        <f aca="false">(parametros_manuales!$D$38*(datos_base!$D$2+IF(parametros_manuales!$H$38="Todos",datos_base!$D$9,0))*parametros_manuales!$L$95+parametros_manuales!$D$38*(datos_base!$D$18+IF(parametros_manuales!$H$38="Todos",datos_base!$D$23,0))*parametros_manuales!$L$12+parametros_manuales!$E$38*(datos_base!$D$3+IF(parametros_manuales!$H$38="Todos",datos_base!$D$10,0))*parametros_manuales!$L$100+parametros_manuales!$E$38*(datos_base!$D$19+IF(parametros_manuales!$H$38="Todos",datos_base!$D$24,0))*parametros_manuales!$L$13+parametros_manuales!$F$38*(datos_base!$D$4+IF(parametros_manuales!$H$38="Todos",datos_base!$D$11,0))*parametros_manuales!$L$105+parametros_manuales!$F$38*(datos_base!$D$20+IF(parametros_manuales!$H$38="Todos",datos_base!$D$25,0))*parametros_manuales!$L$14+parametros_manuales!$G$38*(datos_base!$D$5+IF(parametros_manuales!$H$38="Todos",datos_base!$D$12,0))*parametros_manuales!$L$110+parametros_manuales!$G$38*(datos_base!$D$21+IF(parametros_manuales!$H$38="Todos",datos_base!$D$26,0))*parametros_manuales!$L$15)*parametros_manuales!$I$38*parametros_manuales!$J$38</f>
        <v>1190.094696776</v>
      </c>
      <c r="M75" s="9" t="n">
        <f aca="false">(parametros_manuales!$D$38*(datos_base!$D$2+IF(parametros_manuales!$H$38="Todos",datos_base!$D$9,0))*parametros_manuales!$M$95+parametros_manuales!$D$38*(datos_base!$D$18+IF(parametros_manuales!$H$38="Todos",datos_base!$D$23,0))*parametros_manuales!$M$12+parametros_manuales!$E$38*(datos_base!$D$3+IF(parametros_manuales!$H$38="Todos",datos_base!$D$10,0))*parametros_manuales!$M$100+parametros_manuales!$E$38*(datos_base!$D$19+IF(parametros_manuales!$H$38="Todos",datos_base!$D$24,0))*parametros_manuales!$M$13+parametros_manuales!$F$38*(datos_base!$D$4+IF(parametros_manuales!$H$38="Todos",datos_base!$D$11,0))*parametros_manuales!$M$105+parametros_manuales!$F$38*(datos_base!$D$20+IF(parametros_manuales!$H$38="Todos",datos_base!$D$25,0))*parametros_manuales!$M$14+parametros_manuales!$G$38*(datos_base!$D$5+IF(parametros_manuales!$H$38="Todos",datos_base!$D$12,0))*parametros_manuales!$M$110+parametros_manuales!$G$38*(datos_base!$D$21+IF(parametros_manuales!$H$38="Todos",datos_base!$D$26,0))*parametros_manuales!$M$15)*parametros_manuales!$I$38*parametros_manuales!$J$38</f>
        <v>1192.056296776</v>
      </c>
      <c r="N75" s="9" t="n">
        <f aca="false">SUM(B75:M75)</f>
        <v>13234.1721864</v>
      </c>
      <c r="O75" s="9" t="n">
        <f aca="false">MAX(B75:M75)</f>
        <v>1192.056296776</v>
      </c>
      <c r="P75" s="44" t="n">
        <f aca="false">O75/(parametros_manuales!$B$7)</f>
        <v>7.94704197850667</v>
      </c>
      <c r="Q75" s="8" t="str">
        <f aca="false">IF(O75=0,"-",INDEX($B$55:$M$55,MATCH(O75,B75:M75,0)))</f>
        <v>Dic</v>
      </c>
    </row>
    <row r="76" customFormat="false" ht="14.25" hidden="false" customHeight="true" outlineLevel="0" collapsed="false">
      <c r="A76" s="8" t="str">
        <f aca="false">parametros_manuales!$B$39</f>
        <v>Ensamblaje</v>
      </c>
      <c r="B76" s="9" t="n">
        <f aca="false">(parametros_manuales!$D$39*(datos_base!$D$2+IF(parametros_manuales!$H$39="Todos",datos_base!$D$9,0))*parametros_manuales!$B$95+parametros_manuales!$D$39*(datos_base!$D$18+IF(parametros_manuales!$H$39="Todos",datos_base!$D$23,0))*parametros_manuales!$B$12+parametros_manuales!$E$39*(datos_base!$D$3+IF(parametros_manuales!$H$39="Todos",datos_base!$D$10,0))*parametros_manuales!$B$100+parametros_manuales!$E$39*(datos_base!$D$19+IF(parametros_manuales!$H$39="Todos",datos_base!$D$24,0))*parametros_manuales!$B$13+parametros_manuales!$F$39*(datos_base!$D$4+IF(parametros_manuales!$H$39="Todos",datos_base!$D$11,0))*parametros_manuales!$B$105+parametros_manuales!$F$39*(datos_base!$D$20+IF(parametros_manuales!$H$39="Todos",datos_base!$D$25,0))*parametros_manuales!$B$14+parametros_manuales!$G$39*(datos_base!$D$5+IF(parametros_manuales!$H$39="Todos",datos_base!$D$12,0))*parametros_manuales!$B$110+parametros_manuales!$G$39*(datos_base!$D$21+IF(parametros_manuales!$H$39="Todos",datos_base!$D$26,0))*parametros_manuales!$B$15)*parametros_manuales!$I$39*parametros_manuales!$J$39</f>
        <v>1191.565896776</v>
      </c>
      <c r="C76" s="9" t="n">
        <f aca="false">(parametros_manuales!$D$39*(datos_base!$D$2+IF(parametros_manuales!$H$39="Todos",datos_base!$D$9,0))*parametros_manuales!$C$95+parametros_manuales!$D$39*(datos_base!$D$18+IF(parametros_manuales!$H$39="Todos",datos_base!$D$23,0))*parametros_manuales!$C$12+parametros_manuales!$E$39*(datos_base!$D$3+IF(parametros_manuales!$H$39="Todos",datos_base!$D$10,0))*parametros_manuales!$C$100+parametros_manuales!$E$39*(datos_base!$D$19+IF(parametros_manuales!$H$39="Todos",datos_base!$D$24,0))*parametros_manuales!$C$13+parametros_manuales!$F$39*(datos_base!$D$4+IF(parametros_manuales!$H$39="Todos",datos_base!$D$11,0))*parametros_manuales!$C$105+parametros_manuales!$F$39*(datos_base!$D$20+IF(parametros_manuales!$H$39="Todos",datos_base!$D$25,0))*parametros_manuales!$C$14+parametros_manuales!$G$39*(datos_base!$D$5+IF(parametros_manuales!$H$39="Todos",datos_base!$D$12,0))*parametros_manuales!$C$110+parametros_manuales!$G$39*(datos_base!$D$21+IF(parametros_manuales!$H$39="Todos",datos_base!$D$26,0))*parametros_manuales!$C$15)*parametros_manuales!$I$39*parametros_manuales!$J$39</f>
        <v>1127.251252492</v>
      </c>
      <c r="D76" s="9" t="n">
        <f aca="false">(parametros_manuales!$D$39*(datos_base!$D$2+IF(parametros_manuales!$H$39="Todos",datos_base!$D$9,0))*parametros_manuales!$D$95+parametros_manuales!$D$39*(datos_base!$D$18+IF(parametros_manuales!$H$39="Todos",datos_base!$D$23,0))*parametros_manuales!$D$12+parametros_manuales!$E$39*(datos_base!$D$3+IF(parametros_manuales!$H$39="Todos",datos_base!$D$10,0))*parametros_manuales!$D$100+parametros_manuales!$E$39*(datos_base!$D$19+IF(parametros_manuales!$H$39="Todos",datos_base!$D$24,0))*parametros_manuales!$D$13+parametros_manuales!$F$39*(datos_base!$D$4+IF(parametros_manuales!$H$39="Todos",datos_base!$D$11,0))*parametros_manuales!$D$105+parametros_manuales!$F$39*(datos_base!$D$20+IF(parametros_manuales!$H$39="Todos",datos_base!$D$25,0))*parametros_manuales!$D$14+parametros_manuales!$G$39*(datos_base!$D$5+IF(parametros_manuales!$H$39="Todos",datos_base!$D$12,0))*parametros_manuales!$D$110+parametros_manuales!$G$39*(datos_base!$D$21+IF(parametros_manuales!$H$39="Todos",datos_base!$D$26,0))*parametros_manuales!$D$15)*parametros_manuales!$I$39*parametros_manuales!$J$39</f>
        <v>1090.645897054</v>
      </c>
      <c r="E76" s="9" t="n">
        <f aca="false">(parametros_manuales!$D$39*(datos_base!$D$2+IF(parametros_manuales!$H$39="Todos",datos_base!$D$9,0))*parametros_manuales!$E$95+parametros_manuales!$D$39*(datos_base!$D$18+IF(parametros_manuales!$H$39="Todos",datos_base!$D$23,0))*parametros_manuales!$E$12+parametros_manuales!$E$39*(datos_base!$D$3+IF(parametros_manuales!$H$39="Todos",datos_base!$D$10,0))*parametros_manuales!$E$100+parametros_manuales!$E$39*(datos_base!$D$19+IF(parametros_manuales!$H$39="Todos",datos_base!$D$24,0))*parametros_manuales!$E$13+parametros_manuales!$F$39*(datos_base!$D$4+IF(parametros_manuales!$H$39="Todos",datos_base!$D$11,0))*parametros_manuales!$E$105+parametros_manuales!$F$39*(datos_base!$D$20+IF(parametros_manuales!$H$39="Todos",datos_base!$D$25,0))*parametros_manuales!$E$14+parametros_manuales!$G$39*(datos_base!$D$5+IF(parametros_manuales!$H$39="Todos",datos_base!$D$12,0))*parametros_manuales!$E$110+parametros_manuales!$G$39*(datos_base!$D$21+IF(parametros_manuales!$H$39="Todos",datos_base!$D$26,0))*parametros_manuales!$E$15)*parametros_manuales!$I$39*parametros_manuales!$J$39</f>
        <v>1056.387158264</v>
      </c>
      <c r="F76" s="9" t="n">
        <f aca="false">(parametros_manuales!$D$39*(datos_base!$D$2+IF(parametros_manuales!$H$39="Todos",datos_base!$D$9,0))*parametros_manuales!$F$95+parametros_manuales!$D$39*(datos_base!$D$18+IF(parametros_manuales!$H$39="Todos",datos_base!$D$23,0))*parametros_manuales!$F$12+parametros_manuales!$E$39*(datos_base!$D$3+IF(parametros_manuales!$H$39="Todos",datos_base!$D$10,0))*parametros_manuales!$F$100+parametros_manuales!$E$39*(datos_base!$D$19+IF(parametros_manuales!$H$39="Todos",datos_base!$D$24,0))*parametros_manuales!$F$13+parametros_manuales!$F$39*(datos_base!$D$4+IF(parametros_manuales!$H$39="Todos",datos_base!$D$11,0))*parametros_manuales!$F$105+parametros_manuales!$F$39*(datos_base!$D$20+IF(parametros_manuales!$H$39="Todos",datos_base!$D$25,0))*parametros_manuales!$F$14+parametros_manuales!$G$39*(datos_base!$D$5+IF(parametros_manuales!$H$39="Todos",datos_base!$D$12,0))*parametros_manuales!$F$110+parametros_manuales!$G$39*(datos_base!$D$21+IF(parametros_manuales!$H$39="Todos",datos_base!$D$26,0))*parametros_manuales!$F$15)*parametros_manuales!$I$39*parametros_manuales!$J$39</f>
        <v>990.216297332</v>
      </c>
      <c r="G76" s="9" t="n">
        <f aca="false">(parametros_manuales!$D$39*(datos_base!$D$2+IF(parametros_manuales!$H$39="Todos",datos_base!$D$9,0))*parametros_manuales!$G$95+parametros_manuales!$D$39*(datos_base!$D$18+IF(parametros_manuales!$H$39="Todos",datos_base!$D$23,0))*parametros_manuales!$G$12+parametros_manuales!$E$39*(datos_base!$D$3+IF(parametros_manuales!$H$39="Todos",datos_base!$D$10,0))*parametros_manuales!$G$100+parametros_manuales!$E$39*(datos_base!$D$19+IF(parametros_manuales!$H$39="Todos",datos_base!$D$24,0))*parametros_manuales!$G$13+parametros_manuales!$F$39*(datos_base!$D$4+IF(parametros_manuales!$H$39="Todos",datos_base!$D$11,0))*parametros_manuales!$G$105+parametros_manuales!$F$39*(datos_base!$D$20+IF(parametros_manuales!$H$39="Todos",datos_base!$D$25,0))*parametros_manuales!$G$14+parametros_manuales!$G$39*(datos_base!$D$5+IF(parametros_manuales!$H$39="Todos",datos_base!$D$12,0))*parametros_manuales!$G$110+parametros_manuales!$G$39*(datos_base!$D$21+IF(parametros_manuales!$H$39="Todos",datos_base!$D$26,0))*parametros_manuales!$G$15)*parametros_manuales!$I$39*parametros_manuales!$J$39</f>
        <v>958.30417519</v>
      </c>
      <c r="H76" s="9" t="n">
        <f aca="false">(parametros_manuales!$D$39*(datos_base!$D$2+IF(parametros_manuales!$H$39="Todos",datos_base!$D$9,0))*parametros_manuales!$H$95+parametros_manuales!$D$39*(datos_base!$D$18+IF(parametros_manuales!$H$39="Todos",datos_base!$D$23,0))*parametros_manuales!$H$12+parametros_manuales!$E$39*(datos_base!$D$3+IF(parametros_manuales!$H$39="Todos",datos_base!$D$10,0))*parametros_manuales!$H$100+parametros_manuales!$E$39*(datos_base!$D$19+IF(parametros_manuales!$H$39="Todos",datos_base!$D$24,0))*parametros_manuales!$H$13+parametros_manuales!$F$39*(datos_base!$D$4+IF(parametros_manuales!$H$39="Todos",datos_base!$D$11,0))*parametros_manuales!$H$105+parametros_manuales!$F$39*(datos_base!$D$20+IF(parametros_manuales!$H$39="Todos",datos_base!$D$25,0))*parametros_manuales!$H$14+parametros_manuales!$G$39*(datos_base!$D$5+IF(parametros_manuales!$H$39="Todos",datos_base!$D$12,0))*parametros_manuales!$H$110+parametros_manuales!$G$39*(datos_base!$D$21+IF(parametros_manuales!$H$39="Todos",datos_base!$D$26,0))*parametros_manuales!$H$15)*parametros_manuales!$I$39*parametros_manuales!$J$39</f>
        <v>1024.475036122</v>
      </c>
      <c r="I76" s="9" t="n">
        <f aca="false">(parametros_manuales!$D$39*(datos_base!$D$2+IF(parametros_manuales!$H$39="Todos",datos_base!$D$9,0))*parametros_manuales!$I$95+parametros_manuales!$D$39*(datos_base!$D$18+IF(parametros_manuales!$H$39="Todos",datos_base!$D$23,0))*parametros_manuales!$I$12+parametros_manuales!$E$39*(datos_base!$D$3+IF(parametros_manuales!$H$39="Todos",datos_base!$D$10,0))*parametros_manuales!$I$100+parametros_manuales!$E$39*(datos_base!$D$19+IF(parametros_manuales!$H$39="Todos",datos_base!$D$24,0))*parametros_manuales!$I$13+parametros_manuales!$F$39*(datos_base!$D$4+IF(parametros_manuales!$H$39="Todos",datos_base!$D$11,0))*parametros_manuales!$I$105+parametros_manuales!$F$39*(datos_base!$D$20+IF(parametros_manuales!$H$39="Todos",datos_base!$D$25,0))*parametros_manuales!$I$14+parametros_manuales!$G$39*(datos_base!$D$5+IF(parametros_manuales!$H$39="Todos",datos_base!$D$12,0))*parametros_manuales!$I$110+parametros_manuales!$G$39*(datos_base!$D$21+IF(parametros_manuales!$H$39="Todos",datos_base!$D$26,0))*parametros_manuales!$I$15)*parametros_manuales!$I$39*parametros_manuales!$J$39</f>
        <v>1127.251252492</v>
      </c>
      <c r="J76" s="9" t="n">
        <f aca="false">(parametros_manuales!$D$39*(datos_base!$D$2+IF(parametros_manuales!$H$39="Todos",datos_base!$D$9,0))*parametros_manuales!$J$95+parametros_manuales!$D$39*(datos_base!$D$18+IF(parametros_manuales!$H$39="Todos",datos_base!$D$23,0))*parametros_manuales!$J$12+parametros_manuales!$E$39*(datos_base!$D$3+IF(parametros_manuales!$H$39="Todos",datos_base!$D$10,0))*parametros_manuales!$J$100+parametros_manuales!$E$39*(datos_base!$D$19+IF(parametros_manuales!$H$39="Todos",datos_base!$D$24,0))*parametros_manuales!$J$13+parametros_manuales!$F$39*(datos_base!$D$4+IF(parametros_manuales!$H$39="Todos",datos_base!$D$11,0))*parametros_manuales!$J$105+parametros_manuales!$F$39*(datos_base!$D$20+IF(parametros_manuales!$H$39="Todos",datos_base!$D$25,0))*parametros_manuales!$J$14+parametros_manuales!$G$39*(datos_base!$D$5+IF(parametros_manuales!$H$39="Todos",datos_base!$D$12,0))*parametros_manuales!$J$110+parametros_manuales!$G$39*(datos_base!$D$21+IF(parametros_manuales!$H$39="Todos",datos_base!$D$26,0))*parametros_manuales!$J$15)*parametros_manuales!$I$39*parametros_manuales!$J$39</f>
        <v>1127.251252492</v>
      </c>
      <c r="K76" s="9" t="n">
        <f aca="false">(parametros_manuales!$D$39*(datos_base!$D$2+IF(parametros_manuales!$H$39="Todos",datos_base!$D$9,0))*parametros_manuales!$K$95+parametros_manuales!$D$39*(datos_base!$D$18+IF(parametros_manuales!$H$39="Todos",datos_base!$D$23,0))*parametros_manuales!$K$12+parametros_manuales!$E$39*(datos_base!$D$3+IF(parametros_manuales!$H$39="Todos",datos_base!$D$10,0))*parametros_manuales!$K$100+parametros_manuales!$E$39*(datos_base!$D$19+IF(parametros_manuales!$H$39="Todos",datos_base!$D$24,0))*parametros_manuales!$K$13+parametros_manuales!$F$39*(datos_base!$D$4+IF(parametros_manuales!$H$39="Todos",datos_base!$D$11,0))*parametros_manuales!$K$105+parametros_manuales!$F$39*(datos_base!$D$20+IF(parametros_manuales!$H$39="Todos",datos_base!$D$25,0))*parametros_manuales!$K$14+parametros_manuales!$G$39*(datos_base!$D$5+IF(parametros_manuales!$H$39="Todos",datos_base!$D$12,0))*parametros_manuales!$K$110+parametros_manuales!$G$39*(datos_base!$D$21+IF(parametros_manuales!$H$39="Todos",datos_base!$D$26,0))*parametros_manuales!$K$15)*parametros_manuales!$I$39*parametros_manuales!$J$39</f>
        <v>1158.672974634</v>
      </c>
      <c r="L76" s="9" t="n">
        <f aca="false">(parametros_manuales!$D$39*(datos_base!$D$2+IF(parametros_manuales!$H$39="Todos",datos_base!$D$9,0))*parametros_manuales!$L$95+parametros_manuales!$D$39*(datos_base!$D$18+IF(parametros_manuales!$H$39="Todos",datos_base!$D$23,0))*parametros_manuales!$L$12+parametros_manuales!$E$39*(datos_base!$D$3+IF(parametros_manuales!$H$39="Todos",datos_base!$D$10,0))*parametros_manuales!$L$100+parametros_manuales!$E$39*(datos_base!$D$19+IF(parametros_manuales!$H$39="Todos",datos_base!$D$24,0))*parametros_manuales!$L$13+parametros_manuales!$F$39*(datos_base!$D$4+IF(parametros_manuales!$H$39="Todos",datos_base!$D$11,0))*parametros_manuales!$L$105+parametros_manuales!$F$39*(datos_base!$D$20+IF(parametros_manuales!$H$39="Todos",datos_base!$D$25,0))*parametros_manuales!$L$14+parametros_manuales!$G$39*(datos_base!$D$5+IF(parametros_manuales!$H$39="Todos",datos_base!$D$12,0))*parametros_manuales!$L$110+parametros_manuales!$G$39*(datos_base!$D$21+IF(parametros_manuales!$H$39="Todos",datos_base!$D$26,0))*parametros_manuales!$L$15)*parametros_manuales!$I$39*parametros_manuales!$J$39</f>
        <v>1190.094696776</v>
      </c>
      <c r="M76" s="9" t="n">
        <f aca="false">(parametros_manuales!$D$39*(datos_base!$D$2+IF(parametros_manuales!$H$39="Todos",datos_base!$D$9,0))*parametros_manuales!$M$95+parametros_manuales!$D$39*(datos_base!$D$18+IF(parametros_manuales!$H$39="Todos",datos_base!$D$23,0))*parametros_manuales!$M$12+parametros_manuales!$E$39*(datos_base!$D$3+IF(parametros_manuales!$H$39="Todos",datos_base!$D$10,0))*parametros_manuales!$M$100+parametros_manuales!$E$39*(datos_base!$D$19+IF(parametros_manuales!$H$39="Todos",datos_base!$D$24,0))*parametros_manuales!$M$13+parametros_manuales!$F$39*(datos_base!$D$4+IF(parametros_manuales!$H$39="Todos",datos_base!$D$11,0))*parametros_manuales!$M$105+parametros_manuales!$F$39*(datos_base!$D$20+IF(parametros_manuales!$H$39="Todos",datos_base!$D$25,0))*parametros_manuales!$M$14+parametros_manuales!$G$39*(datos_base!$D$5+IF(parametros_manuales!$H$39="Todos",datos_base!$D$12,0))*parametros_manuales!$M$110+parametros_manuales!$G$39*(datos_base!$D$21+IF(parametros_manuales!$H$39="Todos",datos_base!$D$26,0))*parametros_manuales!$M$15)*parametros_manuales!$I$39*parametros_manuales!$J$39</f>
        <v>1192.056296776</v>
      </c>
      <c r="N76" s="9" t="n">
        <f aca="false">SUM(B76:M76)</f>
        <v>13234.1721864</v>
      </c>
      <c r="O76" s="9" t="n">
        <f aca="false">MAX(B76:M76)</f>
        <v>1192.056296776</v>
      </c>
      <c r="P76" s="44" t="n">
        <f aca="false">O76/(parametros_manuales!$B$7)</f>
        <v>7.94704197850667</v>
      </c>
      <c r="Q76" s="8" t="str">
        <f aca="false">IF(O76=0,"-",INDEX($B$55:$M$55,MATCH(O76,B76:M76,0)))</f>
        <v>Dic</v>
      </c>
    </row>
    <row r="77" customFormat="false" ht="14.25" hidden="false" customHeight="true" outlineLevel="0" collapsed="false">
      <c r="A77" s="8" t="str">
        <f aca="false">parametros_manuales!$B$40</f>
        <v>Presurización</v>
      </c>
      <c r="B77" s="9" t="n">
        <f aca="false">(parametros_manuales!$D$40*(datos_base!$D$2+IF(parametros_manuales!$H$40="Todos",datos_base!$D$9,0))*parametros_manuales!$B$95+parametros_manuales!$D$40*(datos_base!$D$18+IF(parametros_manuales!$H$40="Todos",datos_base!$D$23,0))*parametros_manuales!$B$12+parametros_manuales!$E$40*(datos_base!$D$3+IF(parametros_manuales!$H$40="Todos",datos_base!$D$10,0))*parametros_manuales!$B$100+parametros_manuales!$E$40*(datos_base!$D$19+IF(parametros_manuales!$H$40="Todos",datos_base!$D$24,0))*parametros_manuales!$B$13+parametros_manuales!$F$40*(datos_base!$D$4+IF(parametros_manuales!$H$40="Todos",datos_base!$D$11,0))*parametros_manuales!$B$105+parametros_manuales!$F$40*(datos_base!$D$20+IF(parametros_manuales!$H$40="Todos",datos_base!$D$25,0))*parametros_manuales!$B$14+parametros_manuales!$G$40*(datos_base!$D$5+IF(parametros_manuales!$H$40="Todos",datos_base!$D$12,0))*parametros_manuales!$B$110+parametros_manuales!$G$40*(datos_base!$D$21+IF(parametros_manuales!$H$40="Todos",datos_base!$D$26,0))*parametros_manuales!$B$15)*parametros_manuales!$I$40*parametros_manuales!$J$40</f>
        <v>1191.565896776</v>
      </c>
      <c r="C77" s="9" t="n">
        <f aca="false">(parametros_manuales!$D$40*(datos_base!$D$2+IF(parametros_manuales!$H$40="Todos",datos_base!$D$9,0))*parametros_manuales!$C$95+parametros_manuales!$D$40*(datos_base!$D$18+IF(parametros_manuales!$H$40="Todos",datos_base!$D$23,0))*parametros_manuales!$C$12+parametros_manuales!$E$40*(datos_base!$D$3+IF(parametros_manuales!$H$40="Todos",datos_base!$D$10,0))*parametros_manuales!$C$100+parametros_manuales!$E$40*(datos_base!$D$19+IF(parametros_manuales!$H$40="Todos",datos_base!$D$24,0))*parametros_manuales!$C$13+parametros_manuales!$F$40*(datos_base!$D$4+IF(parametros_manuales!$H$40="Todos",datos_base!$D$11,0))*parametros_manuales!$C$105+parametros_manuales!$F$40*(datos_base!$D$20+IF(parametros_manuales!$H$40="Todos",datos_base!$D$25,0))*parametros_manuales!$C$14+parametros_manuales!$G$40*(datos_base!$D$5+IF(parametros_manuales!$H$40="Todos",datos_base!$D$12,0))*parametros_manuales!$C$110+parametros_manuales!$G$40*(datos_base!$D$21+IF(parametros_manuales!$H$40="Todos",datos_base!$D$26,0))*parametros_manuales!$C$15)*parametros_manuales!$I$40*parametros_manuales!$J$40</f>
        <v>1127.251252492</v>
      </c>
      <c r="D77" s="9" t="n">
        <f aca="false">(parametros_manuales!$D$40*(datos_base!$D$2+IF(parametros_manuales!$H$40="Todos",datos_base!$D$9,0))*parametros_manuales!$D$95+parametros_manuales!$D$40*(datos_base!$D$18+IF(parametros_manuales!$H$40="Todos",datos_base!$D$23,0))*parametros_manuales!$D$12+parametros_manuales!$E$40*(datos_base!$D$3+IF(parametros_manuales!$H$40="Todos",datos_base!$D$10,0))*parametros_manuales!$D$100+parametros_manuales!$E$40*(datos_base!$D$19+IF(parametros_manuales!$H$40="Todos",datos_base!$D$24,0))*parametros_manuales!$D$13+parametros_manuales!$F$40*(datos_base!$D$4+IF(parametros_manuales!$H$40="Todos",datos_base!$D$11,0))*parametros_manuales!$D$105+parametros_manuales!$F$40*(datos_base!$D$20+IF(parametros_manuales!$H$40="Todos",datos_base!$D$25,0))*parametros_manuales!$D$14+parametros_manuales!$G$40*(datos_base!$D$5+IF(parametros_manuales!$H$40="Todos",datos_base!$D$12,0))*parametros_manuales!$D$110+parametros_manuales!$G$40*(datos_base!$D$21+IF(parametros_manuales!$H$40="Todos",datos_base!$D$26,0))*parametros_manuales!$D$15)*parametros_manuales!$I$40*parametros_manuales!$J$40</f>
        <v>1090.645897054</v>
      </c>
      <c r="E77" s="9" t="n">
        <f aca="false">(parametros_manuales!$D$40*(datos_base!$D$2+IF(parametros_manuales!$H$40="Todos",datos_base!$D$9,0))*parametros_manuales!$E$95+parametros_manuales!$D$40*(datos_base!$D$18+IF(parametros_manuales!$H$40="Todos",datos_base!$D$23,0))*parametros_manuales!$E$12+parametros_manuales!$E$40*(datos_base!$D$3+IF(parametros_manuales!$H$40="Todos",datos_base!$D$10,0))*parametros_manuales!$E$100+parametros_manuales!$E$40*(datos_base!$D$19+IF(parametros_manuales!$H$40="Todos",datos_base!$D$24,0))*parametros_manuales!$E$13+parametros_manuales!$F$40*(datos_base!$D$4+IF(parametros_manuales!$H$40="Todos",datos_base!$D$11,0))*parametros_manuales!$E$105+parametros_manuales!$F$40*(datos_base!$D$20+IF(parametros_manuales!$H$40="Todos",datos_base!$D$25,0))*parametros_manuales!$E$14+parametros_manuales!$G$40*(datos_base!$D$5+IF(parametros_manuales!$H$40="Todos",datos_base!$D$12,0))*parametros_manuales!$E$110+parametros_manuales!$G$40*(datos_base!$D$21+IF(parametros_manuales!$H$40="Todos",datos_base!$D$26,0))*parametros_manuales!$E$15)*parametros_manuales!$I$40*parametros_manuales!$J$40</f>
        <v>1056.387158264</v>
      </c>
      <c r="F77" s="9" t="n">
        <f aca="false">(parametros_manuales!$D$40*(datos_base!$D$2+IF(parametros_manuales!$H$40="Todos",datos_base!$D$9,0))*parametros_manuales!$F$95+parametros_manuales!$D$40*(datos_base!$D$18+IF(parametros_manuales!$H$40="Todos",datos_base!$D$23,0))*parametros_manuales!$F$12+parametros_manuales!$E$40*(datos_base!$D$3+IF(parametros_manuales!$H$40="Todos",datos_base!$D$10,0))*parametros_manuales!$F$100+parametros_manuales!$E$40*(datos_base!$D$19+IF(parametros_manuales!$H$40="Todos",datos_base!$D$24,0))*parametros_manuales!$F$13+parametros_manuales!$F$40*(datos_base!$D$4+IF(parametros_manuales!$H$40="Todos",datos_base!$D$11,0))*parametros_manuales!$F$105+parametros_manuales!$F$40*(datos_base!$D$20+IF(parametros_manuales!$H$40="Todos",datos_base!$D$25,0))*parametros_manuales!$F$14+parametros_manuales!$G$40*(datos_base!$D$5+IF(parametros_manuales!$H$40="Todos",datos_base!$D$12,0))*parametros_manuales!$F$110+parametros_manuales!$G$40*(datos_base!$D$21+IF(parametros_manuales!$H$40="Todos",datos_base!$D$26,0))*parametros_manuales!$F$15)*parametros_manuales!$I$40*parametros_manuales!$J$40</f>
        <v>990.216297332</v>
      </c>
      <c r="G77" s="9" t="n">
        <f aca="false">(parametros_manuales!$D$40*(datos_base!$D$2+IF(parametros_manuales!$H$40="Todos",datos_base!$D$9,0))*parametros_manuales!$G$95+parametros_manuales!$D$40*(datos_base!$D$18+IF(parametros_manuales!$H$40="Todos",datos_base!$D$23,0))*parametros_manuales!$G$12+parametros_manuales!$E$40*(datos_base!$D$3+IF(parametros_manuales!$H$40="Todos",datos_base!$D$10,0))*parametros_manuales!$G$100+parametros_manuales!$E$40*(datos_base!$D$19+IF(parametros_manuales!$H$40="Todos",datos_base!$D$24,0))*parametros_manuales!$G$13+parametros_manuales!$F$40*(datos_base!$D$4+IF(parametros_manuales!$H$40="Todos",datos_base!$D$11,0))*parametros_manuales!$G$105+parametros_manuales!$F$40*(datos_base!$D$20+IF(parametros_manuales!$H$40="Todos",datos_base!$D$25,0))*parametros_manuales!$G$14+parametros_manuales!$G$40*(datos_base!$D$5+IF(parametros_manuales!$H$40="Todos",datos_base!$D$12,0))*parametros_manuales!$G$110+parametros_manuales!$G$40*(datos_base!$D$21+IF(parametros_manuales!$H$40="Todos",datos_base!$D$26,0))*parametros_manuales!$G$15)*parametros_manuales!$I$40*parametros_manuales!$J$40</f>
        <v>958.30417519</v>
      </c>
      <c r="H77" s="9" t="n">
        <f aca="false">(parametros_manuales!$D$40*(datos_base!$D$2+IF(parametros_manuales!$H$40="Todos",datos_base!$D$9,0))*parametros_manuales!$H$95+parametros_manuales!$D$40*(datos_base!$D$18+IF(parametros_manuales!$H$40="Todos",datos_base!$D$23,0))*parametros_manuales!$H$12+parametros_manuales!$E$40*(datos_base!$D$3+IF(parametros_manuales!$H$40="Todos",datos_base!$D$10,0))*parametros_manuales!$H$100+parametros_manuales!$E$40*(datos_base!$D$19+IF(parametros_manuales!$H$40="Todos",datos_base!$D$24,0))*parametros_manuales!$H$13+parametros_manuales!$F$40*(datos_base!$D$4+IF(parametros_manuales!$H$40="Todos",datos_base!$D$11,0))*parametros_manuales!$H$105+parametros_manuales!$F$40*(datos_base!$D$20+IF(parametros_manuales!$H$40="Todos",datos_base!$D$25,0))*parametros_manuales!$H$14+parametros_manuales!$G$40*(datos_base!$D$5+IF(parametros_manuales!$H$40="Todos",datos_base!$D$12,0))*parametros_manuales!$H$110+parametros_manuales!$G$40*(datos_base!$D$21+IF(parametros_manuales!$H$40="Todos",datos_base!$D$26,0))*parametros_manuales!$H$15)*parametros_manuales!$I$40*parametros_manuales!$J$40</f>
        <v>1024.475036122</v>
      </c>
      <c r="I77" s="9" t="n">
        <f aca="false">(parametros_manuales!$D$40*(datos_base!$D$2+IF(parametros_manuales!$H$40="Todos",datos_base!$D$9,0))*parametros_manuales!$I$95+parametros_manuales!$D$40*(datos_base!$D$18+IF(parametros_manuales!$H$40="Todos",datos_base!$D$23,0))*parametros_manuales!$I$12+parametros_manuales!$E$40*(datos_base!$D$3+IF(parametros_manuales!$H$40="Todos",datos_base!$D$10,0))*parametros_manuales!$I$100+parametros_manuales!$E$40*(datos_base!$D$19+IF(parametros_manuales!$H$40="Todos",datos_base!$D$24,0))*parametros_manuales!$I$13+parametros_manuales!$F$40*(datos_base!$D$4+IF(parametros_manuales!$H$40="Todos",datos_base!$D$11,0))*parametros_manuales!$I$105+parametros_manuales!$F$40*(datos_base!$D$20+IF(parametros_manuales!$H$40="Todos",datos_base!$D$25,0))*parametros_manuales!$I$14+parametros_manuales!$G$40*(datos_base!$D$5+IF(parametros_manuales!$H$40="Todos",datos_base!$D$12,0))*parametros_manuales!$I$110+parametros_manuales!$G$40*(datos_base!$D$21+IF(parametros_manuales!$H$40="Todos",datos_base!$D$26,0))*parametros_manuales!$I$15)*parametros_manuales!$I$40*parametros_manuales!$J$40</f>
        <v>1127.251252492</v>
      </c>
      <c r="J77" s="9" t="n">
        <f aca="false">(parametros_manuales!$D$40*(datos_base!$D$2+IF(parametros_manuales!$H$40="Todos",datos_base!$D$9,0))*parametros_manuales!$J$95+parametros_manuales!$D$40*(datos_base!$D$18+IF(parametros_manuales!$H$40="Todos",datos_base!$D$23,0))*parametros_manuales!$J$12+parametros_manuales!$E$40*(datos_base!$D$3+IF(parametros_manuales!$H$40="Todos",datos_base!$D$10,0))*parametros_manuales!$J$100+parametros_manuales!$E$40*(datos_base!$D$19+IF(parametros_manuales!$H$40="Todos",datos_base!$D$24,0))*parametros_manuales!$J$13+parametros_manuales!$F$40*(datos_base!$D$4+IF(parametros_manuales!$H$40="Todos",datos_base!$D$11,0))*parametros_manuales!$J$105+parametros_manuales!$F$40*(datos_base!$D$20+IF(parametros_manuales!$H$40="Todos",datos_base!$D$25,0))*parametros_manuales!$J$14+parametros_manuales!$G$40*(datos_base!$D$5+IF(parametros_manuales!$H$40="Todos",datos_base!$D$12,0))*parametros_manuales!$J$110+parametros_manuales!$G$40*(datos_base!$D$21+IF(parametros_manuales!$H$40="Todos",datos_base!$D$26,0))*parametros_manuales!$J$15)*parametros_manuales!$I$40*parametros_manuales!$J$40</f>
        <v>1127.251252492</v>
      </c>
      <c r="K77" s="9" t="n">
        <f aca="false">(parametros_manuales!$D$40*(datos_base!$D$2+IF(parametros_manuales!$H$40="Todos",datos_base!$D$9,0))*parametros_manuales!$K$95+parametros_manuales!$D$40*(datos_base!$D$18+IF(parametros_manuales!$H$40="Todos",datos_base!$D$23,0))*parametros_manuales!$K$12+parametros_manuales!$E$40*(datos_base!$D$3+IF(parametros_manuales!$H$40="Todos",datos_base!$D$10,0))*parametros_manuales!$K$100+parametros_manuales!$E$40*(datos_base!$D$19+IF(parametros_manuales!$H$40="Todos",datos_base!$D$24,0))*parametros_manuales!$K$13+parametros_manuales!$F$40*(datos_base!$D$4+IF(parametros_manuales!$H$40="Todos",datos_base!$D$11,0))*parametros_manuales!$K$105+parametros_manuales!$F$40*(datos_base!$D$20+IF(parametros_manuales!$H$40="Todos",datos_base!$D$25,0))*parametros_manuales!$K$14+parametros_manuales!$G$40*(datos_base!$D$5+IF(parametros_manuales!$H$40="Todos",datos_base!$D$12,0))*parametros_manuales!$K$110+parametros_manuales!$G$40*(datos_base!$D$21+IF(parametros_manuales!$H$40="Todos",datos_base!$D$26,0))*parametros_manuales!$K$15)*parametros_manuales!$I$40*parametros_manuales!$J$40</f>
        <v>1158.672974634</v>
      </c>
      <c r="L77" s="9" t="n">
        <f aca="false">(parametros_manuales!$D$40*(datos_base!$D$2+IF(parametros_manuales!$H$40="Todos",datos_base!$D$9,0))*parametros_manuales!$L$95+parametros_manuales!$D$40*(datos_base!$D$18+IF(parametros_manuales!$H$40="Todos",datos_base!$D$23,0))*parametros_manuales!$L$12+parametros_manuales!$E$40*(datos_base!$D$3+IF(parametros_manuales!$H$40="Todos",datos_base!$D$10,0))*parametros_manuales!$L$100+parametros_manuales!$E$40*(datos_base!$D$19+IF(parametros_manuales!$H$40="Todos",datos_base!$D$24,0))*parametros_manuales!$L$13+parametros_manuales!$F$40*(datos_base!$D$4+IF(parametros_manuales!$H$40="Todos",datos_base!$D$11,0))*parametros_manuales!$L$105+parametros_manuales!$F$40*(datos_base!$D$20+IF(parametros_manuales!$H$40="Todos",datos_base!$D$25,0))*parametros_manuales!$L$14+parametros_manuales!$G$40*(datos_base!$D$5+IF(parametros_manuales!$H$40="Todos",datos_base!$D$12,0))*parametros_manuales!$L$110+parametros_manuales!$G$40*(datos_base!$D$21+IF(parametros_manuales!$H$40="Todos",datos_base!$D$26,0))*parametros_manuales!$L$15)*parametros_manuales!$I$40*parametros_manuales!$J$40</f>
        <v>1190.094696776</v>
      </c>
      <c r="M77" s="9" t="n">
        <f aca="false">(parametros_manuales!$D$40*(datos_base!$D$2+IF(parametros_manuales!$H$40="Todos",datos_base!$D$9,0))*parametros_manuales!$M$95+parametros_manuales!$D$40*(datos_base!$D$18+IF(parametros_manuales!$H$40="Todos",datos_base!$D$23,0))*parametros_manuales!$M$12+parametros_manuales!$E$40*(datos_base!$D$3+IF(parametros_manuales!$H$40="Todos",datos_base!$D$10,0))*parametros_manuales!$M$100+parametros_manuales!$E$40*(datos_base!$D$19+IF(parametros_manuales!$H$40="Todos",datos_base!$D$24,0))*parametros_manuales!$M$13+parametros_manuales!$F$40*(datos_base!$D$4+IF(parametros_manuales!$H$40="Todos",datos_base!$D$11,0))*parametros_manuales!$M$105+parametros_manuales!$F$40*(datos_base!$D$20+IF(parametros_manuales!$H$40="Todos",datos_base!$D$25,0))*parametros_manuales!$M$14+parametros_manuales!$G$40*(datos_base!$D$5+IF(parametros_manuales!$H$40="Todos",datos_base!$D$12,0))*parametros_manuales!$M$110+parametros_manuales!$G$40*(datos_base!$D$21+IF(parametros_manuales!$H$40="Todos",datos_base!$D$26,0))*parametros_manuales!$M$15)*parametros_manuales!$I$40*parametros_manuales!$J$40</f>
        <v>1192.056296776</v>
      </c>
      <c r="N77" s="9" t="n">
        <f aca="false">SUM(B77:M77)</f>
        <v>13234.1721864</v>
      </c>
      <c r="O77" s="9" t="n">
        <f aca="false">MAX(B77:M77)</f>
        <v>1192.056296776</v>
      </c>
      <c r="P77" s="44" t="n">
        <f aca="false">O77/(parametros_manuales!$B$7)</f>
        <v>7.94704197850667</v>
      </c>
      <c r="Q77" s="8" t="str">
        <f aca="false">IF(O77=0,"-",INDEX($B$55:$M$55,MATCH(O77,B77:M77,0)))</f>
        <v>Dic</v>
      </c>
    </row>
    <row r="78" customFormat="false" ht="14.25" hidden="false" customHeight="true" outlineLevel="0" collapsed="false">
      <c r="A78" s="8" t="str">
        <f aca="false">parametros_manuales!$B$41</f>
        <v>Control de calidad — Ensayo de pérdidas</v>
      </c>
      <c r="B78" s="9" t="n">
        <f aca="false">(parametros_manuales!$D$41*(datos_base!$D$2+IF(parametros_manuales!$H$41="Todos",datos_base!$D$9,0))*parametros_manuales!$B$95+parametros_manuales!$D$41*(datos_base!$D$18+IF(parametros_manuales!$H$41="Todos",datos_base!$D$23,0))*parametros_manuales!$B$12+parametros_manuales!$E$41*(datos_base!$D$3+IF(parametros_manuales!$H$41="Todos",datos_base!$D$10,0))*parametros_manuales!$B$100+parametros_manuales!$E$41*(datos_base!$D$19+IF(parametros_manuales!$H$41="Todos",datos_base!$D$24,0))*parametros_manuales!$B$13+parametros_manuales!$F$41*(datos_base!$D$4+IF(parametros_manuales!$H$41="Todos",datos_base!$D$11,0))*parametros_manuales!$B$105+parametros_manuales!$F$41*(datos_base!$D$20+IF(parametros_manuales!$H$41="Todos",datos_base!$D$25,0))*parametros_manuales!$B$14+parametros_manuales!$G$41*(datos_base!$D$5+IF(parametros_manuales!$H$41="Todos",datos_base!$D$12,0))*parametros_manuales!$B$110+parametros_manuales!$G$41*(datos_base!$D$21+IF(parametros_manuales!$H$41="Todos",datos_base!$D$26,0))*parametros_manuales!$B$15)*parametros_manuales!$I$41*parametros_manuales!$J$41</f>
        <v>1191.565896776</v>
      </c>
      <c r="C78" s="9" t="n">
        <f aca="false">(parametros_manuales!$D$41*(datos_base!$D$2+IF(parametros_manuales!$H$41="Todos",datos_base!$D$9,0))*parametros_manuales!$C$95+parametros_manuales!$D$41*(datos_base!$D$18+IF(parametros_manuales!$H$41="Todos",datos_base!$D$23,0))*parametros_manuales!$C$12+parametros_manuales!$E$41*(datos_base!$D$3+IF(parametros_manuales!$H$41="Todos",datos_base!$D$10,0))*parametros_manuales!$C$100+parametros_manuales!$E$41*(datos_base!$D$19+IF(parametros_manuales!$H$41="Todos",datos_base!$D$24,0))*parametros_manuales!$C$13+parametros_manuales!$F$41*(datos_base!$D$4+IF(parametros_manuales!$H$41="Todos",datos_base!$D$11,0))*parametros_manuales!$C$105+parametros_manuales!$F$41*(datos_base!$D$20+IF(parametros_manuales!$H$41="Todos",datos_base!$D$25,0))*parametros_manuales!$C$14+parametros_manuales!$G$41*(datos_base!$D$5+IF(parametros_manuales!$H$41="Todos",datos_base!$D$12,0))*parametros_manuales!$C$110+parametros_manuales!$G$41*(datos_base!$D$21+IF(parametros_manuales!$H$41="Todos",datos_base!$D$26,0))*parametros_manuales!$C$15)*parametros_manuales!$I$41*parametros_manuales!$J$41</f>
        <v>1127.251252492</v>
      </c>
      <c r="D78" s="9" t="n">
        <f aca="false">(parametros_manuales!$D$41*(datos_base!$D$2+IF(parametros_manuales!$H$41="Todos",datos_base!$D$9,0))*parametros_manuales!$D$95+parametros_manuales!$D$41*(datos_base!$D$18+IF(parametros_manuales!$H$41="Todos",datos_base!$D$23,0))*parametros_manuales!$D$12+parametros_manuales!$E$41*(datos_base!$D$3+IF(parametros_manuales!$H$41="Todos",datos_base!$D$10,0))*parametros_manuales!$D$100+parametros_manuales!$E$41*(datos_base!$D$19+IF(parametros_manuales!$H$41="Todos",datos_base!$D$24,0))*parametros_manuales!$D$13+parametros_manuales!$F$41*(datos_base!$D$4+IF(parametros_manuales!$H$41="Todos",datos_base!$D$11,0))*parametros_manuales!$D$105+parametros_manuales!$F$41*(datos_base!$D$20+IF(parametros_manuales!$H$41="Todos",datos_base!$D$25,0))*parametros_manuales!$D$14+parametros_manuales!$G$41*(datos_base!$D$5+IF(parametros_manuales!$H$41="Todos",datos_base!$D$12,0))*parametros_manuales!$D$110+parametros_manuales!$G$41*(datos_base!$D$21+IF(parametros_manuales!$H$41="Todos",datos_base!$D$26,0))*parametros_manuales!$D$15)*parametros_manuales!$I$41*parametros_manuales!$J$41</f>
        <v>1090.645897054</v>
      </c>
      <c r="E78" s="9" t="n">
        <f aca="false">(parametros_manuales!$D$41*(datos_base!$D$2+IF(parametros_manuales!$H$41="Todos",datos_base!$D$9,0))*parametros_manuales!$E$95+parametros_manuales!$D$41*(datos_base!$D$18+IF(parametros_manuales!$H$41="Todos",datos_base!$D$23,0))*parametros_manuales!$E$12+parametros_manuales!$E$41*(datos_base!$D$3+IF(parametros_manuales!$H$41="Todos",datos_base!$D$10,0))*parametros_manuales!$E$100+parametros_manuales!$E$41*(datos_base!$D$19+IF(parametros_manuales!$H$41="Todos",datos_base!$D$24,0))*parametros_manuales!$E$13+parametros_manuales!$F$41*(datos_base!$D$4+IF(parametros_manuales!$H$41="Todos",datos_base!$D$11,0))*parametros_manuales!$E$105+parametros_manuales!$F$41*(datos_base!$D$20+IF(parametros_manuales!$H$41="Todos",datos_base!$D$25,0))*parametros_manuales!$E$14+parametros_manuales!$G$41*(datos_base!$D$5+IF(parametros_manuales!$H$41="Todos",datos_base!$D$12,0))*parametros_manuales!$E$110+parametros_manuales!$G$41*(datos_base!$D$21+IF(parametros_manuales!$H$41="Todos",datos_base!$D$26,0))*parametros_manuales!$E$15)*parametros_manuales!$I$41*parametros_manuales!$J$41</f>
        <v>1056.387158264</v>
      </c>
      <c r="F78" s="9" t="n">
        <f aca="false">(parametros_manuales!$D$41*(datos_base!$D$2+IF(parametros_manuales!$H$41="Todos",datos_base!$D$9,0))*parametros_manuales!$F$95+parametros_manuales!$D$41*(datos_base!$D$18+IF(parametros_manuales!$H$41="Todos",datos_base!$D$23,0))*parametros_manuales!$F$12+parametros_manuales!$E$41*(datos_base!$D$3+IF(parametros_manuales!$H$41="Todos",datos_base!$D$10,0))*parametros_manuales!$F$100+parametros_manuales!$E$41*(datos_base!$D$19+IF(parametros_manuales!$H$41="Todos",datos_base!$D$24,0))*parametros_manuales!$F$13+parametros_manuales!$F$41*(datos_base!$D$4+IF(parametros_manuales!$H$41="Todos",datos_base!$D$11,0))*parametros_manuales!$F$105+parametros_manuales!$F$41*(datos_base!$D$20+IF(parametros_manuales!$H$41="Todos",datos_base!$D$25,0))*parametros_manuales!$F$14+parametros_manuales!$G$41*(datos_base!$D$5+IF(parametros_manuales!$H$41="Todos",datos_base!$D$12,0))*parametros_manuales!$F$110+parametros_manuales!$G$41*(datos_base!$D$21+IF(parametros_manuales!$H$41="Todos",datos_base!$D$26,0))*parametros_manuales!$F$15)*parametros_manuales!$I$41*parametros_manuales!$J$41</f>
        <v>990.216297332</v>
      </c>
      <c r="G78" s="9" t="n">
        <f aca="false">(parametros_manuales!$D$41*(datos_base!$D$2+IF(parametros_manuales!$H$41="Todos",datos_base!$D$9,0))*parametros_manuales!$G$95+parametros_manuales!$D$41*(datos_base!$D$18+IF(parametros_manuales!$H$41="Todos",datos_base!$D$23,0))*parametros_manuales!$G$12+parametros_manuales!$E$41*(datos_base!$D$3+IF(parametros_manuales!$H$41="Todos",datos_base!$D$10,0))*parametros_manuales!$G$100+parametros_manuales!$E$41*(datos_base!$D$19+IF(parametros_manuales!$H$41="Todos",datos_base!$D$24,0))*parametros_manuales!$G$13+parametros_manuales!$F$41*(datos_base!$D$4+IF(parametros_manuales!$H$41="Todos",datos_base!$D$11,0))*parametros_manuales!$G$105+parametros_manuales!$F$41*(datos_base!$D$20+IF(parametros_manuales!$H$41="Todos",datos_base!$D$25,0))*parametros_manuales!$G$14+parametros_manuales!$G$41*(datos_base!$D$5+IF(parametros_manuales!$H$41="Todos",datos_base!$D$12,0))*parametros_manuales!$G$110+parametros_manuales!$G$41*(datos_base!$D$21+IF(parametros_manuales!$H$41="Todos",datos_base!$D$26,0))*parametros_manuales!$G$15)*parametros_manuales!$I$41*parametros_manuales!$J$41</f>
        <v>958.30417519</v>
      </c>
      <c r="H78" s="9" t="n">
        <f aca="false">(parametros_manuales!$D$41*(datos_base!$D$2+IF(parametros_manuales!$H$41="Todos",datos_base!$D$9,0))*parametros_manuales!$H$95+parametros_manuales!$D$41*(datos_base!$D$18+IF(parametros_manuales!$H$41="Todos",datos_base!$D$23,0))*parametros_manuales!$H$12+parametros_manuales!$E$41*(datos_base!$D$3+IF(parametros_manuales!$H$41="Todos",datos_base!$D$10,0))*parametros_manuales!$H$100+parametros_manuales!$E$41*(datos_base!$D$19+IF(parametros_manuales!$H$41="Todos",datos_base!$D$24,0))*parametros_manuales!$H$13+parametros_manuales!$F$41*(datos_base!$D$4+IF(parametros_manuales!$H$41="Todos",datos_base!$D$11,0))*parametros_manuales!$H$105+parametros_manuales!$F$41*(datos_base!$D$20+IF(parametros_manuales!$H$41="Todos",datos_base!$D$25,0))*parametros_manuales!$H$14+parametros_manuales!$G$41*(datos_base!$D$5+IF(parametros_manuales!$H$41="Todos",datos_base!$D$12,0))*parametros_manuales!$H$110+parametros_manuales!$G$41*(datos_base!$D$21+IF(parametros_manuales!$H$41="Todos",datos_base!$D$26,0))*parametros_manuales!$H$15)*parametros_manuales!$I$41*parametros_manuales!$J$41</f>
        <v>1024.475036122</v>
      </c>
      <c r="I78" s="9" t="n">
        <f aca="false">(parametros_manuales!$D$41*(datos_base!$D$2+IF(parametros_manuales!$H$41="Todos",datos_base!$D$9,0))*parametros_manuales!$I$95+parametros_manuales!$D$41*(datos_base!$D$18+IF(parametros_manuales!$H$41="Todos",datos_base!$D$23,0))*parametros_manuales!$I$12+parametros_manuales!$E$41*(datos_base!$D$3+IF(parametros_manuales!$H$41="Todos",datos_base!$D$10,0))*parametros_manuales!$I$100+parametros_manuales!$E$41*(datos_base!$D$19+IF(parametros_manuales!$H$41="Todos",datos_base!$D$24,0))*parametros_manuales!$I$13+parametros_manuales!$F$41*(datos_base!$D$4+IF(parametros_manuales!$H$41="Todos",datos_base!$D$11,0))*parametros_manuales!$I$105+parametros_manuales!$F$41*(datos_base!$D$20+IF(parametros_manuales!$H$41="Todos",datos_base!$D$25,0))*parametros_manuales!$I$14+parametros_manuales!$G$41*(datos_base!$D$5+IF(parametros_manuales!$H$41="Todos",datos_base!$D$12,0))*parametros_manuales!$I$110+parametros_manuales!$G$41*(datos_base!$D$21+IF(parametros_manuales!$H$41="Todos",datos_base!$D$26,0))*parametros_manuales!$I$15)*parametros_manuales!$I$41*parametros_manuales!$J$41</f>
        <v>1127.251252492</v>
      </c>
      <c r="J78" s="9" t="n">
        <f aca="false">(parametros_manuales!$D$41*(datos_base!$D$2+IF(parametros_manuales!$H$41="Todos",datos_base!$D$9,0))*parametros_manuales!$J$95+parametros_manuales!$D$41*(datos_base!$D$18+IF(parametros_manuales!$H$41="Todos",datos_base!$D$23,0))*parametros_manuales!$J$12+parametros_manuales!$E$41*(datos_base!$D$3+IF(parametros_manuales!$H$41="Todos",datos_base!$D$10,0))*parametros_manuales!$J$100+parametros_manuales!$E$41*(datos_base!$D$19+IF(parametros_manuales!$H$41="Todos",datos_base!$D$24,0))*parametros_manuales!$J$13+parametros_manuales!$F$41*(datos_base!$D$4+IF(parametros_manuales!$H$41="Todos",datos_base!$D$11,0))*parametros_manuales!$J$105+parametros_manuales!$F$41*(datos_base!$D$20+IF(parametros_manuales!$H$41="Todos",datos_base!$D$25,0))*parametros_manuales!$J$14+parametros_manuales!$G$41*(datos_base!$D$5+IF(parametros_manuales!$H$41="Todos",datos_base!$D$12,0))*parametros_manuales!$J$110+parametros_manuales!$G$41*(datos_base!$D$21+IF(parametros_manuales!$H$41="Todos",datos_base!$D$26,0))*parametros_manuales!$J$15)*parametros_manuales!$I$41*parametros_manuales!$J$41</f>
        <v>1127.251252492</v>
      </c>
      <c r="K78" s="9" t="n">
        <f aca="false">(parametros_manuales!$D$41*(datos_base!$D$2+IF(parametros_manuales!$H$41="Todos",datos_base!$D$9,0))*parametros_manuales!$K$95+parametros_manuales!$D$41*(datos_base!$D$18+IF(parametros_manuales!$H$41="Todos",datos_base!$D$23,0))*parametros_manuales!$K$12+parametros_manuales!$E$41*(datos_base!$D$3+IF(parametros_manuales!$H$41="Todos",datos_base!$D$10,0))*parametros_manuales!$K$100+parametros_manuales!$E$41*(datos_base!$D$19+IF(parametros_manuales!$H$41="Todos",datos_base!$D$24,0))*parametros_manuales!$K$13+parametros_manuales!$F$41*(datos_base!$D$4+IF(parametros_manuales!$H$41="Todos",datos_base!$D$11,0))*parametros_manuales!$K$105+parametros_manuales!$F$41*(datos_base!$D$20+IF(parametros_manuales!$H$41="Todos",datos_base!$D$25,0))*parametros_manuales!$K$14+parametros_manuales!$G$41*(datos_base!$D$5+IF(parametros_manuales!$H$41="Todos",datos_base!$D$12,0))*parametros_manuales!$K$110+parametros_manuales!$G$41*(datos_base!$D$21+IF(parametros_manuales!$H$41="Todos",datos_base!$D$26,0))*parametros_manuales!$K$15)*parametros_manuales!$I$41*parametros_manuales!$J$41</f>
        <v>1158.672974634</v>
      </c>
      <c r="L78" s="9" t="n">
        <f aca="false">(parametros_manuales!$D$41*(datos_base!$D$2+IF(parametros_manuales!$H$41="Todos",datos_base!$D$9,0))*parametros_manuales!$L$95+parametros_manuales!$D$41*(datos_base!$D$18+IF(parametros_manuales!$H$41="Todos",datos_base!$D$23,0))*parametros_manuales!$L$12+parametros_manuales!$E$41*(datos_base!$D$3+IF(parametros_manuales!$H$41="Todos",datos_base!$D$10,0))*parametros_manuales!$L$100+parametros_manuales!$E$41*(datos_base!$D$19+IF(parametros_manuales!$H$41="Todos",datos_base!$D$24,0))*parametros_manuales!$L$13+parametros_manuales!$F$41*(datos_base!$D$4+IF(parametros_manuales!$H$41="Todos",datos_base!$D$11,0))*parametros_manuales!$L$105+parametros_manuales!$F$41*(datos_base!$D$20+IF(parametros_manuales!$H$41="Todos",datos_base!$D$25,0))*parametros_manuales!$L$14+parametros_manuales!$G$41*(datos_base!$D$5+IF(parametros_manuales!$H$41="Todos",datos_base!$D$12,0))*parametros_manuales!$L$110+parametros_manuales!$G$41*(datos_base!$D$21+IF(parametros_manuales!$H$41="Todos",datos_base!$D$26,0))*parametros_manuales!$L$15)*parametros_manuales!$I$41*parametros_manuales!$J$41</f>
        <v>1190.094696776</v>
      </c>
      <c r="M78" s="9" t="n">
        <f aca="false">(parametros_manuales!$D$41*(datos_base!$D$2+IF(parametros_manuales!$H$41="Todos",datos_base!$D$9,0))*parametros_manuales!$M$95+parametros_manuales!$D$41*(datos_base!$D$18+IF(parametros_manuales!$H$41="Todos",datos_base!$D$23,0))*parametros_manuales!$M$12+parametros_manuales!$E$41*(datos_base!$D$3+IF(parametros_manuales!$H$41="Todos",datos_base!$D$10,0))*parametros_manuales!$M$100+parametros_manuales!$E$41*(datos_base!$D$19+IF(parametros_manuales!$H$41="Todos",datos_base!$D$24,0))*parametros_manuales!$M$13+parametros_manuales!$F$41*(datos_base!$D$4+IF(parametros_manuales!$H$41="Todos",datos_base!$D$11,0))*parametros_manuales!$M$105+parametros_manuales!$F$41*(datos_base!$D$20+IF(parametros_manuales!$H$41="Todos",datos_base!$D$25,0))*parametros_manuales!$M$14+parametros_manuales!$G$41*(datos_base!$D$5+IF(parametros_manuales!$H$41="Todos",datos_base!$D$12,0))*parametros_manuales!$M$110+parametros_manuales!$G$41*(datos_base!$D$21+IF(parametros_manuales!$H$41="Todos",datos_base!$D$26,0))*parametros_manuales!$M$15)*parametros_manuales!$I$41*parametros_manuales!$J$41</f>
        <v>1192.056296776</v>
      </c>
      <c r="N78" s="9" t="n">
        <f aca="false">SUM(B78:M78)</f>
        <v>13234.1721864</v>
      </c>
      <c r="O78" s="9" t="n">
        <f aca="false">MAX(B78:M78)</f>
        <v>1192.056296776</v>
      </c>
      <c r="P78" s="44" t="n">
        <f aca="false">O78/(parametros_manuales!$B$7)</f>
        <v>7.94704197850667</v>
      </c>
      <c r="Q78" s="8" t="str">
        <f aca="false">IF(O78=0,"-",INDEX($B$55:$M$55,MATCH(O78,B78:M78,0)))</f>
        <v>Dic</v>
      </c>
    </row>
    <row r="79" customFormat="false" ht="14.25" hidden="false" customHeight="true" outlineLevel="0" collapsed="false">
      <c r="A79" s="8" t="str">
        <f aca="false">parametros_manuales!$B$42</f>
        <v>Etiquetado</v>
      </c>
      <c r="B79" s="9" t="n">
        <f aca="false">(parametros_manuales!$D$42*(datos_base!$D$2+IF(parametros_manuales!$H$42="Todos",datos_base!$D$9,0))*parametros_manuales!$B$95+parametros_manuales!$D$42*(datos_base!$D$18+IF(parametros_manuales!$H$42="Todos",datos_base!$D$23,0))*parametros_manuales!$B$12+parametros_manuales!$E$42*(datos_base!$D$3+IF(parametros_manuales!$H$42="Todos",datos_base!$D$10,0))*parametros_manuales!$B$100+parametros_manuales!$E$42*(datos_base!$D$19+IF(parametros_manuales!$H$42="Todos",datos_base!$D$24,0))*parametros_manuales!$B$13+parametros_manuales!$F$42*(datos_base!$D$4+IF(parametros_manuales!$H$42="Todos",datos_base!$D$11,0))*parametros_manuales!$B$105+parametros_manuales!$F$42*(datos_base!$D$20+IF(parametros_manuales!$H$42="Todos",datos_base!$D$25,0))*parametros_manuales!$B$14+parametros_manuales!$G$42*(datos_base!$D$5+IF(parametros_manuales!$H$42="Todos",datos_base!$D$12,0))*parametros_manuales!$B$110+parametros_manuales!$G$42*(datos_base!$D$21+IF(parametros_manuales!$H$42="Todos",datos_base!$D$26,0))*parametros_manuales!$B$15)*parametros_manuales!$I$42*parametros_manuales!$J$42</f>
        <v>1191.565896776</v>
      </c>
      <c r="C79" s="9" t="n">
        <f aca="false">(parametros_manuales!$D$42*(datos_base!$D$2+IF(parametros_manuales!$H$42="Todos",datos_base!$D$9,0))*parametros_manuales!$C$95+parametros_manuales!$D$42*(datos_base!$D$18+IF(parametros_manuales!$H$42="Todos",datos_base!$D$23,0))*parametros_manuales!$C$12+parametros_manuales!$E$42*(datos_base!$D$3+IF(parametros_manuales!$H$42="Todos",datos_base!$D$10,0))*parametros_manuales!$C$100+parametros_manuales!$E$42*(datos_base!$D$19+IF(parametros_manuales!$H$42="Todos",datos_base!$D$24,0))*parametros_manuales!$C$13+parametros_manuales!$F$42*(datos_base!$D$4+IF(parametros_manuales!$H$42="Todos",datos_base!$D$11,0))*parametros_manuales!$C$105+parametros_manuales!$F$42*(datos_base!$D$20+IF(parametros_manuales!$H$42="Todos",datos_base!$D$25,0))*parametros_manuales!$C$14+parametros_manuales!$G$42*(datos_base!$D$5+IF(parametros_manuales!$H$42="Todos",datos_base!$D$12,0))*parametros_manuales!$C$110+parametros_manuales!$G$42*(datos_base!$D$21+IF(parametros_manuales!$H$42="Todos",datos_base!$D$26,0))*parametros_manuales!$C$15)*parametros_manuales!$I$42*parametros_manuales!$J$42</f>
        <v>1127.251252492</v>
      </c>
      <c r="D79" s="9" t="n">
        <f aca="false">(parametros_manuales!$D$42*(datos_base!$D$2+IF(parametros_manuales!$H$42="Todos",datos_base!$D$9,0))*parametros_manuales!$D$95+parametros_manuales!$D$42*(datos_base!$D$18+IF(parametros_manuales!$H$42="Todos",datos_base!$D$23,0))*parametros_manuales!$D$12+parametros_manuales!$E$42*(datos_base!$D$3+IF(parametros_manuales!$H$42="Todos",datos_base!$D$10,0))*parametros_manuales!$D$100+parametros_manuales!$E$42*(datos_base!$D$19+IF(parametros_manuales!$H$42="Todos",datos_base!$D$24,0))*parametros_manuales!$D$13+parametros_manuales!$F$42*(datos_base!$D$4+IF(parametros_manuales!$H$42="Todos",datos_base!$D$11,0))*parametros_manuales!$D$105+parametros_manuales!$F$42*(datos_base!$D$20+IF(parametros_manuales!$H$42="Todos",datos_base!$D$25,0))*parametros_manuales!$D$14+parametros_manuales!$G$42*(datos_base!$D$5+IF(parametros_manuales!$H$42="Todos",datos_base!$D$12,0))*parametros_manuales!$D$110+parametros_manuales!$G$42*(datos_base!$D$21+IF(parametros_manuales!$H$42="Todos",datos_base!$D$26,0))*parametros_manuales!$D$15)*parametros_manuales!$I$42*parametros_manuales!$J$42</f>
        <v>1090.645897054</v>
      </c>
      <c r="E79" s="9" t="n">
        <f aca="false">(parametros_manuales!$D$42*(datos_base!$D$2+IF(parametros_manuales!$H$42="Todos",datos_base!$D$9,0))*parametros_manuales!$E$95+parametros_manuales!$D$42*(datos_base!$D$18+IF(parametros_manuales!$H$42="Todos",datos_base!$D$23,0))*parametros_manuales!$E$12+parametros_manuales!$E$42*(datos_base!$D$3+IF(parametros_manuales!$H$42="Todos",datos_base!$D$10,0))*parametros_manuales!$E$100+parametros_manuales!$E$42*(datos_base!$D$19+IF(parametros_manuales!$H$42="Todos",datos_base!$D$24,0))*parametros_manuales!$E$13+parametros_manuales!$F$42*(datos_base!$D$4+IF(parametros_manuales!$H$42="Todos",datos_base!$D$11,0))*parametros_manuales!$E$105+parametros_manuales!$F$42*(datos_base!$D$20+IF(parametros_manuales!$H$42="Todos",datos_base!$D$25,0))*parametros_manuales!$E$14+parametros_manuales!$G$42*(datos_base!$D$5+IF(parametros_manuales!$H$42="Todos",datos_base!$D$12,0))*parametros_manuales!$E$110+parametros_manuales!$G$42*(datos_base!$D$21+IF(parametros_manuales!$H$42="Todos",datos_base!$D$26,0))*parametros_manuales!$E$15)*parametros_manuales!$I$42*parametros_manuales!$J$42</f>
        <v>1056.387158264</v>
      </c>
      <c r="F79" s="9" t="n">
        <f aca="false">(parametros_manuales!$D$42*(datos_base!$D$2+IF(parametros_manuales!$H$42="Todos",datos_base!$D$9,0))*parametros_manuales!$F$95+parametros_manuales!$D$42*(datos_base!$D$18+IF(parametros_manuales!$H$42="Todos",datos_base!$D$23,0))*parametros_manuales!$F$12+parametros_manuales!$E$42*(datos_base!$D$3+IF(parametros_manuales!$H$42="Todos",datos_base!$D$10,0))*parametros_manuales!$F$100+parametros_manuales!$E$42*(datos_base!$D$19+IF(parametros_manuales!$H$42="Todos",datos_base!$D$24,0))*parametros_manuales!$F$13+parametros_manuales!$F$42*(datos_base!$D$4+IF(parametros_manuales!$H$42="Todos",datos_base!$D$11,0))*parametros_manuales!$F$105+parametros_manuales!$F$42*(datos_base!$D$20+IF(parametros_manuales!$H$42="Todos",datos_base!$D$25,0))*parametros_manuales!$F$14+parametros_manuales!$G$42*(datos_base!$D$5+IF(parametros_manuales!$H$42="Todos",datos_base!$D$12,0))*parametros_manuales!$F$110+parametros_manuales!$G$42*(datos_base!$D$21+IF(parametros_manuales!$H$42="Todos",datos_base!$D$26,0))*parametros_manuales!$F$15)*parametros_manuales!$I$42*parametros_manuales!$J$42</f>
        <v>990.216297332</v>
      </c>
      <c r="G79" s="9" t="n">
        <f aca="false">(parametros_manuales!$D$42*(datos_base!$D$2+IF(parametros_manuales!$H$42="Todos",datos_base!$D$9,0))*parametros_manuales!$G$95+parametros_manuales!$D$42*(datos_base!$D$18+IF(parametros_manuales!$H$42="Todos",datos_base!$D$23,0))*parametros_manuales!$G$12+parametros_manuales!$E$42*(datos_base!$D$3+IF(parametros_manuales!$H$42="Todos",datos_base!$D$10,0))*parametros_manuales!$G$100+parametros_manuales!$E$42*(datos_base!$D$19+IF(parametros_manuales!$H$42="Todos",datos_base!$D$24,0))*parametros_manuales!$G$13+parametros_manuales!$F$42*(datos_base!$D$4+IF(parametros_manuales!$H$42="Todos",datos_base!$D$11,0))*parametros_manuales!$G$105+parametros_manuales!$F$42*(datos_base!$D$20+IF(parametros_manuales!$H$42="Todos",datos_base!$D$25,0))*parametros_manuales!$G$14+parametros_manuales!$G$42*(datos_base!$D$5+IF(parametros_manuales!$H$42="Todos",datos_base!$D$12,0))*parametros_manuales!$G$110+parametros_manuales!$G$42*(datos_base!$D$21+IF(parametros_manuales!$H$42="Todos",datos_base!$D$26,0))*parametros_manuales!$G$15)*parametros_manuales!$I$42*parametros_manuales!$J$42</f>
        <v>958.30417519</v>
      </c>
      <c r="H79" s="9" t="n">
        <f aca="false">(parametros_manuales!$D$42*(datos_base!$D$2+IF(parametros_manuales!$H$42="Todos",datos_base!$D$9,0))*parametros_manuales!$H$95+parametros_manuales!$D$42*(datos_base!$D$18+IF(parametros_manuales!$H$42="Todos",datos_base!$D$23,0))*parametros_manuales!$H$12+parametros_manuales!$E$42*(datos_base!$D$3+IF(parametros_manuales!$H$42="Todos",datos_base!$D$10,0))*parametros_manuales!$H$100+parametros_manuales!$E$42*(datos_base!$D$19+IF(parametros_manuales!$H$42="Todos",datos_base!$D$24,0))*parametros_manuales!$H$13+parametros_manuales!$F$42*(datos_base!$D$4+IF(parametros_manuales!$H$42="Todos",datos_base!$D$11,0))*parametros_manuales!$H$105+parametros_manuales!$F$42*(datos_base!$D$20+IF(parametros_manuales!$H$42="Todos",datos_base!$D$25,0))*parametros_manuales!$H$14+parametros_manuales!$G$42*(datos_base!$D$5+IF(parametros_manuales!$H$42="Todos",datos_base!$D$12,0))*parametros_manuales!$H$110+parametros_manuales!$G$42*(datos_base!$D$21+IF(parametros_manuales!$H$42="Todos",datos_base!$D$26,0))*parametros_manuales!$H$15)*parametros_manuales!$I$42*parametros_manuales!$J$42</f>
        <v>1024.475036122</v>
      </c>
      <c r="I79" s="9" t="n">
        <f aca="false">(parametros_manuales!$D$42*(datos_base!$D$2+IF(parametros_manuales!$H$42="Todos",datos_base!$D$9,0))*parametros_manuales!$I$95+parametros_manuales!$D$42*(datos_base!$D$18+IF(parametros_manuales!$H$42="Todos",datos_base!$D$23,0))*parametros_manuales!$I$12+parametros_manuales!$E$42*(datos_base!$D$3+IF(parametros_manuales!$H$42="Todos",datos_base!$D$10,0))*parametros_manuales!$I$100+parametros_manuales!$E$42*(datos_base!$D$19+IF(parametros_manuales!$H$42="Todos",datos_base!$D$24,0))*parametros_manuales!$I$13+parametros_manuales!$F$42*(datos_base!$D$4+IF(parametros_manuales!$H$42="Todos",datos_base!$D$11,0))*parametros_manuales!$I$105+parametros_manuales!$F$42*(datos_base!$D$20+IF(parametros_manuales!$H$42="Todos",datos_base!$D$25,0))*parametros_manuales!$I$14+parametros_manuales!$G$42*(datos_base!$D$5+IF(parametros_manuales!$H$42="Todos",datos_base!$D$12,0))*parametros_manuales!$I$110+parametros_manuales!$G$42*(datos_base!$D$21+IF(parametros_manuales!$H$42="Todos",datos_base!$D$26,0))*parametros_manuales!$I$15)*parametros_manuales!$I$42*parametros_manuales!$J$42</f>
        <v>1127.251252492</v>
      </c>
      <c r="J79" s="9" t="n">
        <f aca="false">(parametros_manuales!$D$42*(datos_base!$D$2+IF(parametros_manuales!$H$42="Todos",datos_base!$D$9,0))*parametros_manuales!$J$95+parametros_manuales!$D$42*(datos_base!$D$18+IF(parametros_manuales!$H$42="Todos",datos_base!$D$23,0))*parametros_manuales!$J$12+parametros_manuales!$E$42*(datos_base!$D$3+IF(parametros_manuales!$H$42="Todos",datos_base!$D$10,0))*parametros_manuales!$J$100+parametros_manuales!$E$42*(datos_base!$D$19+IF(parametros_manuales!$H$42="Todos",datos_base!$D$24,0))*parametros_manuales!$J$13+parametros_manuales!$F$42*(datos_base!$D$4+IF(parametros_manuales!$H$42="Todos",datos_base!$D$11,0))*parametros_manuales!$J$105+parametros_manuales!$F$42*(datos_base!$D$20+IF(parametros_manuales!$H$42="Todos",datos_base!$D$25,0))*parametros_manuales!$J$14+parametros_manuales!$G$42*(datos_base!$D$5+IF(parametros_manuales!$H$42="Todos",datos_base!$D$12,0))*parametros_manuales!$J$110+parametros_manuales!$G$42*(datos_base!$D$21+IF(parametros_manuales!$H$42="Todos",datos_base!$D$26,0))*parametros_manuales!$J$15)*parametros_manuales!$I$42*parametros_manuales!$J$42</f>
        <v>1127.251252492</v>
      </c>
      <c r="K79" s="9" t="n">
        <f aca="false">(parametros_manuales!$D$42*(datos_base!$D$2+IF(parametros_manuales!$H$42="Todos",datos_base!$D$9,0))*parametros_manuales!$K$95+parametros_manuales!$D$42*(datos_base!$D$18+IF(parametros_manuales!$H$42="Todos",datos_base!$D$23,0))*parametros_manuales!$K$12+parametros_manuales!$E$42*(datos_base!$D$3+IF(parametros_manuales!$H$42="Todos",datos_base!$D$10,0))*parametros_manuales!$K$100+parametros_manuales!$E$42*(datos_base!$D$19+IF(parametros_manuales!$H$42="Todos",datos_base!$D$24,0))*parametros_manuales!$K$13+parametros_manuales!$F$42*(datos_base!$D$4+IF(parametros_manuales!$H$42="Todos",datos_base!$D$11,0))*parametros_manuales!$K$105+parametros_manuales!$F$42*(datos_base!$D$20+IF(parametros_manuales!$H$42="Todos",datos_base!$D$25,0))*parametros_manuales!$K$14+parametros_manuales!$G$42*(datos_base!$D$5+IF(parametros_manuales!$H$42="Todos",datos_base!$D$12,0))*parametros_manuales!$K$110+parametros_manuales!$G$42*(datos_base!$D$21+IF(parametros_manuales!$H$42="Todos",datos_base!$D$26,0))*parametros_manuales!$K$15)*parametros_manuales!$I$42*parametros_manuales!$J$42</f>
        <v>1158.672974634</v>
      </c>
      <c r="L79" s="9" t="n">
        <f aca="false">(parametros_manuales!$D$42*(datos_base!$D$2+IF(parametros_manuales!$H$42="Todos",datos_base!$D$9,0))*parametros_manuales!$L$95+parametros_manuales!$D$42*(datos_base!$D$18+IF(parametros_manuales!$H$42="Todos",datos_base!$D$23,0))*parametros_manuales!$L$12+parametros_manuales!$E$42*(datos_base!$D$3+IF(parametros_manuales!$H$42="Todos",datos_base!$D$10,0))*parametros_manuales!$L$100+parametros_manuales!$E$42*(datos_base!$D$19+IF(parametros_manuales!$H$42="Todos",datos_base!$D$24,0))*parametros_manuales!$L$13+parametros_manuales!$F$42*(datos_base!$D$4+IF(parametros_manuales!$H$42="Todos",datos_base!$D$11,0))*parametros_manuales!$L$105+parametros_manuales!$F$42*(datos_base!$D$20+IF(parametros_manuales!$H$42="Todos",datos_base!$D$25,0))*parametros_manuales!$L$14+parametros_manuales!$G$42*(datos_base!$D$5+IF(parametros_manuales!$H$42="Todos",datos_base!$D$12,0))*parametros_manuales!$L$110+parametros_manuales!$G$42*(datos_base!$D$21+IF(parametros_manuales!$H$42="Todos",datos_base!$D$26,0))*parametros_manuales!$L$15)*parametros_manuales!$I$42*parametros_manuales!$J$42</f>
        <v>1190.094696776</v>
      </c>
      <c r="M79" s="9" t="n">
        <f aca="false">(parametros_manuales!$D$42*(datos_base!$D$2+IF(parametros_manuales!$H$42="Todos",datos_base!$D$9,0))*parametros_manuales!$M$95+parametros_manuales!$D$42*(datos_base!$D$18+IF(parametros_manuales!$H$42="Todos",datos_base!$D$23,0))*parametros_manuales!$M$12+parametros_manuales!$E$42*(datos_base!$D$3+IF(parametros_manuales!$H$42="Todos",datos_base!$D$10,0))*parametros_manuales!$M$100+parametros_manuales!$E$42*(datos_base!$D$19+IF(parametros_manuales!$H$42="Todos",datos_base!$D$24,0))*parametros_manuales!$M$13+parametros_manuales!$F$42*(datos_base!$D$4+IF(parametros_manuales!$H$42="Todos",datos_base!$D$11,0))*parametros_manuales!$M$105+parametros_manuales!$F$42*(datos_base!$D$20+IF(parametros_manuales!$H$42="Todos",datos_base!$D$25,0))*parametros_manuales!$M$14+parametros_manuales!$G$42*(datos_base!$D$5+IF(parametros_manuales!$H$42="Todos",datos_base!$D$12,0))*parametros_manuales!$M$110+parametros_manuales!$G$42*(datos_base!$D$21+IF(parametros_manuales!$H$42="Todos",datos_base!$D$26,0))*parametros_manuales!$M$15)*parametros_manuales!$I$42*parametros_manuales!$J$42</f>
        <v>1192.056296776</v>
      </c>
      <c r="N79" s="9" t="n">
        <f aca="false">SUM(B79:M79)</f>
        <v>13234.1721864</v>
      </c>
      <c r="O79" s="9" t="n">
        <f aca="false">MAX(B79:M79)</f>
        <v>1192.056296776</v>
      </c>
      <c r="P79" s="44" t="n">
        <f aca="false">O79/(parametros_manuales!$B$7)</f>
        <v>7.94704197850667</v>
      </c>
      <c r="Q79" s="8" t="str">
        <f aca="false">IF(O79=0,"-",INDEX($B$55:$M$55,MATCH(O79,B79:M79,0)))</f>
        <v>Dic</v>
      </c>
    </row>
    <row r="80" customFormat="false" ht="14.25" hidden="false" customHeight="true" outlineLevel="0" collapsed="false">
      <c r="A80" s="8" t="str">
        <f aca="false">parametros_manuales!$B$43</f>
        <v>Embalaje y paletizado</v>
      </c>
      <c r="B80" s="9" t="n">
        <f aca="false">(parametros_manuales!$D$43*(datos_base!$D$2+IF(parametros_manuales!$H$43="Todos",datos_base!$D$9,0))*parametros_manuales!$B$95+parametros_manuales!$D$43*(datos_base!$D$18+IF(parametros_manuales!$H$43="Todos",datos_base!$D$23,0))*parametros_manuales!$B$12+parametros_manuales!$E$43*(datos_base!$D$3+IF(parametros_manuales!$H$43="Todos",datos_base!$D$10,0))*parametros_manuales!$B$100+parametros_manuales!$E$43*(datos_base!$D$19+IF(parametros_manuales!$H$43="Todos",datos_base!$D$24,0))*parametros_manuales!$B$13+parametros_manuales!$F$43*(datos_base!$D$4+IF(parametros_manuales!$H$43="Todos",datos_base!$D$11,0))*parametros_manuales!$B$105+parametros_manuales!$F$43*(datos_base!$D$20+IF(parametros_manuales!$H$43="Todos",datos_base!$D$25,0))*parametros_manuales!$B$14+parametros_manuales!$G$43*(datos_base!$D$5+IF(parametros_manuales!$H$43="Todos",datos_base!$D$12,0))*parametros_manuales!$B$110+parametros_manuales!$G$43*(datos_base!$D$21+IF(parametros_manuales!$H$43="Todos",datos_base!$D$26,0))*parametros_manuales!$B$15)*parametros_manuales!$I$43*parametros_manuales!$J$43</f>
        <v>2058.965896776</v>
      </c>
      <c r="C80" s="9" t="n">
        <f aca="false">(parametros_manuales!$D$43*(datos_base!$D$2+IF(parametros_manuales!$H$43="Todos",datos_base!$D$9,0))*parametros_manuales!$C$95+parametros_manuales!$D$43*(datos_base!$D$18+IF(parametros_manuales!$H$43="Todos",datos_base!$D$23,0))*parametros_manuales!$C$12+parametros_manuales!$E$43*(datos_base!$D$3+IF(parametros_manuales!$H$43="Todos",datos_base!$D$10,0))*parametros_manuales!$C$100+parametros_manuales!$E$43*(datos_base!$D$19+IF(parametros_manuales!$H$43="Todos",datos_base!$D$24,0))*parametros_manuales!$C$13+parametros_manuales!$F$43*(datos_base!$D$4+IF(parametros_manuales!$H$43="Todos",datos_base!$D$11,0))*parametros_manuales!$C$105+parametros_manuales!$F$43*(datos_base!$D$20+IF(parametros_manuales!$H$43="Todos",datos_base!$D$25,0))*parametros_manuales!$C$14+parametros_manuales!$G$43*(datos_base!$D$5+IF(parametros_manuales!$H$43="Todos",datos_base!$D$12,0))*parametros_manuales!$C$110+parametros_manuales!$G$43*(datos_base!$D$21+IF(parametros_manuales!$H$43="Todos",datos_base!$D$26,0))*parametros_manuales!$C$15)*parametros_manuales!$I$43*parametros_manuales!$J$43</f>
        <v>1974.044852492</v>
      </c>
      <c r="D80" s="9" t="n">
        <f aca="false">(parametros_manuales!$D$43*(datos_base!$D$2+IF(parametros_manuales!$H$43="Todos",datos_base!$D$9,0))*parametros_manuales!$D$95+parametros_manuales!$D$43*(datos_base!$D$18+IF(parametros_manuales!$H$43="Todos",datos_base!$D$23,0))*parametros_manuales!$D$12+parametros_manuales!$E$43*(datos_base!$D$3+IF(parametros_manuales!$H$43="Todos",datos_base!$D$10,0))*parametros_manuales!$D$100+parametros_manuales!$E$43*(datos_base!$D$19+IF(parametros_manuales!$H$43="Todos",datos_base!$D$24,0))*parametros_manuales!$D$13+parametros_manuales!$F$43*(datos_base!$D$4+IF(parametros_manuales!$H$43="Todos",datos_base!$D$11,0))*parametros_manuales!$D$105+parametros_manuales!$F$43*(datos_base!$D$20+IF(parametros_manuales!$H$43="Todos",datos_base!$D$25,0))*parametros_manuales!$D$14+parametros_manuales!$G$43*(datos_base!$D$5+IF(parametros_manuales!$H$43="Todos",datos_base!$D$12,0))*parametros_manuales!$D$110+parametros_manuales!$G$43*(datos_base!$D$21+IF(parametros_manuales!$H$43="Todos",datos_base!$D$26,0))*parametros_manuales!$D$15)*parametros_manuales!$I$43*parametros_manuales!$J$43</f>
        <v>1870.639097054</v>
      </c>
      <c r="E80" s="9" t="n">
        <f aca="false">(parametros_manuales!$D$43*(datos_base!$D$2+IF(parametros_manuales!$H$43="Todos",datos_base!$D$9,0))*parametros_manuales!$E$95+parametros_manuales!$D$43*(datos_base!$D$18+IF(parametros_manuales!$H$43="Todos",datos_base!$D$23,0))*parametros_manuales!$E$12+parametros_manuales!$E$43*(datos_base!$D$3+IF(parametros_manuales!$H$43="Todos",datos_base!$D$10,0))*parametros_manuales!$E$100+parametros_manuales!$E$43*(datos_base!$D$19+IF(parametros_manuales!$H$43="Todos",datos_base!$D$24,0))*parametros_manuales!$E$13+parametros_manuales!$F$43*(datos_base!$D$4+IF(parametros_manuales!$H$43="Todos",datos_base!$D$11,0))*parametros_manuales!$E$105+parametros_manuales!$F$43*(datos_base!$D$20+IF(parametros_manuales!$H$43="Todos",datos_base!$D$25,0))*parametros_manuales!$E$14+parametros_manuales!$G$43*(datos_base!$D$5+IF(parametros_manuales!$H$43="Todos",datos_base!$D$12,0))*parametros_manuales!$E$110+parametros_manuales!$G$43*(datos_base!$D$21+IF(parametros_manuales!$H$43="Todos",datos_base!$D$26,0))*parametros_manuales!$E$15)*parametros_manuales!$I$43*parametros_manuales!$J$43</f>
        <v>1798.068358264</v>
      </c>
      <c r="F80" s="9" t="n">
        <f aca="false">(parametros_manuales!$D$43*(datos_base!$D$2+IF(parametros_manuales!$H$43="Todos",datos_base!$D$9,0))*parametros_manuales!$F$95+parametros_manuales!$D$43*(datos_base!$D$18+IF(parametros_manuales!$H$43="Todos",datos_base!$D$23,0))*parametros_manuales!$F$12+parametros_manuales!$E$43*(datos_base!$D$3+IF(parametros_manuales!$H$43="Todos",datos_base!$D$10,0))*parametros_manuales!$F$100+parametros_manuales!$E$43*(datos_base!$D$19+IF(parametros_manuales!$H$43="Todos",datos_base!$D$24,0))*parametros_manuales!$F$13+parametros_manuales!$F$43*(datos_base!$D$4+IF(parametros_manuales!$H$43="Todos",datos_base!$D$11,0))*parametros_manuales!$F$105+parametros_manuales!$F$43*(datos_base!$D$20+IF(parametros_manuales!$H$43="Todos",datos_base!$D$25,0))*parametros_manuales!$F$14+parametros_manuales!$G$43*(datos_base!$D$5+IF(parametros_manuales!$H$43="Todos",datos_base!$D$12,0))*parametros_manuales!$F$110+parametros_manuales!$G$43*(datos_base!$D$21+IF(parametros_manuales!$H$43="Todos",datos_base!$D$26,0))*parametros_manuales!$F$15)*parametros_manuales!$I$43*parametros_manuales!$J$43</f>
        <v>1683.761897332</v>
      </c>
      <c r="G80" s="9" t="n">
        <f aca="false">(parametros_manuales!$D$43*(datos_base!$D$2+IF(parametros_manuales!$H$43="Todos",datos_base!$D$9,0))*parametros_manuales!$G$95+parametros_manuales!$D$43*(datos_base!$D$18+IF(parametros_manuales!$H$43="Todos",datos_base!$D$23,0))*parametros_manuales!$G$12+parametros_manuales!$E$43*(datos_base!$D$3+IF(parametros_manuales!$H$43="Todos",datos_base!$D$10,0))*parametros_manuales!$G$100+parametros_manuales!$E$43*(datos_base!$D$19+IF(parametros_manuales!$H$43="Todos",datos_base!$D$24,0))*parametros_manuales!$G$13+parametros_manuales!$F$43*(datos_base!$D$4+IF(parametros_manuales!$H$43="Todos",datos_base!$D$11,0))*parametros_manuales!$G$105+parametros_manuales!$F$43*(datos_base!$D$20+IF(parametros_manuales!$H$43="Todos",datos_base!$D$25,0))*parametros_manuales!$G$14+parametros_manuales!$G$43*(datos_base!$D$5+IF(parametros_manuales!$H$43="Todos",datos_base!$D$12,0))*parametros_manuales!$G$110+parametros_manuales!$G$43*(datos_base!$D$21+IF(parametros_manuales!$H$43="Todos",datos_base!$D$26,0))*parametros_manuales!$G$15)*parametros_manuales!$I$43*parametros_manuales!$J$43</f>
        <v>1642.02617519</v>
      </c>
      <c r="H80" s="9" t="n">
        <f aca="false">(parametros_manuales!$D$43*(datos_base!$D$2+IF(parametros_manuales!$H$43="Todos",datos_base!$D$9,0))*parametros_manuales!$H$95+parametros_manuales!$D$43*(datos_base!$D$18+IF(parametros_manuales!$H$43="Todos",datos_base!$D$23,0))*parametros_manuales!$H$12+parametros_manuales!$E$43*(datos_base!$D$3+IF(parametros_manuales!$H$43="Todos",datos_base!$D$10,0))*parametros_manuales!$H$100+parametros_manuales!$E$43*(datos_base!$D$19+IF(parametros_manuales!$H$43="Todos",datos_base!$D$24,0))*parametros_manuales!$H$13+parametros_manuales!$F$43*(datos_base!$D$4+IF(parametros_manuales!$H$43="Todos",datos_base!$D$11,0))*parametros_manuales!$H$105+parametros_manuales!$F$43*(datos_base!$D$20+IF(parametros_manuales!$H$43="Todos",datos_base!$D$25,0))*parametros_manuales!$H$14+parametros_manuales!$G$43*(datos_base!$D$5+IF(parametros_manuales!$H$43="Todos",datos_base!$D$12,0))*parametros_manuales!$H$110+parametros_manuales!$G$43*(datos_base!$D$21+IF(parametros_manuales!$H$43="Todos",datos_base!$D$26,0))*parametros_manuales!$H$15)*parametros_manuales!$I$43*parametros_manuales!$J$43</f>
        <v>1756.332636122</v>
      </c>
      <c r="I80" s="9" t="n">
        <f aca="false">(parametros_manuales!$D$43*(datos_base!$D$2+IF(parametros_manuales!$H$43="Todos",datos_base!$D$9,0))*parametros_manuales!$I$95+parametros_manuales!$D$43*(datos_base!$D$18+IF(parametros_manuales!$H$43="Todos",datos_base!$D$23,0))*parametros_manuales!$I$12+parametros_manuales!$E$43*(datos_base!$D$3+IF(parametros_manuales!$H$43="Todos",datos_base!$D$10,0))*parametros_manuales!$I$100+parametros_manuales!$E$43*(datos_base!$D$19+IF(parametros_manuales!$H$43="Todos",datos_base!$D$24,0))*parametros_manuales!$I$13+parametros_manuales!$F$43*(datos_base!$D$4+IF(parametros_manuales!$H$43="Todos",datos_base!$D$11,0))*parametros_manuales!$I$105+parametros_manuales!$F$43*(datos_base!$D$20+IF(parametros_manuales!$H$43="Todos",datos_base!$D$25,0))*parametros_manuales!$I$14+parametros_manuales!$G$43*(datos_base!$D$5+IF(parametros_manuales!$H$43="Todos",datos_base!$D$12,0))*parametros_manuales!$I$110+parametros_manuales!$G$43*(datos_base!$D$21+IF(parametros_manuales!$H$43="Todos",datos_base!$D$26,0))*parametros_manuales!$I$15)*parametros_manuales!$I$43*parametros_manuales!$J$43</f>
        <v>1974.044852492</v>
      </c>
      <c r="J80" s="9" t="n">
        <f aca="false">(parametros_manuales!$D$43*(datos_base!$D$2+IF(parametros_manuales!$H$43="Todos",datos_base!$D$9,0))*parametros_manuales!$J$95+parametros_manuales!$D$43*(datos_base!$D$18+IF(parametros_manuales!$H$43="Todos",datos_base!$D$23,0))*parametros_manuales!$J$12+parametros_manuales!$E$43*(datos_base!$D$3+IF(parametros_manuales!$H$43="Todos",datos_base!$D$10,0))*parametros_manuales!$J$100+parametros_manuales!$E$43*(datos_base!$D$19+IF(parametros_manuales!$H$43="Todos",datos_base!$D$24,0))*parametros_manuales!$J$13+parametros_manuales!$F$43*(datos_base!$D$4+IF(parametros_manuales!$H$43="Todos",datos_base!$D$11,0))*parametros_manuales!$J$105+parametros_manuales!$F$43*(datos_base!$D$20+IF(parametros_manuales!$H$43="Todos",datos_base!$D$25,0))*parametros_manuales!$J$14+parametros_manuales!$G$43*(datos_base!$D$5+IF(parametros_manuales!$H$43="Todos",datos_base!$D$12,0))*parametros_manuales!$J$110+parametros_manuales!$G$43*(datos_base!$D$21+IF(parametros_manuales!$H$43="Todos",datos_base!$D$26,0))*parametros_manuales!$J$15)*parametros_manuales!$I$43*parametros_manuales!$J$43</f>
        <v>1974.044852492</v>
      </c>
      <c r="K80" s="9" t="n">
        <f aca="false">(parametros_manuales!$D$43*(datos_base!$D$2+IF(parametros_manuales!$H$43="Todos",datos_base!$D$9,0))*parametros_manuales!$K$95+parametros_manuales!$D$43*(datos_base!$D$18+IF(parametros_manuales!$H$43="Todos",datos_base!$D$23,0))*parametros_manuales!$K$12+parametros_manuales!$E$43*(datos_base!$D$3+IF(parametros_manuales!$H$43="Todos",datos_base!$D$10,0))*parametros_manuales!$K$100+parametros_manuales!$E$43*(datos_base!$D$19+IF(parametros_manuales!$H$43="Todos",datos_base!$D$24,0))*parametros_manuales!$K$13+parametros_manuales!$F$43*(datos_base!$D$4+IF(parametros_manuales!$H$43="Todos",datos_base!$D$11,0))*parametros_manuales!$K$105+parametros_manuales!$F$43*(datos_base!$D$20+IF(parametros_manuales!$H$43="Todos",datos_base!$D$25,0))*parametros_manuales!$K$14+parametros_manuales!$G$43*(datos_base!$D$5+IF(parametros_manuales!$H$43="Todos",datos_base!$D$12,0))*parametros_manuales!$K$110+parametros_manuales!$G$43*(datos_base!$D$21+IF(parametros_manuales!$H$43="Todos",datos_base!$D$26,0))*parametros_manuales!$K$15)*parametros_manuales!$I$43*parametros_manuales!$J$43</f>
        <v>2014.330974634</v>
      </c>
      <c r="L80" s="9" t="n">
        <f aca="false">(parametros_manuales!$D$43*(datos_base!$D$2+IF(parametros_manuales!$H$43="Todos",datos_base!$D$9,0))*parametros_manuales!$L$95+parametros_manuales!$D$43*(datos_base!$D$18+IF(parametros_manuales!$H$43="Todos",datos_base!$D$23,0))*parametros_manuales!$L$12+parametros_manuales!$E$43*(datos_base!$D$3+IF(parametros_manuales!$H$43="Todos",datos_base!$D$10,0))*parametros_manuales!$L$100+parametros_manuales!$E$43*(datos_base!$D$19+IF(parametros_manuales!$H$43="Todos",datos_base!$D$24,0))*parametros_manuales!$L$13+parametros_manuales!$F$43*(datos_base!$D$4+IF(parametros_manuales!$H$43="Todos",datos_base!$D$11,0))*parametros_manuales!$L$105+parametros_manuales!$F$43*(datos_base!$D$20+IF(parametros_manuales!$H$43="Todos",datos_base!$D$25,0))*parametros_manuales!$L$14+parametros_manuales!$G$43*(datos_base!$D$5+IF(parametros_manuales!$H$43="Todos",datos_base!$D$12,0))*parametros_manuales!$L$110+parametros_manuales!$G$43*(datos_base!$D$21+IF(parametros_manuales!$H$43="Todos",datos_base!$D$26,0))*parametros_manuales!$L$15)*parametros_manuales!$I$43*parametros_manuales!$J$43</f>
        <v>2054.617096776</v>
      </c>
      <c r="M80" s="9" t="n">
        <f aca="false">(parametros_manuales!$D$43*(datos_base!$D$2+IF(parametros_manuales!$H$43="Todos",datos_base!$D$9,0))*parametros_manuales!$M$95+parametros_manuales!$D$43*(datos_base!$D$18+IF(parametros_manuales!$H$43="Todos",datos_base!$D$23,0))*parametros_manuales!$M$12+parametros_manuales!$E$43*(datos_base!$D$3+IF(parametros_manuales!$H$43="Todos",datos_base!$D$10,0))*parametros_manuales!$M$100+parametros_manuales!$E$43*(datos_base!$D$19+IF(parametros_manuales!$H$43="Todos",datos_base!$D$24,0))*parametros_manuales!$M$13+parametros_manuales!$F$43*(datos_base!$D$4+IF(parametros_manuales!$H$43="Todos",datos_base!$D$11,0))*parametros_manuales!$M$105+parametros_manuales!$F$43*(datos_base!$D$20+IF(parametros_manuales!$H$43="Todos",datos_base!$D$25,0))*parametros_manuales!$M$14+parametros_manuales!$G$43*(datos_base!$D$5+IF(parametros_manuales!$H$43="Todos",datos_base!$D$12,0))*parametros_manuales!$M$110+parametros_manuales!$G$43*(datos_base!$D$21+IF(parametros_manuales!$H$43="Todos",datos_base!$D$26,0))*parametros_manuales!$M$15)*parametros_manuales!$I$43*parametros_manuales!$J$43</f>
        <v>2060.415496776</v>
      </c>
      <c r="N80" s="9" t="n">
        <f aca="false">SUM(B80:M80)</f>
        <v>22861.2921864</v>
      </c>
      <c r="O80" s="9" t="n">
        <f aca="false">MAX(B80:M80)</f>
        <v>2060.415496776</v>
      </c>
      <c r="P80" s="44" t="n">
        <f aca="false">O80/(parametros_manuales!$B$7)</f>
        <v>13.73610331184</v>
      </c>
      <c r="Q80" s="8" t="str">
        <f aca="false">IF(O80=0,"-",INDEX($B$55:$M$55,MATCH(O80,B80:M80,0)))</f>
        <v>Dic</v>
      </c>
    </row>
    <row r="81" customFormat="false" ht="14.25" hidden="false" customHeight="true" outlineLevel="0" collapsed="false"/>
    <row r="82" customFormat="false" ht="14.25" hidden="false" customHeight="true" outlineLevel="0" collapsed="false">
      <c r="A82" s="7" t="s">
        <v>203</v>
      </c>
      <c r="B82" s="7" t="s">
        <v>59</v>
      </c>
      <c r="C82" s="7" t="s">
        <v>60</v>
      </c>
      <c r="D82" s="7" t="s">
        <v>61</v>
      </c>
      <c r="E82" s="7" t="s">
        <v>62</v>
      </c>
      <c r="F82" s="7" t="s">
        <v>63</v>
      </c>
      <c r="G82" s="7" t="s">
        <v>64</v>
      </c>
      <c r="H82" s="7" t="s">
        <v>65</v>
      </c>
      <c r="I82" s="7" t="s">
        <v>66</v>
      </c>
      <c r="J82" s="7" t="s">
        <v>67</v>
      </c>
      <c r="K82" s="7" t="s">
        <v>68</v>
      </c>
      <c r="L82" s="7" t="s">
        <v>69</v>
      </c>
      <c r="M82" s="7" t="s">
        <v>70</v>
      </c>
      <c r="N82" s="7" t="s">
        <v>181</v>
      </c>
      <c r="O82" s="7" t="s">
        <v>198</v>
      </c>
      <c r="P82" s="7" t="s">
        <v>199</v>
      </c>
      <c r="Q82" s="7" t="s">
        <v>200</v>
      </c>
    </row>
    <row r="83" customFormat="false" ht="14.25" hidden="false" customHeight="true" outlineLevel="0" collapsed="false">
      <c r="A83" s="8" t="str">
        <f aca="false">parametros_manuales!$B$19</f>
        <v>Recepción de materia prima</v>
      </c>
      <c r="B83" s="9" t="n">
        <f aca="false">(parametros_manuales!$D$19*(datos_base!$E$2+IF(parametros_manuales!$H$19="Todos",datos_base!$E$9,0))*parametros_manuales!$B$95+parametros_manuales!$D$19*(datos_base!$E$18+IF(parametros_manuales!$H$19="Todos",datos_base!$E$23,0))*parametros_manuales!$B$12+parametros_manuales!$E$19*(datos_base!$E$3+IF(parametros_manuales!$H$19="Todos",datos_base!$E$10,0))*parametros_manuales!$B$100+parametros_manuales!$E$19*(datos_base!$E$19+IF(parametros_manuales!$H$19="Todos",datos_base!$E$24,0))*parametros_manuales!$B$13+parametros_manuales!$F$19*(datos_base!$E$4+IF(parametros_manuales!$H$19="Todos",datos_base!$E$11,0))*parametros_manuales!$B$105+parametros_manuales!$F$19*(datos_base!$E$20+IF(parametros_manuales!$H$19="Todos",datos_base!$E$25,0))*parametros_manuales!$B$14+parametros_manuales!$G$19*(datos_base!$E$5+IF(parametros_manuales!$H$19="Todos",datos_base!$E$12,0))*parametros_manuales!$B$110+parametros_manuales!$G$19*(datos_base!$E$21+IF(parametros_manuales!$H$19="Todos",datos_base!$E$26,0))*parametros_manuales!$B$15)*parametros_manuales!$I$19*parametros_manuales!$J$19</f>
        <v>4555.689857709</v>
      </c>
      <c r="C83" s="9" t="n">
        <f aca="false">(parametros_manuales!$D$19*(datos_base!$E$2+IF(parametros_manuales!$H$19="Todos",datos_base!$E$9,0))*parametros_manuales!$C$95+parametros_manuales!$D$19*(datos_base!$E$18+IF(parametros_manuales!$H$19="Todos",datos_base!$E$23,0))*parametros_manuales!$C$12+parametros_manuales!$E$19*(datos_base!$E$3+IF(parametros_manuales!$H$19="Todos",datos_base!$E$10,0))*parametros_manuales!$C$100+parametros_manuales!$E$19*(datos_base!$E$19+IF(parametros_manuales!$H$19="Todos",datos_base!$E$24,0))*parametros_manuales!$C$13+parametros_manuales!$F$19*(datos_base!$E$4+IF(parametros_manuales!$H$19="Todos",datos_base!$E$11,0))*parametros_manuales!$C$105+parametros_manuales!$F$19*(datos_base!$E$20+IF(parametros_manuales!$H$19="Todos",datos_base!$E$25,0))*parametros_manuales!$C$14+parametros_manuales!$G$19*(datos_base!$E$5+IF(parametros_manuales!$H$19="Todos",datos_base!$E$12,0))*parametros_manuales!$C$110+parametros_manuales!$G$19*(datos_base!$E$21+IF(parametros_manuales!$H$19="Todos",datos_base!$E$26,0))*parametros_manuales!$C$15)*parametros_manuales!$I$19*parametros_manuales!$J$19</f>
        <v>4399.007317898</v>
      </c>
      <c r="D83" s="9" t="n">
        <f aca="false">(parametros_manuales!$D$19*(datos_base!$E$2+IF(parametros_manuales!$H$19="Todos",datos_base!$E$9,0))*parametros_manuales!$D$95+parametros_manuales!$D$19*(datos_base!$E$18+IF(parametros_manuales!$H$19="Todos",datos_base!$E$23,0))*parametros_manuales!$D$12+parametros_manuales!$E$19*(datos_base!$E$3+IF(parametros_manuales!$H$19="Todos",datos_base!$E$10,0))*parametros_manuales!$D$100+parametros_manuales!$E$19*(datos_base!$E$19+IF(parametros_manuales!$H$19="Todos",datos_base!$E$24,0))*parametros_manuales!$D$13+parametros_manuales!$F$19*(datos_base!$E$4+IF(parametros_manuales!$H$19="Todos",datos_base!$E$11,0))*parametros_manuales!$D$105+parametros_manuales!$F$19*(datos_base!$E$20+IF(parametros_manuales!$H$19="Todos",datos_base!$E$25,0))*parametros_manuales!$D$14+parametros_manuales!$G$19*(datos_base!$E$5+IF(parametros_manuales!$H$19="Todos",datos_base!$E$12,0))*parametros_manuales!$D$110+parametros_manuales!$G$19*(datos_base!$E$21+IF(parametros_manuales!$H$19="Todos",datos_base!$E$26,0))*parametros_manuales!$D$15)*parametros_manuales!$I$19*parametros_manuales!$J$19</f>
        <v>4124.5400323135</v>
      </c>
      <c r="E83" s="9" t="n">
        <f aca="false">(parametros_manuales!$D$19*(datos_base!$E$2+IF(parametros_manuales!$H$19="Todos",datos_base!$E$9,0))*parametros_manuales!$E$95+parametros_manuales!$D$19*(datos_base!$E$18+IF(parametros_manuales!$H$19="Todos",datos_base!$E$23,0))*parametros_manuales!$E$12+parametros_manuales!$E$19*(datos_base!$E$3+IF(parametros_manuales!$H$19="Todos",datos_base!$E$10,0))*parametros_manuales!$E$100+parametros_manuales!$E$19*(datos_base!$E$19+IF(parametros_manuales!$H$19="Todos",datos_base!$E$24,0))*parametros_manuales!$E$13+parametros_manuales!$F$19*(datos_base!$E$4+IF(parametros_manuales!$H$19="Todos",datos_base!$E$11,0))*parametros_manuales!$E$105+parametros_manuales!$F$19*(datos_base!$E$20+IF(parametros_manuales!$H$19="Todos",datos_base!$E$25,0))*parametros_manuales!$E$14+parametros_manuales!$G$19*(datos_base!$E$5+IF(parametros_manuales!$H$19="Todos",datos_base!$E$12,0))*parametros_manuales!$E$110+parametros_manuales!$G$19*(datos_base!$E$21+IF(parametros_manuales!$H$19="Todos",datos_base!$E$26,0))*parametros_manuales!$E$15)*parametros_manuales!$I$19*parametros_manuales!$J$19</f>
        <v>3948.7303545685</v>
      </c>
      <c r="F83" s="9" t="n">
        <f aca="false">(parametros_manuales!$D$19*(datos_base!$E$2+IF(parametros_manuales!$H$19="Todos",datos_base!$E$9,0))*parametros_manuales!$F$95+parametros_manuales!$D$19*(datos_base!$E$18+IF(parametros_manuales!$H$19="Todos",datos_base!$E$23,0))*parametros_manuales!$F$12+parametros_manuales!$E$19*(datos_base!$E$3+IF(parametros_manuales!$H$19="Todos",datos_base!$E$10,0))*parametros_manuales!$F$100+parametros_manuales!$E$19*(datos_base!$E$19+IF(parametros_manuales!$H$19="Todos",datos_base!$E$24,0))*parametros_manuales!$F$13+parametros_manuales!$F$19*(datos_base!$E$4+IF(parametros_manuales!$H$19="Todos",datos_base!$E$11,0))*parametros_manuales!$F$105+parametros_manuales!$F$19*(datos_base!$E$20+IF(parametros_manuales!$H$19="Todos",datos_base!$E$25,0))*parametros_manuales!$F$14+parametros_manuales!$G$19*(datos_base!$E$5+IF(parametros_manuales!$H$19="Todos",datos_base!$E$12,0))*parametros_manuales!$F$110+parametros_manuales!$G$19*(datos_base!$E$21+IF(parametros_manuales!$H$19="Todos",datos_base!$E$26,0))*parametros_manuales!$F$15)*parametros_manuales!$I$19*parametros_manuales!$J$19</f>
        <v>3695.768606918</v>
      </c>
      <c r="G83" s="9" t="n">
        <f aca="false">(parametros_manuales!$D$19*(datos_base!$E$2+IF(parametros_manuales!$H$19="Todos",datos_base!$E$9,0))*parametros_manuales!$G$95+parametros_manuales!$D$19*(datos_base!$E$18+IF(parametros_manuales!$H$19="Todos",datos_base!$E$23,0))*parametros_manuales!$G$12+parametros_manuales!$E$19*(datos_base!$E$3+IF(parametros_manuales!$H$19="Todos",datos_base!$E$10,0))*parametros_manuales!$G$100+parametros_manuales!$E$19*(datos_base!$E$19+IF(parametros_manuales!$H$19="Todos",datos_base!$E$24,0))*parametros_manuales!$G$13+parametros_manuales!$F$19*(datos_base!$E$4+IF(parametros_manuales!$H$19="Todos",datos_base!$E$11,0))*parametros_manuales!$G$105+parametros_manuales!$F$19*(datos_base!$E$20+IF(parametros_manuales!$H$19="Todos",datos_base!$E$25,0))*parametros_manuales!$G$14+parametros_manuales!$G$19*(datos_base!$E$5+IF(parametros_manuales!$H$19="Todos",datos_base!$E$12,0))*parametros_manuales!$G$110+parametros_manuales!$G$19*(datos_base!$E$21+IF(parametros_manuales!$H$19="Todos",datos_base!$E$26,0))*parametros_manuales!$G$15)*parametros_manuales!$I$19*parametros_manuales!$J$19</f>
        <v>3618.6165370125</v>
      </c>
      <c r="H83" s="9" t="n">
        <f aca="false">(parametros_manuales!$D$19*(datos_base!$E$2+IF(parametros_manuales!$H$19="Todos",datos_base!$E$9,0))*parametros_manuales!$H$95+parametros_manuales!$D$19*(datos_base!$E$18+IF(parametros_manuales!$H$19="Todos",datos_base!$E$23,0))*parametros_manuales!$H$12+parametros_manuales!$E$19*(datos_base!$E$3+IF(parametros_manuales!$H$19="Todos",datos_base!$E$10,0))*parametros_manuales!$H$100+parametros_manuales!$E$19*(datos_base!$E$19+IF(parametros_manuales!$H$19="Todos",datos_base!$E$24,0))*parametros_manuales!$H$13+parametros_manuales!$F$19*(datos_base!$E$4+IF(parametros_manuales!$H$19="Todos",datos_base!$E$11,0))*parametros_manuales!$H$105+parametros_manuales!$F$19*(datos_base!$E$20+IF(parametros_manuales!$H$19="Todos",datos_base!$E$25,0))*parametros_manuales!$H$14+parametros_manuales!$G$19*(datos_base!$E$5+IF(parametros_manuales!$H$19="Todos",datos_base!$E$12,0))*parametros_manuales!$H$110+parametros_manuales!$G$19*(datos_base!$E$21+IF(parametros_manuales!$H$19="Todos",datos_base!$E$26,0))*parametros_manuales!$H$15)*parametros_manuales!$I$19*parametros_manuales!$J$19</f>
        <v>3871.578284663</v>
      </c>
      <c r="I83" s="9" t="n">
        <f aca="false">(parametros_manuales!$D$19*(datos_base!$E$2+IF(parametros_manuales!$H$19="Todos",datos_base!$E$9,0))*parametros_manuales!$I$95+parametros_manuales!$D$19*(datos_base!$E$18+IF(parametros_manuales!$H$19="Todos",datos_base!$E$23,0))*parametros_manuales!$I$12+parametros_manuales!$E$19*(datos_base!$E$3+IF(parametros_manuales!$H$19="Todos",datos_base!$E$10,0))*parametros_manuales!$I$100+parametros_manuales!$E$19*(datos_base!$E$19+IF(parametros_manuales!$H$19="Todos",datos_base!$E$24,0))*parametros_manuales!$I$13+parametros_manuales!$F$19*(datos_base!$E$4+IF(parametros_manuales!$H$19="Todos",datos_base!$E$11,0))*parametros_manuales!$I$105+parametros_manuales!$F$19*(datos_base!$E$20+IF(parametros_manuales!$H$19="Todos",datos_base!$E$25,0))*parametros_manuales!$I$14+parametros_manuales!$G$19*(datos_base!$E$5+IF(parametros_manuales!$H$19="Todos",datos_base!$E$12,0))*parametros_manuales!$I$110+parametros_manuales!$G$19*(datos_base!$E$21+IF(parametros_manuales!$H$19="Todos",datos_base!$E$26,0))*parametros_manuales!$I$15)*parametros_manuales!$I$19*parametros_manuales!$J$19</f>
        <v>4399.007317898</v>
      </c>
      <c r="J83" s="9" t="n">
        <f aca="false">(parametros_manuales!$D$19*(datos_base!$E$2+IF(parametros_manuales!$H$19="Todos",datos_base!$E$9,0))*parametros_manuales!$J$95+parametros_manuales!$D$19*(datos_base!$E$18+IF(parametros_manuales!$H$19="Todos",datos_base!$E$23,0))*parametros_manuales!$J$12+parametros_manuales!$E$19*(datos_base!$E$3+IF(parametros_manuales!$H$19="Todos",datos_base!$E$10,0))*parametros_manuales!$J$100+parametros_manuales!$E$19*(datos_base!$E$19+IF(parametros_manuales!$H$19="Todos",datos_base!$E$24,0))*parametros_manuales!$J$13+parametros_manuales!$F$19*(datos_base!$E$4+IF(parametros_manuales!$H$19="Todos",datos_base!$E$11,0))*parametros_manuales!$J$105+parametros_manuales!$F$19*(datos_base!$E$20+IF(parametros_manuales!$H$19="Todos",datos_base!$E$25,0))*parametros_manuales!$J$14+parametros_manuales!$G$19*(datos_base!$E$5+IF(parametros_manuales!$H$19="Todos",datos_base!$E$12,0))*parametros_manuales!$J$110+parametros_manuales!$G$19*(datos_base!$E$21+IF(parametros_manuales!$H$19="Todos",datos_base!$E$26,0))*parametros_manuales!$J$15)*parametros_manuales!$I$19*parametros_manuales!$J$19</f>
        <v>4399.007317898</v>
      </c>
      <c r="K83" s="9" t="n">
        <f aca="false">(parametros_manuales!$D$19*(datos_base!$E$2+IF(parametros_manuales!$H$19="Todos",datos_base!$E$9,0))*parametros_manuales!$K$95+parametros_manuales!$D$19*(datos_base!$E$18+IF(parametros_manuales!$H$19="Todos",datos_base!$E$23,0))*parametros_manuales!$K$12+parametros_manuales!$E$19*(datos_base!$E$3+IF(parametros_manuales!$H$19="Todos",datos_base!$E$10,0))*parametros_manuales!$K$100+parametros_manuales!$E$19*(datos_base!$E$19+IF(parametros_manuales!$H$19="Todos",datos_base!$E$24,0))*parametros_manuales!$K$13+parametros_manuales!$F$19*(datos_base!$E$4+IF(parametros_manuales!$H$19="Todos",datos_base!$E$11,0))*parametros_manuales!$K$105+parametros_manuales!$F$19*(datos_base!$E$20+IF(parametros_manuales!$H$19="Todos",datos_base!$E$25,0))*parametros_manuales!$K$14+parametros_manuales!$G$19*(datos_base!$E$5+IF(parametros_manuales!$H$19="Todos",datos_base!$E$12,0))*parametros_manuales!$K$110+parametros_manuales!$G$19*(datos_base!$E$21+IF(parametros_manuales!$H$19="Todos",datos_base!$E$26,0))*parametros_manuales!$K$15)*parametros_manuales!$I$19*parametros_manuales!$J$19</f>
        <v>4473.7809878035</v>
      </c>
      <c r="L83" s="9" t="n">
        <f aca="false">(parametros_manuales!$D$19*(datos_base!$E$2+IF(parametros_manuales!$H$19="Todos",datos_base!$E$9,0))*parametros_manuales!$L$95+parametros_manuales!$D$19*(datos_base!$E$18+IF(parametros_manuales!$H$19="Todos",datos_base!$E$23,0))*parametros_manuales!$L$12+parametros_manuales!$E$19*(datos_base!$E$3+IF(parametros_manuales!$H$19="Todos",datos_base!$E$10,0))*parametros_manuales!$L$100+parametros_manuales!$E$19*(datos_base!$E$19+IF(parametros_manuales!$H$19="Todos",datos_base!$E$24,0))*parametros_manuales!$L$13+parametros_manuales!$F$19*(datos_base!$E$4+IF(parametros_manuales!$H$19="Todos",datos_base!$E$11,0))*parametros_manuales!$L$105+parametros_manuales!$F$19*(datos_base!$E$20+IF(parametros_manuales!$H$19="Todos",datos_base!$E$25,0))*parametros_manuales!$L$14+parametros_manuales!$G$19*(datos_base!$E$5+IF(parametros_manuales!$H$19="Todos",datos_base!$E$12,0))*parametros_manuales!$L$110+parametros_manuales!$G$19*(datos_base!$E$21+IF(parametros_manuales!$H$19="Todos",datos_base!$E$26,0))*parametros_manuales!$L$15)*parametros_manuales!$I$19*parametros_manuales!$J$19</f>
        <v>4548.554657709</v>
      </c>
      <c r="M83" s="9" t="n">
        <f aca="false">(parametros_manuales!$D$19*(datos_base!$E$2+IF(parametros_manuales!$H$19="Todos",datos_base!$E$9,0))*parametros_manuales!$M$95+parametros_manuales!$D$19*(datos_base!$E$18+IF(parametros_manuales!$H$19="Todos",datos_base!$E$23,0))*parametros_manuales!$M$12+parametros_manuales!$E$19*(datos_base!$E$3+IF(parametros_manuales!$H$19="Todos",datos_base!$E$10,0))*parametros_manuales!$M$100+parametros_manuales!$E$19*(datos_base!$E$19+IF(parametros_manuales!$H$19="Todos",datos_base!$E$24,0))*parametros_manuales!$M$13+parametros_manuales!$F$19*(datos_base!$E$4+IF(parametros_manuales!$H$19="Todos",datos_base!$E$11,0))*parametros_manuales!$M$105+parametros_manuales!$F$19*(datos_base!$E$20+IF(parametros_manuales!$H$19="Todos",datos_base!$E$25,0))*parametros_manuales!$M$14+parametros_manuales!$G$19*(datos_base!$E$5+IF(parametros_manuales!$H$19="Todos",datos_base!$E$12,0))*parametros_manuales!$M$110+parametros_manuales!$G$19*(datos_base!$E$21+IF(parametros_manuales!$H$19="Todos",datos_base!$E$26,0))*parametros_manuales!$M$15)*parametros_manuales!$I$19*parametros_manuales!$J$19</f>
        <v>4558.068257709</v>
      </c>
      <c r="N83" s="9" t="n">
        <f aca="false">SUM(B83:M83)</f>
        <v>50592.3495301</v>
      </c>
      <c r="O83" s="9" t="n">
        <f aca="false">MAX(B83:M83)</f>
        <v>4558.068257709</v>
      </c>
      <c r="P83" s="44" t="n">
        <f aca="false">O83/(parametros_manuales!$B$7)</f>
        <v>30.38712171806</v>
      </c>
      <c r="Q83" s="8" t="str">
        <f aca="false">IF(O83=0,"-",INDEX($B$82:$M$82,MATCH(O83,B83:M83,0)))</f>
        <v>Dic</v>
      </c>
    </row>
    <row r="84" customFormat="false" ht="14.25" hidden="false" customHeight="true" outlineLevel="0" collapsed="false">
      <c r="A84" s="8" t="str">
        <f aca="false">parametros_manuales!$B$20</f>
        <v>Corte de chapa (guillotina) — 2,5 a 10 kg</v>
      </c>
      <c r="B84" s="9" t="n">
        <f aca="false">(parametros_manuales!$D$20*(datos_base!$E$2+IF(parametros_manuales!$H$20="Todos",datos_base!$E$9,0))*parametros_manuales!$B$95+parametros_manuales!$D$20*(datos_base!$E$18+IF(parametros_manuales!$H$20="Todos",datos_base!$E$23,0))*parametros_manuales!$B$12+parametros_manuales!$E$20*(datos_base!$E$3+IF(parametros_manuales!$H$20="Todos",datos_base!$E$10,0))*parametros_manuales!$B$100+parametros_manuales!$E$20*(datos_base!$E$19+IF(parametros_manuales!$H$20="Todos",datos_base!$E$24,0))*parametros_manuales!$B$13+parametros_manuales!$F$20*(datos_base!$E$4+IF(parametros_manuales!$H$20="Todos",datos_base!$E$11,0))*parametros_manuales!$B$105+parametros_manuales!$F$20*(datos_base!$E$20+IF(parametros_manuales!$H$20="Todos",datos_base!$E$25,0))*parametros_manuales!$B$14+parametros_manuales!$G$20*(datos_base!$E$5+IF(parametros_manuales!$H$20="Todos",datos_base!$E$12,0))*parametros_manuales!$B$110+parametros_manuales!$G$20*(datos_base!$E$21+IF(parametros_manuales!$H$20="Todos",datos_base!$E$26,0))*parametros_manuales!$B$15)*parametros_manuales!$I$20*parametros_manuales!$J$20</f>
        <v>1391.115658299</v>
      </c>
      <c r="C84" s="9" t="n">
        <f aca="false">(parametros_manuales!$D$20*(datos_base!$E$2+IF(parametros_manuales!$H$20="Todos",datos_base!$E$9,0))*parametros_manuales!$C$95+parametros_manuales!$D$20*(datos_base!$E$18+IF(parametros_manuales!$H$20="Todos",datos_base!$E$23,0))*parametros_manuales!$C$12+parametros_manuales!$E$20*(datos_base!$E$3+IF(parametros_manuales!$H$20="Todos",datos_base!$E$10,0))*parametros_manuales!$C$100+parametros_manuales!$E$20*(datos_base!$E$19+IF(parametros_manuales!$H$20="Todos",datos_base!$E$24,0))*parametros_manuales!$C$13+parametros_manuales!$F$20*(datos_base!$E$4+IF(parametros_manuales!$H$20="Todos",datos_base!$E$11,0))*parametros_manuales!$C$105+parametros_manuales!$F$20*(datos_base!$E$20+IF(parametros_manuales!$H$20="Todos",datos_base!$E$25,0))*parametros_manuales!$C$14+parametros_manuales!$G$20*(datos_base!$E$5+IF(parametros_manuales!$H$20="Todos",datos_base!$E$12,0))*parametros_manuales!$C$110+parametros_manuales!$G$20*(datos_base!$E$21+IF(parametros_manuales!$H$20="Todos",datos_base!$E$26,0))*parametros_manuales!$C$15)*parametros_manuales!$I$20*parametros_manuales!$J$20</f>
        <v>1234.433118488</v>
      </c>
      <c r="D84" s="9" t="n">
        <f aca="false">(parametros_manuales!$D$20*(datos_base!$E$2+IF(parametros_manuales!$H$20="Todos",datos_base!$E$9,0))*parametros_manuales!$D$95+parametros_manuales!$D$20*(datos_base!$E$18+IF(parametros_manuales!$H$20="Todos",datos_base!$E$23,0))*parametros_manuales!$D$12+parametros_manuales!$E$20*(datos_base!$E$3+IF(parametros_manuales!$H$20="Todos",datos_base!$E$10,0))*parametros_manuales!$D$100+parametros_manuales!$E$20*(datos_base!$E$19+IF(parametros_manuales!$H$20="Todos",datos_base!$E$24,0))*parametros_manuales!$D$13+parametros_manuales!$F$20*(datos_base!$E$4+IF(parametros_manuales!$H$20="Todos",datos_base!$E$11,0))*parametros_manuales!$D$105+parametros_manuales!$F$20*(datos_base!$E$20+IF(parametros_manuales!$H$20="Todos",datos_base!$E$25,0))*parametros_manuales!$D$14+parametros_manuales!$G$20*(datos_base!$E$5+IF(parametros_manuales!$H$20="Todos",datos_base!$E$12,0))*parametros_manuales!$D$110+parametros_manuales!$G$20*(datos_base!$E$21+IF(parametros_manuales!$H$20="Todos",datos_base!$E$26,0))*parametros_manuales!$D$15)*parametros_manuales!$I$20*parametros_manuales!$J$20</f>
        <v>1311.5851883935</v>
      </c>
      <c r="E84" s="9" t="n">
        <f aca="false">(parametros_manuales!$D$20*(datos_base!$E$2+IF(parametros_manuales!$H$20="Todos",datos_base!$E$9,0))*parametros_manuales!$E$95+parametros_manuales!$D$20*(datos_base!$E$18+IF(parametros_manuales!$H$20="Todos",datos_base!$E$23,0))*parametros_manuales!$E$12+parametros_manuales!$E$20*(datos_base!$E$3+IF(parametros_manuales!$H$20="Todos",datos_base!$E$10,0))*parametros_manuales!$E$100+parametros_manuales!$E$20*(datos_base!$E$19+IF(parametros_manuales!$H$20="Todos",datos_base!$E$24,0))*parametros_manuales!$E$13+parametros_manuales!$F$20*(datos_base!$E$4+IF(parametros_manuales!$H$20="Todos",datos_base!$E$11,0))*parametros_manuales!$E$105+parametros_manuales!$F$20*(datos_base!$E$20+IF(parametros_manuales!$H$20="Todos",datos_base!$E$25,0))*parametros_manuales!$E$14+parametros_manuales!$G$20*(datos_base!$E$5+IF(parametros_manuales!$H$20="Todos",datos_base!$E$12,0))*parametros_manuales!$E$110+parametros_manuales!$G$20*(datos_base!$E$21+IF(parametros_manuales!$H$20="Todos",datos_base!$E$26,0))*parametros_manuales!$E$15)*parametros_manuales!$I$20*parametros_manuales!$J$20</f>
        <v>1311.5851883935</v>
      </c>
      <c r="F84" s="9" t="n">
        <f aca="false">(parametros_manuales!$D$20*(datos_base!$E$2+IF(parametros_manuales!$H$20="Todos",datos_base!$E$9,0))*parametros_manuales!$F$95+parametros_manuales!$D$20*(datos_base!$E$18+IF(parametros_manuales!$H$20="Todos",datos_base!$E$23,0))*parametros_manuales!$F$12+parametros_manuales!$E$20*(datos_base!$E$3+IF(parametros_manuales!$H$20="Todos",datos_base!$E$10,0))*parametros_manuales!$F$100+parametros_manuales!$E$20*(datos_base!$E$19+IF(parametros_manuales!$H$20="Todos",datos_base!$E$24,0))*parametros_manuales!$F$13+parametros_manuales!$F$20*(datos_base!$E$4+IF(parametros_manuales!$H$20="Todos",datos_base!$E$11,0))*parametros_manuales!$F$105+parametros_manuales!$F$20*(datos_base!$E$20+IF(parametros_manuales!$H$20="Todos",datos_base!$E$25,0))*parametros_manuales!$F$14+parametros_manuales!$G$20*(datos_base!$E$5+IF(parametros_manuales!$H$20="Todos",datos_base!$E$12,0))*parametros_manuales!$F$110+parametros_manuales!$G$20*(datos_base!$E$21+IF(parametros_manuales!$H$20="Todos",datos_base!$E$26,0))*parametros_manuales!$F$15)*parametros_manuales!$I$20*parametros_manuales!$J$20</f>
        <v>1234.433118488</v>
      </c>
      <c r="G84" s="9" t="n">
        <f aca="false">(parametros_manuales!$D$20*(datos_base!$E$2+IF(parametros_manuales!$H$20="Todos",datos_base!$E$9,0))*parametros_manuales!$G$95+parametros_manuales!$D$20*(datos_base!$E$18+IF(parametros_manuales!$H$20="Todos",datos_base!$E$23,0))*parametros_manuales!$G$12+parametros_manuales!$E$20*(datos_base!$E$3+IF(parametros_manuales!$H$20="Todos",datos_base!$E$10,0))*parametros_manuales!$G$100+parametros_manuales!$E$20*(datos_base!$E$19+IF(parametros_manuales!$H$20="Todos",datos_base!$E$24,0))*parametros_manuales!$G$13+parametros_manuales!$F$20*(datos_base!$E$4+IF(parametros_manuales!$H$20="Todos",datos_base!$E$11,0))*parametros_manuales!$G$105+parametros_manuales!$F$20*(datos_base!$E$20+IF(parametros_manuales!$H$20="Todos",datos_base!$E$25,0))*parametros_manuales!$G$14+parametros_manuales!$G$20*(datos_base!$E$5+IF(parametros_manuales!$H$20="Todos",datos_base!$E$12,0))*parametros_manuales!$G$110+parametros_manuales!$G$20*(datos_base!$E$21+IF(parametros_manuales!$H$20="Todos",datos_base!$E$26,0))*parametros_manuales!$G$15)*parametros_manuales!$I$20*parametros_manuales!$J$20</f>
        <v>1157.2810485825</v>
      </c>
      <c r="H84" s="9" t="n">
        <f aca="false">(parametros_manuales!$D$20*(datos_base!$E$2+IF(parametros_manuales!$H$20="Todos",datos_base!$E$9,0))*parametros_manuales!$H$95+parametros_manuales!$D$20*(datos_base!$E$18+IF(parametros_manuales!$H$20="Todos",datos_base!$E$23,0))*parametros_manuales!$H$12+parametros_manuales!$E$20*(datos_base!$E$3+IF(parametros_manuales!$H$20="Todos",datos_base!$E$10,0))*parametros_manuales!$H$100+parametros_manuales!$E$20*(datos_base!$E$19+IF(parametros_manuales!$H$20="Todos",datos_base!$E$24,0))*parametros_manuales!$H$13+parametros_manuales!$F$20*(datos_base!$E$4+IF(parametros_manuales!$H$20="Todos",datos_base!$E$11,0))*parametros_manuales!$H$105+parametros_manuales!$F$20*(datos_base!$E$20+IF(parametros_manuales!$H$20="Todos",datos_base!$E$25,0))*parametros_manuales!$H$14+parametros_manuales!$G$20*(datos_base!$E$5+IF(parametros_manuales!$H$20="Todos",datos_base!$E$12,0))*parametros_manuales!$H$110+parametros_manuales!$G$20*(datos_base!$E$21+IF(parametros_manuales!$H$20="Todos",datos_base!$E$26,0))*parametros_manuales!$H$15)*parametros_manuales!$I$20*parametros_manuales!$J$20</f>
        <v>1234.433118488</v>
      </c>
      <c r="I84" s="9" t="n">
        <f aca="false">(parametros_manuales!$D$20*(datos_base!$E$2+IF(parametros_manuales!$H$20="Todos",datos_base!$E$9,0))*parametros_manuales!$I$95+parametros_manuales!$D$20*(datos_base!$E$18+IF(parametros_manuales!$H$20="Todos",datos_base!$E$23,0))*parametros_manuales!$I$12+parametros_manuales!$E$20*(datos_base!$E$3+IF(parametros_manuales!$H$20="Todos",datos_base!$E$10,0))*parametros_manuales!$I$100+parametros_manuales!$E$20*(datos_base!$E$19+IF(parametros_manuales!$H$20="Todos",datos_base!$E$24,0))*parametros_manuales!$I$13+parametros_manuales!$F$20*(datos_base!$E$4+IF(parametros_manuales!$H$20="Todos",datos_base!$E$11,0))*parametros_manuales!$I$105+parametros_manuales!$F$20*(datos_base!$E$20+IF(parametros_manuales!$H$20="Todos",datos_base!$E$25,0))*parametros_manuales!$I$14+parametros_manuales!$G$20*(datos_base!$E$5+IF(parametros_manuales!$H$20="Todos",datos_base!$E$12,0))*parametros_manuales!$I$110+parametros_manuales!$G$20*(datos_base!$E$21+IF(parametros_manuales!$H$20="Todos",datos_base!$E$26,0))*parametros_manuales!$I$15)*parametros_manuales!$I$20*parametros_manuales!$J$20</f>
        <v>1234.433118488</v>
      </c>
      <c r="J84" s="9" t="n">
        <f aca="false">(parametros_manuales!$D$20*(datos_base!$E$2+IF(parametros_manuales!$H$20="Todos",datos_base!$E$9,0))*parametros_manuales!$J$95+parametros_manuales!$D$20*(datos_base!$E$18+IF(parametros_manuales!$H$20="Todos",datos_base!$E$23,0))*parametros_manuales!$J$12+parametros_manuales!$E$20*(datos_base!$E$3+IF(parametros_manuales!$H$20="Todos",datos_base!$E$10,0))*parametros_manuales!$J$100+parametros_manuales!$E$20*(datos_base!$E$19+IF(parametros_manuales!$H$20="Todos",datos_base!$E$24,0))*parametros_manuales!$J$13+parametros_manuales!$F$20*(datos_base!$E$4+IF(parametros_manuales!$H$20="Todos",datos_base!$E$11,0))*parametros_manuales!$J$105+parametros_manuales!$F$20*(datos_base!$E$20+IF(parametros_manuales!$H$20="Todos",datos_base!$E$25,0))*parametros_manuales!$J$14+parametros_manuales!$G$20*(datos_base!$E$5+IF(parametros_manuales!$H$20="Todos",datos_base!$E$12,0))*parametros_manuales!$J$110+parametros_manuales!$G$20*(datos_base!$E$21+IF(parametros_manuales!$H$20="Todos",datos_base!$E$26,0))*parametros_manuales!$J$15)*parametros_manuales!$I$20*parametros_manuales!$J$20</f>
        <v>1234.433118488</v>
      </c>
      <c r="K84" s="9" t="n">
        <f aca="false">(parametros_manuales!$D$20*(datos_base!$E$2+IF(parametros_manuales!$H$20="Todos",datos_base!$E$9,0))*parametros_manuales!$K$95+parametros_manuales!$D$20*(datos_base!$E$18+IF(parametros_manuales!$H$20="Todos",datos_base!$E$23,0))*parametros_manuales!$K$12+parametros_manuales!$E$20*(datos_base!$E$3+IF(parametros_manuales!$H$20="Todos",datos_base!$E$10,0))*parametros_manuales!$K$100+parametros_manuales!$E$20*(datos_base!$E$19+IF(parametros_manuales!$H$20="Todos",datos_base!$E$24,0))*parametros_manuales!$K$13+parametros_manuales!$F$20*(datos_base!$E$4+IF(parametros_manuales!$H$20="Todos",datos_base!$E$11,0))*parametros_manuales!$K$105+parametros_manuales!$F$20*(datos_base!$E$20+IF(parametros_manuales!$H$20="Todos",datos_base!$E$25,0))*parametros_manuales!$K$14+parametros_manuales!$G$20*(datos_base!$E$5+IF(parametros_manuales!$H$20="Todos",datos_base!$E$12,0))*parametros_manuales!$K$110+parametros_manuales!$G$20*(datos_base!$E$21+IF(parametros_manuales!$H$20="Todos",datos_base!$E$26,0))*parametros_manuales!$K$15)*parametros_manuales!$I$20*parametros_manuales!$J$20</f>
        <v>1309.2067883935</v>
      </c>
      <c r="L84" s="9" t="n">
        <f aca="false">(parametros_manuales!$D$20*(datos_base!$E$2+IF(parametros_manuales!$H$20="Todos",datos_base!$E$9,0))*parametros_manuales!$L$95+parametros_manuales!$D$20*(datos_base!$E$18+IF(parametros_manuales!$H$20="Todos",datos_base!$E$23,0))*parametros_manuales!$L$12+parametros_manuales!$E$20*(datos_base!$E$3+IF(parametros_manuales!$H$20="Todos",datos_base!$E$10,0))*parametros_manuales!$L$100+parametros_manuales!$E$20*(datos_base!$E$19+IF(parametros_manuales!$H$20="Todos",datos_base!$E$24,0))*parametros_manuales!$L$13+parametros_manuales!$F$20*(datos_base!$E$4+IF(parametros_manuales!$H$20="Todos",datos_base!$E$11,0))*parametros_manuales!$L$105+parametros_manuales!$F$20*(datos_base!$E$20+IF(parametros_manuales!$H$20="Todos",datos_base!$E$25,0))*parametros_manuales!$L$14+parametros_manuales!$G$20*(datos_base!$E$5+IF(parametros_manuales!$H$20="Todos",datos_base!$E$12,0))*parametros_manuales!$L$110+parametros_manuales!$G$20*(datos_base!$E$21+IF(parametros_manuales!$H$20="Todos",datos_base!$E$26,0))*parametros_manuales!$L$15)*parametros_manuales!$I$20*parametros_manuales!$J$20</f>
        <v>1383.980458299</v>
      </c>
      <c r="M84" s="9" t="n">
        <f aca="false">(parametros_manuales!$D$20*(datos_base!$E$2+IF(parametros_manuales!$H$20="Todos",datos_base!$E$9,0))*parametros_manuales!$M$95+parametros_manuales!$D$20*(datos_base!$E$18+IF(parametros_manuales!$H$20="Todos",datos_base!$E$23,0))*parametros_manuales!$M$12+parametros_manuales!$E$20*(datos_base!$E$3+IF(parametros_manuales!$H$20="Todos",datos_base!$E$10,0))*parametros_manuales!$M$100+parametros_manuales!$E$20*(datos_base!$E$19+IF(parametros_manuales!$H$20="Todos",datos_base!$E$24,0))*parametros_manuales!$M$13+parametros_manuales!$F$20*(datos_base!$E$4+IF(parametros_manuales!$H$20="Todos",datos_base!$E$11,0))*parametros_manuales!$M$105+parametros_manuales!$F$20*(datos_base!$E$20+IF(parametros_manuales!$H$20="Todos",datos_base!$E$25,0))*parametros_manuales!$M$14+parametros_manuales!$G$20*(datos_base!$E$5+IF(parametros_manuales!$H$20="Todos",datos_base!$E$12,0))*parametros_manuales!$M$110+parametros_manuales!$G$20*(datos_base!$E$21+IF(parametros_manuales!$H$20="Todos",datos_base!$E$26,0))*parametros_manuales!$M$15)*parametros_manuales!$I$20*parametros_manuales!$J$20</f>
        <v>1393.494058299</v>
      </c>
      <c r="N84" s="9" t="n">
        <f aca="false">SUM(B84:M84)</f>
        <v>15430.4139811</v>
      </c>
      <c r="O84" s="9" t="n">
        <f aca="false">MAX(B84:M84)</f>
        <v>1393.494058299</v>
      </c>
      <c r="P84" s="44" t="n">
        <f aca="false">O84/(parametros_manuales!$B$7)</f>
        <v>9.28996038866</v>
      </c>
      <c r="Q84" s="8" t="str">
        <f aca="false">IF(O84=0,"-",INDEX($B$82:$M$82,MATCH(O84,B84:M84,0)))</f>
        <v>Dic</v>
      </c>
    </row>
    <row r="85" customFormat="false" ht="14.25" hidden="false" customHeight="true" outlineLevel="0" collapsed="false">
      <c r="A85" s="8" t="str">
        <f aca="false">parametros_manuales!$B$21</f>
        <v>Corte de tubo — 1 kg</v>
      </c>
      <c r="B85" s="9" t="n">
        <f aca="false">(parametros_manuales!$D$21*(datos_base!$E$2+IF(parametros_manuales!$H$21="Todos",datos_base!$E$9,0))*parametros_manuales!$B$95+parametros_manuales!$D$21*(datos_base!$E$18+IF(parametros_manuales!$H$21="Todos",datos_base!$E$23,0))*parametros_manuales!$B$12+parametros_manuales!$E$21*(datos_base!$E$3+IF(parametros_manuales!$H$21="Todos",datos_base!$E$10,0))*parametros_manuales!$B$100+parametros_manuales!$E$21*(datos_base!$E$19+IF(parametros_manuales!$H$21="Todos",datos_base!$E$24,0))*parametros_manuales!$B$13+parametros_manuales!$F$21*(datos_base!$E$4+IF(parametros_manuales!$H$21="Todos",datos_base!$E$11,0))*parametros_manuales!$B$105+parametros_manuales!$F$21*(datos_base!$E$20+IF(parametros_manuales!$H$21="Todos",datos_base!$E$25,0))*parametros_manuales!$B$14+parametros_manuales!$G$21*(datos_base!$E$5+IF(parametros_manuales!$H$21="Todos",datos_base!$E$12,0))*parametros_manuales!$B$110+parametros_manuales!$G$21*(datos_base!$E$21+IF(parametros_manuales!$H$21="Todos",datos_base!$E$26,0))*parametros_manuales!$B$15)*parametros_manuales!$I$21*parametros_manuales!$J$21</f>
        <v>3164.57419941</v>
      </c>
      <c r="C85" s="9" t="n">
        <f aca="false">(parametros_manuales!$D$21*(datos_base!$E$2+IF(parametros_manuales!$H$21="Todos",datos_base!$E$9,0))*parametros_manuales!$C$95+parametros_manuales!$D$21*(datos_base!$E$18+IF(parametros_manuales!$H$21="Todos",datos_base!$E$23,0))*parametros_manuales!$C$12+parametros_manuales!$E$21*(datos_base!$E$3+IF(parametros_manuales!$H$21="Todos",datos_base!$E$10,0))*parametros_manuales!$C$100+parametros_manuales!$E$21*(datos_base!$E$19+IF(parametros_manuales!$H$21="Todos",datos_base!$E$24,0))*parametros_manuales!$C$13+parametros_manuales!$F$21*(datos_base!$E$4+IF(parametros_manuales!$H$21="Todos",datos_base!$E$11,0))*parametros_manuales!$C$105+parametros_manuales!$F$21*(datos_base!$E$20+IF(parametros_manuales!$H$21="Todos",datos_base!$E$25,0))*parametros_manuales!$C$14+parametros_manuales!$G$21*(datos_base!$E$5+IF(parametros_manuales!$H$21="Todos",datos_base!$E$12,0))*parametros_manuales!$C$110+parametros_manuales!$G$21*(datos_base!$E$21+IF(parametros_manuales!$H$21="Todos",datos_base!$E$26,0))*parametros_manuales!$C$15)*parametros_manuales!$I$21*parametros_manuales!$J$21</f>
        <v>3164.57419941</v>
      </c>
      <c r="D85" s="9" t="n">
        <f aca="false">(parametros_manuales!$D$21*(datos_base!$E$2+IF(parametros_manuales!$H$21="Todos",datos_base!$E$9,0))*parametros_manuales!$D$95+parametros_manuales!$D$21*(datos_base!$E$18+IF(parametros_manuales!$H$21="Todos",datos_base!$E$23,0))*parametros_manuales!$D$12+parametros_manuales!$E$21*(datos_base!$E$3+IF(parametros_manuales!$H$21="Todos",datos_base!$E$10,0))*parametros_manuales!$D$100+parametros_manuales!$E$21*(datos_base!$E$19+IF(parametros_manuales!$H$21="Todos",datos_base!$E$24,0))*parametros_manuales!$D$13+parametros_manuales!$F$21*(datos_base!$E$4+IF(parametros_manuales!$H$21="Todos",datos_base!$E$11,0))*parametros_manuales!$D$105+parametros_manuales!$F$21*(datos_base!$E$20+IF(parametros_manuales!$H$21="Todos",datos_base!$E$25,0))*parametros_manuales!$D$14+parametros_manuales!$G$21*(datos_base!$E$5+IF(parametros_manuales!$H$21="Todos",datos_base!$E$12,0))*parametros_manuales!$D$110+parametros_manuales!$G$21*(datos_base!$E$21+IF(parametros_manuales!$H$21="Todos",datos_base!$E$26,0))*parametros_manuales!$D$15)*parametros_manuales!$I$21*parametros_manuales!$J$21</f>
        <v>2812.95484392</v>
      </c>
      <c r="E85" s="9" t="n">
        <f aca="false">(parametros_manuales!$D$21*(datos_base!$E$2+IF(parametros_manuales!$H$21="Todos",datos_base!$E$9,0))*parametros_manuales!$E$95+parametros_manuales!$D$21*(datos_base!$E$18+IF(parametros_manuales!$H$21="Todos",datos_base!$E$23,0))*parametros_manuales!$E$12+parametros_manuales!$E$21*(datos_base!$E$3+IF(parametros_manuales!$H$21="Todos",datos_base!$E$10,0))*parametros_manuales!$E$100+parametros_manuales!$E$21*(datos_base!$E$19+IF(parametros_manuales!$H$21="Todos",datos_base!$E$24,0))*parametros_manuales!$E$13+parametros_manuales!$F$21*(datos_base!$E$4+IF(parametros_manuales!$H$21="Todos",datos_base!$E$11,0))*parametros_manuales!$E$105+parametros_manuales!$F$21*(datos_base!$E$20+IF(parametros_manuales!$H$21="Todos",datos_base!$E$25,0))*parametros_manuales!$E$14+parametros_manuales!$G$21*(datos_base!$E$5+IF(parametros_manuales!$H$21="Todos",datos_base!$E$12,0))*parametros_manuales!$E$110+parametros_manuales!$G$21*(datos_base!$E$21+IF(parametros_manuales!$H$21="Todos",datos_base!$E$26,0))*parametros_manuales!$E$15)*parametros_manuales!$I$21*parametros_manuales!$J$21</f>
        <v>2637.145166175</v>
      </c>
      <c r="F85" s="9" t="n">
        <f aca="false">(parametros_manuales!$D$21*(datos_base!$E$2+IF(parametros_manuales!$H$21="Todos",datos_base!$E$9,0))*parametros_manuales!$F$95+parametros_manuales!$D$21*(datos_base!$E$18+IF(parametros_manuales!$H$21="Todos",datos_base!$E$23,0))*parametros_manuales!$F$12+parametros_manuales!$E$21*(datos_base!$E$3+IF(parametros_manuales!$H$21="Todos",datos_base!$E$10,0))*parametros_manuales!$F$100+parametros_manuales!$E$21*(datos_base!$E$19+IF(parametros_manuales!$H$21="Todos",datos_base!$E$24,0))*parametros_manuales!$F$13+parametros_manuales!$F$21*(datos_base!$E$4+IF(parametros_manuales!$H$21="Todos",datos_base!$E$11,0))*parametros_manuales!$F$105+parametros_manuales!$F$21*(datos_base!$E$20+IF(parametros_manuales!$H$21="Todos",datos_base!$E$25,0))*parametros_manuales!$F$14+parametros_manuales!$G$21*(datos_base!$E$5+IF(parametros_manuales!$H$21="Todos",datos_base!$E$12,0))*parametros_manuales!$F$110+parametros_manuales!$G$21*(datos_base!$E$21+IF(parametros_manuales!$H$21="Todos",datos_base!$E$26,0))*parametros_manuales!$F$15)*parametros_manuales!$I$21*parametros_manuales!$J$21</f>
        <v>2461.33548843</v>
      </c>
      <c r="G85" s="9" t="n">
        <f aca="false">(parametros_manuales!$D$21*(datos_base!$E$2+IF(parametros_manuales!$H$21="Todos",datos_base!$E$9,0))*parametros_manuales!$G$95+parametros_manuales!$D$21*(datos_base!$E$18+IF(parametros_manuales!$H$21="Todos",datos_base!$E$23,0))*parametros_manuales!$G$12+parametros_manuales!$E$21*(datos_base!$E$3+IF(parametros_manuales!$H$21="Todos",datos_base!$E$10,0))*parametros_manuales!$G$100+parametros_manuales!$E$21*(datos_base!$E$19+IF(parametros_manuales!$H$21="Todos",datos_base!$E$24,0))*parametros_manuales!$G$13+parametros_manuales!$F$21*(datos_base!$E$4+IF(parametros_manuales!$H$21="Todos",datos_base!$E$11,0))*parametros_manuales!$G$105+parametros_manuales!$F$21*(datos_base!$E$20+IF(parametros_manuales!$H$21="Todos",datos_base!$E$25,0))*parametros_manuales!$G$14+parametros_manuales!$G$21*(datos_base!$E$5+IF(parametros_manuales!$H$21="Todos",datos_base!$E$12,0))*parametros_manuales!$G$110+parametros_manuales!$G$21*(datos_base!$E$21+IF(parametros_manuales!$H$21="Todos",datos_base!$E$26,0))*parametros_manuales!$G$15)*parametros_manuales!$I$21*parametros_manuales!$J$21</f>
        <v>2461.33548843</v>
      </c>
      <c r="H85" s="9" t="n">
        <f aca="false">(parametros_manuales!$D$21*(datos_base!$E$2+IF(parametros_manuales!$H$21="Todos",datos_base!$E$9,0))*parametros_manuales!$H$95+parametros_manuales!$D$21*(datos_base!$E$18+IF(parametros_manuales!$H$21="Todos",datos_base!$E$23,0))*parametros_manuales!$H$12+parametros_manuales!$E$21*(datos_base!$E$3+IF(parametros_manuales!$H$21="Todos",datos_base!$E$10,0))*parametros_manuales!$H$100+parametros_manuales!$E$21*(datos_base!$E$19+IF(parametros_manuales!$H$21="Todos",datos_base!$E$24,0))*parametros_manuales!$H$13+parametros_manuales!$F$21*(datos_base!$E$4+IF(parametros_manuales!$H$21="Todos",datos_base!$E$11,0))*parametros_manuales!$H$105+parametros_manuales!$F$21*(datos_base!$E$20+IF(parametros_manuales!$H$21="Todos",datos_base!$E$25,0))*parametros_manuales!$H$14+parametros_manuales!$G$21*(datos_base!$E$5+IF(parametros_manuales!$H$21="Todos",datos_base!$E$12,0))*parametros_manuales!$H$110+parametros_manuales!$G$21*(datos_base!$E$21+IF(parametros_manuales!$H$21="Todos",datos_base!$E$26,0))*parametros_manuales!$H$15)*parametros_manuales!$I$21*parametros_manuales!$J$21</f>
        <v>2637.145166175</v>
      </c>
      <c r="I85" s="9" t="n">
        <f aca="false">(parametros_manuales!$D$21*(datos_base!$E$2+IF(parametros_manuales!$H$21="Todos",datos_base!$E$9,0))*parametros_manuales!$I$95+parametros_manuales!$D$21*(datos_base!$E$18+IF(parametros_manuales!$H$21="Todos",datos_base!$E$23,0))*parametros_manuales!$I$12+parametros_manuales!$E$21*(datos_base!$E$3+IF(parametros_manuales!$H$21="Todos",datos_base!$E$10,0))*parametros_manuales!$I$100+parametros_manuales!$E$21*(datos_base!$E$19+IF(parametros_manuales!$H$21="Todos",datos_base!$E$24,0))*parametros_manuales!$I$13+parametros_manuales!$F$21*(datos_base!$E$4+IF(parametros_manuales!$H$21="Todos",datos_base!$E$11,0))*parametros_manuales!$I$105+parametros_manuales!$F$21*(datos_base!$E$20+IF(parametros_manuales!$H$21="Todos",datos_base!$E$25,0))*parametros_manuales!$I$14+parametros_manuales!$G$21*(datos_base!$E$5+IF(parametros_manuales!$H$21="Todos",datos_base!$E$12,0))*parametros_manuales!$I$110+parametros_manuales!$G$21*(datos_base!$E$21+IF(parametros_manuales!$H$21="Todos",datos_base!$E$26,0))*parametros_manuales!$I$15)*parametros_manuales!$I$21*parametros_manuales!$J$21</f>
        <v>3164.57419941</v>
      </c>
      <c r="J85" s="9" t="n">
        <f aca="false">(parametros_manuales!$D$21*(datos_base!$E$2+IF(parametros_manuales!$H$21="Todos",datos_base!$E$9,0))*parametros_manuales!$J$95+parametros_manuales!$D$21*(datos_base!$E$18+IF(parametros_manuales!$H$21="Todos",datos_base!$E$23,0))*parametros_manuales!$J$12+parametros_manuales!$E$21*(datos_base!$E$3+IF(parametros_manuales!$H$21="Todos",datos_base!$E$10,0))*parametros_manuales!$J$100+parametros_manuales!$E$21*(datos_base!$E$19+IF(parametros_manuales!$H$21="Todos",datos_base!$E$24,0))*parametros_manuales!$J$13+parametros_manuales!$F$21*(datos_base!$E$4+IF(parametros_manuales!$H$21="Todos",datos_base!$E$11,0))*parametros_manuales!$J$105+parametros_manuales!$F$21*(datos_base!$E$20+IF(parametros_manuales!$H$21="Todos",datos_base!$E$25,0))*parametros_manuales!$J$14+parametros_manuales!$G$21*(datos_base!$E$5+IF(parametros_manuales!$H$21="Todos",datos_base!$E$12,0))*parametros_manuales!$J$110+parametros_manuales!$G$21*(datos_base!$E$21+IF(parametros_manuales!$H$21="Todos",datos_base!$E$26,0))*parametros_manuales!$J$15)*parametros_manuales!$I$21*parametros_manuales!$J$21</f>
        <v>3164.57419941</v>
      </c>
      <c r="K85" s="9" t="n">
        <f aca="false">(parametros_manuales!$D$21*(datos_base!$E$2+IF(parametros_manuales!$H$21="Todos",datos_base!$E$9,0))*parametros_manuales!$K$95+parametros_manuales!$D$21*(datos_base!$E$18+IF(parametros_manuales!$H$21="Todos",datos_base!$E$23,0))*parametros_manuales!$K$12+parametros_manuales!$E$21*(datos_base!$E$3+IF(parametros_manuales!$H$21="Todos",datos_base!$E$10,0))*parametros_manuales!$K$100+parametros_manuales!$E$21*(datos_base!$E$19+IF(parametros_manuales!$H$21="Todos",datos_base!$E$24,0))*parametros_manuales!$K$13+parametros_manuales!$F$21*(datos_base!$E$4+IF(parametros_manuales!$H$21="Todos",datos_base!$E$11,0))*parametros_manuales!$K$105+parametros_manuales!$F$21*(datos_base!$E$20+IF(parametros_manuales!$H$21="Todos",datos_base!$E$25,0))*parametros_manuales!$K$14+parametros_manuales!$G$21*(datos_base!$E$5+IF(parametros_manuales!$H$21="Todos",datos_base!$E$12,0))*parametros_manuales!$K$110+parametros_manuales!$G$21*(datos_base!$E$21+IF(parametros_manuales!$H$21="Todos",datos_base!$E$26,0))*parametros_manuales!$K$15)*parametros_manuales!$I$21*parametros_manuales!$J$21</f>
        <v>3164.57419941</v>
      </c>
      <c r="L85" s="9" t="n">
        <f aca="false">(parametros_manuales!$D$21*(datos_base!$E$2+IF(parametros_manuales!$H$21="Todos",datos_base!$E$9,0))*parametros_manuales!$L$95+parametros_manuales!$D$21*(datos_base!$E$18+IF(parametros_manuales!$H$21="Todos",datos_base!$E$23,0))*parametros_manuales!$L$12+parametros_manuales!$E$21*(datos_base!$E$3+IF(parametros_manuales!$H$21="Todos",datos_base!$E$10,0))*parametros_manuales!$L$100+parametros_manuales!$E$21*(datos_base!$E$19+IF(parametros_manuales!$H$21="Todos",datos_base!$E$24,0))*parametros_manuales!$L$13+parametros_manuales!$F$21*(datos_base!$E$4+IF(parametros_manuales!$H$21="Todos",datos_base!$E$11,0))*parametros_manuales!$L$105+parametros_manuales!$F$21*(datos_base!$E$20+IF(parametros_manuales!$H$21="Todos",datos_base!$E$25,0))*parametros_manuales!$L$14+parametros_manuales!$G$21*(datos_base!$E$5+IF(parametros_manuales!$H$21="Todos",datos_base!$E$12,0))*parametros_manuales!$L$110+parametros_manuales!$G$21*(datos_base!$E$21+IF(parametros_manuales!$H$21="Todos",datos_base!$E$26,0))*parametros_manuales!$L$15)*parametros_manuales!$I$21*parametros_manuales!$J$21</f>
        <v>3164.57419941</v>
      </c>
      <c r="M85" s="9" t="n">
        <f aca="false">(parametros_manuales!$D$21*(datos_base!$E$2+IF(parametros_manuales!$H$21="Todos",datos_base!$E$9,0))*parametros_manuales!$M$95+parametros_manuales!$D$21*(datos_base!$E$18+IF(parametros_manuales!$H$21="Todos",datos_base!$E$23,0))*parametros_manuales!$M$12+parametros_manuales!$E$21*(datos_base!$E$3+IF(parametros_manuales!$H$21="Todos",datos_base!$E$10,0))*parametros_manuales!$M$100+parametros_manuales!$E$21*(datos_base!$E$19+IF(parametros_manuales!$H$21="Todos",datos_base!$E$24,0))*parametros_manuales!$M$13+parametros_manuales!$F$21*(datos_base!$E$4+IF(parametros_manuales!$H$21="Todos",datos_base!$E$11,0))*parametros_manuales!$M$105+parametros_manuales!$F$21*(datos_base!$E$20+IF(parametros_manuales!$H$21="Todos",datos_base!$E$25,0))*parametros_manuales!$M$14+parametros_manuales!$G$21*(datos_base!$E$5+IF(parametros_manuales!$H$21="Todos",datos_base!$E$12,0))*parametros_manuales!$M$110+parametros_manuales!$G$21*(datos_base!$E$21+IF(parametros_manuales!$H$21="Todos",datos_base!$E$26,0))*parametros_manuales!$M$15)*parametros_manuales!$I$21*parametros_manuales!$J$21</f>
        <v>3164.57419941</v>
      </c>
      <c r="N85" s="9" t="n">
        <f aca="false">SUM(B85:M85)</f>
        <v>35161.935549</v>
      </c>
      <c r="O85" s="9" t="n">
        <f aca="false">MAX(B85:M85)</f>
        <v>3164.57419941</v>
      </c>
      <c r="P85" s="44" t="n">
        <f aca="false">O85/(parametros_manuales!$B$7)</f>
        <v>21.0971613294</v>
      </c>
      <c r="Q85" s="8" t="str">
        <f aca="false">IF(O85=0,"-",INDEX($B$82:$M$82,MATCH(O85,B85:M85,0)))</f>
        <v>Ene</v>
      </c>
    </row>
    <row r="86" customFormat="false" ht="14.25" hidden="false" customHeight="true" outlineLevel="0" collapsed="false">
      <c r="A86" s="8" t="str">
        <f aca="false">parametros_manuales!$B$22</f>
        <v>Corte de disco y embutido (cúpula y fondo)</v>
      </c>
      <c r="B86" s="9" t="n">
        <f aca="false">(parametros_manuales!$D$22*(datos_base!$E$2+IF(parametros_manuales!$H$22="Todos",datos_base!$E$9,0))*parametros_manuales!$B$95+parametros_manuales!$D$22*(datos_base!$E$18+IF(parametros_manuales!$H$22="Todos",datos_base!$E$23,0))*parametros_manuales!$B$12+parametros_manuales!$E$22*(datos_base!$E$3+IF(parametros_manuales!$H$22="Todos",datos_base!$E$10,0))*parametros_manuales!$B$100+parametros_manuales!$E$22*(datos_base!$E$19+IF(parametros_manuales!$H$22="Todos",datos_base!$E$24,0))*parametros_manuales!$B$13+parametros_manuales!$F$22*(datos_base!$E$4+IF(parametros_manuales!$H$22="Todos",datos_base!$E$11,0))*parametros_manuales!$B$105+parametros_manuales!$F$22*(datos_base!$E$20+IF(parametros_manuales!$H$22="Todos",datos_base!$E$25,0))*parametros_manuales!$B$14+parametros_manuales!$G$22*(datos_base!$E$5+IF(parametros_manuales!$H$22="Todos",datos_base!$E$12,0))*parametros_manuales!$B$110+parametros_manuales!$G$22*(datos_base!$E$21+IF(parametros_manuales!$H$22="Todos",datos_base!$E$26,0))*parametros_manuales!$B$15)*parametros_manuales!$I$22*parametros_manuales!$J$22</f>
        <v>9111.379715418</v>
      </c>
      <c r="C86" s="9" t="n">
        <f aca="false">(parametros_manuales!$D$22*(datos_base!$E$2+IF(parametros_manuales!$H$22="Todos",datos_base!$E$9,0))*parametros_manuales!$C$95+parametros_manuales!$D$22*(datos_base!$E$18+IF(parametros_manuales!$H$22="Todos",datos_base!$E$23,0))*parametros_manuales!$C$12+parametros_manuales!$E$22*(datos_base!$E$3+IF(parametros_manuales!$H$22="Todos",datos_base!$E$10,0))*parametros_manuales!$C$100+parametros_manuales!$E$22*(datos_base!$E$19+IF(parametros_manuales!$H$22="Todos",datos_base!$E$24,0))*parametros_manuales!$C$13+parametros_manuales!$F$22*(datos_base!$E$4+IF(parametros_manuales!$H$22="Todos",datos_base!$E$11,0))*parametros_manuales!$C$105+parametros_manuales!$F$22*(datos_base!$E$20+IF(parametros_manuales!$H$22="Todos",datos_base!$E$25,0))*parametros_manuales!$C$14+parametros_manuales!$G$22*(datos_base!$E$5+IF(parametros_manuales!$H$22="Todos",datos_base!$E$12,0))*parametros_manuales!$C$110+parametros_manuales!$G$22*(datos_base!$E$21+IF(parametros_manuales!$H$22="Todos",datos_base!$E$26,0))*parametros_manuales!$C$15)*parametros_manuales!$I$22*parametros_manuales!$J$22</f>
        <v>8798.014635796</v>
      </c>
      <c r="D86" s="9" t="n">
        <f aca="false">(parametros_manuales!$D$22*(datos_base!$E$2+IF(parametros_manuales!$H$22="Todos",datos_base!$E$9,0))*parametros_manuales!$D$95+parametros_manuales!$D$22*(datos_base!$E$18+IF(parametros_manuales!$H$22="Todos",datos_base!$E$23,0))*parametros_manuales!$D$12+parametros_manuales!$E$22*(datos_base!$E$3+IF(parametros_manuales!$H$22="Todos",datos_base!$E$10,0))*parametros_manuales!$D$100+parametros_manuales!$E$22*(datos_base!$E$19+IF(parametros_manuales!$H$22="Todos",datos_base!$E$24,0))*parametros_manuales!$D$13+parametros_manuales!$F$22*(datos_base!$E$4+IF(parametros_manuales!$H$22="Todos",datos_base!$E$11,0))*parametros_manuales!$D$105+parametros_manuales!$F$22*(datos_base!$E$20+IF(parametros_manuales!$H$22="Todos",datos_base!$E$25,0))*parametros_manuales!$D$14+parametros_manuales!$G$22*(datos_base!$E$5+IF(parametros_manuales!$H$22="Todos",datos_base!$E$12,0))*parametros_manuales!$D$110+parametros_manuales!$G$22*(datos_base!$E$21+IF(parametros_manuales!$H$22="Todos",datos_base!$E$26,0))*parametros_manuales!$D$15)*parametros_manuales!$I$22*parametros_manuales!$J$22</f>
        <v>8249.080064627</v>
      </c>
      <c r="E86" s="9" t="n">
        <f aca="false">(parametros_manuales!$D$22*(datos_base!$E$2+IF(parametros_manuales!$H$22="Todos",datos_base!$E$9,0))*parametros_manuales!$E$95+parametros_manuales!$D$22*(datos_base!$E$18+IF(parametros_manuales!$H$22="Todos",datos_base!$E$23,0))*parametros_manuales!$E$12+parametros_manuales!$E$22*(datos_base!$E$3+IF(parametros_manuales!$H$22="Todos",datos_base!$E$10,0))*parametros_manuales!$E$100+parametros_manuales!$E$22*(datos_base!$E$19+IF(parametros_manuales!$H$22="Todos",datos_base!$E$24,0))*parametros_manuales!$E$13+parametros_manuales!$F$22*(datos_base!$E$4+IF(parametros_manuales!$H$22="Todos",datos_base!$E$11,0))*parametros_manuales!$E$105+parametros_manuales!$F$22*(datos_base!$E$20+IF(parametros_manuales!$H$22="Todos",datos_base!$E$25,0))*parametros_manuales!$E$14+parametros_manuales!$G$22*(datos_base!$E$5+IF(parametros_manuales!$H$22="Todos",datos_base!$E$12,0))*parametros_manuales!$E$110+parametros_manuales!$G$22*(datos_base!$E$21+IF(parametros_manuales!$H$22="Todos",datos_base!$E$26,0))*parametros_manuales!$E$15)*parametros_manuales!$I$22*parametros_manuales!$J$22</f>
        <v>7897.460709137</v>
      </c>
      <c r="F86" s="9" t="n">
        <f aca="false">(parametros_manuales!$D$22*(datos_base!$E$2+IF(parametros_manuales!$H$22="Todos",datos_base!$E$9,0))*parametros_manuales!$F$95+parametros_manuales!$D$22*(datos_base!$E$18+IF(parametros_manuales!$H$22="Todos",datos_base!$E$23,0))*parametros_manuales!$F$12+parametros_manuales!$E$22*(datos_base!$E$3+IF(parametros_manuales!$H$22="Todos",datos_base!$E$10,0))*parametros_manuales!$F$100+parametros_manuales!$E$22*(datos_base!$E$19+IF(parametros_manuales!$H$22="Todos",datos_base!$E$24,0))*parametros_manuales!$F$13+parametros_manuales!$F$22*(datos_base!$E$4+IF(parametros_manuales!$H$22="Todos",datos_base!$E$11,0))*parametros_manuales!$F$105+parametros_manuales!$F$22*(datos_base!$E$20+IF(parametros_manuales!$H$22="Todos",datos_base!$E$25,0))*parametros_manuales!$F$14+parametros_manuales!$G$22*(datos_base!$E$5+IF(parametros_manuales!$H$22="Todos",datos_base!$E$12,0))*parametros_manuales!$F$110+parametros_manuales!$G$22*(datos_base!$E$21+IF(parametros_manuales!$H$22="Todos",datos_base!$E$26,0))*parametros_manuales!$F$15)*parametros_manuales!$I$22*parametros_manuales!$J$22</f>
        <v>7391.537213836</v>
      </c>
      <c r="G86" s="9" t="n">
        <f aca="false">(parametros_manuales!$D$22*(datos_base!$E$2+IF(parametros_manuales!$H$22="Todos",datos_base!$E$9,0))*parametros_manuales!$G$95+parametros_manuales!$D$22*(datos_base!$E$18+IF(parametros_manuales!$H$22="Todos",datos_base!$E$23,0))*parametros_manuales!$G$12+parametros_manuales!$E$22*(datos_base!$E$3+IF(parametros_manuales!$H$22="Todos",datos_base!$E$10,0))*parametros_manuales!$G$100+parametros_manuales!$E$22*(datos_base!$E$19+IF(parametros_manuales!$H$22="Todos",datos_base!$E$24,0))*parametros_manuales!$G$13+parametros_manuales!$F$22*(datos_base!$E$4+IF(parametros_manuales!$H$22="Todos",datos_base!$E$11,0))*parametros_manuales!$G$105+parametros_manuales!$F$22*(datos_base!$E$20+IF(parametros_manuales!$H$22="Todos",datos_base!$E$25,0))*parametros_manuales!$G$14+parametros_manuales!$G$22*(datos_base!$E$5+IF(parametros_manuales!$H$22="Todos",datos_base!$E$12,0))*parametros_manuales!$G$110+parametros_manuales!$G$22*(datos_base!$E$21+IF(parametros_manuales!$H$22="Todos",datos_base!$E$26,0))*parametros_manuales!$G$15)*parametros_manuales!$I$22*parametros_manuales!$J$22</f>
        <v>7237.233074025</v>
      </c>
      <c r="H86" s="9" t="n">
        <f aca="false">(parametros_manuales!$D$22*(datos_base!$E$2+IF(parametros_manuales!$H$22="Todos",datos_base!$E$9,0))*parametros_manuales!$H$95+parametros_manuales!$D$22*(datos_base!$E$18+IF(parametros_manuales!$H$22="Todos",datos_base!$E$23,0))*parametros_manuales!$H$12+parametros_manuales!$E$22*(datos_base!$E$3+IF(parametros_manuales!$H$22="Todos",datos_base!$E$10,0))*parametros_manuales!$H$100+parametros_manuales!$E$22*(datos_base!$E$19+IF(parametros_manuales!$H$22="Todos",datos_base!$E$24,0))*parametros_manuales!$H$13+parametros_manuales!$F$22*(datos_base!$E$4+IF(parametros_manuales!$H$22="Todos",datos_base!$E$11,0))*parametros_manuales!$H$105+parametros_manuales!$F$22*(datos_base!$E$20+IF(parametros_manuales!$H$22="Todos",datos_base!$E$25,0))*parametros_manuales!$H$14+parametros_manuales!$G$22*(datos_base!$E$5+IF(parametros_manuales!$H$22="Todos",datos_base!$E$12,0))*parametros_manuales!$H$110+parametros_manuales!$G$22*(datos_base!$E$21+IF(parametros_manuales!$H$22="Todos",datos_base!$E$26,0))*parametros_manuales!$H$15)*parametros_manuales!$I$22*parametros_manuales!$J$22</f>
        <v>7743.156569326</v>
      </c>
      <c r="I86" s="9" t="n">
        <f aca="false">(parametros_manuales!$D$22*(datos_base!$E$2+IF(parametros_manuales!$H$22="Todos",datos_base!$E$9,0))*parametros_manuales!$I$95+parametros_manuales!$D$22*(datos_base!$E$18+IF(parametros_manuales!$H$22="Todos",datos_base!$E$23,0))*parametros_manuales!$I$12+parametros_manuales!$E$22*(datos_base!$E$3+IF(parametros_manuales!$H$22="Todos",datos_base!$E$10,0))*parametros_manuales!$I$100+parametros_manuales!$E$22*(datos_base!$E$19+IF(parametros_manuales!$H$22="Todos",datos_base!$E$24,0))*parametros_manuales!$I$13+parametros_manuales!$F$22*(datos_base!$E$4+IF(parametros_manuales!$H$22="Todos",datos_base!$E$11,0))*parametros_manuales!$I$105+parametros_manuales!$F$22*(datos_base!$E$20+IF(parametros_manuales!$H$22="Todos",datos_base!$E$25,0))*parametros_manuales!$I$14+parametros_manuales!$G$22*(datos_base!$E$5+IF(parametros_manuales!$H$22="Todos",datos_base!$E$12,0))*parametros_manuales!$I$110+parametros_manuales!$G$22*(datos_base!$E$21+IF(parametros_manuales!$H$22="Todos",datos_base!$E$26,0))*parametros_manuales!$I$15)*parametros_manuales!$I$22*parametros_manuales!$J$22</f>
        <v>8798.014635796</v>
      </c>
      <c r="J86" s="9" t="n">
        <f aca="false">(parametros_manuales!$D$22*(datos_base!$E$2+IF(parametros_manuales!$H$22="Todos",datos_base!$E$9,0))*parametros_manuales!$J$95+parametros_manuales!$D$22*(datos_base!$E$18+IF(parametros_manuales!$H$22="Todos",datos_base!$E$23,0))*parametros_manuales!$J$12+parametros_manuales!$E$22*(datos_base!$E$3+IF(parametros_manuales!$H$22="Todos",datos_base!$E$10,0))*parametros_manuales!$J$100+parametros_manuales!$E$22*(datos_base!$E$19+IF(parametros_manuales!$H$22="Todos",datos_base!$E$24,0))*parametros_manuales!$J$13+parametros_manuales!$F$22*(datos_base!$E$4+IF(parametros_manuales!$H$22="Todos",datos_base!$E$11,0))*parametros_manuales!$J$105+parametros_manuales!$F$22*(datos_base!$E$20+IF(parametros_manuales!$H$22="Todos",datos_base!$E$25,0))*parametros_manuales!$J$14+parametros_manuales!$G$22*(datos_base!$E$5+IF(parametros_manuales!$H$22="Todos",datos_base!$E$12,0))*parametros_manuales!$J$110+parametros_manuales!$G$22*(datos_base!$E$21+IF(parametros_manuales!$H$22="Todos",datos_base!$E$26,0))*parametros_manuales!$J$15)*parametros_manuales!$I$22*parametros_manuales!$J$22</f>
        <v>8798.014635796</v>
      </c>
      <c r="K86" s="9" t="n">
        <f aca="false">(parametros_manuales!$D$22*(datos_base!$E$2+IF(parametros_manuales!$H$22="Todos",datos_base!$E$9,0))*parametros_manuales!$K$95+parametros_manuales!$D$22*(datos_base!$E$18+IF(parametros_manuales!$H$22="Todos",datos_base!$E$23,0))*parametros_manuales!$K$12+parametros_manuales!$E$22*(datos_base!$E$3+IF(parametros_manuales!$H$22="Todos",datos_base!$E$10,0))*parametros_manuales!$K$100+parametros_manuales!$E$22*(datos_base!$E$19+IF(parametros_manuales!$H$22="Todos",datos_base!$E$24,0))*parametros_manuales!$K$13+parametros_manuales!$F$22*(datos_base!$E$4+IF(parametros_manuales!$H$22="Todos",datos_base!$E$11,0))*parametros_manuales!$K$105+parametros_manuales!$F$22*(datos_base!$E$20+IF(parametros_manuales!$H$22="Todos",datos_base!$E$25,0))*parametros_manuales!$K$14+parametros_manuales!$G$22*(datos_base!$E$5+IF(parametros_manuales!$H$22="Todos",datos_base!$E$12,0))*parametros_manuales!$K$110+parametros_manuales!$G$22*(datos_base!$E$21+IF(parametros_manuales!$H$22="Todos",datos_base!$E$26,0))*parametros_manuales!$K$15)*parametros_manuales!$I$22*parametros_manuales!$J$22</f>
        <v>8947.561975607</v>
      </c>
      <c r="L86" s="9" t="n">
        <f aca="false">(parametros_manuales!$D$22*(datos_base!$E$2+IF(parametros_manuales!$H$22="Todos",datos_base!$E$9,0))*parametros_manuales!$L$95+parametros_manuales!$D$22*(datos_base!$E$18+IF(parametros_manuales!$H$22="Todos",datos_base!$E$23,0))*parametros_manuales!$L$12+parametros_manuales!$E$22*(datos_base!$E$3+IF(parametros_manuales!$H$22="Todos",datos_base!$E$10,0))*parametros_manuales!$L$100+parametros_manuales!$E$22*(datos_base!$E$19+IF(parametros_manuales!$H$22="Todos",datos_base!$E$24,0))*parametros_manuales!$L$13+parametros_manuales!$F$22*(datos_base!$E$4+IF(parametros_manuales!$H$22="Todos",datos_base!$E$11,0))*parametros_manuales!$L$105+parametros_manuales!$F$22*(datos_base!$E$20+IF(parametros_manuales!$H$22="Todos",datos_base!$E$25,0))*parametros_manuales!$L$14+parametros_manuales!$G$22*(datos_base!$E$5+IF(parametros_manuales!$H$22="Todos",datos_base!$E$12,0))*parametros_manuales!$L$110+parametros_manuales!$G$22*(datos_base!$E$21+IF(parametros_manuales!$H$22="Todos",datos_base!$E$26,0))*parametros_manuales!$L$15)*parametros_manuales!$I$22*parametros_manuales!$J$22</f>
        <v>9097.109315418</v>
      </c>
      <c r="M86" s="9" t="n">
        <f aca="false">(parametros_manuales!$D$22*(datos_base!$E$2+IF(parametros_manuales!$H$22="Todos",datos_base!$E$9,0))*parametros_manuales!$M$95+parametros_manuales!$D$22*(datos_base!$E$18+IF(parametros_manuales!$H$22="Todos",datos_base!$E$23,0))*parametros_manuales!$M$12+parametros_manuales!$E$22*(datos_base!$E$3+IF(parametros_manuales!$H$22="Todos",datos_base!$E$10,0))*parametros_manuales!$M$100+parametros_manuales!$E$22*(datos_base!$E$19+IF(parametros_manuales!$H$22="Todos",datos_base!$E$24,0))*parametros_manuales!$M$13+parametros_manuales!$F$22*(datos_base!$E$4+IF(parametros_manuales!$H$22="Todos",datos_base!$E$11,0))*parametros_manuales!$M$105+parametros_manuales!$F$22*(datos_base!$E$20+IF(parametros_manuales!$H$22="Todos",datos_base!$E$25,0))*parametros_manuales!$M$14+parametros_manuales!$G$22*(datos_base!$E$5+IF(parametros_manuales!$H$22="Todos",datos_base!$E$12,0))*parametros_manuales!$M$110+parametros_manuales!$G$22*(datos_base!$E$21+IF(parametros_manuales!$H$22="Todos",datos_base!$E$26,0))*parametros_manuales!$M$15)*parametros_manuales!$I$22*parametros_manuales!$J$22</f>
        <v>9116.136515418</v>
      </c>
      <c r="N86" s="9" t="n">
        <f aca="false">SUM(B86:M86)</f>
        <v>101184.6990602</v>
      </c>
      <c r="O86" s="9" t="n">
        <f aca="false">MAX(B86:M86)</f>
        <v>9116.136515418</v>
      </c>
      <c r="P86" s="44" t="n">
        <f aca="false">O86/(parametros_manuales!$B$7)</f>
        <v>60.77424343612</v>
      </c>
      <c r="Q86" s="8" t="str">
        <f aca="false">IF(O86=0,"-",INDEX($B$82:$M$82,MATCH(O86,B86:M86,0)))</f>
        <v>Dic</v>
      </c>
    </row>
    <row r="87" customFormat="false" ht="14.25" hidden="false" customHeight="true" outlineLevel="0" collapsed="false">
      <c r="A87" s="8" t="str">
        <f aca="false">parametros_manuales!$B$23</f>
        <v>Preparación de cuello</v>
      </c>
      <c r="B87" s="9" t="n">
        <f aca="false">(parametros_manuales!$D$23*(datos_base!$E$2+IF(parametros_manuales!$H$23="Todos",datos_base!$E$9,0))*parametros_manuales!$B$95+parametros_manuales!$D$23*(datos_base!$E$18+IF(parametros_manuales!$H$23="Todos",datos_base!$E$23,0))*parametros_manuales!$B$12+parametros_manuales!$E$23*(datos_base!$E$3+IF(parametros_manuales!$H$23="Todos",datos_base!$E$10,0))*parametros_manuales!$B$100+parametros_manuales!$E$23*(datos_base!$E$19+IF(parametros_manuales!$H$23="Todos",datos_base!$E$24,0))*parametros_manuales!$B$13+parametros_manuales!$F$23*(datos_base!$E$4+IF(parametros_manuales!$H$23="Todos",datos_base!$E$11,0))*parametros_manuales!$B$105+parametros_manuales!$F$23*(datos_base!$E$20+IF(parametros_manuales!$H$23="Todos",datos_base!$E$25,0))*parametros_manuales!$B$14+parametros_manuales!$G$23*(datos_base!$E$5+IF(parametros_manuales!$H$23="Todos",datos_base!$E$12,0))*parametros_manuales!$B$110+parametros_manuales!$G$23*(datos_base!$E$21+IF(parametros_manuales!$H$23="Todos",datos_base!$E$26,0))*parametros_manuales!$B$15)*parametros_manuales!$I$23*parametros_manuales!$J$23</f>
        <v>4555.689857709</v>
      </c>
      <c r="C87" s="9" t="n">
        <f aca="false">(parametros_manuales!$D$23*(datos_base!$E$2+IF(parametros_manuales!$H$23="Todos",datos_base!$E$9,0))*parametros_manuales!$C$95+parametros_manuales!$D$23*(datos_base!$E$18+IF(parametros_manuales!$H$23="Todos",datos_base!$E$23,0))*parametros_manuales!$C$12+parametros_manuales!$E$23*(datos_base!$E$3+IF(parametros_manuales!$H$23="Todos",datos_base!$E$10,0))*parametros_manuales!$C$100+parametros_manuales!$E$23*(datos_base!$E$19+IF(parametros_manuales!$H$23="Todos",datos_base!$E$24,0))*parametros_manuales!$C$13+parametros_manuales!$F$23*(datos_base!$E$4+IF(parametros_manuales!$H$23="Todos",datos_base!$E$11,0))*parametros_manuales!$C$105+parametros_manuales!$F$23*(datos_base!$E$20+IF(parametros_manuales!$H$23="Todos",datos_base!$E$25,0))*parametros_manuales!$C$14+parametros_manuales!$G$23*(datos_base!$E$5+IF(parametros_manuales!$H$23="Todos",datos_base!$E$12,0))*parametros_manuales!$C$110+parametros_manuales!$G$23*(datos_base!$E$21+IF(parametros_manuales!$H$23="Todos",datos_base!$E$26,0))*parametros_manuales!$C$15)*parametros_manuales!$I$23*parametros_manuales!$J$23</f>
        <v>4399.007317898</v>
      </c>
      <c r="D87" s="9" t="n">
        <f aca="false">(parametros_manuales!$D$23*(datos_base!$E$2+IF(parametros_manuales!$H$23="Todos",datos_base!$E$9,0))*parametros_manuales!$D$95+parametros_manuales!$D$23*(datos_base!$E$18+IF(parametros_manuales!$H$23="Todos",datos_base!$E$23,0))*parametros_manuales!$D$12+parametros_manuales!$E$23*(datos_base!$E$3+IF(parametros_manuales!$H$23="Todos",datos_base!$E$10,0))*parametros_manuales!$D$100+parametros_manuales!$E$23*(datos_base!$E$19+IF(parametros_manuales!$H$23="Todos",datos_base!$E$24,0))*parametros_manuales!$D$13+parametros_manuales!$F$23*(datos_base!$E$4+IF(parametros_manuales!$H$23="Todos",datos_base!$E$11,0))*parametros_manuales!$D$105+parametros_manuales!$F$23*(datos_base!$E$20+IF(parametros_manuales!$H$23="Todos",datos_base!$E$25,0))*parametros_manuales!$D$14+parametros_manuales!$G$23*(datos_base!$E$5+IF(parametros_manuales!$H$23="Todos",datos_base!$E$12,0))*parametros_manuales!$D$110+parametros_manuales!$G$23*(datos_base!$E$21+IF(parametros_manuales!$H$23="Todos",datos_base!$E$26,0))*parametros_manuales!$D$15)*parametros_manuales!$I$23*parametros_manuales!$J$23</f>
        <v>4124.5400323135</v>
      </c>
      <c r="E87" s="9" t="n">
        <f aca="false">(parametros_manuales!$D$23*(datos_base!$E$2+IF(parametros_manuales!$H$23="Todos",datos_base!$E$9,0))*parametros_manuales!$E$95+parametros_manuales!$D$23*(datos_base!$E$18+IF(parametros_manuales!$H$23="Todos",datos_base!$E$23,0))*parametros_manuales!$E$12+parametros_manuales!$E$23*(datos_base!$E$3+IF(parametros_manuales!$H$23="Todos",datos_base!$E$10,0))*parametros_manuales!$E$100+parametros_manuales!$E$23*(datos_base!$E$19+IF(parametros_manuales!$H$23="Todos",datos_base!$E$24,0))*parametros_manuales!$E$13+parametros_manuales!$F$23*(datos_base!$E$4+IF(parametros_manuales!$H$23="Todos",datos_base!$E$11,0))*parametros_manuales!$E$105+parametros_manuales!$F$23*(datos_base!$E$20+IF(parametros_manuales!$H$23="Todos",datos_base!$E$25,0))*parametros_manuales!$E$14+parametros_manuales!$G$23*(datos_base!$E$5+IF(parametros_manuales!$H$23="Todos",datos_base!$E$12,0))*parametros_manuales!$E$110+parametros_manuales!$G$23*(datos_base!$E$21+IF(parametros_manuales!$H$23="Todos",datos_base!$E$26,0))*parametros_manuales!$E$15)*parametros_manuales!$I$23*parametros_manuales!$J$23</f>
        <v>3948.7303545685</v>
      </c>
      <c r="F87" s="9" t="n">
        <f aca="false">(parametros_manuales!$D$23*(datos_base!$E$2+IF(parametros_manuales!$H$23="Todos",datos_base!$E$9,0))*parametros_manuales!$F$95+parametros_manuales!$D$23*(datos_base!$E$18+IF(parametros_manuales!$H$23="Todos",datos_base!$E$23,0))*parametros_manuales!$F$12+parametros_manuales!$E$23*(datos_base!$E$3+IF(parametros_manuales!$H$23="Todos",datos_base!$E$10,0))*parametros_manuales!$F$100+parametros_manuales!$E$23*(datos_base!$E$19+IF(parametros_manuales!$H$23="Todos",datos_base!$E$24,0))*parametros_manuales!$F$13+parametros_manuales!$F$23*(datos_base!$E$4+IF(parametros_manuales!$H$23="Todos",datos_base!$E$11,0))*parametros_manuales!$F$105+parametros_manuales!$F$23*(datos_base!$E$20+IF(parametros_manuales!$H$23="Todos",datos_base!$E$25,0))*parametros_manuales!$F$14+parametros_manuales!$G$23*(datos_base!$E$5+IF(parametros_manuales!$H$23="Todos",datos_base!$E$12,0))*parametros_manuales!$F$110+parametros_manuales!$G$23*(datos_base!$E$21+IF(parametros_manuales!$H$23="Todos",datos_base!$E$26,0))*parametros_manuales!$F$15)*parametros_manuales!$I$23*parametros_manuales!$J$23</f>
        <v>3695.768606918</v>
      </c>
      <c r="G87" s="9" t="n">
        <f aca="false">(parametros_manuales!$D$23*(datos_base!$E$2+IF(parametros_manuales!$H$23="Todos",datos_base!$E$9,0))*parametros_manuales!$G$95+parametros_manuales!$D$23*(datos_base!$E$18+IF(parametros_manuales!$H$23="Todos",datos_base!$E$23,0))*parametros_manuales!$G$12+parametros_manuales!$E$23*(datos_base!$E$3+IF(parametros_manuales!$H$23="Todos",datos_base!$E$10,0))*parametros_manuales!$G$100+parametros_manuales!$E$23*(datos_base!$E$19+IF(parametros_manuales!$H$23="Todos",datos_base!$E$24,0))*parametros_manuales!$G$13+parametros_manuales!$F$23*(datos_base!$E$4+IF(parametros_manuales!$H$23="Todos",datos_base!$E$11,0))*parametros_manuales!$G$105+parametros_manuales!$F$23*(datos_base!$E$20+IF(parametros_manuales!$H$23="Todos",datos_base!$E$25,0))*parametros_manuales!$G$14+parametros_manuales!$G$23*(datos_base!$E$5+IF(parametros_manuales!$H$23="Todos",datos_base!$E$12,0))*parametros_manuales!$G$110+parametros_manuales!$G$23*(datos_base!$E$21+IF(parametros_manuales!$H$23="Todos",datos_base!$E$26,0))*parametros_manuales!$G$15)*parametros_manuales!$I$23*parametros_manuales!$J$23</f>
        <v>3618.6165370125</v>
      </c>
      <c r="H87" s="9" t="n">
        <f aca="false">(parametros_manuales!$D$23*(datos_base!$E$2+IF(parametros_manuales!$H$23="Todos",datos_base!$E$9,0))*parametros_manuales!$H$95+parametros_manuales!$D$23*(datos_base!$E$18+IF(parametros_manuales!$H$23="Todos",datos_base!$E$23,0))*parametros_manuales!$H$12+parametros_manuales!$E$23*(datos_base!$E$3+IF(parametros_manuales!$H$23="Todos",datos_base!$E$10,0))*parametros_manuales!$H$100+parametros_manuales!$E$23*(datos_base!$E$19+IF(parametros_manuales!$H$23="Todos",datos_base!$E$24,0))*parametros_manuales!$H$13+parametros_manuales!$F$23*(datos_base!$E$4+IF(parametros_manuales!$H$23="Todos",datos_base!$E$11,0))*parametros_manuales!$H$105+parametros_manuales!$F$23*(datos_base!$E$20+IF(parametros_manuales!$H$23="Todos",datos_base!$E$25,0))*parametros_manuales!$H$14+parametros_manuales!$G$23*(datos_base!$E$5+IF(parametros_manuales!$H$23="Todos",datos_base!$E$12,0))*parametros_manuales!$H$110+parametros_manuales!$G$23*(datos_base!$E$21+IF(parametros_manuales!$H$23="Todos",datos_base!$E$26,0))*parametros_manuales!$H$15)*parametros_manuales!$I$23*parametros_manuales!$J$23</f>
        <v>3871.578284663</v>
      </c>
      <c r="I87" s="9" t="n">
        <f aca="false">(parametros_manuales!$D$23*(datos_base!$E$2+IF(parametros_manuales!$H$23="Todos",datos_base!$E$9,0))*parametros_manuales!$I$95+parametros_manuales!$D$23*(datos_base!$E$18+IF(parametros_manuales!$H$23="Todos",datos_base!$E$23,0))*parametros_manuales!$I$12+parametros_manuales!$E$23*(datos_base!$E$3+IF(parametros_manuales!$H$23="Todos",datos_base!$E$10,0))*parametros_manuales!$I$100+parametros_manuales!$E$23*(datos_base!$E$19+IF(parametros_manuales!$H$23="Todos",datos_base!$E$24,0))*parametros_manuales!$I$13+parametros_manuales!$F$23*(datos_base!$E$4+IF(parametros_manuales!$H$23="Todos",datos_base!$E$11,0))*parametros_manuales!$I$105+parametros_manuales!$F$23*(datos_base!$E$20+IF(parametros_manuales!$H$23="Todos",datos_base!$E$25,0))*parametros_manuales!$I$14+parametros_manuales!$G$23*(datos_base!$E$5+IF(parametros_manuales!$H$23="Todos",datos_base!$E$12,0))*parametros_manuales!$I$110+parametros_manuales!$G$23*(datos_base!$E$21+IF(parametros_manuales!$H$23="Todos",datos_base!$E$26,0))*parametros_manuales!$I$15)*parametros_manuales!$I$23*parametros_manuales!$J$23</f>
        <v>4399.007317898</v>
      </c>
      <c r="J87" s="9" t="n">
        <f aca="false">(parametros_manuales!$D$23*(datos_base!$E$2+IF(parametros_manuales!$H$23="Todos",datos_base!$E$9,0))*parametros_manuales!$J$95+parametros_manuales!$D$23*(datos_base!$E$18+IF(parametros_manuales!$H$23="Todos",datos_base!$E$23,0))*parametros_manuales!$J$12+parametros_manuales!$E$23*(datos_base!$E$3+IF(parametros_manuales!$H$23="Todos",datos_base!$E$10,0))*parametros_manuales!$J$100+parametros_manuales!$E$23*(datos_base!$E$19+IF(parametros_manuales!$H$23="Todos",datos_base!$E$24,0))*parametros_manuales!$J$13+parametros_manuales!$F$23*(datos_base!$E$4+IF(parametros_manuales!$H$23="Todos",datos_base!$E$11,0))*parametros_manuales!$J$105+parametros_manuales!$F$23*(datos_base!$E$20+IF(parametros_manuales!$H$23="Todos",datos_base!$E$25,0))*parametros_manuales!$J$14+parametros_manuales!$G$23*(datos_base!$E$5+IF(parametros_manuales!$H$23="Todos",datos_base!$E$12,0))*parametros_manuales!$J$110+parametros_manuales!$G$23*(datos_base!$E$21+IF(parametros_manuales!$H$23="Todos",datos_base!$E$26,0))*parametros_manuales!$J$15)*parametros_manuales!$I$23*parametros_manuales!$J$23</f>
        <v>4399.007317898</v>
      </c>
      <c r="K87" s="9" t="n">
        <f aca="false">(parametros_manuales!$D$23*(datos_base!$E$2+IF(parametros_manuales!$H$23="Todos",datos_base!$E$9,0))*parametros_manuales!$K$95+parametros_manuales!$D$23*(datos_base!$E$18+IF(parametros_manuales!$H$23="Todos",datos_base!$E$23,0))*parametros_manuales!$K$12+parametros_manuales!$E$23*(datos_base!$E$3+IF(parametros_manuales!$H$23="Todos",datos_base!$E$10,0))*parametros_manuales!$K$100+parametros_manuales!$E$23*(datos_base!$E$19+IF(parametros_manuales!$H$23="Todos",datos_base!$E$24,0))*parametros_manuales!$K$13+parametros_manuales!$F$23*(datos_base!$E$4+IF(parametros_manuales!$H$23="Todos",datos_base!$E$11,0))*parametros_manuales!$K$105+parametros_manuales!$F$23*(datos_base!$E$20+IF(parametros_manuales!$H$23="Todos",datos_base!$E$25,0))*parametros_manuales!$K$14+parametros_manuales!$G$23*(datos_base!$E$5+IF(parametros_manuales!$H$23="Todos",datos_base!$E$12,0))*parametros_manuales!$K$110+parametros_manuales!$G$23*(datos_base!$E$21+IF(parametros_manuales!$H$23="Todos",datos_base!$E$26,0))*parametros_manuales!$K$15)*parametros_manuales!$I$23*parametros_manuales!$J$23</f>
        <v>4473.7809878035</v>
      </c>
      <c r="L87" s="9" t="n">
        <f aca="false">(parametros_manuales!$D$23*(datos_base!$E$2+IF(parametros_manuales!$H$23="Todos",datos_base!$E$9,0))*parametros_manuales!$L$95+parametros_manuales!$D$23*(datos_base!$E$18+IF(parametros_manuales!$H$23="Todos",datos_base!$E$23,0))*parametros_manuales!$L$12+parametros_manuales!$E$23*(datos_base!$E$3+IF(parametros_manuales!$H$23="Todos",datos_base!$E$10,0))*parametros_manuales!$L$100+parametros_manuales!$E$23*(datos_base!$E$19+IF(parametros_manuales!$H$23="Todos",datos_base!$E$24,0))*parametros_manuales!$L$13+parametros_manuales!$F$23*(datos_base!$E$4+IF(parametros_manuales!$H$23="Todos",datos_base!$E$11,0))*parametros_manuales!$L$105+parametros_manuales!$F$23*(datos_base!$E$20+IF(parametros_manuales!$H$23="Todos",datos_base!$E$25,0))*parametros_manuales!$L$14+parametros_manuales!$G$23*(datos_base!$E$5+IF(parametros_manuales!$H$23="Todos",datos_base!$E$12,0))*parametros_manuales!$L$110+parametros_manuales!$G$23*(datos_base!$E$21+IF(parametros_manuales!$H$23="Todos",datos_base!$E$26,0))*parametros_manuales!$L$15)*parametros_manuales!$I$23*parametros_manuales!$J$23</f>
        <v>4548.554657709</v>
      </c>
      <c r="M87" s="9" t="n">
        <f aca="false">(parametros_manuales!$D$23*(datos_base!$E$2+IF(parametros_manuales!$H$23="Todos",datos_base!$E$9,0))*parametros_manuales!$M$95+parametros_manuales!$D$23*(datos_base!$E$18+IF(parametros_manuales!$H$23="Todos",datos_base!$E$23,0))*parametros_manuales!$M$12+parametros_manuales!$E$23*(datos_base!$E$3+IF(parametros_manuales!$H$23="Todos",datos_base!$E$10,0))*parametros_manuales!$M$100+parametros_manuales!$E$23*(datos_base!$E$19+IF(parametros_manuales!$H$23="Todos",datos_base!$E$24,0))*parametros_manuales!$M$13+parametros_manuales!$F$23*(datos_base!$E$4+IF(parametros_manuales!$H$23="Todos",datos_base!$E$11,0))*parametros_manuales!$M$105+parametros_manuales!$F$23*(datos_base!$E$20+IF(parametros_manuales!$H$23="Todos",datos_base!$E$25,0))*parametros_manuales!$M$14+parametros_manuales!$G$23*(datos_base!$E$5+IF(parametros_manuales!$H$23="Todos",datos_base!$E$12,0))*parametros_manuales!$M$110+parametros_manuales!$G$23*(datos_base!$E$21+IF(parametros_manuales!$H$23="Todos",datos_base!$E$26,0))*parametros_manuales!$M$15)*parametros_manuales!$I$23*parametros_manuales!$J$23</f>
        <v>4558.068257709</v>
      </c>
      <c r="N87" s="9" t="n">
        <f aca="false">SUM(B87:M87)</f>
        <v>50592.3495301</v>
      </c>
      <c r="O87" s="9" t="n">
        <f aca="false">MAX(B87:M87)</f>
        <v>4558.068257709</v>
      </c>
      <c r="P87" s="44" t="n">
        <f aca="false">O87/(parametros_manuales!$B$7)</f>
        <v>30.38712171806</v>
      </c>
      <c r="Q87" s="8" t="str">
        <f aca="false">IF(O87=0,"-",INDEX($B$82:$M$82,MATCH(O87,B87:M87,0)))</f>
        <v>Dic</v>
      </c>
    </row>
    <row r="88" customFormat="false" ht="14.25" hidden="false" customHeight="true" outlineLevel="0" collapsed="false">
      <c r="A88" s="8" t="str">
        <f aca="false">parametros_manuales!$B$24</f>
        <v>Numerado de cúpula</v>
      </c>
      <c r="B88" s="9" t="n">
        <f aca="false">(parametros_manuales!$D$24*(datos_base!$E$2+IF(parametros_manuales!$H$24="Todos",datos_base!$E$9,0))*parametros_manuales!$B$95+parametros_manuales!$D$24*(datos_base!$E$18+IF(parametros_manuales!$H$24="Todos",datos_base!$E$23,0))*parametros_manuales!$B$12+parametros_manuales!$E$24*(datos_base!$E$3+IF(parametros_manuales!$H$24="Todos",datos_base!$E$10,0))*parametros_manuales!$B$100+parametros_manuales!$E$24*(datos_base!$E$19+IF(parametros_manuales!$H$24="Todos",datos_base!$E$24,0))*parametros_manuales!$B$13+parametros_manuales!$F$24*(datos_base!$E$4+IF(parametros_manuales!$H$24="Todos",datos_base!$E$11,0))*parametros_manuales!$B$105+parametros_manuales!$F$24*(datos_base!$E$20+IF(parametros_manuales!$H$24="Todos",datos_base!$E$25,0))*parametros_manuales!$B$14+parametros_manuales!$G$24*(datos_base!$E$5+IF(parametros_manuales!$H$24="Todos",datos_base!$E$12,0))*parametros_manuales!$B$110+parametros_manuales!$G$24*(datos_base!$E$21+IF(parametros_manuales!$H$24="Todos",datos_base!$E$26,0))*parametros_manuales!$B$15)*parametros_manuales!$I$24*parametros_manuales!$J$24</f>
        <v>4555.689857709</v>
      </c>
      <c r="C88" s="9" t="n">
        <f aca="false">(parametros_manuales!$D$24*(datos_base!$E$2+IF(parametros_manuales!$H$24="Todos",datos_base!$E$9,0))*parametros_manuales!$C$95+parametros_manuales!$D$24*(datos_base!$E$18+IF(parametros_manuales!$H$24="Todos",datos_base!$E$23,0))*parametros_manuales!$C$12+parametros_manuales!$E$24*(datos_base!$E$3+IF(parametros_manuales!$H$24="Todos",datos_base!$E$10,0))*parametros_manuales!$C$100+parametros_manuales!$E$24*(datos_base!$E$19+IF(parametros_manuales!$H$24="Todos",datos_base!$E$24,0))*parametros_manuales!$C$13+parametros_manuales!$F$24*(datos_base!$E$4+IF(parametros_manuales!$H$24="Todos",datos_base!$E$11,0))*parametros_manuales!$C$105+parametros_manuales!$F$24*(datos_base!$E$20+IF(parametros_manuales!$H$24="Todos",datos_base!$E$25,0))*parametros_manuales!$C$14+parametros_manuales!$G$24*(datos_base!$E$5+IF(parametros_manuales!$H$24="Todos",datos_base!$E$12,0))*parametros_manuales!$C$110+parametros_manuales!$G$24*(datos_base!$E$21+IF(parametros_manuales!$H$24="Todos",datos_base!$E$26,0))*parametros_manuales!$C$15)*parametros_manuales!$I$24*parametros_manuales!$J$24</f>
        <v>4399.007317898</v>
      </c>
      <c r="D88" s="9" t="n">
        <f aca="false">(parametros_manuales!$D$24*(datos_base!$E$2+IF(parametros_manuales!$H$24="Todos",datos_base!$E$9,0))*parametros_manuales!$D$95+parametros_manuales!$D$24*(datos_base!$E$18+IF(parametros_manuales!$H$24="Todos",datos_base!$E$23,0))*parametros_manuales!$D$12+parametros_manuales!$E$24*(datos_base!$E$3+IF(parametros_manuales!$H$24="Todos",datos_base!$E$10,0))*parametros_manuales!$D$100+parametros_manuales!$E$24*(datos_base!$E$19+IF(parametros_manuales!$H$24="Todos",datos_base!$E$24,0))*parametros_manuales!$D$13+parametros_manuales!$F$24*(datos_base!$E$4+IF(parametros_manuales!$H$24="Todos",datos_base!$E$11,0))*parametros_manuales!$D$105+parametros_manuales!$F$24*(datos_base!$E$20+IF(parametros_manuales!$H$24="Todos",datos_base!$E$25,0))*parametros_manuales!$D$14+parametros_manuales!$G$24*(datos_base!$E$5+IF(parametros_manuales!$H$24="Todos",datos_base!$E$12,0))*parametros_manuales!$D$110+parametros_manuales!$G$24*(datos_base!$E$21+IF(parametros_manuales!$H$24="Todos",datos_base!$E$26,0))*parametros_manuales!$D$15)*parametros_manuales!$I$24*parametros_manuales!$J$24</f>
        <v>4124.5400323135</v>
      </c>
      <c r="E88" s="9" t="n">
        <f aca="false">(parametros_manuales!$D$24*(datos_base!$E$2+IF(parametros_manuales!$H$24="Todos",datos_base!$E$9,0))*parametros_manuales!$E$95+parametros_manuales!$D$24*(datos_base!$E$18+IF(parametros_manuales!$H$24="Todos",datos_base!$E$23,0))*parametros_manuales!$E$12+parametros_manuales!$E$24*(datos_base!$E$3+IF(parametros_manuales!$H$24="Todos",datos_base!$E$10,0))*parametros_manuales!$E$100+parametros_manuales!$E$24*(datos_base!$E$19+IF(parametros_manuales!$H$24="Todos",datos_base!$E$24,0))*parametros_manuales!$E$13+parametros_manuales!$F$24*(datos_base!$E$4+IF(parametros_manuales!$H$24="Todos",datos_base!$E$11,0))*parametros_manuales!$E$105+parametros_manuales!$F$24*(datos_base!$E$20+IF(parametros_manuales!$H$24="Todos",datos_base!$E$25,0))*parametros_manuales!$E$14+parametros_manuales!$G$24*(datos_base!$E$5+IF(parametros_manuales!$H$24="Todos",datos_base!$E$12,0))*parametros_manuales!$E$110+parametros_manuales!$G$24*(datos_base!$E$21+IF(parametros_manuales!$H$24="Todos",datos_base!$E$26,0))*parametros_manuales!$E$15)*parametros_manuales!$I$24*parametros_manuales!$J$24</f>
        <v>3948.7303545685</v>
      </c>
      <c r="F88" s="9" t="n">
        <f aca="false">(parametros_manuales!$D$24*(datos_base!$E$2+IF(parametros_manuales!$H$24="Todos",datos_base!$E$9,0))*parametros_manuales!$F$95+parametros_manuales!$D$24*(datos_base!$E$18+IF(parametros_manuales!$H$24="Todos",datos_base!$E$23,0))*parametros_manuales!$F$12+parametros_manuales!$E$24*(datos_base!$E$3+IF(parametros_manuales!$H$24="Todos",datos_base!$E$10,0))*parametros_manuales!$F$100+parametros_manuales!$E$24*(datos_base!$E$19+IF(parametros_manuales!$H$24="Todos",datos_base!$E$24,0))*parametros_manuales!$F$13+parametros_manuales!$F$24*(datos_base!$E$4+IF(parametros_manuales!$H$24="Todos",datos_base!$E$11,0))*parametros_manuales!$F$105+parametros_manuales!$F$24*(datos_base!$E$20+IF(parametros_manuales!$H$24="Todos",datos_base!$E$25,0))*parametros_manuales!$F$14+parametros_manuales!$G$24*(datos_base!$E$5+IF(parametros_manuales!$H$24="Todos",datos_base!$E$12,0))*parametros_manuales!$F$110+parametros_manuales!$G$24*(datos_base!$E$21+IF(parametros_manuales!$H$24="Todos",datos_base!$E$26,0))*parametros_manuales!$F$15)*parametros_manuales!$I$24*parametros_manuales!$J$24</f>
        <v>3695.768606918</v>
      </c>
      <c r="G88" s="9" t="n">
        <f aca="false">(parametros_manuales!$D$24*(datos_base!$E$2+IF(parametros_manuales!$H$24="Todos",datos_base!$E$9,0))*parametros_manuales!$G$95+parametros_manuales!$D$24*(datos_base!$E$18+IF(parametros_manuales!$H$24="Todos",datos_base!$E$23,0))*parametros_manuales!$G$12+parametros_manuales!$E$24*(datos_base!$E$3+IF(parametros_manuales!$H$24="Todos",datos_base!$E$10,0))*parametros_manuales!$G$100+parametros_manuales!$E$24*(datos_base!$E$19+IF(parametros_manuales!$H$24="Todos",datos_base!$E$24,0))*parametros_manuales!$G$13+parametros_manuales!$F$24*(datos_base!$E$4+IF(parametros_manuales!$H$24="Todos",datos_base!$E$11,0))*parametros_manuales!$G$105+parametros_manuales!$F$24*(datos_base!$E$20+IF(parametros_manuales!$H$24="Todos",datos_base!$E$25,0))*parametros_manuales!$G$14+parametros_manuales!$G$24*(datos_base!$E$5+IF(parametros_manuales!$H$24="Todos",datos_base!$E$12,0))*parametros_manuales!$G$110+parametros_manuales!$G$24*(datos_base!$E$21+IF(parametros_manuales!$H$24="Todos",datos_base!$E$26,0))*parametros_manuales!$G$15)*parametros_manuales!$I$24*parametros_manuales!$J$24</f>
        <v>3618.6165370125</v>
      </c>
      <c r="H88" s="9" t="n">
        <f aca="false">(parametros_manuales!$D$24*(datos_base!$E$2+IF(parametros_manuales!$H$24="Todos",datos_base!$E$9,0))*parametros_manuales!$H$95+parametros_manuales!$D$24*(datos_base!$E$18+IF(parametros_manuales!$H$24="Todos",datos_base!$E$23,0))*parametros_manuales!$H$12+parametros_manuales!$E$24*(datos_base!$E$3+IF(parametros_manuales!$H$24="Todos",datos_base!$E$10,0))*parametros_manuales!$H$100+parametros_manuales!$E$24*(datos_base!$E$19+IF(parametros_manuales!$H$24="Todos",datos_base!$E$24,0))*parametros_manuales!$H$13+parametros_manuales!$F$24*(datos_base!$E$4+IF(parametros_manuales!$H$24="Todos",datos_base!$E$11,0))*parametros_manuales!$H$105+parametros_manuales!$F$24*(datos_base!$E$20+IF(parametros_manuales!$H$24="Todos",datos_base!$E$25,0))*parametros_manuales!$H$14+parametros_manuales!$G$24*(datos_base!$E$5+IF(parametros_manuales!$H$24="Todos",datos_base!$E$12,0))*parametros_manuales!$H$110+parametros_manuales!$G$24*(datos_base!$E$21+IF(parametros_manuales!$H$24="Todos",datos_base!$E$26,0))*parametros_manuales!$H$15)*parametros_manuales!$I$24*parametros_manuales!$J$24</f>
        <v>3871.578284663</v>
      </c>
      <c r="I88" s="9" t="n">
        <f aca="false">(parametros_manuales!$D$24*(datos_base!$E$2+IF(parametros_manuales!$H$24="Todos",datos_base!$E$9,0))*parametros_manuales!$I$95+parametros_manuales!$D$24*(datos_base!$E$18+IF(parametros_manuales!$H$24="Todos",datos_base!$E$23,0))*parametros_manuales!$I$12+parametros_manuales!$E$24*(datos_base!$E$3+IF(parametros_manuales!$H$24="Todos",datos_base!$E$10,0))*parametros_manuales!$I$100+parametros_manuales!$E$24*(datos_base!$E$19+IF(parametros_manuales!$H$24="Todos",datos_base!$E$24,0))*parametros_manuales!$I$13+parametros_manuales!$F$24*(datos_base!$E$4+IF(parametros_manuales!$H$24="Todos",datos_base!$E$11,0))*parametros_manuales!$I$105+parametros_manuales!$F$24*(datos_base!$E$20+IF(parametros_manuales!$H$24="Todos",datos_base!$E$25,0))*parametros_manuales!$I$14+parametros_manuales!$G$24*(datos_base!$E$5+IF(parametros_manuales!$H$24="Todos",datos_base!$E$12,0))*parametros_manuales!$I$110+parametros_manuales!$G$24*(datos_base!$E$21+IF(parametros_manuales!$H$24="Todos",datos_base!$E$26,0))*parametros_manuales!$I$15)*parametros_manuales!$I$24*parametros_manuales!$J$24</f>
        <v>4399.007317898</v>
      </c>
      <c r="J88" s="9" t="n">
        <f aca="false">(parametros_manuales!$D$24*(datos_base!$E$2+IF(parametros_manuales!$H$24="Todos",datos_base!$E$9,0))*parametros_manuales!$J$95+parametros_manuales!$D$24*(datos_base!$E$18+IF(parametros_manuales!$H$24="Todos",datos_base!$E$23,0))*parametros_manuales!$J$12+parametros_manuales!$E$24*(datos_base!$E$3+IF(parametros_manuales!$H$24="Todos",datos_base!$E$10,0))*parametros_manuales!$J$100+parametros_manuales!$E$24*(datos_base!$E$19+IF(parametros_manuales!$H$24="Todos",datos_base!$E$24,0))*parametros_manuales!$J$13+parametros_manuales!$F$24*(datos_base!$E$4+IF(parametros_manuales!$H$24="Todos",datos_base!$E$11,0))*parametros_manuales!$J$105+parametros_manuales!$F$24*(datos_base!$E$20+IF(parametros_manuales!$H$24="Todos",datos_base!$E$25,0))*parametros_manuales!$J$14+parametros_manuales!$G$24*(datos_base!$E$5+IF(parametros_manuales!$H$24="Todos",datos_base!$E$12,0))*parametros_manuales!$J$110+parametros_manuales!$G$24*(datos_base!$E$21+IF(parametros_manuales!$H$24="Todos",datos_base!$E$26,0))*parametros_manuales!$J$15)*parametros_manuales!$I$24*parametros_manuales!$J$24</f>
        <v>4399.007317898</v>
      </c>
      <c r="K88" s="9" t="n">
        <f aca="false">(parametros_manuales!$D$24*(datos_base!$E$2+IF(parametros_manuales!$H$24="Todos",datos_base!$E$9,0))*parametros_manuales!$K$95+parametros_manuales!$D$24*(datos_base!$E$18+IF(parametros_manuales!$H$24="Todos",datos_base!$E$23,0))*parametros_manuales!$K$12+parametros_manuales!$E$24*(datos_base!$E$3+IF(parametros_manuales!$H$24="Todos",datos_base!$E$10,0))*parametros_manuales!$K$100+parametros_manuales!$E$24*(datos_base!$E$19+IF(parametros_manuales!$H$24="Todos",datos_base!$E$24,0))*parametros_manuales!$K$13+parametros_manuales!$F$24*(datos_base!$E$4+IF(parametros_manuales!$H$24="Todos",datos_base!$E$11,0))*parametros_manuales!$K$105+parametros_manuales!$F$24*(datos_base!$E$20+IF(parametros_manuales!$H$24="Todos",datos_base!$E$25,0))*parametros_manuales!$K$14+parametros_manuales!$G$24*(datos_base!$E$5+IF(parametros_manuales!$H$24="Todos",datos_base!$E$12,0))*parametros_manuales!$K$110+parametros_manuales!$G$24*(datos_base!$E$21+IF(parametros_manuales!$H$24="Todos",datos_base!$E$26,0))*parametros_manuales!$K$15)*parametros_manuales!$I$24*parametros_manuales!$J$24</f>
        <v>4473.7809878035</v>
      </c>
      <c r="L88" s="9" t="n">
        <f aca="false">(parametros_manuales!$D$24*(datos_base!$E$2+IF(parametros_manuales!$H$24="Todos",datos_base!$E$9,0))*parametros_manuales!$L$95+parametros_manuales!$D$24*(datos_base!$E$18+IF(parametros_manuales!$H$24="Todos",datos_base!$E$23,0))*parametros_manuales!$L$12+parametros_manuales!$E$24*(datos_base!$E$3+IF(parametros_manuales!$H$24="Todos",datos_base!$E$10,0))*parametros_manuales!$L$100+parametros_manuales!$E$24*(datos_base!$E$19+IF(parametros_manuales!$H$24="Todos",datos_base!$E$24,0))*parametros_manuales!$L$13+parametros_manuales!$F$24*(datos_base!$E$4+IF(parametros_manuales!$H$24="Todos",datos_base!$E$11,0))*parametros_manuales!$L$105+parametros_manuales!$F$24*(datos_base!$E$20+IF(parametros_manuales!$H$24="Todos",datos_base!$E$25,0))*parametros_manuales!$L$14+parametros_manuales!$G$24*(datos_base!$E$5+IF(parametros_manuales!$H$24="Todos",datos_base!$E$12,0))*parametros_manuales!$L$110+parametros_manuales!$G$24*(datos_base!$E$21+IF(parametros_manuales!$H$24="Todos",datos_base!$E$26,0))*parametros_manuales!$L$15)*parametros_manuales!$I$24*parametros_manuales!$J$24</f>
        <v>4548.554657709</v>
      </c>
      <c r="M88" s="9" t="n">
        <f aca="false">(parametros_manuales!$D$24*(datos_base!$E$2+IF(parametros_manuales!$H$24="Todos",datos_base!$E$9,0))*parametros_manuales!$M$95+parametros_manuales!$D$24*(datos_base!$E$18+IF(parametros_manuales!$H$24="Todos",datos_base!$E$23,0))*parametros_manuales!$M$12+parametros_manuales!$E$24*(datos_base!$E$3+IF(parametros_manuales!$H$24="Todos",datos_base!$E$10,0))*parametros_manuales!$M$100+parametros_manuales!$E$24*(datos_base!$E$19+IF(parametros_manuales!$H$24="Todos",datos_base!$E$24,0))*parametros_manuales!$M$13+parametros_manuales!$F$24*(datos_base!$E$4+IF(parametros_manuales!$H$24="Todos",datos_base!$E$11,0))*parametros_manuales!$M$105+parametros_manuales!$F$24*(datos_base!$E$20+IF(parametros_manuales!$H$24="Todos",datos_base!$E$25,0))*parametros_manuales!$M$14+parametros_manuales!$G$24*(datos_base!$E$5+IF(parametros_manuales!$H$24="Todos",datos_base!$E$12,0))*parametros_manuales!$M$110+parametros_manuales!$G$24*(datos_base!$E$21+IF(parametros_manuales!$H$24="Todos",datos_base!$E$26,0))*parametros_manuales!$M$15)*parametros_manuales!$I$24*parametros_manuales!$J$24</f>
        <v>4558.068257709</v>
      </c>
      <c r="N88" s="9" t="n">
        <f aca="false">SUM(B88:M88)</f>
        <v>50592.3495301</v>
      </c>
      <c r="O88" s="9" t="n">
        <f aca="false">MAX(B88:M88)</f>
        <v>4558.068257709</v>
      </c>
      <c r="P88" s="44" t="n">
        <f aca="false">O88/(parametros_manuales!$B$7)</f>
        <v>30.38712171806</v>
      </c>
      <c r="Q88" s="8" t="str">
        <f aca="false">IF(O88=0,"-",INDEX($B$82:$M$82,MATCH(O88,B88:M88,0)))</f>
        <v>Dic</v>
      </c>
    </row>
    <row r="89" customFormat="false" ht="14.25" hidden="false" customHeight="true" outlineLevel="0" collapsed="false">
      <c r="A89" s="8" t="str">
        <f aca="false">parametros_manuales!$B$25</f>
        <v>Soldadura del cuello a la cúpula</v>
      </c>
      <c r="B89" s="9" t="n">
        <f aca="false">(parametros_manuales!$D$25*(datos_base!$E$2+IF(parametros_manuales!$H$25="Todos",datos_base!$E$9,0))*parametros_manuales!$B$95+parametros_manuales!$D$25*(datos_base!$E$18+IF(parametros_manuales!$H$25="Todos",datos_base!$E$23,0))*parametros_manuales!$B$12+parametros_manuales!$E$25*(datos_base!$E$3+IF(parametros_manuales!$H$25="Todos",datos_base!$E$10,0))*parametros_manuales!$B$100+parametros_manuales!$E$25*(datos_base!$E$19+IF(parametros_manuales!$H$25="Todos",datos_base!$E$24,0))*parametros_manuales!$B$13+parametros_manuales!$F$25*(datos_base!$E$4+IF(parametros_manuales!$H$25="Todos",datos_base!$E$11,0))*parametros_manuales!$B$105+parametros_manuales!$F$25*(datos_base!$E$20+IF(parametros_manuales!$H$25="Todos",datos_base!$E$25,0))*parametros_manuales!$B$14+parametros_manuales!$G$25*(datos_base!$E$5+IF(parametros_manuales!$H$25="Todos",datos_base!$E$12,0))*parametros_manuales!$B$110+parametros_manuales!$G$25*(datos_base!$E$21+IF(parametros_manuales!$H$25="Todos",datos_base!$E$26,0))*parametros_manuales!$B$15)*parametros_manuales!$I$25*parametros_manuales!$J$25</f>
        <v>4555.689857709</v>
      </c>
      <c r="C89" s="9" t="n">
        <f aca="false">(parametros_manuales!$D$25*(datos_base!$E$2+IF(parametros_manuales!$H$25="Todos",datos_base!$E$9,0))*parametros_manuales!$C$95+parametros_manuales!$D$25*(datos_base!$E$18+IF(parametros_manuales!$H$25="Todos",datos_base!$E$23,0))*parametros_manuales!$C$12+parametros_manuales!$E$25*(datos_base!$E$3+IF(parametros_manuales!$H$25="Todos",datos_base!$E$10,0))*parametros_manuales!$C$100+parametros_manuales!$E$25*(datos_base!$E$19+IF(parametros_manuales!$H$25="Todos",datos_base!$E$24,0))*parametros_manuales!$C$13+parametros_manuales!$F$25*(datos_base!$E$4+IF(parametros_manuales!$H$25="Todos",datos_base!$E$11,0))*parametros_manuales!$C$105+parametros_manuales!$F$25*(datos_base!$E$20+IF(parametros_manuales!$H$25="Todos",datos_base!$E$25,0))*parametros_manuales!$C$14+parametros_manuales!$G$25*(datos_base!$E$5+IF(parametros_manuales!$H$25="Todos",datos_base!$E$12,0))*parametros_manuales!$C$110+parametros_manuales!$G$25*(datos_base!$E$21+IF(parametros_manuales!$H$25="Todos",datos_base!$E$26,0))*parametros_manuales!$C$15)*parametros_manuales!$I$25*parametros_manuales!$J$25</f>
        <v>4399.007317898</v>
      </c>
      <c r="D89" s="9" t="n">
        <f aca="false">(parametros_manuales!$D$25*(datos_base!$E$2+IF(parametros_manuales!$H$25="Todos",datos_base!$E$9,0))*parametros_manuales!$D$95+parametros_manuales!$D$25*(datos_base!$E$18+IF(parametros_manuales!$H$25="Todos",datos_base!$E$23,0))*parametros_manuales!$D$12+parametros_manuales!$E$25*(datos_base!$E$3+IF(parametros_manuales!$H$25="Todos",datos_base!$E$10,0))*parametros_manuales!$D$100+parametros_manuales!$E$25*(datos_base!$E$19+IF(parametros_manuales!$H$25="Todos",datos_base!$E$24,0))*parametros_manuales!$D$13+parametros_manuales!$F$25*(datos_base!$E$4+IF(parametros_manuales!$H$25="Todos",datos_base!$E$11,0))*parametros_manuales!$D$105+parametros_manuales!$F$25*(datos_base!$E$20+IF(parametros_manuales!$H$25="Todos",datos_base!$E$25,0))*parametros_manuales!$D$14+parametros_manuales!$G$25*(datos_base!$E$5+IF(parametros_manuales!$H$25="Todos",datos_base!$E$12,0))*parametros_manuales!$D$110+parametros_manuales!$G$25*(datos_base!$E$21+IF(parametros_manuales!$H$25="Todos",datos_base!$E$26,0))*parametros_manuales!$D$15)*parametros_manuales!$I$25*parametros_manuales!$J$25</f>
        <v>4124.5400323135</v>
      </c>
      <c r="E89" s="9" t="n">
        <f aca="false">(parametros_manuales!$D$25*(datos_base!$E$2+IF(parametros_manuales!$H$25="Todos",datos_base!$E$9,0))*parametros_manuales!$E$95+parametros_manuales!$D$25*(datos_base!$E$18+IF(parametros_manuales!$H$25="Todos",datos_base!$E$23,0))*parametros_manuales!$E$12+parametros_manuales!$E$25*(datos_base!$E$3+IF(parametros_manuales!$H$25="Todos",datos_base!$E$10,0))*parametros_manuales!$E$100+parametros_manuales!$E$25*(datos_base!$E$19+IF(parametros_manuales!$H$25="Todos",datos_base!$E$24,0))*parametros_manuales!$E$13+parametros_manuales!$F$25*(datos_base!$E$4+IF(parametros_manuales!$H$25="Todos",datos_base!$E$11,0))*parametros_manuales!$E$105+parametros_manuales!$F$25*(datos_base!$E$20+IF(parametros_manuales!$H$25="Todos",datos_base!$E$25,0))*parametros_manuales!$E$14+parametros_manuales!$G$25*(datos_base!$E$5+IF(parametros_manuales!$H$25="Todos",datos_base!$E$12,0))*parametros_manuales!$E$110+parametros_manuales!$G$25*(datos_base!$E$21+IF(parametros_manuales!$H$25="Todos",datos_base!$E$26,0))*parametros_manuales!$E$15)*parametros_manuales!$I$25*parametros_manuales!$J$25</f>
        <v>3948.7303545685</v>
      </c>
      <c r="F89" s="9" t="n">
        <f aca="false">(parametros_manuales!$D$25*(datos_base!$E$2+IF(parametros_manuales!$H$25="Todos",datos_base!$E$9,0))*parametros_manuales!$F$95+parametros_manuales!$D$25*(datos_base!$E$18+IF(parametros_manuales!$H$25="Todos",datos_base!$E$23,0))*parametros_manuales!$F$12+parametros_manuales!$E$25*(datos_base!$E$3+IF(parametros_manuales!$H$25="Todos",datos_base!$E$10,0))*parametros_manuales!$F$100+parametros_manuales!$E$25*(datos_base!$E$19+IF(parametros_manuales!$H$25="Todos",datos_base!$E$24,0))*parametros_manuales!$F$13+parametros_manuales!$F$25*(datos_base!$E$4+IF(parametros_manuales!$H$25="Todos",datos_base!$E$11,0))*parametros_manuales!$F$105+parametros_manuales!$F$25*(datos_base!$E$20+IF(parametros_manuales!$H$25="Todos",datos_base!$E$25,0))*parametros_manuales!$F$14+parametros_manuales!$G$25*(datos_base!$E$5+IF(parametros_manuales!$H$25="Todos",datos_base!$E$12,0))*parametros_manuales!$F$110+parametros_manuales!$G$25*(datos_base!$E$21+IF(parametros_manuales!$H$25="Todos",datos_base!$E$26,0))*parametros_manuales!$F$15)*parametros_manuales!$I$25*parametros_manuales!$J$25</f>
        <v>3695.768606918</v>
      </c>
      <c r="G89" s="9" t="n">
        <f aca="false">(parametros_manuales!$D$25*(datos_base!$E$2+IF(parametros_manuales!$H$25="Todos",datos_base!$E$9,0))*parametros_manuales!$G$95+parametros_manuales!$D$25*(datos_base!$E$18+IF(parametros_manuales!$H$25="Todos",datos_base!$E$23,0))*parametros_manuales!$G$12+parametros_manuales!$E$25*(datos_base!$E$3+IF(parametros_manuales!$H$25="Todos",datos_base!$E$10,0))*parametros_manuales!$G$100+parametros_manuales!$E$25*(datos_base!$E$19+IF(parametros_manuales!$H$25="Todos",datos_base!$E$24,0))*parametros_manuales!$G$13+parametros_manuales!$F$25*(datos_base!$E$4+IF(parametros_manuales!$H$25="Todos",datos_base!$E$11,0))*parametros_manuales!$G$105+parametros_manuales!$F$25*(datos_base!$E$20+IF(parametros_manuales!$H$25="Todos",datos_base!$E$25,0))*parametros_manuales!$G$14+parametros_manuales!$G$25*(datos_base!$E$5+IF(parametros_manuales!$H$25="Todos",datos_base!$E$12,0))*parametros_manuales!$G$110+parametros_manuales!$G$25*(datos_base!$E$21+IF(parametros_manuales!$H$25="Todos",datos_base!$E$26,0))*parametros_manuales!$G$15)*parametros_manuales!$I$25*parametros_manuales!$J$25</f>
        <v>3618.6165370125</v>
      </c>
      <c r="H89" s="9" t="n">
        <f aca="false">(parametros_manuales!$D$25*(datos_base!$E$2+IF(parametros_manuales!$H$25="Todos",datos_base!$E$9,0))*parametros_manuales!$H$95+parametros_manuales!$D$25*(datos_base!$E$18+IF(parametros_manuales!$H$25="Todos",datos_base!$E$23,0))*parametros_manuales!$H$12+parametros_manuales!$E$25*(datos_base!$E$3+IF(parametros_manuales!$H$25="Todos",datos_base!$E$10,0))*parametros_manuales!$H$100+parametros_manuales!$E$25*(datos_base!$E$19+IF(parametros_manuales!$H$25="Todos",datos_base!$E$24,0))*parametros_manuales!$H$13+parametros_manuales!$F$25*(datos_base!$E$4+IF(parametros_manuales!$H$25="Todos",datos_base!$E$11,0))*parametros_manuales!$H$105+parametros_manuales!$F$25*(datos_base!$E$20+IF(parametros_manuales!$H$25="Todos",datos_base!$E$25,0))*parametros_manuales!$H$14+parametros_manuales!$G$25*(datos_base!$E$5+IF(parametros_manuales!$H$25="Todos",datos_base!$E$12,0))*parametros_manuales!$H$110+parametros_manuales!$G$25*(datos_base!$E$21+IF(parametros_manuales!$H$25="Todos",datos_base!$E$26,0))*parametros_manuales!$H$15)*parametros_manuales!$I$25*parametros_manuales!$J$25</f>
        <v>3871.578284663</v>
      </c>
      <c r="I89" s="9" t="n">
        <f aca="false">(parametros_manuales!$D$25*(datos_base!$E$2+IF(parametros_manuales!$H$25="Todos",datos_base!$E$9,0))*parametros_manuales!$I$95+parametros_manuales!$D$25*(datos_base!$E$18+IF(parametros_manuales!$H$25="Todos",datos_base!$E$23,0))*parametros_manuales!$I$12+parametros_manuales!$E$25*(datos_base!$E$3+IF(parametros_manuales!$H$25="Todos",datos_base!$E$10,0))*parametros_manuales!$I$100+parametros_manuales!$E$25*(datos_base!$E$19+IF(parametros_manuales!$H$25="Todos",datos_base!$E$24,0))*parametros_manuales!$I$13+parametros_manuales!$F$25*(datos_base!$E$4+IF(parametros_manuales!$H$25="Todos",datos_base!$E$11,0))*parametros_manuales!$I$105+parametros_manuales!$F$25*(datos_base!$E$20+IF(parametros_manuales!$H$25="Todos",datos_base!$E$25,0))*parametros_manuales!$I$14+parametros_manuales!$G$25*(datos_base!$E$5+IF(parametros_manuales!$H$25="Todos",datos_base!$E$12,0))*parametros_manuales!$I$110+parametros_manuales!$G$25*(datos_base!$E$21+IF(parametros_manuales!$H$25="Todos",datos_base!$E$26,0))*parametros_manuales!$I$15)*parametros_manuales!$I$25*parametros_manuales!$J$25</f>
        <v>4399.007317898</v>
      </c>
      <c r="J89" s="9" t="n">
        <f aca="false">(parametros_manuales!$D$25*(datos_base!$E$2+IF(parametros_manuales!$H$25="Todos",datos_base!$E$9,0))*parametros_manuales!$J$95+parametros_manuales!$D$25*(datos_base!$E$18+IF(parametros_manuales!$H$25="Todos",datos_base!$E$23,0))*parametros_manuales!$J$12+parametros_manuales!$E$25*(datos_base!$E$3+IF(parametros_manuales!$H$25="Todos",datos_base!$E$10,0))*parametros_manuales!$J$100+parametros_manuales!$E$25*(datos_base!$E$19+IF(parametros_manuales!$H$25="Todos",datos_base!$E$24,0))*parametros_manuales!$J$13+parametros_manuales!$F$25*(datos_base!$E$4+IF(parametros_manuales!$H$25="Todos",datos_base!$E$11,0))*parametros_manuales!$J$105+parametros_manuales!$F$25*(datos_base!$E$20+IF(parametros_manuales!$H$25="Todos",datos_base!$E$25,0))*parametros_manuales!$J$14+parametros_manuales!$G$25*(datos_base!$E$5+IF(parametros_manuales!$H$25="Todos",datos_base!$E$12,0))*parametros_manuales!$J$110+parametros_manuales!$G$25*(datos_base!$E$21+IF(parametros_manuales!$H$25="Todos",datos_base!$E$26,0))*parametros_manuales!$J$15)*parametros_manuales!$I$25*parametros_manuales!$J$25</f>
        <v>4399.007317898</v>
      </c>
      <c r="K89" s="9" t="n">
        <f aca="false">(parametros_manuales!$D$25*(datos_base!$E$2+IF(parametros_manuales!$H$25="Todos",datos_base!$E$9,0))*parametros_manuales!$K$95+parametros_manuales!$D$25*(datos_base!$E$18+IF(parametros_manuales!$H$25="Todos",datos_base!$E$23,0))*parametros_manuales!$K$12+parametros_manuales!$E$25*(datos_base!$E$3+IF(parametros_manuales!$H$25="Todos",datos_base!$E$10,0))*parametros_manuales!$K$100+parametros_manuales!$E$25*(datos_base!$E$19+IF(parametros_manuales!$H$25="Todos",datos_base!$E$24,0))*parametros_manuales!$K$13+parametros_manuales!$F$25*(datos_base!$E$4+IF(parametros_manuales!$H$25="Todos",datos_base!$E$11,0))*parametros_manuales!$K$105+parametros_manuales!$F$25*(datos_base!$E$20+IF(parametros_manuales!$H$25="Todos",datos_base!$E$25,0))*parametros_manuales!$K$14+parametros_manuales!$G$25*(datos_base!$E$5+IF(parametros_manuales!$H$25="Todos",datos_base!$E$12,0))*parametros_manuales!$K$110+parametros_manuales!$G$25*(datos_base!$E$21+IF(parametros_manuales!$H$25="Todos",datos_base!$E$26,0))*parametros_manuales!$K$15)*parametros_manuales!$I$25*parametros_manuales!$J$25</f>
        <v>4473.7809878035</v>
      </c>
      <c r="L89" s="9" t="n">
        <f aca="false">(parametros_manuales!$D$25*(datos_base!$E$2+IF(parametros_manuales!$H$25="Todos",datos_base!$E$9,0))*parametros_manuales!$L$95+parametros_manuales!$D$25*(datos_base!$E$18+IF(parametros_manuales!$H$25="Todos",datos_base!$E$23,0))*parametros_manuales!$L$12+parametros_manuales!$E$25*(datos_base!$E$3+IF(parametros_manuales!$H$25="Todos",datos_base!$E$10,0))*parametros_manuales!$L$100+parametros_manuales!$E$25*(datos_base!$E$19+IF(parametros_manuales!$H$25="Todos",datos_base!$E$24,0))*parametros_manuales!$L$13+parametros_manuales!$F$25*(datos_base!$E$4+IF(parametros_manuales!$H$25="Todos",datos_base!$E$11,0))*parametros_manuales!$L$105+parametros_manuales!$F$25*(datos_base!$E$20+IF(parametros_manuales!$H$25="Todos",datos_base!$E$25,0))*parametros_manuales!$L$14+parametros_manuales!$G$25*(datos_base!$E$5+IF(parametros_manuales!$H$25="Todos",datos_base!$E$12,0))*parametros_manuales!$L$110+parametros_manuales!$G$25*(datos_base!$E$21+IF(parametros_manuales!$H$25="Todos",datos_base!$E$26,0))*parametros_manuales!$L$15)*parametros_manuales!$I$25*parametros_manuales!$J$25</f>
        <v>4548.554657709</v>
      </c>
      <c r="M89" s="9" t="n">
        <f aca="false">(parametros_manuales!$D$25*(datos_base!$E$2+IF(parametros_manuales!$H$25="Todos",datos_base!$E$9,0))*parametros_manuales!$M$95+parametros_manuales!$D$25*(datos_base!$E$18+IF(parametros_manuales!$H$25="Todos",datos_base!$E$23,0))*parametros_manuales!$M$12+parametros_manuales!$E$25*(datos_base!$E$3+IF(parametros_manuales!$H$25="Todos",datos_base!$E$10,0))*parametros_manuales!$M$100+parametros_manuales!$E$25*(datos_base!$E$19+IF(parametros_manuales!$H$25="Todos",datos_base!$E$24,0))*parametros_manuales!$M$13+parametros_manuales!$F$25*(datos_base!$E$4+IF(parametros_manuales!$H$25="Todos",datos_base!$E$11,0))*parametros_manuales!$M$105+parametros_manuales!$F$25*(datos_base!$E$20+IF(parametros_manuales!$H$25="Todos",datos_base!$E$25,0))*parametros_manuales!$M$14+parametros_manuales!$G$25*(datos_base!$E$5+IF(parametros_manuales!$H$25="Todos",datos_base!$E$12,0))*parametros_manuales!$M$110+parametros_manuales!$G$25*(datos_base!$E$21+IF(parametros_manuales!$H$25="Todos",datos_base!$E$26,0))*parametros_manuales!$M$15)*parametros_manuales!$I$25*parametros_manuales!$J$25</f>
        <v>4558.068257709</v>
      </c>
      <c r="N89" s="9" t="n">
        <f aca="false">SUM(B89:M89)</f>
        <v>50592.3495301</v>
      </c>
      <c r="O89" s="9" t="n">
        <f aca="false">MAX(B89:M89)</f>
        <v>4558.068257709</v>
      </c>
      <c r="P89" s="44" t="n">
        <f aca="false">O89/(parametros_manuales!$B$7)</f>
        <v>30.38712171806</v>
      </c>
      <c r="Q89" s="8" t="str">
        <f aca="false">IF(O89=0,"-",INDEX($B$82:$M$82,MATCH(O89,B89:M89,0)))</f>
        <v>Dic</v>
      </c>
    </row>
    <row r="90" customFormat="false" ht="14.25" hidden="false" customHeight="true" outlineLevel="0" collapsed="false">
      <c r="A90" s="8" t="str">
        <f aca="false">parametros_manuales!$B$26</f>
        <v>Cilindrado</v>
      </c>
      <c r="B90" s="9" t="n">
        <f aca="false">(parametros_manuales!$D$26*(datos_base!$E$2+IF(parametros_manuales!$H$26="Todos",datos_base!$E$9,0))*parametros_manuales!$B$95+parametros_manuales!$D$26*(datos_base!$E$18+IF(parametros_manuales!$H$26="Todos",datos_base!$E$23,0))*parametros_manuales!$B$12+parametros_manuales!$E$26*(datos_base!$E$3+IF(parametros_manuales!$H$26="Todos",datos_base!$E$10,0))*parametros_manuales!$B$100+parametros_manuales!$E$26*(datos_base!$E$19+IF(parametros_manuales!$H$26="Todos",datos_base!$E$24,0))*parametros_manuales!$B$13+parametros_manuales!$F$26*(datos_base!$E$4+IF(parametros_manuales!$H$26="Todos",datos_base!$E$11,0))*parametros_manuales!$B$105+parametros_manuales!$F$26*(datos_base!$E$20+IF(parametros_manuales!$H$26="Todos",datos_base!$E$25,0))*parametros_manuales!$B$14+parametros_manuales!$G$26*(datos_base!$E$5+IF(parametros_manuales!$H$26="Todos",datos_base!$E$12,0))*parametros_manuales!$B$110+parametros_manuales!$G$26*(datos_base!$E$21+IF(parametros_manuales!$H$26="Todos",datos_base!$E$26,0))*parametros_manuales!$B$15)*parametros_manuales!$I$26*parametros_manuales!$J$26</f>
        <v>1391.115658299</v>
      </c>
      <c r="C90" s="9" t="n">
        <f aca="false">(parametros_manuales!$D$26*(datos_base!$E$2+IF(parametros_manuales!$H$26="Todos",datos_base!$E$9,0))*parametros_manuales!$C$95+parametros_manuales!$D$26*(datos_base!$E$18+IF(parametros_manuales!$H$26="Todos",datos_base!$E$23,0))*parametros_manuales!$C$12+parametros_manuales!$E$26*(datos_base!$E$3+IF(parametros_manuales!$H$26="Todos",datos_base!$E$10,0))*parametros_manuales!$C$100+parametros_manuales!$E$26*(datos_base!$E$19+IF(parametros_manuales!$H$26="Todos",datos_base!$E$24,0))*parametros_manuales!$C$13+parametros_manuales!$F$26*(datos_base!$E$4+IF(parametros_manuales!$H$26="Todos",datos_base!$E$11,0))*parametros_manuales!$C$105+parametros_manuales!$F$26*(datos_base!$E$20+IF(parametros_manuales!$H$26="Todos",datos_base!$E$25,0))*parametros_manuales!$C$14+parametros_manuales!$G$26*(datos_base!$E$5+IF(parametros_manuales!$H$26="Todos",datos_base!$E$12,0))*parametros_manuales!$C$110+parametros_manuales!$G$26*(datos_base!$E$21+IF(parametros_manuales!$H$26="Todos",datos_base!$E$26,0))*parametros_manuales!$C$15)*parametros_manuales!$I$26*parametros_manuales!$J$26</f>
        <v>1234.433118488</v>
      </c>
      <c r="D90" s="9" t="n">
        <f aca="false">(parametros_manuales!$D$26*(datos_base!$E$2+IF(parametros_manuales!$H$26="Todos",datos_base!$E$9,0))*parametros_manuales!$D$95+parametros_manuales!$D$26*(datos_base!$E$18+IF(parametros_manuales!$H$26="Todos",datos_base!$E$23,0))*parametros_manuales!$D$12+parametros_manuales!$E$26*(datos_base!$E$3+IF(parametros_manuales!$H$26="Todos",datos_base!$E$10,0))*parametros_manuales!$D$100+parametros_manuales!$E$26*(datos_base!$E$19+IF(parametros_manuales!$H$26="Todos",datos_base!$E$24,0))*parametros_manuales!$D$13+parametros_manuales!$F$26*(datos_base!$E$4+IF(parametros_manuales!$H$26="Todos",datos_base!$E$11,0))*parametros_manuales!$D$105+parametros_manuales!$F$26*(datos_base!$E$20+IF(parametros_manuales!$H$26="Todos",datos_base!$E$25,0))*parametros_manuales!$D$14+parametros_manuales!$G$26*(datos_base!$E$5+IF(parametros_manuales!$H$26="Todos",datos_base!$E$12,0))*parametros_manuales!$D$110+parametros_manuales!$G$26*(datos_base!$E$21+IF(parametros_manuales!$H$26="Todos",datos_base!$E$26,0))*parametros_manuales!$D$15)*parametros_manuales!$I$26*parametros_manuales!$J$26</f>
        <v>1311.5851883935</v>
      </c>
      <c r="E90" s="9" t="n">
        <f aca="false">(parametros_manuales!$D$26*(datos_base!$E$2+IF(parametros_manuales!$H$26="Todos",datos_base!$E$9,0))*parametros_manuales!$E$95+parametros_manuales!$D$26*(datos_base!$E$18+IF(parametros_manuales!$H$26="Todos",datos_base!$E$23,0))*parametros_manuales!$E$12+parametros_manuales!$E$26*(datos_base!$E$3+IF(parametros_manuales!$H$26="Todos",datos_base!$E$10,0))*parametros_manuales!$E$100+parametros_manuales!$E$26*(datos_base!$E$19+IF(parametros_manuales!$H$26="Todos",datos_base!$E$24,0))*parametros_manuales!$E$13+parametros_manuales!$F$26*(datos_base!$E$4+IF(parametros_manuales!$H$26="Todos",datos_base!$E$11,0))*parametros_manuales!$E$105+parametros_manuales!$F$26*(datos_base!$E$20+IF(parametros_manuales!$H$26="Todos",datos_base!$E$25,0))*parametros_manuales!$E$14+parametros_manuales!$G$26*(datos_base!$E$5+IF(parametros_manuales!$H$26="Todos",datos_base!$E$12,0))*parametros_manuales!$E$110+parametros_manuales!$G$26*(datos_base!$E$21+IF(parametros_manuales!$H$26="Todos",datos_base!$E$26,0))*parametros_manuales!$E$15)*parametros_manuales!$I$26*parametros_manuales!$J$26</f>
        <v>1311.5851883935</v>
      </c>
      <c r="F90" s="9" t="n">
        <f aca="false">(parametros_manuales!$D$26*(datos_base!$E$2+IF(parametros_manuales!$H$26="Todos",datos_base!$E$9,0))*parametros_manuales!$F$95+parametros_manuales!$D$26*(datos_base!$E$18+IF(parametros_manuales!$H$26="Todos",datos_base!$E$23,0))*parametros_manuales!$F$12+parametros_manuales!$E$26*(datos_base!$E$3+IF(parametros_manuales!$H$26="Todos",datos_base!$E$10,0))*parametros_manuales!$F$100+parametros_manuales!$E$26*(datos_base!$E$19+IF(parametros_manuales!$H$26="Todos",datos_base!$E$24,0))*parametros_manuales!$F$13+parametros_manuales!$F$26*(datos_base!$E$4+IF(parametros_manuales!$H$26="Todos",datos_base!$E$11,0))*parametros_manuales!$F$105+parametros_manuales!$F$26*(datos_base!$E$20+IF(parametros_manuales!$H$26="Todos",datos_base!$E$25,0))*parametros_manuales!$F$14+parametros_manuales!$G$26*(datos_base!$E$5+IF(parametros_manuales!$H$26="Todos",datos_base!$E$12,0))*parametros_manuales!$F$110+parametros_manuales!$G$26*(datos_base!$E$21+IF(parametros_manuales!$H$26="Todos",datos_base!$E$26,0))*parametros_manuales!$F$15)*parametros_manuales!$I$26*parametros_manuales!$J$26</f>
        <v>1234.433118488</v>
      </c>
      <c r="G90" s="9" t="n">
        <f aca="false">(parametros_manuales!$D$26*(datos_base!$E$2+IF(parametros_manuales!$H$26="Todos",datos_base!$E$9,0))*parametros_manuales!$G$95+parametros_manuales!$D$26*(datos_base!$E$18+IF(parametros_manuales!$H$26="Todos",datos_base!$E$23,0))*parametros_manuales!$G$12+parametros_manuales!$E$26*(datos_base!$E$3+IF(parametros_manuales!$H$26="Todos",datos_base!$E$10,0))*parametros_manuales!$G$100+parametros_manuales!$E$26*(datos_base!$E$19+IF(parametros_manuales!$H$26="Todos",datos_base!$E$24,0))*parametros_manuales!$G$13+parametros_manuales!$F$26*(datos_base!$E$4+IF(parametros_manuales!$H$26="Todos",datos_base!$E$11,0))*parametros_manuales!$G$105+parametros_manuales!$F$26*(datos_base!$E$20+IF(parametros_manuales!$H$26="Todos",datos_base!$E$25,0))*parametros_manuales!$G$14+parametros_manuales!$G$26*(datos_base!$E$5+IF(parametros_manuales!$H$26="Todos",datos_base!$E$12,0))*parametros_manuales!$G$110+parametros_manuales!$G$26*(datos_base!$E$21+IF(parametros_manuales!$H$26="Todos",datos_base!$E$26,0))*parametros_manuales!$G$15)*parametros_manuales!$I$26*parametros_manuales!$J$26</f>
        <v>1157.2810485825</v>
      </c>
      <c r="H90" s="9" t="n">
        <f aca="false">(parametros_manuales!$D$26*(datos_base!$E$2+IF(parametros_manuales!$H$26="Todos",datos_base!$E$9,0))*parametros_manuales!$H$95+parametros_manuales!$D$26*(datos_base!$E$18+IF(parametros_manuales!$H$26="Todos",datos_base!$E$23,0))*parametros_manuales!$H$12+parametros_manuales!$E$26*(datos_base!$E$3+IF(parametros_manuales!$H$26="Todos",datos_base!$E$10,0))*parametros_manuales!$H$100+parametros_manuales!$E$26*(datos_base!$E$19+IF(parametros_manuales!$H$26="Todos",datos_base!$E$24,0))*parametros_manuales!$H$13+parametros_manuales!$F$26*(datos_base!$E$4+IF(parametros_manuales!$H$26="Todos",datos_base!$E$11,0))*parametros_manuales!$H$105+parametros_manuales!$F$26*(datos_base!$E$20+IF(parametros_manuales!$H$26="Todos",datos_base!$E$25,0))*parametros_manuales!$H$14+parametros_manuales!$G$26*(datos_base!$E$5+IF(parametros_manuales!$H$26="Todos",datos_base!$E$12,0))*parametros_manuales!$H$110+parametros_manuales!$G$26*(datos_base!$E$21+IF(parametros_manuales!$H$26="Todos",datos_base!$E$26,0))*parametros_manuales!$H$15)*parametros_manuales!$I$26*parametros_manuales!$J$26</f>
        <v>1234.433118488</v>
      </c>
      <c r="I90" s="9" t="n">
        <f aca="false">(parametros_manuales!$D$26*(datos_base!$E$2+IF(parametros_manuales!$H$26="Todos",datos_base!$E$9,0))*parametros_manuales!$I$95+parametros_manuales!$D$26*(datos_base!$E$18+IF(parametros_manuales!$H$26="Todos",datos_base!$E$23,0))*parametros_manuales!$I$12+parametros_manuales!$E$26*(datos_base!$E$3+IF(parametros_manuales!$H$26="Todos",datos_base!$E$10,0))*parametros_manuales!$I$100+parametros_manuales!$E$26*(datos_base!$E$19+IF(parametros_manuales!$H$26="Todos",datos_base!$E$24,0))*parametros_manuales!$I$13+parametros_manuales!$F$26*(datos_base!$E$4+IF(parametros_manuales!$H$26="Todos",datos_base!$E$11,0))*parametros_manuales!$I$105+parametros_manuales!$F$26*(datos_base!$E$20+IF(parametros_manuales!$H$26="Todos",datos_base!$E$25,0))*parametros_manuales!$I$14+parametros_manuales!$G$26*(datos_base!$E$5+IF(parametros_manuales!$H$26="Todos",datos_base!$E$12,0))*parametros_manuales!$I$110+parametros_manuales!$G$26*(datos_base!$E$21+IF(parametros_manuales!$H$26="Todos",datos_base!$E$26,0))*parametros_manuales!$I$15)*parametros_manuales!$I$26*parametros_manuales!$J$26</f>
        <v>1234.433118488</v>
      </c>
      <c r="J90" s="9" t="n">
        <f aca="false">(parametros_manuales!$D$26*(datos_base!$E$2+IF(parametros_manuales!$H$26="Todos",datos_base!$E$9,0))*parametros_manuales!$J$95+parametros_manuales!$D$26*(datos_base!$E$18+IF(parametros_manuales!$H$26="Todos",datos_base!$E$23,0))*parametros_manuales!$J$12+parametros_manuales!$E$26*(datos_base!$E$3+IF(parametros_manuales!$H$26="Todos",datos_base!$E$10,0))*parametros_manuales!$J$100+parametros_manuales!$E$26*(datos_base!$E$19+IF(parametros_manuales!$H$26="Todos",datos_base!$E$24,0))*parametros_manuales!$J$13+parametros_manuales!$F$26*(datos_base!$E$4+IF(parametros_manuales!$H$26="Todos",datos_base!$E$11,0))*parametros_manuales!$J$105+parametros_manuales!$F$26*(datos_base!$E$20+IF(parametros_manuales!$H$26="Todos",datos_base!$E$25,0))*parametros_manuales!$J$14+parametros_manuales!$G$26*(datos_base!$E$5+IF(parametros_manuales!$H$26="Todos",datos_base!$E$12,0))*parametros_manuales!$J$110+parametros_manuales!$G$26*(datos_base!$E$21+IF(parametros_manuales!$H$26="Todos",datos_base!$E$26,0))*parametros_manuales!$J$15)*parametros_manuales!$I$26*parametros_manuales!$J$26</f>
        <v>1234.433118488</v>
      </c>
      <c r="K90" s="9" t="n">
        <f aca="false">(parametros_manuales!$D$26*(datos_base!$E$2+IF(parametros_manuales!$H$26="Todos",datos_base!$E$9,0))*parametros_manuales!$K$95+parametros_manuales!$D$26*(datos_base!$E$18+IF(parametros_manuales!$H$26="Todos",datos_base!$E$23,0))*parametros_manuales!$K$12+parametros_manuales!$E$26*(datos_base!$E$3+IF(parametros_manuales!$H$26="Todos",datos_base!$E$10,0))*parametros_manuales!$K$100+parametros_manuales!$E$26*(datos_base!$E$19+IF(parametros_manuales!$H$26="Todos",datos_base!$E$24,0))*parametros_manuales!$K$13+parametros_manuales!$F$26*(datos_base!$E$4+IF(parametros_manuales!$H$26="Todos",datos_base!$E$11,0))*parametros_manuales!$K$105+parametros_manuales!$F$26*(datos_base!$E$20+IF(parametros_manuales!$H$26="Todos",datos_base!$E$25,0))*parametros_manuales!$K$14+parametros_manuales!$G$26*(datos_base!$E$5+IF(parametros_manuales!$H$26="Todos",datos_base!$E$12,0))*parametros_manuales!$K$110+parametros_manuales!$G$26*(datos_base!$E$21+IF(parametros_manuales!$H$26="Todos",datos_base!$E$26,0))*parametros_manuales!$K$15)*parametros_manuales!$I$26*parametros_manuales!$J$26</f>
        <v>1309.2067883935</v>
      </c>
      <c r="L90" s="9" t="n">
        <f aca="false">(parametros_manuales!$D$26*(datos_base!$E$2+IF(parametros_manuales!$H$26="Todos",datos_base!$E$9,0))*parametros_manuales!$L$95+parametros_manuales!$D$26*(datos_base!$E$18+IF(parametros_manuales!$H$26="Todos",datos_base!$E$23,0))*parametros_manuales!$L$12+parametros_manuales!$E$26*(datos_base!$E$3+IF(parametros_manuales!$H$26="Todos",datos_base!$E$10,0))*parametros_manuales!$L$100+parametros_manuales!$E$26*(datos_base!$E$19+IF(parametros_manuales!$H$26="Todos",datos_base!$E$24,0))*parametros_manuales!$L$13+parametros_manuales!$F$26*(datos_base!$E$4+IF(parametros_manuales!$H$26="Todos",datos_base!$E$11,0))*parametros_manuales!$L$105+parametros_manuales!$F$26*(datos_base!$E$20+IF(parametros_manuales!$H$26="Todos",datos_base!$E$25,0))*parametros_manuales!$L$14+parametros_manuales!$G$26*(datos_base!$E$5+IF(parametros_manuales!$H$26="Todos",datos_base!$E$12,0))*parametros_manuales!$L$110+parametros_manuales!$G$26*(datos_base!$E$21+IF(parametros_manuales!$H$26="Todos",datos_base!$E$26,0))*parametros_manuales!$L$15)*parametros_manuales!$I$26*parametros_manuales!$J$26</f>
        <v>1383.980458299</v>
      </c>
      <c r="M90" s="9" t="n">
        <f aca="false">(parametros_manuales!$D$26*(datos_base!$E$2+IF(parametros_manuales!$H$26="Todos",datos_base!$E$9,0))*parametros_manuales!$M$95+parametros_manuales!$D$26*(datos_base!$E$18+IF(parametros_manuales!$H$26="Todos",datos_base!$E$23,0))*parametros_manuales!$M$12+parametros_manuales!$E$26*(datos_base!$E$3+IF(parametros_manuales!$H$26="Todos",datos_base!$E$10,0))*parametros_manuales!$M$100+parametros_manuales!$E$26*(datos_base!$E$19+IF(parametros_manuales!$H$26="Todos",datos_base!$E$24,0))*parametros_manuales!$M$13+parametros_manuales!$F$26*(datos_base!$E$4+IF(parametros_manuales!$H$26="Todos",datos_base!$E$11,0))*parametros_manuales!$M$105+parametros_manuales!$F$26*(datos_base!$E$20+IF(parametros_manuales!$H$26="Todos",datos_base!$E$25,0))*parametros_manuales!$M$14+parametros_manuales!$G$26*(datos_base!$E$5+IF(parametros_manuales!$H$26="Todos",datos_base!$E$12,0))*parametros_manuales!$M$110+parametros_manuales!$G$26*(datos_base!$E$21+IF(parametros_manuales!$H$26="Todos",datos_base!$E$26,0))*parametros_manuales!$M$15)*parametros_manuales!$I$26*parametros_manuales!$J$26</f>
        <v>1393.494058299</v>
      </c>
      <c r="N90" s="9" t="n">
        <f aca="false">SUM(B90:M90)</f>
        <v>15430.4139811</v>
      </c>
      <c r="O90" s="9" t="n">
        <f aca="false">MAX(B90:M90)</f>
        <v>1393.494058299</v>
      </c>
      <c r="P90" s="44" t="n">
        <f aca="false">O90/(parametros_manuales!$B$7)</f>
        <v>9.28996038866</v>
      </c>
      <c r="Q90" s="8" t="str">
        <f aca="false">IF(O90=0,"-",INDEX($B$82:$M$82,MATCH(O90,B90:M90,0)))</f>
        <v>Dic</v>
      </c>
    </row>
    <row r="91" customFormat="false" ht="14.25" hidden="false" customHeight="true" outlineLevel="0" collapsed="false">
      <c r="A91" s="8" t="str">
        <f aca="false">parametros_manuales!$B$27</f>
        <v>Soldadura longitudinal</v>
      </c>
      <c r="B91" s="9" t="n">
        <f aca="false">(parametros_manuales!$D$27*(datos_base!$E$2+IF(parametros_manuales!$H$27="Todos",datos_base!$E$9,0))*parametros_manuales!$B$95+parametros_manuales!$D$27*(datos_base!$E$18+IF(parametros_manuales!$H$27="Todos",datos_base!$E$23,0))*parametros_manuales!$B$12+parametros_manuales!$E$27*(datos_base!$E$3+IF(parametros_manuales!$H$27="Todos",datos_base!$E$10,0))*parametros_manuales!$B$100+parametros_manuales!$E$27*(datos_base!$E$19+IF(parametros_manuales!$H$27="Todos",datos_base!$E$24,0))*parametros_manuales!$B$13+parametros_manuales!$F$27*(datos_base!$E$4+IF(parametros_manuales!$H$27="Todos",datos_base!$E$11,0))*parametros_manuales!$B$105+parametros_manuales!$F$27*(datos_base!$E$20+IF(parametros_manuales!$H$27="Todos",datos_base!$E$25,0))*parametros_manuales!$B$14+parametros_manuales!$G$27*(datos_base!$E$5+IF(parametros_manuales!$H$27="Todos",datos_base!$E$12,0))*parametros_manuales!$B$110+parametros_manuales!$G$27*(datos_base!$E$21+IF(parametros_manuales!$H$27="Todos",datos_base!$E$26,0))*parametros_manuales!$B$15)*parametros_manuales!$I$27*parametros_manuales!$J$27</f>
        <v>1391.115658299</v>
      </c>
      <c r="C91" s="9" t="n">
        <f aca="false">(parametros_manuales!$D$27*(datos_base!$E$2+IF(parametros_manuales!$H$27="Todos",datos_base!$E$9,0))*parametros_manuales!$C$95+parametros_manuales!$D$27*(datos_base!$E$18+IF(parametros_manuales!$H$27="Todos",datos_base!$E$23,0))*parametros_manuales!$C$12+parametros_manuales!$E$27*(datos_base!$E$3+IF(parametros_manuales!$H$27="Todos",datos_base!$E$10,0))*parametros_manuales!$C$100+parametros_manuales!$E$27*(datos_base!$E$19+IF(parametros_manuales!$H$27="Todos",datos_base!$E$24,0))*parametros_manuales!$C$13+parametros_manuales!$F$27*(datos_base!$E$4+IF(parametros_manuales!$H$27="Todos",datos_base!$E$11,0))*parametros_manuales!$C$105+parametros_manuales!$F$27*(datos_base!$E$20+IF(parametros_manuales!$H$27="Todos",datos_base!$E$25,0))*parametros_manuales!$C$14+parametros_manuales!$G$27*(datos_base!$E$5+IF(parametros_manuales!$H$27="Todos",datos_base!$E$12,0))*parametros_manuales!$C$110+parametros_manuales!$G$27*(datos_base!$E$21+IF(parametros_manuales!$H$27="Todos",datos_base!$E$26,0))*parametros_manuales!$C$15)*parametros_manuales!$I$27*parametros_manuales!$J$27</f>
        <v>1234.433118488</v>
      </c>
      <c r="D91" s="9" t="n">
        <f aca="false">(parametros_manuales!$D$27*(datos_base!$E$2+IF(parametros_manuales!$H$27="Todos",datos_base!$E$9,0))*parametros_manuales!$D$95+parametros_manuales!$D$27*(datos_base!$E$18+IF(parametros_manuales!$H$27="Todos",datos_base!$E$23,0))*parametros_manuales!$D$12+parametros_manuales!$E$27*(datos_base!$E$3+IF(parametros_manuales!$H$27="Todos",datos_base!$E$10,0))*parametros_manuales!$D$100+parametros_manuales!$E$27*(datos_base!$E$19+IF(parametros_manuales!$H$27="Todos",datos_base!$E$24,0))*parametros_manuales!$D$13+parametros_manuales!$F$27*(datos_base!$E$4+IF(parametros_manuales!$H$27="Todos",datos_base!$E$11,0))*parametros_manuales!$D$105+parametros_manuales!$F$27*(datos_base!$E$20+IF(parametros_manuales!$H$27="Todos",datos_base!$E$25,0))*parametros_manuales!$D$14+parametros_manuales!$G$27*(datos_base!$E$5+IF(parametros_manuales!$H$27="Todos",datos_base!$E$12,0))*parametros_manuales!$D$110+parametros_manuales!$G$27*(datos_base!$E$21+IF(parametros_manuales!$H$27="Todos",datos_base!$E$26,0))*parametros_manuales!$D$15)*parametros_manuales!$I$27*parametros_manuales!$J$27</f>
        <v>1311.5851883935</v>
      </c>
      <c r="E91" s="9" t="n">
        <f aca="false">(parametros_manuales!$D$27*(datos_base!$E$2+IF(parametros_manuales!$H$27="Todos",datos_base!$E$9,0))*parametros_manuales!$E$95+parametros_manuales!$D$27*(datos_base!$E$18+IF(parametros_manuales!$H$27="Todos",datos_base!$E$23,0))*parametros_manuales!$E$12+parametros_manuales!$E$27*(datos_base!$E$3+IF(parametros_manuales!$H$27="Todos",datos_base!$E$10,0))*parametros_manuales!$E$100+parametros_manuales!$E$27*(datos_base!$E$19+IF(parametros_manuales!$H$27="Todos",datos_base!$E$24,0))*parametros_manuales!$E$13+parametros_manuales!$F$27*(datos_base!$E$4+IF(parametros_manuales!$H$27="Todos",datos_base!$E$11,0))*parametros_manuales!$E$105+parametros_manuales!$F$27*(datos_base!$E$20+IF(parametros_manuales!$H$27="Todos",datos_base!$E$25,0))*parametros_manuales!$E$14+parametros_manuales!$G$27*(datos_base!$E$5+IF(parametros_manuales!$H$27="Todos",datos_base!$E$12,0))*parametros_manuales!$E$110+parametros_manuales!$G$27*(datos_base!$E$21+IF(parametros_manuales!$H$27="Todos",datos_base!$E$26,0))*parametros_manuales!$E$15)*parametros_manuales!$I$27*parametros_manuales!$J$27</f>
        <v>1311.5851883935</v>
      </c>
      <c r="F91" s="9" t="n">
        <f aca="false">(parametros_manuales!$D$27*(datos_base!$E$2+IF(parametros_manuales!$H$27="Todos",datos_base!$E$9,0))*parametros_manuales!$F$95+parametros_manuales!$D$27*(datos_base!$E$18+IF(parametros_manuales!$H$27="Todos",datos_base!$E$23,0))*parametros_manuales!$F$12+parametros_manuales!$E$27*(datos_base!$E$3+IF(parametros_manuales!$H$27="Todos",datos_base!$E$10,0))*parametros_manuales!$F$100+parametros_manuales!$E$27*(datos_base!$E$19+IF(parametros_manuales!$H$27="Todos",datos_base!$E$24,0))*parametros_manuales!$F$13+parametros_manuales!$F$27*(datos_base!$E$4+IF(parametros_manuales!$H$27="Todos",datos_base!$E$11,0))*parametros_manuales!$F$105+parametros_manuales!$F$27*(datos_base!$E$20+IF(parametros_manuales!$H$27="Todos",datos_base!$E$25,0))*parametros_manuales!$F$14+parametros_manuales!$G$27*(datos_base!$E$5+IF(parametros_manuales!$H$27="Todos",datos_base!$E$12,0))*parametros_manuales!$F$110+parametros_manuales!$G$27*(datos_base!$E$21+IF(parametros_manuales!$H$27="Todos",datos_base!$E$26,0))*parametros_manuales!$F$15)*parametros_manuales!$I$27*parametros_manuales!$J$27</f>
        <v>1234.433118488</v>
      </c>
      <c r="G91" s="9" t="n">
        <f aca="false">(parametros_manuales!$D$27*(datos_base!$E$2+IF(parametros_manuales!$H$27="Todos",datos_base!$E$9,0))*parametros_manuales!$G$95+parametros_manuales!$D$27*(datos_base!$E$18+IF(parametros_manuales!$H$27="Todos",datos_base!$E$23,0))*parametros_manuales!$G$12+parametros_manuales!$E$27*(datos_base!$E$3+IF(parametros_manuales!$H$27="Todos",datos_base!$E$10,0))*parametros_manuales!$G$100+parametros_manuales!$E$27*(datos_base!$E$19+IF(parametros_manuales!$H$27="Todos",datos_base!$E$24,0))*parametros_manuales!$G$13+parametros_manuales!$F$27*(datos_base!$E$4+IF(parametros_manuales!$H$27="Todos",datos_base!$E$11,0))*parametros_manuales!$G$105+parametros_manuales!$F$27*(datos_base!$E$20+IF(parametros_manuales!$H$27="Todos",datos_base!$E$25,0))*parametros_manuales!$G$14+parametros_manuales!$G$27*(datos_base!$E$5+IF(parametros_manuales!$H$27="Todos",datos_base!$E$12,0))*parametros_manuales!$G$110+parametros_manuales!$G$27*(datos_base!$E$21+IF(parametros_manuales!$H$27="Todos",datos_base!$E$26,0))*parametros_manuales!$G$15)*parametros_manuales!$I$27*parametros_manuales!$J$27</f>
        <v>1157.2810485825</v>
      </c>
      <c r="H91" s="9" t="n">
        <f aca="false">(parametros_manuales!$D$27*(datos_base!$E$2+IF(parametros_manuales!$H$27="Todos",datos_base!$E$9,0))*parametros_manuales!$H$95+parametros_manuales!$D$27*(datos_base!$E$18+IF(parametros_manuales!$H$27="Todos",datos_base!$E$23,0))*parametros_manuales!$H$12+parametros_manuales!$E$27*(datos_base!$E$3+IF(parametros_manuales!$H$27="Todos",datos_base!$E$10,0))*parametros_manuales!$H$100+parametros_manuales!$E$27*(datos_base!$E$19+IF(parametros_manuales!$H$27="Todos",datos_base!$E$24,0))*parametros_manuales!$H$13+parametros_manuales!$F$27*(datos_base!$E$4+IF(parametros_manuales!$H$27="Todos",datos_base!$E$11,0))*parametros_manuales!$H$105+parametros_manuales!$F$27*(datos_base!$E$20+IF(parametros_manuales!$H$27="Todos",datos_base!$E$25,0))*parametros_manuales!$H$14+parametros_manuales!$G$27*(datos_base!$E$5+IF(parametros_manuales!$H$27="Todos",datos_base!$E$12,0))*parametros_manuales!$H$110+parametros_manuales!$G$27*(datos_base!$E$21+IF(parametros_manuales!$H$27="Todos",datos_base!$E$26,0))*parametros_manuales!$H$15)*parametros_manuales!$I$27*parametros_manuales!$J$27</f>
        <v>1234.433118488</v>
      </c>
      <c r="I91" s="9" t="n">
        <f aca="false">(parametros_manuales!$D$27*(datos_base!$E$2+IF(parametros_manuales!$H$27="Todos",datos_base!$E$9,0))*parametros_manuales!$I$95+parametros_manuales!$D$27*(datos_base!$E$18+IF(parametros_manuales!$H$27="Todos",datos_base!$E$23,0))*parametros_manuales!$I$12+parametros_manuales!$E$27*(datos_base!$E$3+IF(parametros_manuales!$H$27="Todos",datos_base!$E$10,0))*parametros_manuales!$I$100+parametros_manuales!$E$27*(datos_base!$E$19+IF(parametros_manuales!$H$27="Todos",datos_base!$E$24,0))*parametros_manuales!$I$13+parametros_manuales!$F$27*(datos_base!$E$4+IF(parametros_manuales!$H$27="Todos",datos_base!$E$11,0))*parametros_manuales!$I$105+parametros_manuales!$F$27*(datos_base!$E$20+IF(parametros_manuales!$H$27="Todos",datos_base!$E$25,0))*parametros_manuales!$I$14+parametros_manuales!$G$27*(datos_base!$E$5+IF(parametros_manuales!$H$27="Todos",datos_base!$E$12,0))*parametros_manuales!$I$110+parametros_manuales!$G$27*(datos_base!$E$21+IF(parametros_manuales!$H$27="Todos",datos_base!$E$26,0))*parametros_manuales!$I$15)*parametros_manuales!$I$27*parametros_manuales!$J$27</f>
        <v>1234.433118488</v>
      </c>
      <c r="J91" s="9" t="n">
        <f aca="false">(parametros_manuales!$D$27*(datos_base!$E$2+IF(parametros_manuales!$H$27="Todos",datos_base!$E$9,0))*parametros_manuales!$J$95+parametros_manuales!$D$27*(datos_base!$E$18+IF(parametros_manuales!$H$27="Todos",datos_base!$E$23,0))*parametros_manuales!$J$12+parametros_manuales!$E$27*(datos_base!$E$3+IF(parametros_manuales!$H$27="Todos",datos_base!$E$10,0))*parametros_manuales!$J$100+parametros_manuales!$E$27*(datos_base!$E$19+IF(parametros_manuales!$H$27="Todos",datos_base!$E$24,0))*parametros_manuales!$J$13+parametros_manuales!$F$27*(datos_base!$E$4+IF(parametros_manuales!$H$27="Todos",datos_base!$E$11,0))*parametros_manuales!$J$105+parametros_manuales!$F$27*(datos_base!$E$20+IF(parametros_manuales!$H$27="Todos",datos_base!$E$25,0))*parametros_manuales!$J$14+parametros_manuales!$G$27*(datos_base!$E$5+IF(parametros_manuales!$H$27="Todos",datos_base!$E$12,0))*parametros_manuales!$J$110+parametros_manuales!$G$27*(datos_base!$E$21+IF(parametros_manuales!$H$27="Todos",datos_base!$E$26,0))*parametros_manuales!$J$15)*parametros_manuales!$I$27*parametros_manuales!$J$27</f>
        <v>1234.433118488</v>
      </c>
      <c r="K91" s="9" t="n">
        <f aca="false">(parametros_manuales!$D$27*(datos_base!$E$2+IF(parametros_manuales!$H$27="Todos",datos_base!$E$9,0))*parametros_manuales!$K$95+parametros_manuales!$D$27*(datos_base!$E$18+IF(parametros_manuales!$H$27="Todos",datos_base!$E$23,0))*parametros_manuales!$K$12+parametros_manuales!$E$27*(datos_base!$E$3+IF(parametros_manuales!$H$27="Todos",datos_base!$E$10,0))*parametros_manuales!$K$100+parametros_manuales!$E$27*(datos_base!$E$19+IF(parametros_manuales!$H$27="Todos",datos_base!$E$24,0))*parametros_manuales!$K$13+parametros_manuales!$F$27*(datos_base!$E$4+IF(parametros_manuales!$H$27="Todos",datos_base!$E$11,0))*parametros_manuales!$K$105+parametros_manuales!$F$27*(datos_base!$E$20+IF(parametros_manuales!$H$27="Todos",datos_base!$E$25,0))*parametros_manuales!$K$14+parametros_manuales!$G$27*(datos_base!$E$5+IF(parametros_manuales!$H$27="Todos",datos_base!$E$12,0))*parametros_manuales!$K$110+parametros_manuales!$G$27*(datos_base!$E$21+IF(parametros_manuales!$H$27="Todos",datos_base!$E$26,0))*parametros_manuales!$K$15)*parametros_manuales!$I$27*parametros_manuales!$J$27</f>
        <v>1309.2067883935</v>
      </c>
      <c r="L91" s="9" t="n">
        <f aca="false">(parametros_manuales!$D$27*(datos_base!$E$2+IF(parametros_manuales!$H$27="Todos",datos_base!$E$9,0))*parametros_manuales!$L$95+parametros_manuales!$D$27*(datos_base!$E$18+IF(parametros_manuales!$H$27="Todos",datos_base!$E$23,0))*parametros_manuales!$L$12+parametros_manuales!$E$27*(datos_base!$E$3+IF(parametros_manuales!$H$27="Todos",datos_base!$E$10,0))*parametros_manuales!$L$100+parametros_manuales!$E$27*(datos_base!$E$19+IF(parametros_manuales!$H$27="Todos",datos_base!$E$24,0))*parametros_manuales!$L$13+parametros_manuales!$F$27*(datos_base!$E$4+IF(parametros_manuales!$H$27="Todos",datos_base!$E$11,0))*parametros_manuales!$L$105+parametros_manuales!$F$27*(datos_base!$E$20+IF(parametros_manuales!$H$27="Todos",datos_base!$E$25,0))*parametros_manuales!$L$14+parametros_manuales!$G$27*(datos_base!$E$5+IF(parametros_manuales!$H$27="Todos",datos_base!$E$12,0))*parametros_manuales!$L$110+parametros_manuales!$G$27*(datos_base!$E$21+IF(parametros_manuales!$H$27="Todos",datos_base!$E$26,0))*parametros_manuales!$L$15)*parametros_manuales!$I$27*parametros_manuales!$J$27</f>
        <v>1383.980458299</v>
      </c>
      <c r="M91" s="9" t="n">
        <f aca="false">(parametros_manuales!$D$27*(datos_base!$E$2+IF(parametros_manuales!$H$27="Todos",datos_base!$E$9,0))*parametros_manuales!$M$95+parametros_manuales!$D$27*(datos_base!$E$18+IF(parametros_manuales!$H$27="Todos",datos_base!$E$23,0))*parametros_manuales!$M$12+parametros_manuales!$E$27*(datos_base!$E$3+IF(parametros_manuales!$H$27="Todos",datos_base!$E$10,0))*parametros_manuales!$M$100+parametros_manuales!$E$27*(datos_base!$E$19+IF(parametros_manuales!$H$27="Todos",datos_base!$E$24,0))*parametros_manuales!$M$13+parametros_manuales!$F$27*(datos_base!$E$4+IF(parametros_manuales!$H$27="Todos",datos_base!$E$11,0))*parametros_manuales!$M$105+parametros_manuales!$F$27*(datos_base!$E$20+IF(parametros_manuales!$H$27="Todos",datos_base!$E$25,0))*parametros_manuales!$M$14+parametros_manuales!$G$27*(datos_base!$E$5+IF(parametros_manuales!$H$27="Todos",datos_base!$E$12,0))*parametros_manuales!$M$110+parametros_manuales!$G$27*(datos_base!$E$21+IF(parametros_manuales!$H$27="Todos",datos_base!$E$26,0))*parametros_manuales!$M$15)*parametros_manuales!$I$27*parametros_manuales!$J$27</f>
        <v>1393.494058299</v>
      </c>
      <c r="N91" s="9" t="n">
        <f aca="false">SUM(B91:M91)</f>
        <v>15430.4139811</v>
      </c>
      <c r="O91" s="9" t="n">
        <f aca="false">MAX(B91:M91)</f>
        <v>1393.494058299</v>
      </c>
      <c r="P91" s="44" t="n">
        <f aca="false">O91/(parametros_manuales!$B$7)</f>
        <v>9.28996038866</v>
      </c>
      <c r="Q91" s="8" t="str">
        <f aca="false">IF(O91=0,"-",INDEX($B$82:$M$82,MATCH(O91,B91:M91,0)))</f>
        <v>Dic</v>
      </c>
    </row>
    <row r="92" customFormat="false" ht="14.25" hidden="false" customHeight="true" outlineLevel="0" collapsed="false">
      <c r="A92" s="8" t="str">
        <f aca="false">parametros_manuales!$B$28</f>
        <v>Encastre de fondo</v>
      </c>
      <c r="B92" s="9" t="n">
        <f aca="false">(parametros_manuales!$D$28*(datos_base!$E$2+IF(parametros_manuales!$H$28="Todos",datos_base!$E$9,0))*parametros_manuales!$B$95+parametros_manuales!$D$28*(datos_base!$E$18+IF(parametros_manuales!$H$28="Todos",datos_base!$E$23,0))*parametros_manuales!$B$12+parametros_manuales!$E$28*(datos_base!$E$3+IF(parametros_manuales!$H$28="Todos",datos_base!$E$10,0))*parametros_manuales!$B$100+parametros_manuales!$E$28*(datos_base!$E$19+IF(parametros_manuales!$H$28="Todos",datos_base!$E$24,0))*parametros_manuales!$B$13+parametros_manuales!$F$28*(datos_base!$E$4+IF(parametros_manuales!$H$28="Todos",datos_base!$E$11,0))*parametros_manuales!$B$105+parametros_manuales!$F$28*(datos_base!$E$20+IF(parametros_manuales!$H$28="Todos",datos_base!$E$25,0))*parametros_manuales!$B$14+parametros_manuales!$G$28*(datos_base!$E$5+IF(parametros_manuales!$H$28="Todos",datos_base!$E$12,0))*parametros_manuales!$B$110+parametros_manuales!$G$28*(datos_base!$E$21+IF(parametros_manuales!$H$28="Todos",datos_base!$E$26,0))*parametros_manuales!$B$15)*parametros_manuales!$I$28*parametros_manuales!$J$28</f>
        <v>4555.689857709</v>
      </c>
      <c r="C92" s="9" t="n">
        <f aca="false">(parametros_manuales!$D$28*(datos_base!$E$2+IF(parametros_manuales!$H$28="Todos",datos_base!$E$9,0))*parametros_manuales!$C$95+parametros_manuales!$D$28*(datos_base!$E$18+IF(parametros_manuales!$H$28="Todos",datos_base!$E$23,0))*parametros_manuales!$C$12+parametros_manuales!$E$28*(datos_base!$E$3+IF(parametros_manuales!$H$28="Todos",datos_base!$E$10,0))*parametros_manuales!$C$100+parametros_manuales!$E$28*(datos_base!$E$19+IF(parametros_manuales!$H$28="Todos",datos_base!$E$24,0))*parametros_manuales!$C$13+parametros_manuales!$F$28*(datos_base!$E$4+IF(parametros_manuales!$H$28="Todos",datos_base!$E$11,0))*parametros_manuales!$C$105+parametros_manuales!$F$28*(datos_base!$E$20+IF(parametros_manuales!$H$28="Todos",datos_base!$E$25,0))*parametros_manuales!$C$14+parametros_manuales!$G$28*(datos_base!$E$5+IF(parametros_manuales!$H$28="Todos",datos_base!$E$12,0))*parametros_manuales!$C$110+parametros_manuales!$G$28*(datos_base!$E$21+IF(parametros_manuales!$H$28="Todos",datos_base!$E$26,0))*parametros_manuales!$C$15)*parametros_manuales!$I$28*parametros_manuales!$J$28</f>
        <v>4399.007317898</v>
      </c>
      <c r="D92" s="9" t="n">
        <f aca="false">(parametros_manuales!$D$28*(datos_base!$E$2+IF(parametros_manuales!$H$28="Todos",datos_base!$E$9,0))*parametros_manuales!$D$95+parametros_manuales!$D$28*(datos_base!$E$18+IF(parametros_manuales!$H$28="Todos",datos_base!$E$23,0))*parametros_manuales!$D$12+parametros_manuales!$E$28*(datos_base!$E$3+IF(parametros_manuales!$H$28="Todos",datos_base!$E$10,0))*parametros_manuales!$D$100+parametros_manuales!$E$28*(datos_base!$E$19+IF(parametros_manuales!$H$28="Todos",datos_base!$E$24,0))*parametros_manuales!$D$13+parametros_manuales!$F$28*(datos_base!$E$4+IF(parametros_manuales!$H$28="Todos",datos_base!$E$11,0))*parametros_manuales!$D$105+parametros_manuales!$F$28*(datos_base!$E$20+IF(parametros_manuales!$H$28="Todos",datos_base!$E$25,0))*parametros_manuales!$D$14+parametros_manuales!$G$28*(datos_base!$E$5+IF(parametros_manuales!$H$28="Todos",datos_base!$E$12,0))*parametros_manuales!$D$110+parametros_manuales!$G$28*(datos_base!$E$21+IF(parametros_manuales!$H$28="Todos",datos_base!$E$26,0))*parametros_manuales!$D$15)*parametros_manuales!$I$28*parametros_manuales!$J$28</f>
        <v>4124.5400323135</v>
      </c>
      <c r="E92" s="9" t="n">
        <f aca="false">(parametros_manuales!$D$28*(datos_base!$E$2+IF(parametros_manuales!$H$28="Todos",datos_base!$E$9,0))*parametros_manuales!$E$95+parametros_manuales!$D$28*(datos_base!$E$18+IF(parametros_manuales!$H$28="Todos",datos_base!$E$23,0))*parametros_manuales!$E$12+parametros_manuales!$E$28*(datos_base!$E$3+IF(parametros_manuales!$H$28="Todos",datos_base!$E$10,0))*parametros_manuales!$E$100+parametros_manuales!$E$28*(datos_base!$E$19+IF(parametros_manuales!$H$28="Todos",datos_base!$E$24,0))*parametros_manuales!$E$13+parametros_manuales!$F$28*(datos_base!$E$4+IF(parametros_manuales!$H$28="Todos",datos_base!$E$11,0))*parametros_manuales!$E$105+parametros_manuales!$F$28*(datos_base!$E$20+IF(parametros_manuales!$H$28="Todos",datos_base!$E$25,0))*parametros_manuales!$E$14+parametros_manuales!$G$28*(datos_base!$E$5+IF(parametros_manuales!$H$28="Todos",datos_base!$E$12,0))*parametros_manuales!$E$110+parametros_manuales!$G$28*(datos_base!$E$21+IF(parametros_manuales!$H$28="Todos",datos_base!$E$26,0))*parametros_manuales!$E$15)*parametros_manuales!$I$28*parametros_manuales!$J$28</f>
        <v>3948.7303545685</v>
      </c>
      <c r="F92" s="9" t="n">
        <f aca="false">(parametros_manuales!$D$28*(datos_base!$E$2+IF(parametros_manuales!$H$28="Todos",datos_base!$E$9,0))*parametros_manuales!$F$95+parametros_manuales!$D$28*(datos_base!$E$18+IF(parametros_manuales!$H$28="Todos",datos_base!$E$23,0))*parametros_manuales!$F$12+parametros_manuales!$E$28*(datos_base!$E$3+IF(parametros_manuales!$H$28="Todos",datos_base!$E$10,0))*parametros_manuales!$F$100+parametros_manuales!$E$28*(datos_base!$E$19+IF(parametros_manuales!$H$28="Todos",datos_base!$E$24,0))*parametros_manuales!$F$13+parametros_manuales!$F$28*(datos_base!$E$4+IF(parametros_manuales!$H$28="Todos",datos_base!$E$11,0))*parametros_manuales!$F$105+parametros_manuales!$F$28*(datos_base!$E$20+IF(parametros_manuales!$H$28="Todos",datos_base!$E$25,0))*parametros_manuales!$F$14+parametros_manuales!$G$28*(datos_base!$E$5+IF(parametros_manuales!$H$28="Todos",datos_base!$E$12,0))*parametros_manuales!$F$110+parametros_manuales!$G$28*(datos_base!$E$21+IF(parametros_manuales!$H$28="Todos",datos_base!$E$26,0))*parametros_manuales!$F$15)*parametros_manuales!$I$28*parametros_manuales!$J$28</f>
        <v>3695.768606918</v>
      </c>
      <c r="G92" s="9" t="n">
        <f aca="false">(parametros_manuales!$D$28*(datos_base!$E$2+IF(parametros_manuales!$H$28="Todos",datos_base!$E$9,0))*parametros_manuales!$G$95+parametros_manuales!$D$28*(datos_base!$E$18+IF(parametros_manuales!$H$28="Todos",datos_base!$E$23,0))*parametros_manuales!$G$12+parametros_manuales!$E$28*(datos_base!$E$3+IF(parametros_manuales!$H$28="Todos",datos_base!$E$10,0))*parametros_manuales!$G$100+parametros_manuales!$E$28*(datos_base!$E$19+IF(parametros_manuales!$H$28="Todos",datos_base!$E$24,0))*parametros_manuales!$G$13+parametros_manuales!$F$28*(datos_base!$E$4+IF(parametros_manuales!$H$28="Todos",datos_base!$E$11,0))*parametros_manuales!$G$105+parametros_manuales!$F$28*(datos_base!$E$20+IF(parametros_manuales!$H$28="Todos",datos_base!$E$25,0))*parametros_manuales!$G$14+parametros_manuales!$G$28*(datos_base!$E$5+IF(parametros_manuales!$H$28="Todos",datos_base!$E$12,0))*parametros_manuales!$G$110+parametros_manuales!$G$28*(datos_base!$E$21+IF(parametros_manuales!$H$28="Todos",datos_base!$E$26,0))*parametros_manuales!$G$15)*parametros_manuales!$I$28*parametros_manuales!$J$28</f>
        <v>3618.6165370125</v>
      </c>
      <c r="H92" s="9" t="n">
        <f aca="false">(parametros_manuales!$D$28*(datos_base!$E$2+IF(parametros_manuales!$H$28="Todos",datos_base!$E$9,0))*parametros_manuales!$H$95+parametros_manuales!$D$28*(datos_base!$E$18+IF(parametros_manuales!$H$28="Todos",datos_base!$E$23,0))*parametros_manuales!$H$12+parametros_manuales!$E$28*(datos_base!$E$3+IF(parametros_manuales!$H$28="Todos",datos_base!$E$10,0))*parametros_manuales!$H$100+parametros_manuales!$E$28*(datos_base!$E$19+IF(parametros_manuales!$H$28="Todos",datos_base!$E$24,0))*parametros_manuales!$H$13+parametros_manuales!$F$28*(datos_base!$E$4+IF(parametros_manuales!$H$28="Todos",datos_base!$E$11,0))*parametros_manuales!$H$105+parametros_manuales!$F$28*(datos_base!$E$20+IF(parametros_manuales!$H$28="Todos",datos_base!$E$25,0))*parametros_manuales!$H$14+parametros_manuales!$G$28*(datos_base!$E$5+IF(parametros_manuales!$H$28="Todos",datos_base!$E$12,0))*parametros_manuales!$H$110+parametros_manuales!$G$28*(datos_base!$E$21+IF(parametros_manuales!$H$28="Todos",datos_base!$E$26,0))*parametros_manuales!$H$15)*parametros_manuales!$I$28*parametros_manuales!$J$28</f>
        <v>3871.578284663</v>
      </c>
      <c r="I92" s="9" t="n">
        <f aca="false">(parametros_manuales!$D$28*(datos_base!$E$2+IF(parametros_manuales!$H$28="Todos",datos_base!$E$9,0))*parametros_manuales!$I$95+parametros_manuales!$D$28*(datos_base!$E$18+IF(parametros_manuales!$H$28="Todos",datos_base!$E$23,0))*parametros_manuales!$I$12+parametros_manuales!$E$28*(datos_base!$E$3+IF(parametros_manuales!$H$28="Todos",datos_base!$E$10,0))*parametros_manuales!$I$100+parametros_manuales!$E$28*(datos_base!$E$19+IF(parametros_manuales!$H$28="Todos",datos_base!$E$24,0))*parametros_manuales!$I$13+parametros_manuales!$F$28*(datos_base!$E$4+IF(parametros_manuales!$H$28="Todos",datos_base!$E$11,0))*parametros_manuales!$I$105+parametros_manuales!$F$28*(datos_base!$E$20+IF(parametros_manuales!$H$28="Todos",datos_base!$E$25,0))*parametros_manuales!$I$14+parametros_manuales!$G$28*(datos_base!$E$5+IF(parametros_manuales!$H$28="Todos",datos_base!$E$12,0))*parametros_manuales!$I$110+parametros_manuales!$G$28*(datos_base!$E$21+IF(parametros_manuales!$H$28="Todos",datos_base!$E$26,0))*parametros_manuales!$I$15)*parametros_manuales!$I$28*parametros_manuales!$J$28</f>
        <v>4399.007317898</v>
      </c>
      <c r="J92" s="9" t="n">
        <f aca="false">(parametros_manuales!$D$28*(datos_base!$E$2+IF(parametros_manuales!$H$28="Todos",datos_base!$E$9,0))*parametros_manuales!$J$95+parametros_manuales!$D$28*(datos_base!$E$18+IF(parametros_manuales!$H$28="Todos",datos_base!$E$23,0))*parametros_manuales!$J$12+parametros_manuales!$E$28*(datos_base!$E$3+IF(parametros_manuales!$H$28="Todos",datos_base!$E$10,0))*parametros_manuales!$J$100+parametros_manuales!$E$28*(datos_base!$E$19+IF(parametros_manuales!$H$28="Todos",datos_base!$E$24,0))*parametros_manuales!$J$13+parametros_manuales!$F$28*(datos_base!$E$4+IF(parametros_manuales!$H$28="Todos",datos_base!$E$11,0))*parametros_manuales!$J$105+parametros_manuales!$F$28*(datos_base!$E$20+IF(parametros_manuales!$H$28="Todos",datos_base!$E$25,0))*parametros_manuales!$J$14+parametros_manuales!$G$28*(datos_base!$E$5+IF(parametros_manuales!$H$28="Todos",datos_base!$E$12,0))*parametros_manuales!$J$110+parametros_manuales!$G$28*(datos_base!$E$21+IF(parametros_manuales!$H$28="Todos",datos_base!$E$26,0))*parametros_manuales!$J$15)*parametros_manuales!$I$28*parametros_manuales!$J$28</f>
        <v>4399.007317898</v>
      </c>
      <c r="K92" s="9" t="n">
        <f aca="false">(parametros_manuales!$D$28*(datos_base!$E$2+IF(parametros_manuales!$H$28="Todos",datos_base!$E$9,0))*parametros_manuales!$K$95+parametros_manuales!$D$28*(datos_base!$E$18+IF(parametros_manuales!$H$28="Todos",datos_base!$E$23,0))*parametros_manuales!$K$12+parametros_manuales!$E$28*(datos_base!$E$3+IF(parametros_manuales!$H$28="Todos",datos_base!$E$10,0))*parametros_manuales!$K$100+parametros_manuales!$E$28*(datos_base!$E$19+IF(parametros_manuales!$H$28="Todos",datos_base!$E$24,0))*parametros_manuales!$K$13+parametros_manuales!$F$28*(datos_base!$E$4+IF(parametros_manuales!$H$28="Todos",datos_base!$E$11,0))*parametros_manuales!$K$105+parametros_manuales!$F$28*(datos_base!$E$20+IF(parametros_manuales!$H$28="Todos",datos_base!$E$25,0))*parametros_manuales!$K$14+parametros_manuales!$G$28*(datos_base!$E$5+IF(parametros_manuales!$H$28="Todos",datos_base!$E$12,0))*parametros_manuales!$K$110+parametros_manuales!$G$28*(datos_base!$E$21+IF(parametros_manuales!$H$28="Todos",datos_base!$E$26,0))*parametros_manuales!$K$15)*parametros_manuales!$I$28*parametros_manuales!$J$28</f>
        <v>4473.7809878035</v>
      </c>
      <c r="L92" s="9" t="n">
        <f aca="false">(parametros_manuales!$D$28*(datos_base!$E$2+IF(parametros_manuales!$H$28="Todos",datos_base!$E$9,0))*parametros_manuales!$L$95+parametros_manuales!$D$28*(datos_base!$E$18+IF(parametros_manuales!$H$28="Todos",datos_base!$E$23,0))*parametros_manuales!$L$12+parametros_manuales!$E$28*(datos_base!$E$3+IF(parametros_manuales!$H$28="Todos",datos_base!$E$10,0))*parametros_manuales!$L$100+parametros_manuales!$E$28*(datos_base!$E$19+IF(parametros_manuales!$H$28="Todos",datos_base!$E$24,0))*parametros_manuales!$L$13+parametros_manuales!$F$28*(datos_base!$E$4+IF(parametros_manuales!$H$28="Todos",datos_base!$E$11,0))*parametros_manuales!$L$105+parametros_manuales!$F$28*(datos_base!$E$20+IF(parametros_manuales!$H$28="Todos",datos_base!$E$25,0))*parametros_manuales!$L$14+parametros_manuales!$G$28*(datos_base!$E$5+IF(parametros_manuales!$H$28="Todos",datos_base!$E$12,0))*parametros_manuales!$L$110+parametros_manuales!$G$28*(datos_base!$E$21+IF(parametros_manuales!$H$28="Todos",datos_base!$E$26,0))*parametros_manuales!$L$15)*parametros_manuales!$I$28*parametros_manuales!$J$28</f>
        <v>4548.554657709</v>
      </c>
      <c r="M92" s="9" t="n">
        <f aca="false">(parametros_manuales!$D$28*(datos_base!$E$2+IF(parametros_manuales!$H$28="Todos",datos_base!$E$9,0))*parametros_manuales!$M$95+parametros_manuales!$D$28*(datos_base!$E$18+IF(parametros_manuales!$H$28="Todos",datos_base!$E$23,0))*parametros_manuales!$M$12+parametros_manuales!$E$28*(datos_base!$E$3+IF(parametros_manuales!$H$28="Todos",datos_base!$E$10,0))*parametros_manuales!$M$100+parametros_manuales!$E$28*(datos_base!$E$19+IF(parametros_manuales!$H$28="Todos",datos_base!$E$24,0))*parametros_manuales!$M$13+parametros_manuales!$F$28*(datos_base!$E$4+IF(parametros_manuales!$H$28="Todos",datos_base!$E$11,0))*parametros_manuales!$M$105+parametros_manuales!$F$28*(datos_base!$E$20+IF(parametros_manuales!$H$28="Todos",datos_base!$E$25,0))*parametros_manuales!$M$14+parametros_manuales!$G$28*(datos_base!$E$5+IF(parametros_manuales!$H$28="Todos",datos_base!$E$12,0))*parametros_manuales!$M$110+parametros_manuales!$G$28*(datos_base!$E$21+IF(parametros_manuales!$H$28="Todos",datos_base!$E$26,0))*parametros_manuales!$M$15)*parametros_manuales!$I$28*parametros_manuales!$J$28</f>
        <v>4558.068257709</v>
      </c>
      <c r="N92" s="9" t="n">
        <f aca="false">SUM(B92:M92)</f>
        <v>50592.3495301</v>
      </c>
      <c r="O92" s="9" t="n">
        <f aca="false">MAX(B92:M92)</f>
        <v>4558.068257709</v>
      </c>
      <c r="P92" s="44" t="n">
        <f aca="false">O92/(parametros_manuales!$B$7)</f>
        <v>30.38712171806</v>
      </c>
      <c r="Q92" s="8" t="str">
        <f aca="false">IF(O92=0,"-",INDEX($B$82:$M$82,MATCH(O92,B92:M92,0)))</f>
        <v>Dic</v>
      </c>
    </row>
    <row r="93" customFormat="false" ht="14.25" hidden="false" customHeight="true" outlineLevel="0" collapsed="false">
      <c r="A93" s="8" t="str">
        <f aca="false">parametros_manuales!$B$29</f>
        <v>Bordoneado</v>
      </c>
      <c r="B93" s="9" t="n">
        <f aca="false">(parametros_manuales!$D$29*(datos_base!$E$2+IF(parametros_manuales!$H$29="Todos",datos_base!$E$9,0))*parametros_manuales!$B$95+parametros_manuales!$D$29*(datos_base!$E$18+IF(parametros_manuales!$H$29="Todos",datos_base!$E$23,0))*parametros_manuales!$B$12+parametros_manuales!$E$29*(datos_base!$E$3+IF(parametros_manuales!$H$29="Todos",datos_base!$E$10,0))*parametros_manuales!$B$100+parametros_manuales!$E$29*(datos_base!$E$19+IF(parametros_manuales!$H$29="Todos",datos_base!$E$24,0))*parametros_manuales!$B$13+parametros_manuales!$F$29*(datos_base!$E$4+IF(parametros_manuales!$H$29="Todos",datos_base!$E$11,0))*parametros_manuales!$B$105+parametros_manuales!$F$29*(datos_base!$E$20+IF(parametros_manuales!$H$29="Todos",datos_base!$E$25,0))*parametros_manuales!$B$14+parametros_manuales!$G$29*(datos_base!$E$5+IF(parametros_manuales!$H$29="Todos",datos_base!$E$12,0))*parametros_manuales!$B$110+parametros_manuales!$G$29*(datos_base!$E$21+IF(parametros_manuales!$H$29="Todos",datos_base!$E$26,0))*parametros_manuales!$B$15)*parametros_manuales!$I$29*parametros_manuales!$J$29</f>
        <v>4555.689857709</v>
      </c>
      <c r="C93" s="9" t="n">
        <f aca="false">(parametros_manuales!$D$29*(datos_base!$E$2+IF(parametros_manuales!$H$29="Todos",datos_base!$E$9,0))*parametros_manuales!$C$95+parametros_manuales!$D$29*(datos_base!$E$18+IF(parametros_manuales!$H$29="Todos",datos_base!$E$23,0))*parametros_manuales!$C$12+parametros_manuales!$E$29*(datos_base!$E$3+IF(parametros_manuales!$H$29="Todos",datos_base!$E$10,0))*parametros_manuales!$C$100+parametros_manuales!$E$29*(datos_base!$E$19+IF(parametros_manuales!$H$29="Todos",datos_base!$E$24,0))*parametros_manuales!$C$13+parametros_manuales!$F$29*(datos_base!$E$4+IF(parametros_manuales!$H$29="Todos",datos_base!$E$11,0))*parametros_manuales!$C$105+parametros_manuales!$F$29*(datos_base!$E$20+IF(parametros_manuales!$H$29="Todos",datos_base!$E$25,0))*parametros_manuales!$C$14+parametros_manuales!$G$29*(datos_base!$E$5+IF(parametros_manuales!$H$29="Todos",datos_base!$E$12,0))*parametros_manuales!$C$110+parametros_manuales!$G$29*(datos_base!$E$21+IF(parametros_manuales!$H$29="Todos",datos_base!$E$26,0))*parametros_manuales!$C$15)*parametros_manuales!$I$29*parametros_manuales!$J$29</f>
        <v>4399.007317898</v>
      </c>
      <c r="D93" s="9" t="n">
        <f aca="false">(parametros_manuales!$D$29*(datos_base!$E$2+IF(parametros_manuales!$H$29="Todos",datos_base!$E$9,0))*parametros_manuales!$D$95+parametros_manuales!$D$29*(datos_base!$E$18+IF(parametros_manuales!$H$29="Todos",datos_base!$E$23,0))*parametros_manuales!$D$12+parametros_manuales!$E$29*(datos_base!$E$3+IF(parametros_manuales!$H$29="Todos",datos_base!$E$10,0))*parametros_manuales!$D$100+parametros_manuales!$E$29*(datos_base!$E$19+IF(parametros_manuales!$H$29="Todos",datos_base!$E$24,0))*parametros_manuales!$D$13+parametros_manuales!$F$29*(datos_base!$E$4+IF(parametros_manuales!$H$29="Todos",datos_base!$E$11,0))*parametros_manuales!$D$105+parametros_manuales!$F$29*(datos_base!$E$20+IF(parametros_manuales!$H$29="Todos",datos_base!$E$25,0))*parametros_manuales!$D$14+parametros_manuales!$G$29*(datos_base!$E$5+IF(parametros_manuales!$H$29="Todos",datos_base!$E$12,0))*parametros_manuales!$D$110+parametros_manuales!$G$29*(datos_base!$E$21+IF(parametros_manuales!$H$29="Todos",datos_base!$E$26,0))*parametros_manuales!$D$15)*parametros_manuales!$I$29*parametros_manuales!$J$29</f>
        <v>4124.5400323135</v>
      </c>
      <c r="E93" s="9" t="n">
        <f aca="false">(parametros_manuales!$D$29*(datos_base!$E$2+IF(parametros_manuales!$H$29="Todos",datos_base!$E$9,0))*parametros_manuales!$E$95+parametros_manuales!$D$29*(datos_base!$E$18+IF(parametros_manuales!$H$29="Todos",datos_base!$E$23,0))*parametros_manuales!$E$12+parametros_manuales!$E$29*(datos_base!$E$3+IF(parametros_manuales!$H$29="Todos",datos_base!$E$10,0))*parametros_manuales!$E$100+parametros_manuales!$E$29*(datos_base!$E$19+IF(parametros_manuales!$H$29="Todos",datos_base!$E$24,0))*parametros_manuales!$E$13+parametros_manuales!$F$29*(datos_base!$E$4+IF(parametros_manuales!$H$29="Todos",datos_base!$E$11,0))*parametros_manuales!$E$105+parametros_manuales!$F$29*(datos_base!$E$20+IF(parametros_manuales!$H$29="Todos",datos_base!$E$25,0))*parametros_manuales!$E$14+parametros_manuales!$G$29*(datos_base!$E$5+IF(parametros_manuales!$H$29="Todos",datos_base!$E$12,0))*parametros_manuales!$E$110+parametros_manuales!$G$29*(datos_base!$E$21+IF(parametros_manuales!$H$29="Todos",datos_base!$E$26,0))*parametros_manuales!$E$15)*parametros_manuales!$I$29*parametros_manuales!$J$29</f>
        <v>3948.7303545685</v>
      </c>
      <c r="F93" s="9" t="n">
        <f aca="false">(parametros_manuales!$D$29*(datos_base!$E$2+IF(parametros_manuales!$H$29="Todos",datos_base!$E$9,0))*parametros_manuales!$F$95+parametros_manuales!$D$29*(datos_base!$E$18+IF(parametros_manuales!$H$29="Todos",datos_base!$E$23,0))*parametros_manuales!$F$12+parametros_manuales!$E$29*(datos_base!$E$3+IF(parametros_manuales!$H$29="Todos",datos_base!$E$10,0))*parametros_manuales!$F$100+parametros_manuales!$E$29*(datos_base!$E$19+IF(parametros_manuales!$H$29="Todos",datos_base!$E$24,0))*parametros_manuales!$F$13+parametros_manuales!$F$29*(datos_base!$E$4+IF(parametros_manuales!$H$29="Todos",datos_base!$E$11,0))*parametros_manuales!$F$105+parametros_manuales!$F$29*(datos_base!$E$20+IF(parametros_manuales!$H$29="Todos",datos_base!$E$25,0))*parametros_manuales!$F$14+parametros_manuales!$G$29*(datos_base!$E$5+IF(parametros_manuales!$H$29="Todos",datos_base!$E$12,0))*parametros_manuales!$F$110+parametros_manuales!$G$29*(datos_base!$E$21+IF(parametros_manuales!$H$29="Todos",datos_base!$E$26,0))*parametros_manuales!$F$15)*parametros_manuales!$I$29*parametros_manuales!$J$29</f>
        <v>3695.768606918</v>
      </c>
      <c r="G93" s="9" t="n">
        <f aca="false">(parametros_manuales!$D$29*(datos_base!$E$2+IF(parametros_manuales!$H$29="Todos",datos_base!$E$9,0))*parametros_manuales!$G$95+parametros_manuales!$D$29*(datos_base!$E$18+IF(parametros_manuales!$H$29="Todos",datos_base!$E$23,0))*parametros_manuales!$G$12+parametros_manuales!$E$29*(datos_base!$E$3+IF(parametros_manuales!$H$29="Todos",datos_base!$E$10,0))*parametros_manuales!$G$100+parametros_manuales!$E$29*(datos_base!$E$19+IF(parametros_manuales!$H$29="Todos",datos_base!$E$24,0))*parametros_manuales!$G$13+parametros_manuales!$F$29*(datos_base!$E$4+IF(parametros_manuales!$H$29="Todos",datos_base!$E$11,0))*parametros_manuales!$G$105+parametros_manuales!$F$29*(datos_base!$E$20+IF(parametros_manuales!$H$29="Todos",datos_base!$E$25,0))*parametros_manuales!$G$14+parametros_manuales!$G$29*(datos_base!$E$5+IF(parametros_manuales!$H$29="Todos",datos_base!$E$12,0))*parametros_manuales!$G$110+parametros_manuales!$G$29*(datos_base!$E$21+IF(parametros_manuales!$H$29="Todos",datos_base!$E$26,0))*parametros_manuales!$G$15)*parametros_manuales!$I$29*parametros_manuales!$J$29</f>
        <v>3618.6165370125</v>
      </c>
      <c r="H93" s="9" t="n">
        <f aca="false">(parametros_manuales!$D$29*(datos_base!$E$2+IF(parametros_manuales!$H$29="Todos",datos_base!$E$9,0))*parametros_manuales!$H$95+parametros_manuales!$D$29*(datos_base!$E$18+IF(parametros_manuales!$H$29="Todos",datos_base!$E$23,0))*parametros_manuales!$H$12+parametros_manuales!$E$29*(datos_base!$E$3+IF(parametros_manuales!$H$29="Todos",datos_base!$E$10,0))*parametros_manuales!$H$100+parametros_manuales!$E$29*(datos_base!$E$19+IF(parametros_manuales!$H$29="Todos",datos_base!$E$24,0))*parametros_manuales!$H$13+parametros_manuales!$F$29*(datos_base!$E$4+IF(parametros_manuales!$H$29="Todos",datos_base!$E$11,0))*parametros_manuales!$H$105+parametros_manuales!$F$29*(datos_base!$E$20+IF(parametros_manuales!$H$29="Todos",datos_base!$E$25,0))*parametros_manuales!$H$14+parametros_manuales!$G$29*(datos_base!$E$5+IF(parametros_manuales!$H$29="Todos",datos_base!$E$12,0))*parametros_manuales!$H$110+parametros_manuales!$G$29*(datos_base!$E$21+IF(parametros_manuales!$H$29="Todos",datos_base!$E$26,0))*parametros_manuales!$H$15)*parametros_manuales!$I$29*parametros_manuales!$J$29</f>
        <v>3871.578284663</v>
      </c>
      <c r="I93" s="9" t="n">
        <f aca="false">(parametros_manuales!$D$29*(datos_base!$E$2+IF(parametros_manuales!$H$29="Todos",datos_base!$E$9,0))*parametros_manuales!$I$95+parametros_manuales!$D$29*(datos_base!$E$18+IF(parametros_manuales!$H$29="Todos",datos_base!$E$23,0))*parametros_manuales!$I$12+parametros_manuales!$E$29*(datos_base!$E$3+IF(parametros_manuales!$H$29="Todos",datos_base!$E$10,0))*parametros_manuales!$I$100+parametros_manuales!$E$29*(datos_base!$E$19+IF(parametros_manuales!$H$29="Todos",datos_base!$E$24,0))*parametros_manuales!$I$13+parametros_manuales!$F$29*(datos_base!$E$4+IF(parametros_manuales!$H$29="Todos",datos_base!$E$11,0))*parametros_manuales!$I$105+parametros_manuales!$F$29*(datos_base!$E$20+IF(parametros_manuales!$H$29="Todos",datos_base!$E$25,0))*parametros_manuales!$I$14+parametros_manuales!$G$29*(datos_base!$E$5+IF(parametros_manuales!$H$29="Todos",datos_base!$E$12,0))*parametros_manuales!$I$110+parametros_manuales!$G$29*(datos_base!$E$21+IF(parametros_manuales!$H$29="Todos",datos_base!$E$26,0))*parametros_manuales!$I$15)*parametros_manuales!$I$29*parametros_manuales!$J$29</f>
        <v>4399.007317898</v>
      </c>
      <c r="J93" s="9" t="n">
        <f aca="false">(parametros_manuales!$D$29*(datos_base!$E$2+IF(parametros_manuales!$H$29="Todos",datos_base!$E$9,0))*parametros_manuales!$J$95+parametros_manuales!$D$29*(datos_base!$E$18+IF(parametros_manuales!$H$29="Todos",datos_base!$E$23,0))*parametros_manuales!$J$12+parametros_manuales!$E$29*(datos_base!$E$3+IF(parametros_manuales!$H$29="Todos",datos_base!$E$10,0))*parametros_manuales!$J$100+parametros_manuales!$E$29*(datos_base!$E$19+IF(parametros_manuales!$H$29="Todos",datos_base!$E$24,0))*parametros_manuales!$J$13+parametros_manuales!$F$29*(datos_base!$E$4+IF(parametros_manuales!$H$29="Todos",datos_base!$E$11,0))*parametros_manuales!$J$105+parametros_manuales!$F$29*(datos_base!$E$20+IF(parametros_manuales!$H$29="Todos",datos_base!$E$25,0))*parametros_manuales!$J$14+parametros_manuales!$G$29*(datos_base!$E$5+IF(parametros_manuales!$H$29="Todos",datos_base!$E$12,0))*parametros_manuales!$J$110+parametros_manuales!$G$29*(datos_base!$E$21+IF(parametros_manuales!$H$29="Todos",datos_base!$E$26,0))*parametros_manuales!$J$15)*parametros_manuales!$I$29*parametros_manuales!$J$29</f>
        <v>4399.007317898</v>
      </c>
      <c r="K93" s="9" t="n">
        <f aca="false">(parametros_manuales!$D$29*(datos_base!$E$2+IF(parametros_manuales!$H$29="Todos",datos_base!$E$9,0))*parametros_manuales!$K$95+parametros_manuales!$D$29*(datos_base!$E$18+IF(parametros_manuales!$H$29="Todos",datos_base!$E$23,0))*parametros_manuales!$K$12+parametros_manuales!$E$29*(datos_base!$E$3+IF(parametros_manuales!$H$29="Todos",datos_base!$E$10,0))*parametros_manuales!$K$100+parametros_manuales!$E$29*(datos_base!$E$19+IF(parametros_manuales!$H$29="Todos",datos_base!$E$24,0))*parametros_manuales!$K$13+parametros_manuales!$F$29*(datos_base!$E$4+IF(parametros_manuales!$H$29="Todos",datos_base!$E$11,0))*parametros_manuales!$K$105+parametros_manuales!$F$29*(datos_base!$E$20+IF(parametros_manuales!$H$29="Todos",datos_base!$E$25,0))*parametros_manuales!$K$14+parametros_manuales!$G$29*(datos_base!$E$5+IF(parametros_manuales!$H$29="Todos",datos_base!$E$12,0))*parametros_manuales!$K$110+parametros_manuales!$G$29*(datos_base!$E$21+IF(parametros_manuales!$H$29="Todos",datos_base!$E$26,0))*parametros_manuales!$K$15)*parametros_manuales!$I$29*parametros_manuales!$J$29</f>
        <v>4473.7809878035</v>
      </c>
      <c r="L93" s="9" t="n">
        <f aca="false">(parametros_manuales!$D$29*(datos_base!$E$2+IF(parametros_manuales!$H$29="Todos",datos_base!$E$9,0))*parametros_manuales!$L$95+parametros_manuales!$D$29*(datos_base!$E$18+IF(parametros_manuales!$H$29="Todos",datos_base!$E$23,0))*parametros_manuales!$L$12+parametros_manuales!$E$29*(datos_base!$E$3+IF(parametros_manuales!$H$29="Todos",datos_base!$E$10,0))*parametros_manuales!$L$100+parametros_manuales!$E$29*(datos_base!$E$19+IF(parametros_manuales!$H$29="Todos",datos_base!$E$24,0))*parametros_manuales!$L$13+parametros_manuales!$F$29*(datos_base!$E$4+IF(parametros_manuales!$H$29="Todos",datos_base!$E$11,0))*parametros_manuales!$L$105+parametros_manuales!$F$29*(datos_base!$E$20+IF(parametros_manuales!$H$29="Todos",datos_base!$E$25,0))*parametros_manuales!$L$14+parametros_manuales!$G$29*(datos_base!$E$5+IF(parametros_manuales!$H$29="Todos",datos_base!$E$12,0))*parametros_manuales!$L$110+parametros_manuales!$G$29*(datos_base!$E$21+IF(parametros_manuales!$H$29="Todos",datos_base!$E$26,0))*parametros_manuales!$L$15)*parametros_manuales!$I$29*parametros_manuales!$J$29</f>
        <v>4548.554657709</v>
      </c>
      <c r="M93" s="9" t="n">
        <f aca="false">(parametros_manuales!$D$29*(datos_base!$E$2+IF(parametros_manuales!$H$29="Todos",datos_base!$E$9,0))*parametros_manuales!$M$95+parametros_manuales!$D$29*(datos_base!$E$18+IF(parametros_manuales!$H$29="Todos",datos_base!$E$23,0))*parametros_manuales!$M$12+parametros_manuales!$E$29*(datos_base!$E$3+IF(parametros_manuales!$H$29="Todos",datos_base!$E$10,0))*parametros_manuales!$M$100+parametros_manuales!$E$29*(datos_base!$E$19+IF(parametros_manuales!$H$29="Todos",datos_base!$E$24,0))*parametros_manuales!$M$13+parametros_manuales!$F$29*(datos_base!$E$4+IF(parametros_manuales!$H$29="Todos",datos_base!$E$11,0))*parametros_manuales!$M$105+parametros_manuales!$F$29*(datos_base!$E$20+IF(parametros_manuales!$H$29="Todos",datos_base!$E$25,0))*parametros_manuales!$M$14+parametros_manuales!$G$29*(datos_base!$E$5+IF(parametros_manuales!$H$29="Todos",datos_base!$E$12,0))*parametros_manuales!$M$110+parametros_manuales!$G$29*(datos_base!$E$21+IF(parametros_manuales!$H$29="Todos",datos_base!$E$26,0))*parametros_manuales!$M$15)*parametros_manuales!$I$29*parametros_manuales!$J$29</f>
        <v>4558.068257709</v>
      </c>
      <c r="N93" s="9" t="n">
        <f aca="false">SUM(B93:M93)</f>
        <v>50592.3495301</v>
      </c>
      <c r="O93" s="9" t="n">
        <f aca="false">MAX(B93:M93)</f>
        <v>4558.068257709</v>
      </c>
      <c r="P93" s="44" t="n">
        <f aca="false">O93/(parametros_manuales!$B$7)</f>
        <v>30.38712171806</v>
      </c>
      <c r="Q93" s="8" t="str">
        <f aca="false">IF(O93=0,"-",INDEX($B$82:$M$82,MATCH(O93,B93:M93,0)))</f>
        <v>Dic</v>
      </c>
    </row>
    <row r="94" customFormat="false" ht="14.25" hidden="false" customHeight="true" outlineLevel="0" collapsed="false">
      <c r="A94" s="8" t="str">
        <f aca="false">parametros_manuales!$B$30</f>
        <v>Soldadura circunferencial de cúpula y fondo</v>
      </c>
      <c r="B94" s="9" t="n">
        <f aca="false">(parametros_manuales!$D$30*(datos_base!$E$2+IF(parametros_manuales!$H$30="Todos",datos_base!$E$9,0))*parametros_manuales!$B$95+parametros_manuales!$D$30*(datos_base!$E$18+IF(parametros_manuales!$H$30="Todos",datos_base!$E$23,0))*parametros_manuales!$B$12+parametros_manuales!$E$30*(datos_base!$E$3+IF(parametros_manuales!$H$30="Todos",datos_base!$E$10,0))*parametros_manuales!$B$100+parametros_manuales!$E$30*(datos_base!$E$19+IF(parametros_manuales!$H$30="Todos",datos_base!$E$24,0))*parametros_manuales!$B$13+parametros_manuales!$F$30*(datos_base!$E$4+IF(parametros_manuales!$H$30="Todos",datos_base!$E$11,0))*parametros_manuales!$B$105+parametros_manuales!$F$30*(datos_base!$E$20+IF(parametros_manuales!$H$30="Todos",datos_base!$E$25,0))*parametros_manuales!$B$14+parametros_manuales!$G$30*(datos_base!$E$5+IF(parametros_manuales!$H$30="Todos",datos_base!$E$12,0))*parametros_manuales!$B$110+parametros_manuales!$G$30*(datos_base!$E$21+IF(parametros_manuales!$H$30="Todos",datos_base!$E$26,0))*parametros_manuales!$B$15)*parametros_manuales!$I$30*parametros_manuales!$J$30</f>
        <v>4555.689857709</v>
      </c>
      <c r="C94" s="9" t="n">
        <f aca="false">(parametros_manuales!$D$30*(datos_base!$E$2+IF(parametros_manuales!$H$30="Todos",datos_base!$E$9,0))*parametros_manuales!$C$95+parametros_manuales!$D$30*(datos_base!$E$18+IF(parametros_manuales!$H$30="Todos",datos_base!$E$23,0))*parametros_manuales!$C$12+parametros_manuales!$E$30*(datos_base!$E$3+IF(parametros_manuales!$H$30="Todos",datos_base!$E$10,0))*parametros_manuales!$C$100+parametros_manuales!$E$30*(datos_base!$E$19+IF(parametros_manuales!$H$30="Todos",datos_base!$E$24,0))*parametros_manuales!$C$13+parametros_manuales!$F$30*(datos_base!$E$4+IF(parametros_manuales!$H$30="Todos",datos_base!$E$11,0))*parametros_manuales!$C$105+parametros_manuales!$F$30*(datos_base!$E$20+IF(parametros_manuales!$H$30="Todos",datos_base!$E$25,0))*parametros_manuales!$C$14+parametros_manuales!$G$30*(datos_base!$E$5+IF(parametros_manuales!$H$30="Todos",datos_base!$E$12,0))*parametros_manuales!$C$110+parametros_manuales!$G$30*(datos_base!$E$21+IF(parametros_manuales!$H$30="Todos",datos_base!$E$26,0))*parametros_manuales!$C$15)*parametros_manuales!$I$30*parametros_manuales!$J$30</f>
        <v>4399.007317898</v>
      </c>
      <c r="D94" s="9" t="n">
        <f aca="false">(parametros_manuales!$D$30*(datos_base!$E$2+IF(parametros_manuales!$H$30="Todos",datos_base!$E$9,0))*parametros_manuales!$D$95+parametros_manuales!$D$30*(datos_base!$E$18+IF(parametros_manuales!$H$30="Todos",datos_base!$E$23,0))*parametros_manuales!$D$12+parametros_manuales!$E$30*(datos_base!$E$3+IF(parametros_manuales!$H$30="Todos",datos_base!$E$10,0))*parametros_manuales!$D$100+parametros_manuales!$E$30*(datos_base!$E$19+IF(parametros_manuales!$H$30="Todos",datos_base!$E$24,0))*parametros_manuales!$D$13+parametros_manuales!$F$30*(datos_base!$E$4+IF(parametros_manuales!$H$30="Todos",datos_base!$E$11,0))*parametros_manuales!$D$105+parametros_manuales!$F$30*(datos_base!$E$20+IF(parametros_manuales!$H$30="Todos",datos_base!$E$25,0))*parametros_manuales!$D$14+parametros_manuales!$G$30*(datos_base!$E$5+IF(parametros_manuales!$H$30="Todos",datos_base!$E$12,0))*parametros_manuales!$D$110+parametros_manuales!$G$30*(datos_base!$E$21+IF(parametros_manuales!$H$30="Todos",datos_base!$E$26,0))*parametros_manuales!$D$15)*parametros_manuales!$I$30*parametros_manuales!$J$30</f>
        <v>4124.5400323135</v>
      </c>
      <c r="E94" s="9" t="n">
        <f aca="false">(parametros_manuales!$D$30*(datos_base!$E$2+IF(parametros_manuales!$H$30="Todos",datos_base!$E$9,0))*parametros_manuales!$E$95+parametros_manuales!$D$30*(datos_base!$E$18+IF(parametros_manuales!$H$30="Todos",datos_base!$E$23,0))*parametros_manuales!$E$12+parametros_manuales!$E$30*(datos_base!$E$3+IF(parametros_manuales!$H$30="Todos",datos_base!$E$10,0))*parametros_manuales!$E$100+parametros_manuales!$E$30*(datos_base!$E$19+IF(parametros_manuales!$H$30="Todos",datos_base!$E$24,0))*parametros_manuales!$E$13+parametros_manuales!$F$30*(datos_base!$E$4+IF(parametros_manuales!$H$30="Todos",datos_base!$E$11,0))*parametros_manuales!$E$105+parametros_manuales!$F$30*(datos_base!$E$20+IF(parametros_manuales!$H$30="Todos",datos_base!$E$25,0))*parametros_manuales!$E$14+parametros_manuales!$G$30*(datos_base!$E$5+IF(parametros_manuales!$H$30="Todos",datos_base!$E$12,0))*parametros_manuales!$E$110+parametros_manuales!$G$30*(datos_base!$E$21+IF(parametros_manuales!$H$30="Todos",datos_base!$E$26,0))*parametros_manuales!$E$15)*parametros_manuales!$I$30*parametros_manuales!$J$30</f>
        <v>3948.7303545685</v>
      </c>
      <c r="F94" s="9" t="n">
        <f aca="false">(parametros_manuales!$D$30*(datos_base!$E$2+IF(parametros_manuales!$H$30="Todos",datos_base!$E$9,0))*parametros_manuales!$F$95+parametros_manuales!$D$30*(datos_base!$E$18+IF(parametros_manuales!$H$30="Todos",datos_base!$E$23,0))*parametros_manuales!$F$12+parametros_manuales!$E$30*(datos_base!$E$3+IF(parametros_manuales!$H$30="Todos",datos_base!$E$10,0))*parametros_manuales!$F$100+parametros_manuales!$E$30*(datos_base!$E$19+IF(parametros_manuales!$H$30="Todos",datos_base!$E$24,0))*parametros_manuales!$F$13+parametros_manuales!$F$30*(datos_base!$E$4+IF(parametros_manuales!$H$30="Todos",datos_base!$E$11,0))*parametros_manuales!$F$105+parametros_manuales!$F$30*(datos_base!$E$20+IF(parametros_manuales!$H$30="Todos",datos_base!$E$25,0))*parametros_manuales!$F$14+parametros_manuales!$G$30*(datos_base!$E$5+IF(parametros_manuales!$H$30="Todos",datos_base!$E$12,0))*parametros_manuales!$F$110+parametros_manuales!$G$30*(datos_base!$E$21+IF(parametros_manuales!$H$30="Todos",datos_base!$E$26,0))*parametros_manuales!$F$15)*parametros_manuales!$I$30*parametros_manuales!$J$30</f>
        <v>3695.768606918</v>
      </c>
      <c r="G94" s="9" t="n">
        <f aca="false">(parametros_manuales!$D$30*(datos_base!$E$2+IF(parametros_manuales!$H$30="Todos",datos_base!$E$9,0))*parametros_manuales!$G$95+parametros_manuales!$D$30*(datos_base!$E$18+IF(parametros_manuales!$H$30="Todos",datos_base!$E$23,0))*parametros_manuales!$G$12+parametros_manuales!$E$30*(datos_base!$E$3+IF(parametros_manuales!$H$30="Todos",datos_base!$E$10,0))*parametros_manuales!$G$100+parametros_manuales!$E$30*(datos_base!$E$19+IF(parametros_manuales!$H$30="Todos",datos_base!$E$24,0))*parametros_manuales!$G$13+parametros_manuales!$F$30*(datos_base!$E$4+IF(parametros_manuales!$H$30="Todos",datos_base!$E$11,0))*parametros_manuales!$G$105+parametros_manuales!$F$30*(datos_base!$E$20+IF(parametros_manuales!$H$30="Todos",datos_base!$E$25,0))*parametros_manuales!$G$14+parametros_manuales!$G$30*(datos_base!$E$5+IF(parametros_manuales!$H$30="Todos",datos_base!$E$12,0))*parametros_manuales!$G$110+parametros_manuales!$G$30*(datos_base!$E$21+IF(parametros_manuales!$H$30="Todos",datos_base!$E$26,0))*parametros_manuales!$G$15)*parametros_manuales!$I$30*parametros_manuales!$J$30</f>
        <v>3618.6165370125</v>
      </c>
      <c r="H94" s="9" t="n">
        <f aca="false">(parametros_manuales!$D$30*(datos_base!$E$2+IF(parametros_manuales!$H$30="Todos",datos_base!$E$9,0))*parametros_manuales!$H$95+parametros_manuales!$D$30*(datos_base!$E$18+IF(parametros_manuales!$H$30="Todos",datos_base!$E$23,0))*parametros_manuales!$H$12+parametros_manuales!$E$30*(datos_base!$E$3+IF(parametros_manuales!$H$30="Todos",datos_base!$E$10,0))*parametros_manuales!$H$100+parametros_manuales!$E$30*(datos_base!$E$19+IF(parametros_manuales!$H$30="Todos",datos_base!$E$24,0))*parametros_manuales!$H$13+parametros_manuales!$F$30*(datos_base!$E$4+IF(parametros_manuales!$H$30="Todos",datos_base!$E$11,0))*parametros_manuales!$H$105+parametros_manuales!$F$30*(datos_base!$E$20+IF(parametros_manuales!$H$30="Todos",datos_base!$E$25,0))*parametros_manuales!$H$14+parametros_manuales!$G$30*(datos_base!$E$5+IF(parametros_manuales!$H$30="Todos",datos_base!$E$12,0))*parametros_manuales!$H$110+parametros_manuales!$G$30*(datos_base!$E$21+IF(parametros_manuales!$H$30="Todos",datos_base!$E$26,0))*parametros_manuales!$H$15)*parametros_manuales!$I$30*parametros_manuales!$J$30</f>
        <v>3871.578284663</v>
      </c>
      <c r="I94" s="9" t="n">
        <f aca="false">(parametros_manuales!$D$30*(datos_base!$E$2+IF(parametros_manuales!$H$30="Todos",datos_base!$E$9,0))*parametros_manuales!$I$95+parametros_manuales!$D$30*(datos_base!$E$18+IF(parametros_manuales!$H$30="Todos",datos_base!$E$23,0))*parametros_manuales!$I$12+parametros_manuales!$E$30*(datos_base!$E$3+IF(parametros_manuales!$H$30="Todos",datos_base!$E$10,0))*parametros_manuales!$I$100+parametros_manuales!$E$30*(datos_base!$E$19+IF(parametros_manuales!$H$30="Todos",datos_base!$E$24,0))*parametros_manuales!$I$13+parametros_manuales!$F$30*(datos_base!$E$4+IF(parametros_manuales!$H$30="Todos",datos_base!$E$11,0))*parametros_manuales!$I$105+parametros_manuales!$F$30*(datos_base!$E$20+IF(parametros_manuales!$H$30="Todos",datos_base!$E$25,0))*parametros_manuales!$I$14+parametros_manuales!$G$30*(datos_base!$E$5+IF(parametros_manuales!$H$30="Todos",datos_base!$E$12,0))*parametros_manuales!$I$110+parametros_manuales!$G$30*(datos_base!$E$21+IF(parametros_manuales!$H$30="Todos",datos_base!$E$26,0))*parametros_manuales!$I$15)*parametros_manuales!$I$30*parametros_manuales!$J$30</f>
        <v>4399.007317898</v>
      </c>
      <c r="J94" s="9" t="n">
        <f aca="false">(parametros_manuales!$D$30*(datos_base!$E$2+IF(parametros_manuales!$H$30="Todos",datos_base!$E$9,0))*parametros_manuales!$J$95+parametros_manuales!$D$30*(datos_base!$E$18+IF(parametros_manuales!$H$30="Todos",datos_base!$E$23,0))*parametros_manuales!$J$12+parametros_manuales!$E$30*(datos_base!$E$3+IF(parametros_manuales!$H$30="Todos",datos_base!$E$10,0))*parametros_manuales!$J$100+parametros_manuales!$E$30*(datos_base!$E$19+IF(parametros_manuales!$H$30="Todos",datos_base!$E$24,0))*parametros_manuales!$J$13+parametros_manuales!$F$30*(datos_base!$E$4+IF(parametros_manuales!$H$30="Todos",datos_base!$E$11,0))*parametros_manuales!$J$105+parametros_manuales!$F$30*(datos_base!$E$20+IF(parametros_manuales!$H$30="Todos",datos_base!$E$25,0))*parametros_manuales!$J$14+parametros_manuales!$G$30*(datos_base!$E$5+IF(parametros_manuales!$H$30="Todos",datos_base!$E$12,0))*parametros_manuales!$J$110+parametros_manuales!$G$30*(datos_base!$E$21+IF(parametros_manuales!$H$30="Todos",datos_base!$E$26,0))*parametros_manuales!$J$15)*parametros_manuales!$I$30*parametros_manuales!$J$30</f>
        <v>4399.007317898</v>
      </c>
      <c r="K94" s="9" t="n">
        <f aca="false">(parametros_manuales!$D$30*(datos_base!$E$2+IF(parametros_manuales!$H$30="Todos",datos_base!$E$9,0))*parametros_manuales!$K$95+parametros_manuales!$D$30*(datos_base!$E$18+IF(parametros_manuales!$H$30="Todos",datos_base!$E$23,0))*parametros_manuales!$K$12+parametros_manuales!$E$30*(datos_base!$E$3+IF(parametros_manuales!$H$30="Todos",datos_base!$E$10,0))*parametros_manuales!$K$100+parametros_manuales!$E$30*(datos_base!$E$19+IF(parametros_manuales!$H$30="Todos",datos_base!$E$24,0))*parametros_manuales!$K$13+parametros_manuales!$F$30*(datos_base!$E$4+IF(parametros_manuales!$H$30="Todos",datos_base!$E$11,0))*parametros_manuales!$K$105+parametros_manuales!$F$30*(datos_base!$E$20+IF(parametros_manuales!$H$30="Todos",datos_base!$E$25,0))*parametros_manuales!$K$14+parametros_manuales!$G$30*(datos_base!$E$5+IF(parametros_manuales!$H$30="Todos",datos_base!$E$12,0))*parametros_manuales!$K$110+parametros_manuales!$G$30*(datos_base!$E$21+IF(parametros_manuales!$H$30="Todos",datos_base!$E$26,0))*parametros_manuales!$K$15)*parametros_manuales!$I$30*parametros_manuales!$J$30</f>
        <v>4473.7809878035</v>
      </c>
      <c r="L94" s="9" t="n">
        <f aca="false">(parametros_manuales!$D$30*(datos_base!$E$2+IF(parametros_manuales!$H$30="Todos",datos_base!$E$9,0))*parametros_manuales!$L$95+parametros_manuales!$D$30*(datos_base!$E$18+IF(parametros_manuales!$H$30="Todos",datos_base!$E$23,0))*parametros_manuales!$L$12+parametros_manuales!$E$30*(datos_base!$E$3+IF(parametros_manuales!$H$30="Todos",datos_base!$E$10,0))*parametros_manuales!$L$100+parametros_manuales!$E$30*(datos_base!$E$19+IF(parametros_manuales!$H$30="Todos",datos_base!$E$24,0))*parametros_manuales!$L$13+parametros_manuales!$F$30*(datos_base!$E$4+IF(parametros_manuales!$H$30="Todos",datos_base!$E$11,0))*parametros_manuales!$L$105+parametros_manuales!$F$30*(datos_base!$E$20+IF(parametros_manuales!$H$30="Todos",datos_base!$E$25,0))*parametros_manuales!$L$14+parametros_manuales!$G$30*(datos_base!$E$5+IF(parametros_manuales!$H$30="Todos",datos_base!$E$12,0))*parametros_manuales!$L$110+parametros_manuales!$G$30*(datos_base!$E$21+IF(parametros_manuales!$H$30="Todos",datos_base!$E$26,0))*parametros_manuales!$L$15)*parametros_manuales!$I$30*parametros_manuales!$J$30</f>
        <v>4548.554657709</v>
      </c>
      <c r="M94" s="9" t="n">
        <f aca="false">(parametros_manuales!$D$30*(datos_base!$E$2+IF(parametros_manuales!$H$30="Todos",datos_base!$E$9,0))*parametros_manuales!$M$95+parametros_manuales!$D$30*(datos_base!$E$18+IF(parametros_manuales!$H$30="Todos",datos_base!$E$23,0))*parametros_manuales!$M$12+parametros_manuales!$E$30*(datos_base!$E$3+IF(parametros_manuales!$H$30="Todos",datos_base!$E$10,0))*parametros_manuales!$M$100+parametros_manuales!$E$30*(datos_base!$E$19+IF(parametros_manuales!$H$30="Todos",datos_base!$E$24,0))*parametros_manuales!$M$13+parametros_manuales!$F$30*(datos_base!$E$4+IF(parametros_manuales!$H$30="Todos",datos_base!$E$11,0))*parametros_manuales!$M$105+parametros_manuales!$F$30*(datos_base!$E$20+IF(parametros_manuales!$H$30="Todos",datos_base!$E$25,0))*parametros_manuales!$M$14+parametros_manuales!$G$30*(datos_base!$E$5+IF(parametros_manuales!$H$30="Todos",datos_base!$E$12,0))*parametros_manuales!$M$110+parametros_manuales!$G$30*(datos_base!$E$21+IF(parametros_manuales!$H$30="Todos",datos_base!$E$26,0))*parametros_manuales!$M$15)*parametros_manuales!$I$30*parametros_manuales!$J$30</f>
        <v>4558.068257709</v>
      </c>
      <c r="N94" s="9" t="n">
        <f aca="false">SUM(B94:M94)</f>
        <v>50592.3495301</v>
      </c>
      <c r="O94" s="9" t="n">
        <f aca="false">MAX(B94:M94)</f>
        <v>4558.068257709</v>
      </c>
      <c r="P94" s="44" t="n">
        <f aca="false">O94/(parametros_manuales!$B$7)</f>
        <v>30.38712171806</v>
      </c>
      <c r="Q94" s="8" t="str">
        <f aca="false">IF(O94=0,"-",INDEX($B$82:$M$82,MATCH(O94,B94:M94,0)))</f>
        <v>Dic</v>
      </c>
    </row>
    <row r="95" customFormat="false" ht="14.25" hidden="false" customHeight="true" outlineLevel="0" collapsed="false">
      <c r="A95" s="8" t="str">
        <f aca="false">parametros_manuales!$B$31</f>
        <v>Control de calidad — Espesor</v>
      </c>
      <c r="B95" s="9" t="n">
        <f aca="false">(parametros_manuales!$D$31*(datos_base!$E$2+IF(parametros_manuales!$H$31="Todos",datos_base!$E$9,0))*parametros_manuales!$B$95+parametros_manuales!$D$31*(datos_base!$E$18+IF(parametros_manuales!$H$31="Todos",datos_base!$E$23,0))*parametros_manuales!$B$12+parametros_manuales!$E$31*(datos_base!$E$3+IF(parametros_manuales!$H$31="Todos",datos_base!$E$10,0))*parametros_manuales!$B$100+parametros_manuales!$E$31*(datos_base!$E$19+IF(parametros_manuales!$H$31="Todos",datos_base!$E$24,0))*parametros_manuales!$B$13+parametros_manuales!$F$31*(datos_base!$E$4+IF(parametros_manuales!$H$31="Todos",datos_base!$E$11,0))*parametros_manuales!$B$105+parametros_manuales!$F$31*(datos_base!$E$20+IF(parametros_manuales!$H$31="Todos",datos_base!$E$25,0))*parametros_manuales!$B$14+parametros_manuales!$G$31*(datos_base!$E$5+IF(parametros_manuales!$H$31="Todos",datos_base!$E$12,0))*parametros_manuales!$B$110+parametros_manuales!$G$31*(datos_base!$E$21+IF(parametros_manuales!$H$31="Todos",datos_base!$E$26,0))*parametros_manuales!$B$15)*parametros_manuales!$I$31*parametros_manuales!$J$31</f>
        <v>91.11379715418</v>
      </c>
      <c r="C95" s="9" t="n">
        <f aca="false">(parametros_manuales!$D$31*(datos_base!$E$2+IF(parametros_manuales!$H$31="Todos",datos_base!$E$9,0))*parametros_manuales!$C$95+parametros_manuales!$D$31*(datos_base!$E$18+IF(parametros_manuales!$H$31="Todos",datos_base!$E$23,0))*parametros_manuales!$C$12+parametros_manuales!$E$31*(datos_base!$E$3+IF(parametros_manuales!$H$31="Todos",datos_base!$E$10,0))*parametros_manuales!$C$100+parametros_manuales!$E$31*(datos_base!$E$19+IF(parametros_manuales!$H$31="Todos",datos_base!$E$24,0))*parametros_manuales!$C$13+parametros_manuales!$F$31*(datos_base!$E$4+IF(parametros_manuales!$H$31="Todos",datos_base!$E$11,0))*parametros_manuales!$C$105+parametros_manuales!$F$31*(datos_base!$E$20+IF(parametros_manuales!$H$31="Todos",datos_base!$E$25,0))*parametros_manuales!$C$14+parametros_manuales!$G$31*(datos_base!$E$5+IF(parametros_manuales!$H$31="Todos",datos_base!$E$12,0))*parametros_manuales!$C$110+parametros_manuales!$G$31*(datos_base!$E$21+IF(parametros_manuales!$H$31="Todos",datos_base!$E$26,0))*parametros_manuales!$C$15)*parametros_manuales!$I$31*parametros_manuales!$J$31</f>
        <v>87.98014635796</v>
      </c>
      <c r="D95" s="9" t="n">
        <f aca="false">(parametros_manuales!$D$31*(datos_base!$E$2+IF(parametros_manuales!$H$31="Todos",datos_base!$E$9,0))*parametros_manuales!$D$95+parametros_manuales!$D$31*(datos_base!$E$18+IF(parametros_manuales!$H$31="Todos",datos_base!$E$23,0))*parametros_manuales!$D$12+parametros_manuales!$E$31*(datos_base!$E$3+IF(parametros_manuales!$H$31="Todos",datos_base!$E$10,0))*parametros_manuales!$D$100+parametros_manuales!$E$31*(datos_base!$E$19+IF(parametros_manuales!$H$31="Todos",datos_base!$E$24,0))*parametros_manuales!$D$13+parametros_manuales!$F$31*(datos_base!$E$4+IF(parametros_manuales!$H$31="Todos",datos_base!$E$11,0))*parametros_manuales!$D$105+parametros_manuales!$F$31*(datos_base!$E$20+IF(parametros_manuales!$H$31="Todos",datos_base!$E$25,0))*parametros_manuales!$D$14+parametros_manuales!$G$31*(datos_base!$E$5+IF(parametros_manuales!$H$31="Todos",datos_base!$E$12,0))*parametros_manuales!$D$110+parametros_manuales!$G$31*(datos_base!$E$21+IF(parametros_manuales!$H$31="Todos",datos_base!$E$26,0))*parametros_manuales!$D$15)*parametros_manuales!$I$31*parametros_manuales!$J$31</f>
        <v>82.49080064627</v>
      </c>
      <c r="E95" s="9" t="n">
        <f aca="false">(parametros_manuales!$D$31*(datos_base!$E$2+IF(parametros_manuales!$H$31="Todos",datos_base!$E$9,0))*parametros_manuales!$E$95+parametros_manuales!$D$31*(datos_base!$E$18+IF(parametros_manuales!$H$31="Todos",datos_base!$E$23,0))*parametros_manuales!$E$12+parametros_manuales!$E$31*(datos_base!$E$3+IF(parametros_manuales!$H$31="Todos",datos_base!$E$10,0))*parametros_manuales!$E$100+parametros_manuales!$E$31*(datos_base!$E$19+IF(parametros_manuales!$H$31="Todos",datos_base!$E$24,0))*parametros_manuales!$E$13+parametros_manuales!$F$31*(datos_base!$E$4+IF(parametros_manuales!$H$31="Todos",datos_base!$E$11,0))*parametros_manuales!$E$105+parametros_manuales!$F$31*(datos_base!$E$20+IF(parametros_manuales!$H$31="Todos",datos_base!$E$25,0))*parametros_manuales!$E$14+parametros_manuales!$G$31*(datos_base!$E$5+IF(parametros_manuales!$H$31="Todos",datos_base!$E$12,0))*parametros_manuales!$E$110+parametros_manuales!$G$31*(datos_base!$E$21+IF(parametros_manuales!$H$31="Todos",datos_base!$E$26,0))*parametros_manuales!$E$15)*parametros_manuales!$I$31*parametros_manuales!$J$31</f>
        <v>78.97460709137</v>
      </c>
      <c r="F95" s="9" t="n">
        <f aca="false">(parametros_manuales!$D$31*(datos_base!$E$2+IF(parametros_manuales!$H$31="Todos",datos_base!$E$9,0))*parametros_manuales!$F$95+parametros_manuales!$D$31*(datos_base!$E$18+IF(parametros_manuales!$H$31="Todos",datos_base!$E$23,0))*parametros_manuales!$F$12+parametros_manuales!$E$31*(datos_base!$E$3+IF(parametros_manuales!$H$31="Todos",datos_base!$E$10,0))*parametros_manuales!$F$100+parametros_manuales!$E$31*(datos_base!$E$19+IF(parametros_manuales!$H$31="Todos",datos_base!$E$24,0))*parametros_manuales!$F$13+parametros_manuales!$F$31*(datos_base!$E$4+IF(parametros_manuales!$H$31="Todos",datos_base!$E$11,0))*parametros_manuales!$F$105+parametros_manuales!$F$31*(datos_base!$E$20+IF(parametros_manuales!$H$31="Todos",datos_base!$E$25,0))*parametros_manuales!$F$14+parametros_manuales!$G$31*(datos_base!$E$5+IF(parametros_manuales!$H$31="Todos",datos_base!$E$12,0))*parametros_manuales!$F$110+parametros_manuales!$G$31*(datos_base!$E$21+IF(parametros_manuales!$H$31="Todos",datos_base!$E$26,0))*parametros_manuales!$F$15)*parametros_manuales!$I$31*parametros_manuales!$J$31</f>
        <v>73.91537213836</v>
      </c>
      <c r="G95" s="9" t="n">
        <f aca="false">(parametros_manuales!$D$31*(datos_base!$E$2+IF(parametros_manuales!$H$31="Todos",datos_base!$E$9,0))*parametros_manuales!$G$95+parametros_manuales!$D$31*(datos_base!$E$18+IF(parametros_manuales!$H$31="Todos",datos_base!$E$23,0))*parametros_manuales!$G$12+parametros_manuales!$E$31*(datos_base!$E$3+IF(parametros_manuales!$H$31="Todos",datos_base!$E$10,0))*parametros_manuales!$G$100+parametros_manuales!$E$31*(datos_base!$E$19+IF(parametros_manuales!$H$31="Todos",datos_base!$E$24,0))*parametros_manuales!$G$13+parametros_manuales!$F$31*(datos_base!$E$4+IF(parametros_manuales!$H$31="Todos",datos_base!$E$11,0))*parametros_manuales!$G$105+parametros_manuales!$F$31*(datos_base!$E$20+IF(parametros_manuales!$H$31="Todos",datos_base!$E$25,0))*parametros_manuales!$G$14+parametros_manuales!$G$31*(datos_base!$E$5+IF(parametros_manuales!$H$31="Todos",datos_base!$E$12,0))*parametros_manuales!$G$110+parametros_manuales!$G$31*(datos_base!$E$21+IF(parametros_manuales!$H$31="Todos",datos_base!$E$26,0))*parametros_manuales!$G$15)*parametros_manuales!$I$31*parametros_manuales!$J$31</f>
        <v>72.37233074025</v>
      </c>
      <c r="H95" s="9" t="n">
        <f aca="false">(parametros_manuales!$D$31*(datos_base!$E$2+IF(parametros_manuales!$H$31="Todos",datos_base!$E$9,0))*parametros_manuales!$H$95+parametros_manuales!$D$31*(datos_base!$E$18+IF(parametros_manuales!$H$31="Todos",datos_base!$E$23,0))*parametros_manuales!$H$12+parametros_manuales!$E$31*(datos_base!$E$3+IF(parametros_manuales!$H$31="Todos",datos_base!$E$10,0))*parametros_manuales!$H$100+parametros_manuales!$E$31*(datos_base!$E$19+IF(parametros_manuales!$H$31="Todos",datos_base!$E$24,0))*parametros_manuales!$H$13+parametros_manuales!$F$31*(datos_base!$E$4+IF(parametros_manuales!$H$31="Todos",datos_base!$E$11,0))*parametros_manuales!$H$105+parametros_manuales!$F$31*(datos_base!$E$20+IF(parametros_manuales!$H$31="Todos",datos_base!$E$25,0))*parametros_manuales!$H$14+parametros_manuales!$G$31*(datos_base!$E$5+IF(parametros_manuales!$H$31="Todos",datos_base!$E$12,0))*parametros_manuales!$H$110+parametros_manuales!$G$31*(datos_base!$E$21+IF(parametros_manuales!$H$31="Todos",datos_base!$E$26,0))*parametros_manuales!$H$15)*parametros_manuales!$I$31*parametros_manuales!$J$31</f>
        <v>77.43156569326</v>
      </c>
      <c r="I95" s="9" t="n">
        <f aca="false">(parametros_manuales!$D$31*(datos_base!$E$2+IF(parametros_manuales!$H$31="Todos",datos_base!$E$9,0))*parametros_manuales!$I$95+parametros_manuales!$D$31*(datos_base!$E$18+IF(parametros_manuales!$H$31="Todos",datos_base!$E$23,0))*parametros_manuales!$I$12+parametros_manuales!$E$31*(datos_base!$E$3+IF(parametros_manuales!$H$31="Todos",datos_base!$E$10,0))*parametros_manuales!$I$100+parametros_manuales!$E$31*(datos_base!$E$19+IF(parametros_manuales!$H$31="Todos",datos_base!$E$24,0))*parametros_manuales!$I$13+parametros_manuales!$F$31*(datos_base!$E$4+IF(parametros_manuales!$H$31="Todos",datos_base!$E$11,0))*parametros_manuales!$I$105+parametros_manuales!$F$31*(datos_base!$E$20+IF(parametros_manuales!$H$31="Todos",datos_base!$E$25,0))*parametros_manuales!$I$14+parametros_manuales!$G$31*(datos_base!$E$5+IF(parametros_manuales!$H$31="Todos",datos_base!$E$12,0))*parametros_manuales!$I$110+parametros_manuales!$G$31*(datos_base!$E$21+IF(parametros_manuales!$H$31="Todos",datos_base!$E$26,0))*parametros_manuales!$I$15)*parametros_manuales!$I$31*parametros_manuales!$J$31</f>
        <v>87.98014635796</v>
      </c>
      <c r="J95" s="9" t="n">
        <f aca="false">(parametros_manuales!$D$31*(datos_base!$E$2+IF(parametros_manuales!$H$31="Todos",datos_base!$E$9,0))*parametros_manuales!$J$95+parametros_manuales!$D$31*(datos_base!$E$18+IF(parametros_manuales!$H$31="Todos",datos_base!$E$23,0))*parametros_manuales!$J$12+parametros_manuales!$E$31*(datos_base!$E$3+IF(parametros_manuales!$H$31="Todos",datos_base!$E$10,0))*parametros_manuales!$J$100+parametros_manuales!$E$31*(datos_base!$E$19+IF(parametros_manuales!$H$31="Todos",datos_base!$E$24,0))*parametros_manuales!$J$13+parametros_manuales!$F$31*(datos_base!$E$4+IF(parametros_manuales!$H$31="Todos",datos_base!$E$11,0))*parametros_manuales!$J$105+parametros_manuales!$F$31*(datos_base!$E$20+IF(parametros_manuales!$H$31="Todos",datos_base!$E$25,0))*parametros_manuales!$J$14+parametros_manuales!$G$31*(datos_base!$E$5+IF(parametros_manuales!$H$31="Todos",datos_base!$E$12,0))*parametros_manuales!$J$110+parametros_manuales!$G$31*(datos_base!$E$21+IF(parametros_manuales!$H$31="Todos",datos_base!$E$26,0))*parametros_manuales!$J$15)*parametros_manuales!$I$31*parametros_manuales!$J$31</f>
        <v>87.98014635796</v>
      </c>
      <c r="K95" s="9" t="n">
        <f aca="false">(parametros_manuales!$D$31*(datos_base!$E$2+IF(parametros_manuales!$H$31="Todos",datos_base!$E$9,0))*parametros_manuales!$K$95+parametros_manuales!$D$31*(datos_base!$E$18+IF(parametros_manuales!$H$31="Todos",datos_base!$E$23,0))*parametros_manuales!$K$12+parametros_manuales!$E$31*(datos_base!$E$3+IF(parametros_manuales!$H$31="Todos",datos_base!$E$10,0))*parametros_manuales!$K$100+parametros_manuales!$E$31*(datos_base!$E$19+IF(parametros_manuales!$H$31="Todos",datos_base!$E$24,0))*parametros_manuales!$K$13+parametros_manuales!$F$31*(datos_base!$E$4+IF(parametros_manuales!$H$31="Todos",datos_base!$E$11,0))*parametros_manuales!$K$105+parametros_manuales!$F$31*(datos_base!$E$20+IF(parametros_manuales!$H$31="Todos",datos_base!$E$25,0))*parametros_manuales!$K$14+parametros_manuales!$G$31*(datos_base!$E$5+IF(parametros_manuales!$H$31="Todos",datos_base!$E$12,0))*parametros_manuales!$K$110+parametros_manuales!$G$31*(datos_base!$E$21+IF(parametros_manuales!$H$31="Todos",datos_base!$E$26,0))*parametros_manuales!$K$15)*parametros_manuales!$I$31*parametros_manuales!$J$31</f>
        <v>89.47561975607</v>
      </c>
      <c r="L95" s="9" t="n">
        <f aca="false">(parametros_manuales!$D$31*(datos_base!$E$2+IF(parametros_manuales!$H$31="Todos",datos_base!$E$9,0))*parametros_manuales!$L$95+parametros_manuales!$D$31*(datos_base!$E$18+IF(parametros_manuales!$H$31="Todos",datos_base!$E$23,0))*parametros_manuales!$L$12+parametros_manuales!$E$31*(datos_base!$E$3+IF(parametros_manuales!$H$31="Todos",datos_base!$E$10,0))*parametros_manuales!$L$100+parametros_manuales!$E$31*(datos_base!$E$19+IF(parametros_manuales!$H$31="Todos",datos_base!$E$24,0))*parametros_manuales!$L$13+parametros_manuales!$F$31*(datos_base!$E$4+IF(parametros_manuales!$H$31="Todos",datos_base!$E$11,0))*parametros_manuales!$L$105+parametros_manuales!$F$31*(datos_base!$E$20+IF(parametros_manuales!$H$31="Todos",datos_base!$E$25,0))*parametros_manuales!$L$14+parametros_manuales!$G$31*(datos_base!$E$5+IF(parametros_manuales!$H$31="Todos",datos_base!$E$12,0))*parametros_manuales!$L$110+parametros_manuales!$G$31*(datos_base!$E$21+IF(parametros_manuales!$H$31="Todos",datos_base!$E$26,0))*parametros_manuales!$L$15)*parametros_manuales!$I$31*parametros_manuales!$J$31</f>
        <v>90.97109315418</v>
      </c>
      <c r="M95" s="9" t="n">
        <f aca="false">(parametros_manuales!$D$31*(datos_base!$E$2+IF(parametros_manuales!$H$31="Todos",datos_base!$E$9,0))*parametros_manuales!$M$95+parametros_manuales!$D$31*(datos_base!$E$18+IF(parametros_manuales!$H$31="Todos",datos_base!$E$23,0))*parametros_manuales!$M$12+parametros_manuales!$E$31*(datos_base!$E$3+IF(parametros_manuales!$H$31="Todos",datos_base!$E$10,0))*parametros_manuales!$M$100+parametros_manuales!$E$31*(datos_base!$E$19+IF(parametros_manuales!$H$31="Todos",datos_base!$E$24,0))*parametros_manuales!$M$13+parametros_manuales!$F$31*(datos_base!$E$4+IF(parametros_manuales!$H$31="Todos",datos_base!$E$11,0))*parametros_manuales!$M$105+parametros_manuales!$F$31*(datos_base!$E$20+IF(parametros_manuales!$H$31="Todos",datos_base!$E$25,0))*parametros_manuales!$M$14+parametros_manuales!$G$31*(datos_base!$E$5+IF(parametros_manuales!$H$31="Todos",datos_base!$E$12,0))*parametros_manuales!$M$110+parametros_manuales!$G$31*(datos_base!$E$21+IF(parametros_manuales!$H$31="Todos",datos_base!$E$26,0))*parametros_manuales!$M$15)*parametros_manuales!$I$31*parametros_manuales!$J$31</f>
        <v>91.16136515418</v>
      </c>
      <c r="N95" s="9" t="n">
        <f aca="false">SUM(B95:M95)</f>
        <v>1011.846990602</v>
      </c>
      <c r="O95" s="9" t="n">
        <f aca="false">MAX(B95:M95)</f>
        <v>91.16136515418</v>
      </c>
      <c r="P95" s="44" t="n">
        <f aca="false">O95/(parametros_manuales!$B$7)</f>
        <v>0.6077424343612</v>
      </c>
      <c r="Q95" s="8" t="str">
        <f aca="false">IF(O95=0,"-",INDEX($B$82:$M$82,MATCH(O95,B95:M95,0)))</f>
        <v>Dic</v>
      </c>
    </row>
    <row r="96" customFormat="false" ht="14.25" hidden="false" customHeight="true" outlineLevel="0" collapsed="false">
      <c r="A96" s="8" t="str">
        <f aca="false">parametros_manuales!$B$32</f>
        <v>Prueba hidráulica</v>
      </c>
      <c r="B96" s="9" t="n">
        <f aca="false">(parametros_manuales!$D$32*(datos_base!$E$2+IF(parametros_manuales!$H$32="Todos",datos_base!$E$9,0))*parametros_manuales!$B$95+parametros_manuales!$D$32*(datos_base!$E$18+IF(parametros_manuales!$H$32="Todos",datos_base!$E$23,0))*parametros_manuales!$B$12+parametros_manuales!$E$32*(datos_base!$E$3+IF(parametros_manuales!$H$32="Todos",datos_base!$E$10,0))*parametros_manuales!$B$100+parametros_manuales!$E$32*(datos_base!$E$19+IF(parametros_manuales!$H$32="Todos",datos_base!$E$24,0))*parametros_manuales!$B$13+parametros_manuales!$F$32*(datos_base!$E$4+IF(parametros_manuales!$H$32="Todos",datos_base!$E$11,0))*parametros_manuales!$B$105+parametros_manuales!$F$32*(datos_base!$E$20+IF(parametros_manuales!$H$32="Todos",datos_base!$E$25,0))*parametros_manuales!$B$14+parametros_manuales!$G$32*(datos_base!$E$5+IF(parametros_manuales!$H$32="Todos",datos_base!$E$12,0))*parametros_manuales!$B$110+parametros_manuales!$G$32*(datos_base!$E$21+IF(parametros_manuales!$H$32="Todos",datos_base!$E$26,0))*parametros_manuales!$B$15)*parametros_manuales!$I$32*parametros_manuales!$J$32</f>
        <v>4555.689857709</v>
      </c>
      <c r="C96" s="9" t="n">
        <f aca="false">(parametros_manuales!$D$32*(datos_base!$E$2+IF(parametros_manuales!$H$32="Todos",datos_base!$E$9,0))*parametros_manuales!$C$95+parametros_manuales!$D$32*(datos_base!$E$18+IF(parametros_manuales!$H$32="Todos",datos_base!$E$23,0))*parametros_manuales!$C$12+parametros_manuales!$E$32*(datos_base!$E$3+IF(parametros_manuales!$H$32="Todos",datos_base!$E$10,0))*parametros_manuales!$C$100+parametros_manuales!$E$32*(datos_base!$E$19+IF(parametros_manuales!$H$32="Todos",datos_base!$E$24,0))*parametros_manuales!$C$13+parametros_manuales!$F$32*(datos_base!$E$4+IF(parametros_manuales!$H$32="Todos",datos_base!$E$11,0))*parametros_manuales!$C$105+parametros_manuales!$F$32*(datos_base!$E$20+IF(parametros_manuales!$H$32="Todos",datos_base!$E$25,0))*parametros_manuales!$C$14+parametros_manuales!$G$32*(datos_base!$E$5+IF(parametros_manuales!$H$32="Todos",datos_base!$E$12,0))*parametros_manuales!$C$110+parametros_manuales!$G$32*(datos_base!$E$21+IF(parametros_manuales!$H$32="Todos",datos_base!$E$26,0))*parametros_manuales!$C$15)*parametros_manuales!$I$32*parametros_manuales!$J$32</f>
        <v>4399.007317898</v>
      </c>
      <c r="D96" s="9" t="n">
        <f aca="false">(parametros_manuales!$D$32*(datos_base!$E$2+IF(parametros_manuales!$H$32="Todos",datos_base!$E$9,0))*parametros_manuales!$D$95+parametros_manuales!$D$32*(datos_base!$E$18+IF(parametros_manuales!$H$32="Todos",datos_base!$E$23,0))*parametros_manuales!$D$12+parametros_manuales!$E$32*(datos_base!$E$3+IF(parametros_manuales!$H$32="Todos",datos_base!$E$10,0))*parametros_manuales!$D$100+parametros_manuales!$E$32*(datos_base!$E$19+IF(parametros_manuales!$H$32="Todos",datos_base!$E$24,0))*parametros_manuales!$D$13+parametros_manuales!$F$32*(datos_base!$E$4+IF(parametros_manuales!$H$32="Todos",datos_base!$E$11,0))*parametros_manuales!$D$105+parametros_manuales!$F$32*(datos_base!$E$20+IF(parametros_manuales!$H$32="Todos",datos_base!$E$25,0))*parametros_manuales!$D$14+parametros_manuales!$G$32*(datos_base!$E$5+IF(parametros_manuales!$H$32="Todos",datos_base!$E$12,0))*parametros_manuales!$D$110+parametros_manuales!$G$32*(datos_base!$E$21+IF(parametros_manuales!$H$32="Todos",datos_base!$E$26,0))*parametros_manuales!$D$15)*parametros_manuales!$I$32*parametros_manuales!$J$32</f>
        <v>4124.5400323135</v>
      </c>
      <c r="E96" s="9" t="n">
        <f aca="false">(parametros_manuales!$D$32*(datos_base!$E$2+IF(parametros_manuales!$H$32="Todos",datos_base!$E$9,0))*parametros_manuales!$E$95+parametros_manuales!$D$32*(datos_base!$E$18+IF(parametros_manuales!$H$32="Todos",datos_base!$E$23,0))*parametros_manuales!$E$12+parametros_manuales!$E$32*(datos_base!$E$3+IF(parametros_manuales!$H$32="Todos",datos_base!$E$10,0))*parametros_manuales!$E$100+parametros_manuales!$E$32*(datos_base!$E$19+IF(parametros_manuales!$H$32="Todos",datos_base!$E$24,0))*parametros_manuales!$E$13+parametros_manuales!$F$32*(datos_base!$E$4+IF(parametros_manuales!$H$32="Todos",datos_base!$E$11,0))*parametros_manuales!$E$105+parametros_manuales!$F$32*(datos_base!$E$20+IF(parametros_manuales!$H$32="Todos",datos_base!$E$25,0))*parametros_manuales!$E$14+parametros_manuales!$G$32*(datos_base!$E$5+IF(parametros_manuales!$H$32="Todos",datos_base!$E$12,0))*parametros_manuales!$E$110+parametros_manuales!$G$32*(datos_base!$E$21+IF(parametros_manuales!$H$32="Todos",datos_base!$E$26,0))*parametros_manuales!$E$15)*parametros_manuales!$I$32*parametros_manuales!$J$32</f>
        <v>3948.7303545685</v>
      </c>
      <c r="F96" s="9" t="n">
        <f aca="false">(parametros_manuales!$D$32*(datos_base!$E$2+IF(parametros_manuales!$H$32="Todos",datos_base!$E$9,0))*parametros_manuales!$F$95+parametros_manuales!$D$32*(datos_base!$E$18+IF(parametros_manuales!$H$32="Todos",datos_base!$E$23,0))*parametros_manuales!$F$12+parametros_manuales!$E$32*(datos_base!$E$3+IF(parametros_manuales!$H$32="Todos",datos_base!$E$10,0))*parametros_manuales!$F$100+parametros_manuales!$E$32*(datos_base!$E$19+IF(parametros_manuales!$H$32="Todos",datos_base!$E$24,0))*parametros_manuales!$F$13+parametros_manuales!$F$32*(datos_base!$E$4+IF(parametros_manuales!$H$32="Todos",datos_base!$E$11,0))*parametros_manuales!$F$105+parametros_manuales!$F$32*(datos_base!$E$20+IF(parametros_manuales!$H$32="Todos",datos_base!$E$25,0))*parametros_manuales!$F$14+parametros_manuales!$G$32*(datos_base!$E$5+IF(parametros_manuales!$H$32="Todos",datos_base!$E$12,0))*parametros_manuales!$F$110+parametros_manuales!$G$32*(datos_base!$E$21+IF(parametros_manuales!$H$32="Todos",datos_base!$E$26,0))*parametros_manuales!$F$15)*parametros_manuales!$I$32*parametros_manuales!$J$32</f>
        <v>3695.768606918</v>
      </c>
      <c r="G96" s="9" t="n">
        <f aca="false">(parametros_manuales!$D$32*(datos_base!$E$2+IF(parametros_manuales!$H$32="Todos",datos_base!$E$9,0))*parametros_manuales!$G$95+parametros_manuales!$D$32*(datos_base!$E$18+IF(parametros_manuales!$H$32="Todos",datos_base!$E$23,0))*parametros_manuales!$G$12+parametros_manuales!$E$32*(datos_base!$E$3+IF(parametros_manuales!$H$32="Todos",datos_base!$E$10,0))*parametros_manuales!$G$100+parametros_manuales!$E$32*(datos_base!$E$19+IF(parametros_manuales!$H$32="Todos",datos_base!$E$24,0))*parametros_manuales!$G$13+parametros_manuales!$F$32*(datos_base!$E$4+IF(parametros_manuales!$H$32="Todos",datos_base!$E$11,0))*parametros_manuales!$G$105+parametros_manuales!$F$32*(datos_base!$E$20+IF(parametros_manuales!$H$32="Todos",datos_base!$E$25,0))*parametros_manuales!$G$14+parametros_manuales!$G$32*(datos_base!$E$5+IF(parametros_manuales!$H$32="Todos",datos_base!$E$12,0))*parametros_manuales!$G$110+parametros_manuales!$G$32*(datos_base!$E$21+IF(parametros_manuales!$H$32="Todos",datos_base!$E$26,0))*parametros_manuales!$G$15)*parametros_manuales!$I$32*parametros_manuales!$J$32</f>
        <v>3618.6165370125</v>
      </c>
      <c r="H96" s="9" t="n">
        <f aca="false">(parametros_manuales!$D$32*(datos_base!$E$2+IF(parametros_manuales!$H$32="Todos",datos_base!$E$9,0))*parametros_manuales!$H$95+parametros_manuales!$D$32*(datos_base!$E$18+IF(parametros_manuales!$H$32="Todos",datos_base!$E$23,0))*parametros_manuales!$H$12+parametros_manuales!$E$32*(datos_base!$E$3+IF(parametros_manuales!$H$32="Todos",datos_base!$E$10,0))*parametros_manuales!$H$100+parametros_manuales!$E$32*(datos_base!$E$19+IF(parametros_manuales!$H$32="Todos",datos_base!$E$24,0))*parametros_manuales!$H$13+parametros_manuales!$F$32*(datos_base!$E$4+IF(parametros_manuales!$H$32="Todos",datos_base!$E$11,0))*parametros_manuales!$H$105+parametros_manuales!$F$32*(datos_base!$E$20+IF(parametros_manuales!$H$32="Todos",datos_base!$E$25,0))*parametros_manuales!$H$14+parametros_manuales!$G$32*(datos_base!$E$5+IF(parametros_manuales!$H$32="Todos",datos_base!$E$12,0))*parametros_manuales!$H$110+parametros_manuales!$G$32*(datos_base!$E$21+IF(parametros_manuales!$H$32="Todos",datos_base!$E$26,0))*parametros_manuales!$H$15)*parametros_manuales!$I$32*parametros_manuales!$J$32</f>
        <v>3871.578284663</v>
      </c>
      <c r="I96" s="9" t="n">
        <f aca="false">(parametros_manuales!$D$32*(datos_base!$E$2+IF(parametros_manuales!$H$32="Todos",datos_base!$E$9,0))*parametros_manuales!$I$95+parametros_manuales!$D$32*(datos_base!$E$18+IF(parametros_manuales!$H$32="Todos",datos_base!$E$23,0))*parametros_manuales!$I$12+parametros_manuales!$E$32*(datos_base!$E$3+IF(parametros_manuales!$H$32="Todos",datos_base!$E$10,0))*parametros_manuales!$I$100+parametros_manuales!$E$32*(datos_base!$E$19+IF(parametros_manuales!$H$32="Todos",datos_base!$E$24,0))*parametros_manuales!$I$13+parametros_manuales!$F$32*(datos_base!$E$4+IF(parametros_manuales!$H$32="Todos",datos_base!$E$11,0))*parametros_manuales!$I$105+parametros_manuales!$F$32*(datos_base!$E$20+IF(parametros_manuales!$H$32="Todos",datos_base!$E$25,0))*parametros_manuales!$I$14+parametros_manuales!$G$32*(datos_base!$E$5+IF(parametros_manuales!$H$32="Todos",datos_base!$E$12,0))*parametros_manuales!$I$110+parametros_manuales!$G$32*(datos_base!$E$21+IF(parametros_manuales!$H$32="Todos",datos_base!$E$26,0))*parametros_manuales!$I$15)*parametros_manuales!$I$32*parametros_manuales!$J$32</f>
        <v>4399.007317898</v>
      </c>
      <c r="J96" s="9" t="n">
        <f aca="false">(parametros_manuales!$D$32*(datos_base!$E$2+IF(parametros_manuales!$H$32="Todos",datos_base!$E$9,0))*parametros_manuales!$J$95+parametros_manuales!$D$32*(datos_base!$E$18+IF(parametros_manuales!$H$32="Todos",datos_base!$E$23,0))*parametros_manuales!$J$12+parametros_manuales!$E$32*(datos_base!$E$3+IF(parametros_manuales!$H$32="Todos",datos_base!$E$10,0))*parametros_manuales!$J$100+parametros_manuales!$E$32*(datos_base!$E$19+IF(parametros_manuales!$H$32="Todos",datos_base!$E$24,0))*parametros_manuales!$J$13+parametros_manuales!$F$32*(datos_base!$E$4+IF(parametros_manuales!$H$32="Todos",datos_base!$E$11,0))*parametros_manuales!$J$105+parametros_manuales!$F$32*(datos_base!$E$20+IF(parametros_manuales!$H$32="Todos",datos_base!$E$25,0))*parametros_manuales!$J$14+parametros_manuales!$G$32*(datos_base!$E$5+IF(parametros_manuales!$H$32="Todos",datos_base!$E$12,0))*parametros_manuales!$J$110+parametros_manuales!$G$32*(datos_base!$E$21+IF(parametros_manuales!$H$32="Todos",datos_base!$E$26,0))*parametros_manuales!$J$15)*parametros_manuales!$I$32*parametros_manuales!$J$32</f>
        <v>4399.007317898</v>
      </c>
      <c r="K96" s="9" t="n">
        <f aca="false">(parametros_manuales!$D$32*(datos_base!$E$2+IF(parametros_manuales!$H$32="Todos",datos_base!$E$9,0))*parametros_manuales!$K$95+parametros_manuales!$D$32*(datos_base!$E$18+IF(parametros_manuales!$H$32="Todos",datos_base!$E$23,0))*parametros_manuales!$K$12+parametros_manuales!$E$32*(datos_base!$E$3+IF(parametros_manuales!$H$32="Todos",datos_base!$E$10,0))*parametros_manuales!$K$100+parametros_manuales!$E$32*(datos_base!$E$19+IF(parametros_manuales!$H$32="Todos",datos_base!$E$24,0))*parametros_manuales!$K$13+parametros_manuales!$F$32*(datos_base!$E$4+IF(parametros_manuales!$H$32="Todos",datos_base!$E$11,0))*parametros_manuales!$K$105+parametros_manuales!$F$32*(datos_base!$E$20+IF(parametros_manuales!$H$32="Todos",datos_base!$E$25,0))*parametros_manuales!$K$14+parametros_manuales!$G$32*(datos_base!$E$5+IF(parametros_manuales!$H$32="Todos",datos_base!$E$12,0))*parametros_manuales!$K$110+parametros_manuales!$G$32*(datos_base!$E$21+IF(parametros_manuales!$H$32="Todos",datos_base!$E$26,0))*parametros_manuales!$K$15)*parametros_manuales!$I$32*parametros_manuales!$J$32</f>
        <v>4473.7809878035</v>
      </c>
      <c r="L96" s="9" t="n">
        <f aca="false">(parametros_manuales!$D$32*(datos_base!$E$2+IF(parametros_manuales!$H$32="Todos",datos_base!$E$9,0))*parametros_manuales!$L$95+parametros_manuales!$D$32*(datos_base!$E$18+IF(parametros_manuales!$H$32="Todos",datos_base!$E$23,0))*parametros_manuales!$L$12+parametros_manuales!$E$32*(datos_base!$E$3+IF(parametros_manuales!$H$32="Todos",datos_base!$E$10,0))*parametros_manuales!$L$100+parametros_manuales!$E$32*(datos_base!$E$19+IF(parametros_manuales!$H$32="Todos",datos_base!$E$24,0))*parametros_manuales!$L$13+parametros_manuales!$F$32*(datos_base!$E$4+IF(parametros_manuales!$H$32="Todos",datos_base!$E$11,0))*parametros_manuales!$L$105+parametros_manuales!$F$32*(datos_base!$E$20+IF(parametros_manuales!$H$32="Todos",datos_base!$E$25,0))*parametros_manuales!$L$14+parametros_manuales!$G$32*(datos_base!$E$5+IF(parametros_manuales!$H$32="Todos",datos_base!$E$12,0))*parametros_manuales!$L$110+parametros_manuales!$G$32*(datos_base!$E$21+IF(parametros_manuales!$H$32="Todos",datos_base!$E$26,0))*parametros_manuales!$L$15)*parametros_manuales!$I$32*parametros_manuales!$J$32</f>
        <v>4548.554657709</v>
      </c>
      <c r="M96" s="9" t="n">
        <f aca="false">(parametros_manuales!$D$32*(datos_base!$E$2+IF(parametros_manuales!$H$32="Todos",datos_base!$E$9,0))*parametros_manuales!$M$95+parametros_manuales!$D$32*(datos_base!$E$18+IF(parametros_manuales!$H$32="Todos",datos_base!$E$23,0))*parametros_manuales!$M$12+parametros_manuales!$E$32*(datos_base!$E$3+IF(parametros_manuales!$H$32="Todos",datos_base!$E$10,0))*parametros_manuales!$M$100+parametros_manuales!$E$32*(datos_base!$E$19+IF(parametros_manuales!$H$32="Todos",datos_base!$E$24,0))*parametros_manuales!$M$13+parametros_manuales!$F$32*(datos_base!$E$4+IF(parametros_manuales!$H$32="Todos",datos_base!$E$11,0))*parametros_manuales!$M$105+parametros_manuales!$F$32*(datos_base!$E$20+IF(parametros_manuales!$H$32="Todos",datos_base!$E$25,0))*parametros_manuales!$M$14+parametros_manuales!$G$32*(datos_base!$E$5+IF(parametros_manuales!$H$32="Todos",datos_base!$E$12,0))*parametros_manuales!$M$110+parametros_manuales!$G$32*(datos_base!$E$21+IF(parametros_manuales!$H$32="Todos",datos_base!$E$26,0))*parametros_manuales!$M$15)*parametros_manuales!$I$32*parametros_manuales!$J$32</f>
        <v>4558.068257709</v>
      </c>
      <c r="N96" s="9" t="n">
        <f aca="false">SUM(B96:M96)</f>
        <v>50592.3495301</v>
      </c>
      <c r="O96" s="9" t="n">
        <f aca="false">MAX(B96:M96)</f>
        <v>4558.068257709</v>
      </c>
      <c r="P96" s="44" t="n">
        <f aca="false">O96/(parametros_manuales!$B$7)</f>
        <v>30.38712171806</v>
      </c>
      <c r="Q96" s="8" t="str">
        <f aca="false">IF(O96=0,"-",INDEX($B$82:$M$82,MATCH(O96,B96:M96,0)))</f>
        <v>Dic</v>
      </c>
    </row>
    <row r="97" customFormat="false" ht="14.25" hidden="false" customHeight="true" outlineLevel="0" collapsed="false">
      <c r="A97" s="8" t="str">
        <f aca="false">parametros_manuales!$B$33</f>
        <v>Secado</v>
      </c>
      <c r="B97" s="9" t="n">
        <f aca="false">(parametros_manuales!$D$33*(datos_base!$E$2+IF(parametros_manuales!$H$33="Todos",datos_base!$E$9,0))*parametros_manuales!$B$95+parametros_manuales!$D$33*(datos_base!$E$18+IF(parametros_manuales!$H$33="Todos",datos_base!$E$23,0))*parametros_manuales!$B$12+parametros_manuales!$E$33*(datos_base!$E$3+IF(parametros_manuales!$H$33="Todos",datos_base!$E$10,0))*parametros_manuales!$B$100+parametros_manuales!$E$33*(datos_base!$E$19+IF(parametros_manuales!$H$33="Todos",datos_base!$E$24,0))*parametros_manuales!$B$13+parametros_manuales!$F$33*(datos_base!$E$4+IF(parametros_manuales!$H$33="Todos",datos_base!$E$11,0))*parametros_manuales!$B$105+parametros_manuales!$F$33*(datos_base!$E$20+IF(parametros_manuales!$H$33="Todos",datos_base!$E$25,0))*parametros_manuales!$B$14+parametros_manuales!$G$33*(datos_base!$E$5+IF(parametros_manuales!$H$33="Todos",datos_base!$E$12,0))*parametros_manuales!$B$110+parametros_manuales!$G$33*(datos_base!$E$21+IF(parametros_manuales!$H$33="Todos",datos_base!$E$26,0))*parametros_manuales!$B$15)*parametros_manuales!$I$33*parametros_manuales!$J$33</f>
        <v>4555.689857709</v>
      </c>
      <c r="C97" s="9" t="n">
        <f aca="false">(parametros_manuales!$D$33*(datos_base!$E$2+IF(parametros_manuales!$H$33="Todos",datos_base!$E$9,0))*parametros_manuales!$C$95+parametros_manuales!$D$33*(datos_base!$E$18+IF(parametros_manuales!$H$33="Todos",datos_base!$E$23,0))*parametros_manuales!$C$12+parametros_manuales!$E$33*(datos_base!$E$3+IF(parametros_manuales!$H$33="Todos",datos_base!$E$10,0))*parametros_manuales!$C$100+parametros_manuales!$E$33*(datos_base!$E$19+IF(parametros_manuales!$H$33="Todos",datos_base!$E$24,0))*parametros_manuales!$C$13+parametros_manuales!$F$33*(datos_base!$E$4+IF(parametros_manuales!$H$33="Todos",datos_base!$E$11,0))*parametros_manuales!$C$105+parametros_manuales!$F$33*(datos_base!$E$20+IF(parametros_manuales!$H$33="Todos",datos_base!$E$25,0))*parametros_manuales!$C$14+parametros_manuales!$G$33*(datos_base!$E$5+IF(parametros_manuales!$H$33="Todos",datos_base!$E$12,0))*parametros_manuales!$C$110+parametros_manuales!$G$33*(datos_base!$E$21+IF(parametros_manuales!$H$33="Todos",datos_base!$E$26,0))*parametros_manuales!$C$15)*parametros_manuales!$I$33*parametros_manuales!$J$33</f>
        <v>4399.007317898</v>
      </c>
      <c r="D97" s="9" t="n">
        <f aca="false">(parametros_manuales!$D$33*(datos_base!$E$2+IF(parametros_manuales!$H$33="Todos",datos_base!$E$9,0))*parametros_manuales!$D$95+parametros_manuales!$D$33*(datos_base!$E$18+IF(parametros_manuales!$H$33="Todos",datos_base!$E$23,0))*parametros_manuales!$D$12+parametros_manuales!$E$33*(datos_base!$E$3+IF(parametros_manuales!$H$33="Todos",datos_base!$E$10,0))*parametros_manuales!$D$100+parametros_manuales!$E$33*(datos_base!$E$19+IF(parametros_manuales!$H$33="Todos",datos_base!$E$24,0))*parametros_manuales!$D$13+parametros_manuales!$F$33*(datos_base!$E$4+IF(parametros_manuales!$H$33="Todos",datos_base!$E$11,0))*parametros_manuales!$D$105+parametros_manuales!$F$33*(datos_base!$E$20+IF(parametros_manuales!$H$33="Todos",datos_base!$E$25,0))*parametros_manuales!$D$14+parametros_manuales!$G$33*(datos_base!$E$5+IF(parametros_manuales!$H$33="Todos",datos_base!$E$12,0))*parametros_manuales!$D$110+parametros_manuales!$G$33*(datos_base!$E$21+IF(parametros_manuales!$H$33="Todos",datos_base!$E$26,0))*parametros_manuales!$D$15)*parametros_manuales!$I$33*parametros_manuales!$J$33</f>
        <v>4124.5400323135</v>
      </c>
      <c r="E97" s="9" t="n">
        <f aca="false">(parametros_manuales!$D$33*(datos_base!$E$2+IF(parametros_manuales!$H$33="Todos",datos_base!$E$9,0))*parametros_manuales!$E$95+parametros_manuales!$D$33*(datos_base!$E$18+IF(parametros_manuales!$H$33="Todos",datos_base!$E$23,0))*parametros_manuales!$E$12+parametros_manuales!$E$33*(datos_base!$E$3+IF(parametros_manuales!$H$33="Todos",datos_base!$E$10,0))*parametros_manuales!$E$100+parametros_manuales!$E$33*(datos_base!$E$19+IF(parametros_manuales!$H$33="Todos",datos_base!$E$24,0))*parametros_manuales!$E$13+parametros_manuales!$F$33*(datos_base!$E$4+IF(parametros_manuales!$H$33="Todos",datos_base!$E$11,0))*parametros_manuales!$E$105+parametros_manuales!$F$33*(datos_base!$E$20+IF(parametros_manuales!$H$33="Todos",datos_base!$E$25,0))*parametros_manuales!$E$14+parametros_manuales!$G$33*(datos_base!$E$5+IF(parametros_manuales!$H$33="Todos",datos_base!$E$12,0))*parametros_manuales!$E$110+parametros_manuales!$G$33*(datos_base!$E$21+IF(parametros_manuales!$H$33="Todos",datos_base!$E$26,0))*parametros_manuales!$E$15)*parametros_manuales!$I$33*parametros_manuales!$J$33</f>
        <v>3948.7303545685</v>
      </c>
      <c r="F97" s="9" t="n">
        <f aca="false">(parametros_manuales!$D$33*(datos_base!$E$2+IF(parametros_manuales!$H$33="Todos",datos_base!$E$9,0))*parametros_manuales!$F$95+parametros_manuales!$D$33*(datos_base!$E$18+IF(parametros_manuales!$H$33="Todos",datos_base!$E$23,0))*parametros_manuales!$F$12+parametros_manuales!$E$33*(datos_base!$E$3+IF(parametros_manuales!$H$33="Todos",datos_base!$E$10,0))*parametros_manuales!$F$100+parametros_manuales!$E$33*(datos_base!$E$19+IF(parametros_manuales!$H$33="Todos",datos_base!$E$24,0))*parametros_manuales!$F$13+parametros_manuales!$F$33*(datos_base!$E$4+IF(parametros_manuales!$H$33="Todos",datos_base!$E$11,0))*parametros_manuales!$F$105+parametros_manuales!$F$33*(datos_base!$E$20+IF(parametros_manuales!$H$33="Todos",datos_base!$E$25,0))*parametros_manuales!$F$14+parametros_manuales!$G$33*(datos_base!$E$5+IF(parametros_manuales!$H$33="Todos",datos_base!$E$12,0))*parametros_manuales!$F$110+parametros_manuales!$G$33*(datos_base!$E$21+IF(parametros_manuales!$H$33="Todos",datos_base!$E$26,0))*parametros_manuales!$F$15)*parametros_manuales!$I$33*parametros_manuales!$J$33</f>
        <v>3695.768606918</v>
      </c>
      <c r="G97" s="9" t="n">
        <f aca="false">(parametros_manuales!$D$33*(datos_base!$E$2+IF(parametros_manuales!$H$33="Todos",datos_base!$E$9,0))*parametros_manuales!$G$95+parametros_manuales!$D$33*(datos_base!$E$18+IF(parametros_manuales!$H$33="Todos",datos_base!$E$23,0))*parametros_manuales!$G$12+parametros_manuales!$E$33*(datos_base!$E$3+IF(parametros_manuales!$H$33="Todos",datos_base!$E$10,0))*parametros_manuales!$G$100+parametros_manuales!$E$33*(datos_base!$E$19+IF(parametros_manuales!$H$33="Todos",datos_base!$E$24,0))*parametros_manuales!$G$13+parametros_manuales!$F$33*(datos_base!$E$4+IF(parametros_manuales!$H$33="Todos",datos_base!$E$11,0))*parametros_manuales!$G$105+parametros_manuales!$F$33*(datos_base!$E$20+IF(parametros_manuales!$H$33="Todos",datos_base!$E$25,0))*parametros_manuales!$G$14+parametros_manuales!$G$33*(datos_base!$E$5+IF(parametros_manuales!$H$33="Todos",datos_base!$E$12,0))*parametros_manuales!$G$110+parametros_manuales!$G$33*(datos_base!$E$21+IF(parametros_manuales!$H$33="Todos",datos_base!$E$26,0))*parametros_manuales!$G$15)*parametros_manuales!$I$33*parametros_manuales!$J$33</f>
        <v>3618.6165370125</v>
      </c>
      <c r="H97" s="9" t="n">
        <f aca="false">(parametros_manuales!$D$33*(datos_base!$E$2+IF(parametros_manuales!$H$33="Todos",datos_base!$E$9,0))*parametros_manuales!$H$95+parametros_manuales!$D$33*(datos_base!$E$18+IF(parametros_manuales!$H$33="Todos",datos_base!$E$23,0))*parametros_manuales!$H$12+parametros_manuales!$E$33*(datos_base!$E$3+IF(parametros_manuales!$H$33="Todos",datos_base!$E$10,0))*parametros_manuales!$H$100+parametros_manuales!$E$33*(datos_base!$E$19+IF(parametros_manuales!$H$33="Todos",datos_base!$E$24,0))*parametros_manuales!$H$13+parametros_manuales!$F$33*(datos_base!$E$4+IF(parametros_manuales!$H$33="Todos",datos_base!$E$11,0))*parametros_manuales!$H$105+parametros_manuales!$F$33*(datos_base!$E$20+IF(parametros_manuales!$H$33="Todos",datos_base!$E$25,0))*parametros_manuales!$H$14+parametros_manuales!$G$33*(datos_base!$E$5+IF(parametros_manuales!$H$33="Todos",datos_base!$E$12,0))*parametros_manuales!$H$110+parametros_manuales!$G$33*(datos_base!$E$21+IF(parametros_manuales!$H$33="Todos",datos_base!$E$26,0))*parametros_manuales!$H$15)*parametros_manuales!$I$33*parametros_manuales!$J$33</f>
        <v>3871.578284663</v>
      </c>
      <c r="I97" s="9" t="n">
        <f aca="false">(parametros_manuales!$D$33*(datos_base!$E$2+IF(parametros_manuales!$H$33="Todos",datos_base!$E$9,0))*parametros_manuales!$I$95+parametros_manuales!$D$33*(datos_base!$E$18+IF(parametros_manuales!$H$33="Todos",datos_base!$E$23,0))*parametros_manuales!$I$12+parametros_manuales!$E$33*(datos_base!$E$3+IF(parametros_manuales!$H$33="Todos",datos_base!$E$10,0))*parametros_manuales!$I$100+parametros_manuales!$E$33*(datos_base!$E$19+IF(parametros_manuales!$H$33="Todos",datos_base!$E$24,0))*parametros_manuales!$I$13+parametros_manuales!$F$33*(datos_base!$E$4+IF(parametros_manuales!$H$33="Todos",datos_base!$E$11,0))*parametros_manuales!$I$105+parametros_manuales!$F$33*(datos_base!$E$20+IF(parametros_manuales!$H$33="Todos",datos_base!$E$25,0))*parametros_manuales!$I$14+parametros_manuales!$G$33*(datos_base!$E$5+IF(parametros_manuales!$H$33="Todos",datos_base!$E$12,0))*parametros_manuales!$I$110+parametros_manuales!$G$33*(datos_base!$E$21+IF(parametros_manuales!$H$33="Todos",datos_base!$E$26,0))*parametros_manuales!$I$15)*parametros_manuales!$I$33*parametros_manuales!$J$33</f>
        <v>4399.007317898</v>
      </c>
      <c r="J97" s="9" t="n">
        <f aca="false">(parametros_manuales!$D$33*(datos_base!$E$2+IF(parametros_manuales!$H$33="Todos",datos_base!$E$9,0))*parametros_manuales!$J$95+parametros_manuales!$D$33*(datos_base!$E$18+IF(parametros_manuales!$H$33="Todos",datos_base!$E$23,0))*parametros_manuales!$J$12+parametros_manuales!$E$33*(datos_base!$E$3+IF(parametros_manuales!$H$33="Todos",datos_base!$E$10,0))*parametros_manuales!$J$100+parametros_manuales!$E$33*(datos_base!$E$19+IF(parametros_manuales!$H$33="Todos",datos_base!$E$24,0))*parametros_manuales!$J$13+parametros_manuales!$F$33*(datos_base!$E$4+IF(parametros_manuales!$H$33="Todos",datos_base!$E$11,0))*parametros_manuales!$J$105+parametros_manuales!$F$33*(datos_base!$E$20+IF(parametros_manuales!$H$33="Todos",datos_base!$E$25,0))*parametros_manuales!$J$14+parametros_manuales!$G$33*(datos_base!$E$5+IF(parametros_manuales!$H$33="Todos",datos_base!$E$12,0))*parametros_manuales!$J$110+parametros_manuales!$G$33*(datos_base!$E$21+IF(parametros_manuales!$H$33="Todos",datos_base!$E$26,0))*parametros_manuales!$J$15)*parametros_manuales!$I$33*parametros_manuales!$J$33</f>
        <v>4399.007317898</v>
      </c>
      <c r="K97" s="9" t="n">
        <f aca="false">(parametros_manuales!$D$33*(datos_base!$E$2+IF(parametros_manuales!$H$33="Todos",datos_base!$E$9,0))*parametros_manuales!$K$95+parametros_manuales!$D$33*(datos_base!$E$18+IF(parametros_manuales!$H$33="Todos",datos_base!$E$23,0))*parametros_manuales!$K$12+parametros_manuales!$E$33*(datos_base!$E$3+IF(parametros_manuales!$H$33="Todos",datos_base!$E$10,0))*parametros_manuales!$K$100+parametros_manuales!$E$33*(datos_base!$E$19+IF(parametros_manuales!$H$33="Todos",datos_base!$E$24,0))*parametros_manuales!$K$13+parametros_manuales!$F$33*(datos_base!$E$4+IF(parametros_manuales!$H$33="Todos",datos_base!$E$11,0))*parametros_manuales!$K$105+parametros_manuales!$F$33*(datos_base!$E$20+IF(parametros_manuales!$H$33="Todos",datos_base!$E$25,0))*parametros_manuales!$K$14+parametros_manuales!$G$33*(datos_base!$E$5+IF(parametros_manuales!$H$33="Todos",datos_base!$E$12,0))*parametros_manuales!$K$110+parametros_manuales!$G$33*(datos_base!$E$21+IF(parametros_manuales!$H$33="Todos",datos_base!$E$26,0))*parametros_manuales!$K$15)*parametros_manuales!$I$33*parametros_manuales!$J$33</f>
        <v>4473.7809878035</v>
      </c>
      <c r="L97" s="9" t="n">
        <f aca="false">(parametros_manuales!$D$33*(datos_base!$E$2+IF(parametros_manuales!$H$33="Todos",datos_base!$E$9,0))*parametros_manuales!$L$95+parametros_manuales!$D$33*(datos_base!$E$18+IF(parametros_manuales!$H$33="Todos",datos_base!$E$23,0))*parametros_manuales!$L$12+parametros_manuales!$E$33*(datos_base!$E$3+IF(parametros_manuales!$H$33="Todos",datos_base!$E$10,0))*parametros_manuales!$L$100+parametros_manuales!$E$33*(datos_base!$E$19+IF(parametros_manuales!$H$33="Todos",datos_base!$E$24,0))*parametros_manuales!$L$13+parametros_manuales!$F$33*(datos_base!$E$4+IF(parametros_manuales!$H$33="Todos",datos_base!$E$11,0))*parametros_manuales!$L$105+parametros_manuales!$F$33*(datos_base!$E$20+IF(parametros_manuales!$H$33="Todos",datos_base!$E$25,0))*parametros_manuales!$L$14+parametros_manuales!$G$33*(datos_base!$E$5+IF(parametros_manuales!$H$33="Todos",datos_base!$E$12,0))*parametros_manuales!$L$110+parametros_manuales!$G$33*(datos_base!$E$21+IF(parametros_manuales!$H$33="Todos",datos_base!$E$26,0))*parametros_manuales!$L$15)*parametros_manuales!$I$33*parametros_manuales!$J$33</f>
        <v>4548.554657709</v>
      </c>
      <c r="M97" s="9" t="n">
        <f aca="false">(parametros_manuales!$D$33*(datos_base!$E$2+IF(parametros_manuales!$H$33="Todos",datos_base!$E$9,0))*parametros_manuales!$M$95+parametros_manuales!$D$33*(datos_base!$E$18+IF(parametros_manuales!$H$33="Todos",datos_base!$E$23,0))*parametros_manuales!$M$12+parametros_manuales!$E$33*(datos_base!$E$3+IF(parametros_manuales!$H$33="Todos",datos_base!$E$10,0))*parametros_manuales!$M$100+parametros_manuales!$E$33*(datos_base!$E$19+IF(parametros_manuales!$H$33="Todos",datos_base!$E$24,0))*parametros_manuales!$M$13+parametros_manuales!$F$33*(datos_base!$E$4+IF(parametros_manuales!$H$33="Todos",datos_base!$E$11,0))*parametros_manuales!$M$105+parametros_manuales!$F$33*(datos_base!$E$20+IF(parametros_manuales!$H$33="Todos",datos_base!$E$25,0))*parametros_manuales!$M$14+parametros_manuales!$G$33*(datos_base!$E$5+IF(parametros_manuales!$H$33="Todos",datos_base!$E$12,0))*parametros_manuales!$M$110+parametros_manuales!$G$33*(datos_base!$E$21+IF(parametros_manuales!$H$33="Todos",datos_base!$E$26,0))*parametros_manuales!$M$15)*parametros_manuales!$I$33*parametros_manuales!$J$33</f>
        <v>4558.068257709</v>
      </c>
      <c r="N97" s="9" t="n">
        <f aca="false">SUM(B97:M97)</f>
        <v>50592.3495301</v>
      </c>
      <c r="O97" s="9" t="n">
        <f aca="false">MAX(B97:M97)</f>
        <v>4558.068257709</v>
      </c>
      <c r="P97" s="44" t="n">
        <f aca="false">O97/(parametros_manuales!$B$7)</f>
        <v>30.38712171806</v>
      </c>
      <c r="Q97" s="8" t="str">
        <f aca="false">IF(O97=0,"-",INDEX($B$82:$M$82,MATCH(O97,B97:M97,0)))</f>
        <v>Dic</v>
      </c>
    </row>
    <row r="98" customFormat="false" ht="14.25" hidden="false" customHeight="true" outlineLevel="0" collapsed="false">
      <c r="A98" s="8" t="str">
        <f aca="false">parametros_manuales!$B$34</f>
        <v>Granallado</v>
      </c>
      <c r="B98" s="9" t="n">
        <f aca="false">(parametros_manuales!$D$34*(datos_base!$E$2+IF(parametros_manuales!$H$34="Todos",datos_base!$E$9,0))*parametros_manuales!$B$95+parametros_manuales!$D$34*(datos_base!$E$18+IF(parametros_manuales!$H$34="Todos",datos_base!$E$23,0))*parametros_manuales!$B$12+parametros_manuales!$E$34*(datos_base!$E$3+IF(parametros_manuales!$H$34="Todos",datos_base!$E$10,0))*parametros_manuales!$B$100+parametros_manuales!$E$34*(datos_base!$E$19+IF(parametros_manuales!$H$34="Todos",datos_base!$E$24,0))*parametros_manuales!$B$13+parametros_manuales!$F$34*(datos_base!$E$4+IF(parametros_manuales!$H$34="Todos",datos_base!$E$11,0))*parametros_manuales!$B$105+parametros_manuales!$F$34*(datos_base!$E$20+IF(parametros_manuales!$H$34="Todos",datos_base!$E$25,0))*parametros_manuales!$B$14+parametros_manuales!$G$34*(datos_base!$E$5+IF(parametros_manuales!$H$34="Todos",datos_base!$E$12,0))*parametros_manuales!$B$110+parametros_manuales!$G$34*(datos_base!$E$21+IF(parametros_manuales!$H$34="Todos",datos_base!$E$26,0))*parametros_manuales!$B$15)*parametros_manuales!$I$34*parametros_manuales!$J$34</f>
        <v>4555.689857709</v>
      </c>
      <c r="C98" s="9" t="n">
        <f aca="false">(parametros_manuales!$D$34*(datos_base!$E$2+IF(parametros_manuales!$H$34="Todos",datos_base!$E$9,0))*parametros_manuales!$C$95+parametros_manuales!$D$34*(datos_base!$E$18+IF(parametros_manuales!$H$34="Todos",datos_base!$E$23,0))*parametros_manuales!$C$12+parametros_manuales!$E$34*(datos_base!$E$3+IF(parametros_manuales!$H$34="Todos",datos_base!$E$10,0))*parametros_manuales!$C$100+parametros_manuales!$E$34*(datos_base!$E$19+IF(parametros_manuales!$H$34="Todos",datos_base!$E$24,0))*parametros_manuales!$C$13+parametros_manuales!$F$34*(datos_base!$E$4+IF(parametros_manuales!$H$34="Todos",datos_base!$E$11,0))*parametros_manuales!$C$105+parametros_manuales!$F$34*(datos_base!$E$20+IF(parametros_manuales!$H$34="Todos",datos_base!$E$25,0))*parametros_manuales!$C$14+parametros_manuales!$G$34*(datos_base!$E$5+IF(parametros_manuales!$H$34="Todos",datos_base!$E$12,0))*parametros_manuales!$C$110+parametros_manuales!$G$34*(datos_base!$E$21+IF(parametros_manuales!$H$34="Todos",datos_base!$E$26,0))*parametros_manuales!$C$15)*parametros_manuales!$I$34*parametros_manuales!$J$34</f>
        <v>4399.007317898</v>
      </c>
      <c r="D98" s="9" t="n">
        <f aca="false">(parametros_manuales!$D$34*(datos_base!$E$2+IF(parametros_manuales!$H$34="Todos",datos_base!$E$9,0))*parametros_manuales!$D$95+parametros_manuales!$D$34*(datos_base!$E$18+IF(parametros_manuales!$H$34="Todos",datos_base!$E$23,0))*parametros_manuales!$D$12+parametros_manuales!$E$34*(datos_base!$E$3+IF(parametros_manuales!$H$34="Todos",datos_base!$E$10,0))*parametros_manuales!$D$100+parametros_manuales!$E$34*(datos_base!$E$19+IF(parametros_manuales!$H$34="Todos",datos_base!$E$24,0))*parametros_manuales!$D$13+parametros_manuales!$F$34*(datos_base!$E$4+IF(parametros_manuales!$H$34="Todos",datos_base!$E$11,0))*parametros_manuales!$D$105+parametros_manuales!$F$34*(datos_base!$E$20+IF(parametros_manuales!$H$34="Todos",datos_base!$E$25,0))*parametros_manuales!$D$14+parametros_manuales!$G$34*(datos_base!$E$5+IF(parametros_manuales!$H$34="Todos",datos_base!$E$12,0))*parametros_manuales!$D$110+parametros_manuales!$G$34*(datos_base!$E$21+IF(parametros_manuales!$H$34="Todos",datos_base!$E$26,0))*parametros_manuales!$D$15)*parametros_manuales!$I$34*parametros_manuales!$J$34</f>
        <v>4124.5400323135</v>
      </c>
      <c r="E98" s="9" t="n">
        <f aca="false">(parametros_manuales!$D$34*(datos_base!$E$2+IF(parametros_manuales!$H$34="Todos",datos_base!$E$9,0))*parametros_manuales!$E$95+parametros_manuales!$D$34*(datos_base!$E$18+IF(parametros_manuales!$H$34="Todos",datos_base!$E$23,0))*parametros_manuales!$E$12+parametros_manuales!$E$34*(datos_base!$E$3+IF(parametros_manuales!$H$34="Todos",datos_base!$E$10,0))*parametros_manuales!$E$100+parametros_manuales!$E$34*(datos_base!$E$19+IF(parametros_manuales!$H$34="Todos",datos_base!$E$24,0))*parametros_manuales!$E$13+parametros_manuales!$F$34*(datos_base!$E$4+IF(parametros_manuales!$H$34="Todos",datos_base!$E$11,0))*parametros_manuales!$E$105+parametros_manuales!$F$34*(datos_base!$E$20+IF(parametros_manuales!$H$34="Todos",datos_base!$E$25,0))*parametros_manuales!$E$14+parametros_manuales!$G$34*(datos_base!$E$5+IF(parametros_manuales!$H$34="Todos",datos_base!$E$12,0))*parametros_manuales!$E$110+parametros_manuales!$G$34*(datos_base!$E$21+IF(parametros_manuales!$H$34="Todos",datos_base!$E$26,0))*parametros_manuales!$E$15)*parametros_manuales!$I$34*parametros_manuales!$J$34</f>
        <v>3948.7303545685</v>
      </c>
      <c r="F98" s="9" t="n">
        <f aca="false">(parametros_manuales!$D$34*(datos_base!$E$2+IF(parametros_manuales!$H$34="Todos",datos_base!$E$9,0))*parametros_manuales!$F$95+parametros_manuales!$D$34*(datos_base!$E$18+IF(parametros_manuales!$H$34="Todos",datos_base!$E$23,0))*parametros_manuales!$F$12+parametros_manuales!$E$34*(datos_base!$E$3+IF(parametros_manuales!$H$34="Todos",datos_base!$E$10,0))*parametros_manuales!$F$100+parametros_manuales!$E$34*(datos_base!$E$19+IF(parametros_manuales!$H$34="Todos",datos_base!$E$24,0))*parametros_manuales!$F$13+parametros_manuales!$F$34*(datos_base!$E$4+IF(parametros_manuales!$H$34="Todos",datos_base!$E$11,0))*parametros_manuales!$F$105+parametros_manuales!$F$34*(datos_base!$E$20+IF(parametros_manuales!$H$34="Todos",datos_base!$E$25,0))*parametros_manuales!$F$14+parametros_manuales!$G$34*(datos_base!$E$5+IF(parametros_manuales!$H$34="Todos",datos_base!$E$12,0))*parametros_manuales!$F$110+parametros_manuales!$G$34*(datos_base!$E$21+IF(parametros_manuales!$H$34="Todos",datos_base!$E$26,0))*parametros_manuales!$F$15)*parametros_manuales!$I$34*parametros_manuales!$J$34</f>
        <v>3695.768606918</v>
      </c>
      <c r="G98" s="9" t="n">
        <f aca="false">(parametros_manuales!$D$34*(datos_base!$E$2+IF(parametros_manuales!$H$34="Todos",datos_base!$E$9,0))*parametros_manuales!$G$95+parametros_manuales!$D$34*(datos_base!$E$18+IF(parametros_manuales!$H$34="Todos",datos_base!$E$23,0))*parametros_manuales!$G$12+parametros_manuales!$E$34*(datos_base!$E$3+IF(parametros_manuales!$H$34="Todos",datos_base!$E$10,0))*parametros_manuales!$G$100+parametros_manuales!$E$34*(datos_base!$E$19+IF(parametros_manuales!$H$34="Todos",datos_base!$E$24,0))*parametros_manuales!$G$13+parametros_manuales!$F$34*(datos_base!$E$4+IF(parametros_manuales!$H$34="Todos",datos_base!$E$11,0))*parametros_manuales!$G$105+parametros_manuales!$F$34*(datos_base!$E$20+IF(parametros_manuales!$H$34="Todos",datos_base!$E$25,0))*parametros_manuales!$G$14+parametros_manuales!$G$34*(datos_base!$E$5+IF(parametros_manuales!$H$34="Todos",datos_base!$E$12,0))*parametros_manuales!$G$110+parametros_manuales!$G$34*(datos_base!$E$21+IF(parametros_manuales!$H$34="Todos",datos_base!$E$26,0))*parametros_manuales!$G$15)*parametros_manuales!$I$34*parametros_manuales!$J$34</f>
        <v>3618.6165370125</v>
      </c>
      <c r="H98" s="9" t="n">
        <f aca="false">(parametros_manuales!$D$34*(datos_base!$E$2+IF(parametros_manuales!$H$34="Todos",datos_base!$E$9,0))*parametros_manuales!$H$95+parametros_manuales!$D$34*(datos_base!$E$18+IF(parametros_manuales!$H$34="Todos",datos_base!$E$23,0))*parametros_manuales!$H$12+parametros_manuales!$E$34*(datos_base!$E$3+IF(parametros_manuales!$H$34="Todos",datos_base!$E$10,0))*parametros_manuales!$H$100+parametros_manuales!$E$34*(datos_base!$E$19+IF(parametros_manuales!$H$34="Todos",datos_base!$E$24,0))*parametros_manuales!$H$13+parametros_manuales!$F$34*(datos_base!$E$4+IF(parametros_manuales!$H$34="Todos",datos_base!$E$11,0))*parametros_manuales!$H$105+parametros_manuales!$F$34*(datos_base!$E$20+IF(parametros_manuales!$H$34="Todos",datos_base!$E$25,0))*parametros_manuales!$H$14+parametros_manuales!$G$34*(datos_base!$E$5+IF(parametros_manuales!$H$34="Todos",datos_base!$E$12,0))*parametros_manuales!$H$110+parametros_manuales!$G$34*(datos_base!$E$21+IF(parametros_manuales!$H$34="Todos",datos_base!$E$26,0))*parametros_manuales!$H$15)*parametros_manuales!$I$34*parametros_manuales!$J$34</f>
        <v>3871.578284663</v>
      </c>
      <c r="I98" s="9" t="n">
        <f aca="false">(parametros_manuales!$D$34*(datos_base!$E$2+IF(parametros_manuales!$H$34="Todos",datos_base!$E$9,0))*parametros_manuales!$I$95+parametros_manuales!$D$34*(datos_base!$E$18+IF(parametros_manuales!$H$34="Todos",datos_base!$E$23,0))*parametros_manuales!$I$12+parametros_manuales!$E$34*(datos_base!$E$3+IF(parametros_manuales!$H$34="Todos",datos_base!$E$10,0))*parametros_manuales!$I$100+parametros_manuales!$E$34*(datos_base!$E$19+IF(parametros_manuales!$H$34="Todos",datos_base!$E$24,0))*parametros_manuales!$I$13+parametros_manuales!$F$34*(datos_base!$E$4+IF(parametros_manuales!$H$34="Todos",datos_base!$E$11,0))*parametros_manuales!$I$105+parametros_manuales!$F$34*(datos_base!$E$20+IF(parametros_manuales!$H$34="Todos",datos_base!$E$25,0))*parametros_manuales!$I$14+parametros_manuales!$G$34*(datos_base!$E$5+IF(parametros_manuales!$H$34="Todos",datos_base!$E$12,0))*parametros_manuales!$I$110+parametros_manuales!$G$34*(datos_base!$E$21+IF(parametros_manuales!$H$34="Todos",datos_base!$E$26,0))*parametros_manuales!$I$15)*parametros_manuales!$I$34*parametros_manuales!$J$34</f>
        <v>4399.007317898</v>
      </c>
      <c r="J98" s="9" t="n">
        <f aca="false">(parametros_manuales!$D$34*(datos_base!$E$2+IF(parametros_manuales!$H$34="Todos",datos_base!$E$9,0))*parametros_manuales!$J$95+parametros_manuales!$D$34*(datos_base!$E$18+IF(parametros_manuales!$H$34="Todos",datos_base!$E$23,0))*parametros_manuales!$J$12+parametros_manuales!$E$34*(datos_base!$E$3+IF(parametros_manuales!$H$34="Todos",datos_base!$E$10,0))*parametros_manuales!$J$100+parametros_manuales!$E$34*(datos_base!$E$19+IF(parametros_manuales!$H$34="Todos",datos_base!$E$24,0))*parametros_manuales!$J$13+parametros_manuales!$F$34*(datos_base!$E$4+IF(parametros_manuales!$H$34="Todos",datos_base!$E$11,0))*parametros_manuales!$J$105+parametros_manuales!$F$34*(datos_base!$E$20+IF(parametros_manuales!$H$34="Todos",datos_base!$E$25,0))*parametros_manuales!$J$14+parametros_manuales!$G$34*(datos_base!$E$5+IF(parametros_manuales!$H$34="Todos",datos_base!$E$12,0))*parametros_manuales!$J$110+parametros_manuales!$G$34*(datos_base!$E$21+IF(parametros_manuales!$H$34="Todos",datos_base!$E$26,0))*parametros_manuales!$J$15)*parametros_manuales!$I$34*parametros_manuales!$J$34</f>
        <v>4399.007317898</v>
      </c>
      <c r="K98" s="9" t="n">
        <f aca="false">(parametros_manuales!$D$34*(datos_base!$E$2+IF(parametros_manuales!$H$34="Todos",datos_base!$E$9,0))*parametros_manuales!$K$95+parametros_manuales!$D$34*(datos_base!$E$18+IF(parametros_manuales!$H$34="Todos",datos_base!$E$23,0))*parametros_manuales!$K$12+parametros_manuales!$E$34*(datos_base!$E$3+IF(parametros_manuales!$H$34="Todos",datos_base!$E$10,0))*parametros_manuales!$K$100+parametros_manuales!$E$34*(datos_base!$E$19+IF(parametros_manuales!$H$34="Todos",datos_base!$E$24,0))*parametros_manuales!$K$13+parametros_manuales!$F$34*(datos_base!$E$4+IF(parametros_manuales!$H$34="Todos",datos_base!$E$11,0))*parametros_manuales!$K$105+parametros_manuales!$F$34*(datos_base!$E$20+IF(parametros_manuales!$H$34="Todos",datos_base!$E$25,0))*parametros_manuales!$K$14+parametros_manuales!$G$34*(datos_base!$E$5+IF(parametros_manuales!$H$34="Todos",datos_base!$E$12,0))*parametros_manuales!$K$110+parametros_manuales!$G$34*(datos_base!$E$21+IF(parametros_manuales!$H$34="Todos",datos_base!$E$26,0))*parametros_manuales!$K$15)*parametros_manuales!$I$34*parametros_manuales!$J$34</f>
        <v>4473.7809878035</v>
      </c>
      <c r="L98" s="9" t="n">
        <f aca="false">(parametros_manuales!$D$34*(datos_base!$E$2+IF(parametros_manuales!$H$34="Todos",datos_base!$E$9,0))*parametros_manuales!$L$95+parametros_manuales!$D$34*(datos_base!$E$18+IF(parametros_manuales!$H$34="Todos",datos_base!$E$23,0))*parametros_manuales!$L$12+parametros_manuales!$E$34*(datos_base!$E$3+IF(parametros_manuales!$H$34="Todos",datos_base!$E$10,0))*parametros_manuales!$L$100+parametros_manuales!$E$34*(datos_base!$E$19+IF(parametros_manuales!$H$34="Todos",datos_base!$E$24,0))*parametros_manuales!$L$13+parametros_manuales!$F$34*(datos_base!$E$4+IF(parametros_manuales!$H$34="Todos",datos_base!$E$11,0))*parametros_manuales!$L$105+parametros_manuales!$F$34*(datos_base!$E$20+IF(parametros_manuales!$H$34="Todos",datos_base!$E$25,0))*parametros_manuales!$L$14+parametros_manuales!$G$34*(datos_base!$E$5+IF(parametros_manuales!$H$34="Todos",datos_base!$E$12,0))*parametros_manuales!$L$110+parametros_manuales!$G$34*(datos_base!$E$21+IF(parametros_manuales!$H$34="Todos",datos_base!$E$26,0))*parametros_manuales!$L$15)*parametros_manuales!$I$34*parametros_manuales!$J$34</f>
        <v>4548.554657709</v>
      </c>
      <c r="M98" s="9" t="n">
        <f aca="false">(parametros_manuales!$D$34*(datos_base!$E$2+IF(parametros_manuales!$H$34="Todos",datos_base!$E$9,0))*parametros_manuales!$M$95+parametros_manuales!$D$34*(datos_base!$E$18+IF(parametros_manuales!$H$34="Todos",datos_base!$E$23,0))*parametros_manuales!$M$12+parametros_manuales!$E$34*(datos_base!$E$3+IF(parametros_manuales!$H$34="Todos",datos_base!$E$10,0))*parametros_manuales!$M$100+parametros_manuales!$E$34*(datos_base!$E$19+IF(parametros_manuales!$H$34="Todos",datos_base!$E$24,0))*parametros_manuales!$M$13+parametros_manuales!$F$34*(datos_base!$E$4+IF(parametros_manuales!$H$34="Todos",datos_base!$E$11,0))*parametros_manuales!$M$105+parametros_manuales!$F$34*(datos_base!$E$20+IF(parametros_manuales!$H$34="Todos",datos_base!$E$25,0))*parametros_manuales!$M$14+parametros_manuales!$G$34*(datos_base!$E$5+IF(parametros_manuales!$H$34="Todos",datos_base!$E$12,0))*parametros_manuales!$M$110+parametros_manuales!$G$34*(datos_base!$E$21+IF(parametros_manuales!$H$34="Todos",datos_base!$E$26,0))*parametros_manuales!$M$15)*parametros_manuales!$I$34*parametros_manuales!$J$34</f>
        <v>4558.068257709</v>
      </c>
      <c r="N98" s="9" t="n">
        <f aca="false">SUM(B98:M98)</f>
        <v>50592.3495301</v>
      </c>
      <c r="O98" s="9" t="n">
        <f aca="false">MAX(B98:M98)</f>
        <v>4558.068257709</v>
      </c>
      <c r="P98" s="44" t="n">
        <f aca="false">O98/(parametros_manuales!$B$7)</f>
        <v>30.38712171806</v>
      </c>
      <c r="Q98" s="8" t="str">
        <f aca="false">IF(O98=0,"-",INDEX($B$82:$M$82,MATCH(O98,B98:M98,0)))</f>
        <v>Dic</v>
      </c>
    </row>
    <row r="99" customFormat="false" ht="14.25" hidden="false" customHeight="true" outlineLevel="0" collapsed="false">
      <c r="A99" s="8" t="str">
        <f aca="false">parametros_manuales!$B$35</f>
        <v>Detección de defectos</v>
      </c>
      <c r="B99" s="9" t="n">
        <f aca="false">(parametros_manuales!$D$35*(datos_base!$E$2+IF(parametros_manuales!$H$35="Todos",datos_base!$E$9,0))*parametros_manuales!$B$95+parametros_manuales!$D$35*(datos_base!$E$18+IF(parametros_manuales!$H$35="Todos",datos_base!$E$23,0))*parametros_manuales!$B$12+parametros_manuales!$E$35*(datos_base!$E$3+IF(parametros_manuales!$H$35="Todos",datos_base!$E$10,0))*parametros_manuales!$B$100+parametros_manuales!$E$35*(datos_base!$E$19+IF(parametros_manuales!$H$35="Todos",datos_base!$E$24,0))*parametros_manuales!$B$13+parametros_manuales!$F$35*(datos_base!$E$4+IF(parametros_manuales!$H$35="Todos",datos_base!$E$11,0))*parametros_manuales!$B$105+parametros_manuales!$F$35*(datos_base!$E$20+IF(parametros_manuales!$H$35="Todos",datos_base!$E$25,0))*parametros_manuales!$B$14+parametros_manuales!$G$35*(datos_base!$E$5+IF(parametros_manuales!$H$35="Todos",datos_base!$E$12,0))*parametros_manuales!$B$110+parametros_manuales!$G$35*(datos_base!$E$21+IF(parametros_manuales!$H$35="Todos",datos_base!$E$26,0))*parametros_manuales!$B$15)*parametros_manuales!$I$35*parametros_manuales!$J$35</f>
        <v>4555.689857709</v>
      </c>
      <c r="C99" s="9" t="n">
        <f aca="false">(parametros_manuales!$D$35*(datos_base!$E$2+IF(parametros_manuales!$H$35="Todos",datos_base!$E$9,0))*parametros_manuales!$C$95+parametros_manuales!$D$35*(datos_base!$E$18+IF(parametros_manuales!$H$35="Todos",datos_base!$E$23,0))*parametros_manuales!$C$12+parametros_manuales!$E$35*(datos_base!$E$3+IF(parametros_manuales!$H$35="Todos",datos_base!$E$10,0))*parametros_manuales!$C$100+parametros_manuales!$E$35*(datos_base!$E$19+IF(parametros_manuales!$H$35="Todos",datos_base!$E$24,0))*parametros_manuales!$C$13+parametros_manuales!$F$35*(datos_base!$E$4+IF(parametros_manuales!$H$35="Todos",datos_base!$E$11,0))*parametros_manuales!$C$105+parametros_manuales!$F$35*(datos_base!$E$20+IF(parametros_manuales!$H$35="Todos",datos_base!$E$25,0))*parametros_manuales!$C$14+parametros_manuales!$G$35*(datos_base!$E$5+IF(parametros_manuales!$H$35="Todos",datos_base!$E$12,0))*parametros_manuales!$C$110+parametros_manuales!$G$35*(datos_base!$E$21+IF(parametros_manuales!$H$35="Todos",datos_base!$E$26,0))*parametros_manuales!$C$15)*parametros_manuales!$I$35*parametros_manuales!$J$35</f>
        <v>4399.007317898</v>
      </c>
      <c r="D99" s="9" t="n">
        <f aca="false">(parametros_manuales!$D$35*(datos_base!$E$2+IF(parametros_manuales!$H$35="Todos",datos_base!$E$9,0))*parametros_manuales!$D$95+parametros_manuales!$D$35*(datos_base!$E$18+IF(parametros_manuales!$H$35="Todos",datos_base!$E$23,0))*parametros_manuales!$D$12+parametros_manuales!$E$35*(datos_base!$E$3+IF(parametros_manuales!$H$35="Todos",datos_base!$E$10,0))*parametros_manuales!$D$100+parametros_manuales!$E$35*(datos_base!$E$19+IF(parametros_manuales!$H$35="Todos",datos_base!$E$24,0))*parametros_manuales!$D$13+parametros_manuales!$F$35*(datos_base!$E$4+IF(parametros_manuales!$H$35="Todos",datos_base!$E$11,0))*parametros_manuales!$D$105+parametros_manuales!$F$35*(datos_base!$E$20+IF(parametros_manuales!$H$35="Todos",datos_base!$E$25,0))*parametros_manuales!$D$14+parametros_manuales!$G$35*(datos_base!$E$5+IF(parametros_manuales!$H$35="Todos",datos_base!$E$12,0))*parametros_manuales!$D$110+parametros_manuales!$G$35*(datos_base!$E$21+IF(parametros_manuales!$H$35="Todos",datos_base!$E$26,0))*parametros_manuales!$D$15)*parametros_manuales!$I$35*parametros_manuales!$J$35</f>
        <v>4124.5400323135</v>
      </c>
      <c r="E99" s="9" t="n">
        <f aca="false">(parametros_manuales!$D$35*(datos_base!$E$2+IF(parametros_manuales!$H$35="Todos",datos_base!$E$9,0))*parametros_manuales!$E$95+parametros_manuales!$D$35*(datos_base!$E$18+IF(parametros_manuales!$H$35="Todos",datos_base!$E$23,0))*parametros_manuales!$E$12+parametros_manuales!$E$35*(datos_base!$E$3+IF(parametros_manuales!$H$35="Todos",datos_base!$E$10,0))*parametros_manuales!$E$100+parametros_manuales!$E$35*(datos_base!$E$19+IF(parametros_manuales!$H$35="Todos",datos_base!$E$24,0))*parametros_manuales!$E$13+parametros_manuales!$F$35*(datos_base!$E$4+IF(parametros_manuales!$H$35="Todos",datos_base!$E$11,0))*parametros_manuales!$E$105+parametros_manuales!$F$35*(datos_base!$E$20+IF(parametros_manuales!$H$35="Todos",datos_base!$E$25,0))*parametros_manuales!$E$14+parametros_manuales!$G$35*(datos_base!$E$5+IF(parametros_manuales!$H$35="Todos",datos_base!$E$12,0))*parametros_manuales!$E$110+parametros_manuales!$G$35*(datos_base!$E$21+IF(parametros_manuales!$H$35="Todos",datos_base!$E$26,0))*parametros_manuales!$E$15)*parametros_manuales!$I$35*parametros_manuales!$J$35</f>
        <v>3948.7303545685</v>
      </c>
      <c r="F99" s="9" t="n">
        <f aca="false">(parametros_manuales!$D$35*(datos_base!$E$2+IF(parametros_manuales!$H$35="Todos",datos_base!$E$9,0))*parametros_manuales!$F$95+parametros_manuales!$D$35*(datos_base!$E$18+IF(parametros_manuales!$H$35="Todos",datos_base!$E$23,0))*parametros_manuales!$F$12+parametros_manuales!$E$35*(datos_base!$E$3+IF(parametros_manuales!$H$35="Todos",datos_base!$E$10,0))*parametros_manuales!$F$100+parametros_manuales!$E$35*(datos_base!$E$19+IF(parametros_manuales!$H$35="Todos",datos_base!$E$24,0))*parametros_manuales!$F$13+parametros_manuales!$F$35*(datos_base!$E$4+IF(parametros_manuales!$H$35="Todos",datos_base!$E$11,0))*parametros_manuales!$F$105+parametros_manuales!$F$35*(datos_base!$E$20+IF(parametros_manuales!$H$35="Todos",datos_base!$E$25,0))*parametros_manuales!$F$14+parametros_manuales!$G$35*(datos_base!$E$5+IF(parametros_manuales!$H$35="Todos",datos_base!$E$12,0))*parametros_manuales!$F$110+parametros_manuales!$G$35*(datos_base!$E$21+IF(parametros_manuales!$H$35="Todos",datos_base!$E$26,0))*parametros_manuales!$F$15)*parametros_manuales!$I$35*parametros_manuales!$J$35</f>
        <v>3695.768606918</v>
      </c>
      <c r="G99" s="9" t="n">
        <f aca="false">(parametros_manuales!$D$35*(datos_base!$E$2+IF(parametros_manuales!$H$35="Todos",datos_base!$E$9,0))*parametros_manuales!$G$95+parametros_manuales!$D$35*(datos_base!$E$18+IF(parametros_manuales!$H$35="Todos",datos_base!$E$23,0))*parametros_manuales!$G$12+parametros_manuales!$E$35*(datos_base!$E$3+IF(parametros_manuales!$H$35="Todos",datos_base!$E$10,0))*parametros_manuales!$G$100+parametros_manuales!$E$35*(datos_base!$E$19+IF(parametros_manuales!$H$35="Todos",datos_base!$E$24,0))*parametros_manuales!$G$13+parametros_manuales!$F$35*(datos_base!$E$4+IF(parametros_manuales!$H$35="Todos",datos_base!$E$11,0))*parametros_manuales!$G$105+parametros_manuales!$F$35*(datos_base!$E$20+IF(parametros_manuales!$H$35="Todos",datos_base!$E$25,0))*parametros_manuales!$G$14+parametros_manuales!$G$35*(datos_base!$E$5+IF(parametros_manuales!$H$35="Todos",datos_base!$E$12,0))*parametros_manuales!$G$110+parametros_manuales!$G$35*(datos_base!$E$21+IF(parametros_manuales!$H$35="Todos",datos_base!$E$26,0))*parametros_manuales!$G$15)*parametros_manuales!$I$35*parametros_manuales!$J$35</f>
        <v>3618.6165370125</v>
      </c>
      <c r="H99" s="9" t="n">
        <f aca="false">(parametros_manuales!$D$35*(datos_base!$E$2+IF(parametros_manuales!$H$35="Todos",datos_base!$E$9,0))*parametros_manuales!$H$95+parametros_manuales!$D$35*(datos_base!$E$18+IF(parametros_manuales!$H$35="Todos",datos_base!$E$23,0))*parametros_manuales!$H$12+parametros_manuales!$E$35*(datos_base!$E$3+IF(parametros_manuales!$H$35="Todos",datos_base!$E$10,0))*parametros_manuales!$H$100+parametros_manuales!$E$35*(datos_base!$E$19+IF(parametros_manuales!$H$35="Todos",datos_base!$E$24,0))*parametros_manuales!$H$13+parametros_manuales!$F$35*(datos_base!$E$4+IF(parametros_manuales!$H$35="Todos",datos_base!$E$11,0))*parametros_manuales!$H$105+parametros_manuales!$F$35*(datos_base!$E$20+IF(parametros_manuales!$H$35="Todos",datos_base!$E$25,0))*parametros_manuales!$H$14+parametros_manuales!$G$35*(datos_base!$E$5+IF(parametros_manuales!$H$35="Todos",datos_base!$E$12,0))*parametros_manuales!$H$110+parametros_manuales!$G$35*(datos_base!$E$21+IF(parametros_manuales!$H$35="Todos",datos_base!$E$26,0))*parametros_manuales!$H$15)*parametros_manuales!$I$35*parametros_manuales!$J$35</f>
        <v>3871.578284663</v>
      </c>
      <c r="I99" s="9" t="n">
        <f aca="false">(parametros_manuales!$D$35*(datos_base!$E$2+IF(parametros_manuales!$H$35="Todos",datos_base!$E$9,0))*parametros_manuales!$I$95+parametros_manuales!$D$35*(datos_base!$E$18+IF(parametros_manuales!$H$35="Todos",datos_base!$E$23,0))*parametros_manuales!$I$12+parametros_manuales!$E$35*(datos_base!$E$3+IF(parametros_manuales!$H$35="Todos",datos_base!$E$10,0))*parametros_manuales!$I$100+parametros_manuales!$E$35*(datos_base!$E$19+IF(parametros_manuales!$H$35="Todos",datos_base!$E$24,0))*parametros_manuales!$I$13+parametros_manuales!$F$35*(datos_base!$E$4+IF(parametros_manuales!$H$35="Todos",datos_base!$E$11,0))*parametros_manuales!$I$105+parametros_manuales!$F$35*(datos_base!$E$20+IF(parametros_manuales!$H$35="Todos",datos_base!$E$25,0))*parametros_manuales!$I$14+parametros_manuales!$G$35*(datos_base!$E$5+IF(parametros_manuales!$H$35="Todos",datos_base!$E$12,0))*parametros_manuales!$I$110+parametros_manuales!$G$35*(datos_base!$E$21+IF(parametros_manuales!$H$35="Todos",datos_base!$E$26,0))*parametros_manuales!$I$15)*parametros_manuales!$I$35*parametros_manuales!$J$35</f>
        <v>4399.007317898</v>
      </c>
      <c r="J99" s="9" t="n">
        <f aca="false">(parametros_manuales!$D$35*(datos_base!$E$2+IF(parametros_manuales!$H$35="Todos",datos_base!$E$9,0))*parametros_manuales!$J$95+parametros_manuales!$D$35*(datos_base!$E$18+IF(parametros_manuales!$H$35="Todos",datos_base!$E$23,0))*parametros_manuales!$J$12+parametros_manuales!$E$35*(datos_base!$E$3+IF(parametros_manuales!$H$35="Todos",datos_base!$E$10,0))*parametros_manuales!$J$100+parametros_manuales!$E$35*(datos_base!$E$19+IF(parametros_manuales!$H$35="Todos",datos_base!$E$24,0))*parametros_manuales!$J$13+parametros_manuales!$F$35*(datos_base!$E$4+IF(parametros_manuales!$H$35="Todos",datos_base!$E$11,0))*parametros_manuales!$J$105+parametros_manuales!$F$35*(datos_base!$E$20+IF(parametros_manuales!$H$35="Todos",datos_base!$E$25,0))*parametros_manuales!$J$14+parametros_manuales!$G$35*(datos_base!$E$5+IF(parametros_manuales!$H$35="Todos",datos_base!$E$12,0))*parametros_manuales!$J$110+parametros_manuales!$G$35*(datos_base!$E$21+IF(parametros_manuales!$H$35="Todos",datos_base!$E$26,0))*parametros_manuales!$J$15)*parametros_manuales!$I$35*parametros_manuales!$J$35</f>
        <v>4399.007317898</v>
      </c>
      <c r="K99" s="9" t="n">
        <f aca="false">(parametros_manuales!$D$35*(datos_base!$E$2+IF(parametros_manuales!$H$35="Todos",datos_base!$E$9,0))*parametros_manuales!$K$95+parametros_manuales!$D$35*(datos_base!$E$18+IF(parametros_manuales!$H$35="Todos",datos_base!$E$23,0))*parametros_manuales!$K$12+parametros_manuales!$E$35*(datos_base!$E$3+IF(parametros_manuales!$H$35="Todos",datos_base!$E$10,0))*parametros_manuales!$K$100+parametros_manuales!$E$35*(datos_base!$E$19+IF(parametros_manuales!$H$35="Todos",datos_base!$E$24,0))*parametros_manuales!$K$13+parametros_manuales!$F$35*(datos_base!$E$4+IF(parametros_manuales!$H$35="Todos",datos_base!$E$11,0))*parametros_manuales!$K$105+parametros_manuales!$F$35*(datos_base!$E$20+IF(parametros_manuales!$H$35="Todos",datos_base!$E$25,0))*parametros_manuales!$K$14+parametros_manuales!$G$35*(datos_base!$E$5+IF(parametros_manuales!$H$35="Todos",datos_base!$E$12,0))*parametros_manuales!$K$110+parametros_manuales!$G$35*(datos_base!$E$21+IF(parametros_manuales!$H$35="Todos",datos_base!$E$26,0))*parametros_manuales!$K$15)*parametros_manuales!$I$35*parametros_manuales!$J$35</f>
        <v>4473.7809878035</v>
      </c>
      <c r="L99" s="9" t="n">
        <f aca="false">(parametros_manuales!$D$35*(datos_base!$E$2+IF(parametros_manuales!$H$35="Todos",datos_base!$E$9,0))*parametros_manuales!$L$95+parametros_manuales!$D$35*(datos_base!$E$18+IF(parametros_manuales!$H$35="Todos",datos_base!$E$23,0))*parametros_manuales!$L$12+parametros_manuales!$E$35*(datos_base!$E$3+IF(parametros_manuales!$H$35="Todos",datos_base!$E$10,0))*parametros_manuales!$L$100+parametros_manuales!$E$35*(datos_base!$E$19+IF(parametros_manuales!$H$35="Todos",datos_base!$E$24,0))*parametros_manuales!$L$13+parametros_manuales!$F$35*(datos_base!$E$4+IF(parametros_manuales!$H$35="Todos",datos_base!$E$11,0))*parametros_manuales!$L$105+parametros_manuales!$F$35*(datos_base!$E$20+IF(parametros_manuales!$H$35="Todos",datos_base!$E$25,0))*parametros_manuales!$L$14+parametros_manuales!$G$35*(datos_base!$E$5+IF(parametros_manuales!$H$35="Todos",datos_base!$E$12,0))*parametros_manuales!$L$110+parametros_manuales!$G$35*(datos_base!$E$21+IF(parametros_manuales!$H$35="Todos",datos_base!$E$26,0))*parametros_manuales!$L$15)*parametros_manuales!$I$35*parametros_manuales!$J$35</f>
        <v>4548.554657709</v>
      </c>
      <c r="M99" s="9" t="n">
        <f aca="false">(parametros_manuales!$D$35*(datos_base!$E$2+IF(parametros_manuales!$H$35="Todos",datos_base!$E$9,0))*parametros_manuales!$M$95+parametros_manuales!$D$35*(datos_base!$E$18+IF(parametros_manuales!$H$35="Todos",datos_base!$E$23,0))*parametros_manuales!$M$12+parametros_manuales!$E$35*(datos_base!$E$3+IF(parametros_manuales!$H$35="Todos",datos_base!$E$10,0))*parametros_manuales!$M$100+parametros_manuales!$E$35*(datos_base!$E$19+IF(parametros_manuales!$H$35="Todos",datos_base!$E$24,0))*parametros_manuales!$M$13+parametros_manuales!$F$35*(datos_base!$E$4+IF(parametros_manuales!$H$35="Todos",datos_base!$E$11,0))*parametros_manuales!$M$105+parametros_manuales!$F$35*(datos_base!$E$20+IF(parametros_manuales!$H$35="Todos",datos_base!$E$25,0))*parametros_manuales!$M$14+parametros_manuales!$G$35*(datos_base!$E$5+IF(parametros_manuales!$H$35="Todos",datos_base!$E$12,0))*parametros_manuales!$M$110+parametros_manuales!$G$35*(datos_base!$E$21+IF(parametros_manuales!$H$35="Todos",datos_base!$E$26,0))*parametros_manuales!$M$15)*parametros_manuales!$I$35*parametros_manuales!$J$35</f>
        <v>4558.068257709</v>
      </c>
      <c r="N99" s="9" t="n">
        <f aca="false">SUM(B99:M99)</f>
        <v>50592.3495301</v>
      </c>
      <c r="O99" s="9" t="n">
        <f aca="false">MAX(B99:M99)</f>
        <v>4558.068257709</v>
      </c>
      <c r="P99" s="44" t="n">
        <f aca="false">O99/(parametros_manuales!$B$7)</f>
        <v>30.38712171806</v>
      </c>
      <c r="Q99" s="8" t="str">
        <f aca="false">IF(O99=0,"-",INDEX($B$82:$M$82,MATCH(O99,B99:M99,0)))</f>
        <v>Dic</v>
      </c>
    </row>
    <row r="100" customFormat="false" ht="14.25" hidden="false" customHeight="true" outlineLevel="0" collapsed="false">
      <c r="A100" s="8" t="str">
        <f aca="false">parametros_manuales!$B$36</f>
        <v>Corrección de defectos</v>
      </c>
      <c r="B100" s="9" t="n">
        <f aca="false">(parametros_manuales!$D$36*(datos_base!$E$2+IF(parametros_manuales!$H$36="Todos",datos_base!$E$9,0))*parametros_manuales!$B$95+parametros_manuales!$D$36*(datos_base!$E$18+IF(parametros_manuales!$H$36="Todos",datos_base!$E$23,0))*parametros_manuales!$B$12+parametros_manuales!$E$36*(datos_base!$E$3+IF(parametros_manuales!$H$36="Todos",datos_base!$E$10,0))*parametros_manuales!$B$100+parametros_manuales!$E$36*(datos_base!$E$19+IF(parametros_manuales!$H$36="Todos",datos_base!$E$24,0))*parametros_manuales!$B$13+parametros_manuales!$F$36*(datos_base!$E$4+IF(parametros_manuales!$H$36="Todos",datos_base!$E$11,0))*parametros_manuales!$B$105+parametros_manuales!$F$36*(datos_base!$E$20+IF(parametros_manuales!$H$36="Todos",datos_base!$E$25,0))*parametros_manuales!$B$14+parametros_manuales!$G$36*(datos_base!$E$5+IF(parametros_manuales!$H$36="Todos",datos_base!$E$12,0))*parametros_manuales!$B$110+parametros_manuales!$G$36*(datos_base!$E$21+IF(parametros_manuales!$H$36="Todos",datos_base!$E$26,0))*parametros_manuales!$B$15)*parametros_manuales!$I$36*parametros_manuales!$J$36</f>
        <v>227.78449288545</v>
      </c>
      <c r="C100" s="9" t="n">
        <f aca="false">(parametros_manuales!$D$36*(datos_base!$E$2+IF(parametros_manuales!$H$36="Todos",datos_base!$E$9,0))*parametros_manuales!$C$95+parametros_manuales!$D$36*(datos_base!$E$18+IF(parametros_manuales!$H$36="Todos",datos_base!$E$23,0))*parametros_manuales!$C$12+parametros_manuales!$E$36*(datos_base!$E$3+IF(parametros_manuales!$H$36="Todos",datos_base!$E$10,0))*parametros_manuales!$C$100+parametros_manuales!$E$36*(datos_base!$E$19+IF(parametros_manuales!$H$36="Todos",datos_base!$E$24,0))*parametros_manuales!$C$13+parametros_manuales!$F$36*(datos_base!$E$4+IF(parametros_manuales!$H$36="Todos",datos_base!$E$11,0))*parametros_manuales!$C$105+parametros_manuales!$F$36*(datos_base!$E$20+IF(parametros_manuales!$H$36="Todos",datos_base!$E$25,0))*parametros_manuales!$C$14+parametros_manuales!$G$36*(datos_base!$E$5+IF(parametros_manuales!$H$36="Todos",datos_base!$E$12,0))*parametros_manuales!$C$110+parametros_manuales!$G$36*(datos_base!$E$21+IF(parametros_manuales!$H$36="Todos",datos_base!$E$26,0))*parametros_manuales!$C$15)*parametros_manuales!$I$36*parametros_manuales!$J$36</f>
        <v>219.9503658949</v>
      </c>
      <c r="D100" s="9" t="n">
        <f aca="false">(parametros_manuales!$D$36*(datos_base!$E$2+IF(parametros_manuales!$H$36="Todos",datos_base!$E$9,0))*parametros_manuales!$D$95+parametros_manuales!$D$36*(datos_base!$E$18+IF(parametros_manuales!$H$36="Todos",datos_base!$E$23,0))*parametros_manuales!$D$12+parametros_manuales!$E$36*(datos_base!$E$3+IF(parametros_manuales!$H$36="Todos",datos_base!$E$10,0))*parametros_manuales!$D$100+parametros_manuales!$E$36*(datos_base!$E$19+IF(parametros_manuales!$H$36="Todos",datos_base!$E$24,0))*parametros_manuales!$D$13+parametros_manuales!$F$36*(datos_base!$E$4+IF(parametros_manuales!$H$36="Todos",datos_base!$E$11,0))*parametros_manuales!$D$105+parametros_manuales!$F$36*(datos_base!$E$20+IF(parametros_manuales!$H$36="Todos",datos_base!$E$25,0))*parametros_manuales!$D$14+parametros_manuales!$G$36*(datos_base!$E$5+IF(parametros_manuales!$H$36="Todos",datos_base!$E$12,0))*parametros_manuales!$D$110+parametros_manuales!$G$36*(datos_base!$E$21+IF(parametros_manuales!$H$36="Todos",datos_base!$E$26,0))*parametros_manuales!$D$15)*parametros_manuales!$I$36*parametros_manuales!$J$36</f>
        <v>206.227001615675</v>
      </c>
      <c r="E100" s="9" t="n">
        <f aca="false">(parametros_manuales!$D$36*(datos_base!$E$2+IF(parametros_manuales!$H$36="Todos",datos_base!$E$9,0))*parametros_manuales!$E$95+parametros_manuales!$D$36*(datos_base!$E$18+IF(parametros_manuales!$H$36="Todos",datos_base!$E$23,0))*parametros_manuales!$E$12+parametros_manuales!$E$36*(datos_base!$E$3+IF(parametros_manuales!$H$36="Todos",datos_base!$E$10,0))*parametros_manuales!$E$100+parametros_manuales!$E$36*(datos_base!$E$19+IF(parametros_manuales!$H$36="Todos",datos_base!$E$24,0))*parametros_manuales!$E$13+parametros_manuales!$F$36*(datos_base!$E$4+IF(parametros_manuales!$H$36="Todos",datos_base!$E$11,0))*parametros_manuales!$E$105+parametros_manuales!$F$36*(datos_base!$E$20+IF(parametros_manuales!$H$36="Todos",datos_base!$E$25,0))*parametros_manuales!$E$14+parametros_manuales!$G$36*(datos_base!$E$5+IF(parametros_manuales!$H$36="Todos",datos_base!$E$12,0))*parametros_manuales!$E$110+parametros_manuales!$G$36*(datos_base!$E$21+IF(parametros_manuales!$H$36="Todos",datos_base!$E$26,0))*parametros_manuales!$E$15)*parametros_manuales!$I$36*parametros_manuales!$J$36</f>
        <v>197.436517728425</v>
      </c>
      <c r="F100" s="9" t="n">
        <f aca="false">(parametros_manuales!$D$36*(datos_base!$E$2+IF(parametros_manuales!$H$36="Todos",datos_base!$E$9,0))*parametros_manuales!$F$95+parametros_manuales!$D$36*(datos_base!$E$18+IF(parametros_manuales!$H$36="Todos",datos_base!$E$23,0))*parametros_manuales!$F$12+parametros_manuales!$E$36*(datos_base!$E$3+IF(parametros_manuales!$H$36="Todos",datos_base!$E$10,0))*parametros_manuales!$F$100+parametros_manuales!$E$36*(datos_base!$E$19+IF(parametros_manuales!$H$36="Todos",datos_base!$E$24,0))*parametros_manuales!$F$13+parametros_manuales!$F$36*(datos_base!$E$4+IF(parametros_manuales!$H$36="Todos",datos_base!$E$11,0))*parametros_manuales!$F$105+parametros_manuales!$F$36*(datos_base!$E$20+IF(parametros_manuales!$H$36="Todos",datos_base!$E$25,0))*parametros_manuales!$F$14+parametros_manuales!$G$36*(datos_base!$E$5+IF(parametros_manuales!$H$36="Todos",datos_base!$E$12,0))*parametros_manuales!$F$110+parametros_manuales!$G$36*(datos_base!$E$21+IF(parametros_manuales!$H$36="Todos",datos_base!$E$26,0))*parametros_manuales!$F$15)*parametros_manuales!$I$36*parametros_manuales!$J$36</f>
        <v>184.7884303459</v>
      </c>
      <c r="G100" s="9" t="n">
        <f aca="false">(parametros_manuales!$D$36*(datos_base!$E$2+IF(parametros_manuales!$H$36="Todos",datos_base!$E$9,0))*parametros_manuales!$G$95+parametros_manuales!$D$36*(datos_base!$E$18+IF(parametros_manuales!$H$36="Todos",datos_base!$E$23,0))*parametros_manuales!$G$12+parametros_manuales!$E$36*(datos_base!$E$3+IF(parametros_manuales!$H$36="Todos",datos_base!$E$10,0))*parametros_manuales!$G$100+parametros_manuales!$E$36*(datos_base!$E$19+IF(parametros_manuales!$H$36="Todos",datos_base!$E$24,0))*parametros_manuales!$G$13+parametros_manuales!$F$36*(datos_base!$E$4+IF(parametros_manuales!$H$36="Todos",datos_base!$E$11,0))*parametros_manuales!$G$105+parametros_manuales!$F$36*(datos_base!$E$20+IF(parametros_manuales!$H$36="Todos",datos_base!$E$25,0))*parametros_manuales!$G$14+parametros_manuales!$G$36*(datos_base!$E$5+IF(parametros_manuales!$H$36="Todos",datos_base!$E$12,0))*parametros_manuales!$G$110+parametros_manuales!$G$36*(datos_base!$E$21+IF(parametros_manuales!$H$36="Todos",datos_base!$E$26,0))*parametros_manuales!$G$15)*parametros_manuales!$I$36*parametros_manuales!$J$36</f>
        <v>180.930826850625</v>
      </c>
      <c r="H100" s="9" t="n">
        <f aca="false">(parametros_manuales!$D$36*(datos_base!$E$2+IF(parametros_manuales!$H$36="Todos",datos_base!$E$9,0))*parametros_manuales!$H$95+parametros_manuales!$D$36*(datos_base!$E$18+IF(parametros_manuales!$H$36="Todos",datos_base!$E$23,0))*parametros_manuales!$H$12+parametros_manuales!$E$36*(datos_base!$E$3+IF(parametros_manuales!$H$36="Todos",datos_base!$E$10,0))*parametros_manuales!$H$100+parametros_manuales!$E$36*(datos_base!$E$19+IF(parametros_manuales!$H$36="Todos",datos_base!$E$24,0))*parametros_manuales!$H$13+parametros_manuales!$F$36*(datos_base!$E$4+IF(parametros_manuales!$H$36="Todos",datos_base!$E$11,0))*parametros_manuales!$H$105+parametros_manuales!$F$36*(datos_base!$E$20+IF(parametros_manuales!$H$36="Todos",datos_base!$E$25,0))*parametros_manuales!$H$14+parametros_manuales!$G$36*(datos_base!$E$5+IF(parametros_manuales!$H$36="Todos",datos_base!$E$12,0))*parametros_manuales!$H$110+parametros_manuales!$G$36*(datos_base!$E$21+IF(parametros_manuales!$H$36="Todos",datos_base!$E$26,0))*parametros_manuales!$H$15)*parametros_manuales!$I$36*parametros_manuales!$J$36</f>
        <v>193.57891423315</v>
      </c>
      <c r="I100" s="9" t="n">
        <f aca="false">(parametros_manuales!$D$36*(datos_base!$E$2+IF(parametros_manuales!$H$36="Todos",datos_base!$E$9,0))*parametros_manuales!$I$95+parametros_manuales!$D$36*(datos_base!$E$18+IF(parametros_manuales!$H$36="Todos",datos_base!$E$23,0))*parametros_manuales!$I$12+parametros_manuales!$E$36*(datos_base!$E$3+IF(parametros_manuales!$H$36="Todos",datos_base!$E$10,0))*parametros_manuales!$I$100+parametros_manuales!$E$36*(datos_base!$E$19+IF(parametros_manuales!$H$36="Todos",datos_base!$E$24,0))*parametros_manuales!$I$13+parametros_manuales!$F$36*(datos_base!$E$4+IF(parametros_manuales!$H$36="Todos",datos_base!$E$11,0))*parametros_manuales!$I$105+parametros_manuales!$F$36*(datos_base!$E$20+IF(parametros_manuales!$H$36="Todos",datos_base!$E$25,0))*parametros_manuales!$I$14+parametros_manuales!$G$36*(datos_base!$E$5+IF(parametros_manuales!$H$36="Todos",datos_base!$E$12,0))*parametros_manuales!$I$110+parametros_manuales!$G$36*(datos_base!$E$21+IF(parametros_manuales!$H$36="Todos",datos_base!$E$26,0))*parametros_manuales!$I$15)*parametros_manuales!$I$36*parametros_manuales!$J$36</f>
        <v>219.9503658949</v>
      </c>
      <c r="J100" s="9" t="n">
        <f aca="false">(parametros_manuales!$D$36*(datos_base!$E$2+IF(parametros_manuales!$H$36="Todos",datos_base!$E$9,0))*parametros_manuales!$J$95+parametros_manuales!$D$36*(datos_base!$E$18+IF(parametros_manuales!$H$36="Todos",datos_base!$E$23,0))*parametros_manuales!$J$12+parametros_manuales!$E$36*(datos_base!$E$3+IF(parametros_manuales!$H$36="Todos",datos_base!$E$10,0))*parametros_manuales!$J$100+parametros_manuales!$E$36*(datos_base!$E$19+IF(parametros_manuales!$H$36="Todos",datos_base!$E$24,0))*parametros_manuales!$J$13+parametros_manuales!$F$36*(datos_base!$E$4+IF(parametros_manuales!$H$36="Todos",datos_base!$E$11,0))*parametros_manuales!$J$105+parametros_manuales!$F$36*(datos_base!$E$20+IF(parametros_manuales!$H$36="Todos",datos_base!$E$25,0))*parametros_manuales!$J$14+parametros_manuales!$G$36*(datos_base!$E$5+IF(parametros_manuales!$H$36="Todos",datos_base!$E$12,0))*parametros_manuales!$J$110+parametros_manuales!$G$36*(datos_base!$E$21+IF(parametros_manuales!$H$36="Todos",datos_base!$E$26,0))*parametros_manuales!$J$15)*parametros_manuales!$I$36*parametros_manuales!$J$36</f>
        <v>219.9503658949</v>
      </c>
      <c r="K100" s="9" t="n">
        <f aca="false">(parametros_manuales!$D$36*(datos_base!$E$2+IF(parametros_manuales!$H$36="Todos",datos_base!$E$9,0))*parametros_manuales!$K$95+parametros_manuales!$D$36*(datos_base!$E$18+IF(parametros_manuales!$H$36="Todos",datos_base!$E$23,0))*parametros_manuales!$K$12+parametros_manuales!$E$36*(datos_base!$E$3+IF(parametros_manuales!$H$36="Todos",datos_base!$E$10,0))*parametros_manuales!$K$100+parametros_manuales!$E$36*(datos_base!$E$19+IF(parametros_manuales!$H$36="Todos",datos_base!$E$24,0))*parametros_manuales!$K$13+parametros_manuales!$F$36*(datos_base!$E$4+IF(parametros_manuales!$H$36="Todos",datos_base!$E$11,0))*parametros_manuales!$K$105+parametros_manuales!$F$36*(datos_base!$E$20+IF(parametros_manuales!$H$36="Todos",datos_base!$E$25,0))*parametros_manuales!$K$14+parametros_manuales!$G$36*(datos_base!$E$5+IF(parametros_manuales!$H$36="Todos",datos_base!$E$12,0))*parametros_manuales!$K$110+parametros_manuales!$G$36*(datos_base!$E$21+IF(parametros_manuales!$H$36="Todos",datos_base!$E$26,0))*parametros_manuales!$K$15)*parametros_manuales!$I$36*parametros_manuales!$J$36</f>
        <v>223.689049390175</v>
      </c>
      <c r="L100" s="9" t="n">
        <f aca="false">(parametros_manuales!$D$36*(datos_base!$E$2+IF(parametros_manuales!$H$36="Todos",datos_base!$E$9,0))*parametros_manuales!$L$95+parametros_manuales!$D$36*(datos_base!$E$18+IF(parametros_manuales!$H$36="Todos",datos_base!$E$23,0))*parametros_manuales!$L$12+parametros_manuales!$E$36*(datos_base!$E$3+IF(parametros_manuales!$H$36="Todos",datos_base!$E$10,0))*parametros_manuales!$L$100+parametros_manuales!$E$36*(datos_base!$E$19+IF(parametros_manuales!$H$36="Todos",datos_base!$E$24,0))*parametros_manuales!$L$13+parametros_manuales!$F$36*(datos_base!$E$4+IF(parametros_manuales!$H$36="Todos",datos_base!$E$11,0))*parametros_manuales!$L$105+parametros_manuales!$F$36*(datos_base!$E$20+IF(parametros_manuales!$H$36="Todos",datos_base!$E$25,0))*parametros_manuales!$L$14+parametros_manuales!$G$36*(datos_base!$E$5+IF(parametros_manuales!$H$36="Todos",datos_base!$E$12,0))*parametros_manuales!$L$110+parametros_manuales!$G$36*(datos_base!$E$21+IF(parametros_manuales!$H$36="Todos",datos_base!$E$26,0))*parametros_manuales!$L$15)*parametros_manuales!$I$36*parametros_manuales!$J$36</f>
        <v>227.42773288545</v>
      </c>
      <c r="M100" s="9" t="n">
        <f aca="false">(parametros_manuales!$D$36*(datos_base!$E$2+IF(parametros_manuales!$H$36="Todos",datos_base!$E$9,0))*parametros_manuales!$M$95+parametros_manuales!$D$36*(datos_base!$E$18+IF(parametros_manuales!$H$36="Todos",datos_base!$E$23,0))*parametros_manuales!$M$12+parametros_manuales!$E$36*(datos_base!$E$3+IF(parametros_manuales!$H$36="Todos",datos_base!$E$10,0))*parametros_manuales!$M$100+parametros_manuales!$E$36*(datos_base!$E$19+IF(parametros_manuales!$H$36="Todos",datos_base!$E$24,0))*parametros_manuales!$M$13+parametros_manuales!$F$36*(datos_base!$E$4+IF(parametros_manuales!$H$36="Todos",datos_base!$E$11,0))*parametros_manuales!$M$105+parametros_manuales!$F$36*(datos_base!$E$20+IF(parametros_manuales!$H$36="Todos",datos_base!$E$25,0))*parametros_manuales!$M$14+parametros_manuales!$G$36*(datos_base!$E$5+IF(parametros_manuales!$H$36="Todos",datos_base!$E$12,0))*parametros_manuales!$M$110+parametros_manuales!$G$36*(datos_base!$E$21+IF(parametros_manuales!$H$36="Todos",datos_base!$E$26,0))*parametros_manuales!$M$15)*parametros_manuales!$I$36*parametros_manuales!$J$36</f>
        <v>227.90341288545</v>
      </c>
      <c r="N100" s="9" t="n">
        <f aca="false">SUM(B100:M100)</f>
        <v>2529.617476505</v>
      </c>
      <c r="O100" s="9" t="n">
        <f aca="false">MAX(B100:M100)</f>
        <v>227.90341288545</v>
      </c>
      <c r="P100" s="44" t="n">
        <f aca="false">O100/(parametros_manuales!$B$7)</f>
        <v>1.519356085903</v>
      </c>
      <c r="Q100" s="8" t="str">
        <f aca="false">IF(O100=0,"-",INDEX($B$82:$M$82,MATCH(O100,B100:M100,0)))</f>
        <v>Dic</v>
      </c>
    </row>
    <row r="101" customFormat="false" ht="14.25" hidden="false" customHeight="true" outlineLevel="0" collapsed="false">
      <c r="A101" s="8" t="str">
        <f aca="false">parametros_manuales!$B$37</f>
        <v>Pintura en polvo + horno</v>
      </c>
      <c r="B101" s="9" t="n">
        <f aca="false">(parametros_manuales!$D$37*(datos_base!$E$2+IF(parametros_manuales!$H$37="Todos",datos_base!$E$9,0))*parametros_manuales!$B$95+parametros_manuales!$D$37*(datos_base!$E$18+IF(parametros_manuales!$H$37="Todos",datos_base!$E$23,0))*parametros_manuales!$B$12+parametros_manuales!$E$37*(datos_base!$E$3+IF(parametros_manuales!$H$37="Todos",datos_base!$E$10,0))*parametros_manuales!$B$100+parametros_manuales!$E$37*(datos_base!$E$19+IF(parametros_manuales!$H$37="Todos",datos_base!$E$24,0))*parametros_manuales!$B$13+parametros_manuales!$F$37*(datos_base!$E$4+IF(parametros_manuales!$H$37="Todos",datos_base!$E$11,0))*parametros_manuales!$B$105+parametros_manuales!$F$37*(datos_base!$E$20+IF(parametros_manuales!$H$37="Todos",datos_base!$E$25,0))*parametros_manuales!$B$14+parametros_manuales!$G$37*(datos_base!$E$5+IF(parametros_manuales!$H$37="Todos",datos_base!$E$12,0))*parametros_manuales!$B$110+parametros_manuales!$G$37*(datos_base!$E$21+IF(parametros_manuales!$H$37="Todos",datos_base!$E$26,0))*parametros_manuales!$B$15)*parametros_manuales!$I$37*parametros_manuales!$J$37</f>
        <v>4555.689857709</v>
      </c>
      <c r="C101" s="9" t="n">
        <f aca="false">(parametros_manuales!$D$37*(datos_base!$E$2+IF(parametros_manuales!$H$37="Todos",datos_base!$E$9,0))*parametros_manuales!$C$95+parametros_manuales!$D$37*(datos_base!$E$18+IF(parametros_manuales!$H$37="Todos",datos_base!$E$23,0))*parametros_manuales!$C$12+parametros_manuales!$E$37*(datos_base!$E$3+IF(parametros_manuales!$H$37="Todos",datos_base!$E$10,0))*parametros_manuales!$C$100+parametros_manuales!$E$37*(datos_base!$E$19+IF(parametros_manuales!$H$37="Todos",datos_base!$E$24,0))*parametros_manuales!$C$13+parametros_manuales!$F$37*(datos_base!$E$4+IF(parametros_manuales!$H$37="Todos",datos_base!$E$11,0))*parametros_manuales!$C$105+parametros_manuales!$F$37*(datos_base!$E$20+IF(parametros_manuales!$H$37="Todos",datos_base!$E$25,0))*parametros_manuales!$C$14+parametros_manuales!$G$37*(datos_base!$E$5+IF(parametros_manuales!$H$37="Todos",datos_base!$E$12,0))*parametros_manuales!$C$110+parametros_manuales!$G$37*(datos_base!$E$21+IF(parametros_manuales!$H$37="Todos",datos_base!$E$26,0))*parametros_manuales!$C$15)*parametros_manuales!$I$37*parametros_manuales!$J$37</f>
        <v>4399.007317898</v>
      </c>
      <c r="D101" s="9" t="n">
        <f aca="false">(parametros_manuales!$D$37*(datos_base!$E$2+IF(parametros_manuales!$H$37="Todos",datos_base!$E$9,0))*parametros_manuales!$D$95+parametros_manuales!$D$37*(datos_base!$E$18+IF(parametros_manuales!$H$37="Todos",datos_base!$E$23,0))*parametros_manuales!$D$12+parametros_manuales!$E$37*(datos_base!$E$3+IF(parametros_manuales!$H$37="Todos",datos_base!$E$10,0))*parametros_manuales!$D$100+parametros_manuales!$E$37*(datos_base!$E$19+IF(parametros_manuales!$H$37="Todos",datos_base!$E$24,0))*parametros_manuales!$D$13+parametros_manuales!$F$37*(datos_base!$E$4+IF(parametros_manuales!$H$37="Todos",datos_base!$E$11,0))*parametros_manuales!$D$105+parametros_manuales!$F$37*(datos_base!$E$20+IF(parametros_manuales!$H$37="Todos",datos_base!$E$25,0))*parametros_manuales!$D$14+parametros_manuales!$G$37*(datos_base!$E$5+IF(parametros_manuales!$H$37="Todos",datos_base!$E$12,0))*parametros_manuales!$D$110+parametros_manuales!$G$37*(datos_base!$E$21+IF(parametros_manuales!$H$37="Todos",datos_base!$E$26,0))*parametros_manuales!$D$15)*parametros_manuales!$I$37*parametros_manuales!$J$37</f>
        <v>4124.5400323135</v>
      </c>
      <c r="E101" s="9" t="n">
        <f aca="false">(parametros_manuales!$D$37*(datos_base!$E$2+IF(parametros_manuales!$H$37="Todos",datos_base!$E$9,0))*parametros_manuales!$E$95+parametros_manuales!$D$37*(datos_base!$E$18+IF(parametros_manuales!$H$37="Todos",datos_base!$E$23,0))*parametros_manuales!$E$12+parametros_manuales!$E$37*(datos_base!$E$3+IF(parametros_manuales!$H$37="Todos",datos_base!$E$10,0))*parametros_manuales!$E$100+parametros_manuales!$E$37*(datos_base!$E$19+IF(parametros_manuales!$H$37="Todos",datos_base!$E$24,0))*parametros_manuales!$E$13+parametros_manuales!$F$37*(datos_base!$E$4+IF(parametros_manuales!$H$37="Todos",datos_base!$E$11,0))*parametros_manuales!$E$105+parametros_manuales!$F$37*(datos_base!$E$20+IF(parametros_manuales!$H$37="Todos",datos_base!$E$25,0))*parametros_manuales!$E$14+parametros_manuales!$G$37*(datos_base!$E$5+IF(parametros_manuales!$H$37="Todos",datos_base!$E$12,0))*parametros_manuales!$E$110+parametros_manuales!$G$37*(datos_base!$E$21+IF(parametros_manuales!$H$37="Todos",datos_base!$E$26,0))*parametros_manuales!$E$15)*parametros_manuales!$I$37*parametros_manuales!$J$37</f>
        <v>3948.7303545685</v>
      </c>
      <c r="F101" s="9" t="n">
        <f aca="false">(parametros_manuales!$D$37*(datos_base!$E$2+IF(parametros_manuales!$H$37="Todos",datos_base!$E$9,0))*parametros_manuales!$F$95+parametros_manuales!$D$37*(datos_base!$E$18+IF(parametros_manuales!$H$37="Todos",datos_base!$E$23,0))*parametros_manuales!$F$12+parametros_manuales!$E$37*(datos_base!$E$3+IF(parametros_manuales!$H$37="Todos",datos_base!$E$10,0))*parametros_manuales!$F$100+parametros_manuales!$E$37*(datos_base!$E$19+IF(parametros_manuales!$H$37="Todos",datos_base!$E$24,0))*parametros_manuales!$F$13+parametros_manuales!$F$37*(datos_base!$E$4+IF(parametros_manuales!$H$37="Todos",datos_base!$E$11,0))*parametros_manuales!$F$105+parametros_manuales!$F$37*(datos_base!$E$20+IF(parametros_manuales!$H$37="Todos",datos_base!$E$25,0))*parametros_manuales!$F$14+parametros_manuales!$G$37*(datos_base!$E$5+IF(parametros_manuales!$H$37="Todos",datos_base!$E$12,0))*parametros_manuales!$F$110+parametros_manuales!$G$37*(datos_base!$E$21+IF(parametros_manuales!$H$37="Todos",datos_base!$E$26,0))*parametros_manuales!$F$15)*parametros_manuales!$I$37*parametros_manuales!$J$37</f>
        <v>3695.768606918</v>
      </c>
      <c r="G101" s="9" t="n">
        <f aca="false">(parametros_manuales!$D$37*(datos_base!$E$2+IF(parametros_manuales!$H$37="Todos",datos_base!$E$9,0))*parametros_manuales!$G$95+parametros_manuales!$D$37*(datos_base!$E$18+IF(parametros_manuales!$H$37="Todos",datos_base!$E$23,0))*parametros_manuales!$G$12+parametros_manuales!$E$37*(datos_base!$E$3+IF(parametros_manuales!$H$37="Todos",datos_base!$E$10,0))*parametros_manuales!$G$100+parametros_manuales!$E$37*(datos_base!$E$19+IF(parametros_manuales!$H$37="Todos",datos_base!$E$24,0))*parametros_manuales!$G$13+parametros_manuales!$F$37*(datos_base!$E$4+IF(parametros_manuales!$H$37="Todos",datos_base!$E$11,0))*parametros_manuales!$G$105+parametros_manuales!$F$37*(datos_base!$E$20+IF(parametros_manuales!$H$37="Todos",datos_base!$E$25,0))*parametros_manuales!$G$14+parametros_manuales!$G$37*(datos_base!$E$5+IF(parametros_manuales!$H$37="Todos",datos_base!$E$12,0))*parametros_manuales!$G$110+parametros_manuales!$G$37*(datos_base!$E$21+IF(parametros_manuales!$H$37="Todos",datos_base!$E$26,0))*parametros_manuales!$G$15)*parametros_manuales!$I$37*parametros_manuales!$J$37</f>
        <v>3618.6165370125</v>
      </c>
      <c r="H101" s="9" t="n">
        <f aca="false">(parametros_manuales!$D$37*(datos_base!$E$2+IF(parametros_manuales!$H$37="Todos",datos_base!$E$9,0))*parametros_manuales!$H$95+parametros_manuales!$D$37*(datos_base!$E$18+IF(parametros_manuales!$H$37="Todos",datos_base!$E$23,0))*parametros_manuales!$H$12+parametros_manuales!$E$37*(datos_base!$E$3+IF(parametros_manuales!$H$37="Todos",datos_base!$E$10,0))*parametros_manuales!$H$100+parametros_manuales!$E$37*(datos_base!$E$19+IF(parametros_manuales!$H$37="Todos",datos_base!$E$24,0))*parametros_manuales!$H$13+parametros_manuales!$F$37*(datos_base!$E$4+IF(parametros_manuales!$H$37="Todos",datos_base!$E$11,0))*parametros_manuales!$H$105+parametros_manuales!$F$37*(datos_base!$E$20+IF(parametros_manuales!$H$37="Todos",datos_base!$E$25,0))*parametros_manuales!$H$14+parametros_manuales!$G$37*(datos_base!$E$5+IF(parametros_manuales!$H$37="Todos",datos_base!$E$12,0))*parametros_manuales!$H$110+parametros_manuales!$G$37*(datos_base!$E$21+IF(parametros_manuales!$H$37="Todos",datos_base!$E$26,0))*parametros_manuales!$H$15)*parametros_manuales!$I$37*parametros_manuales!$J$37</f>
        <v>3871.578284663</v>
      </c>
      <c r="I101" s="9" t="n">
        <f aca="false">(parametros_manuales!$D$37*(datos_base!$E$2+IF(parametros_manuales!$H$37="Todos",datos_base!$E$9,0))*parametros_manuales!$I$95+parametros_manuales!$D$37*(datos_base!$E$18+IF(parametros_manuales!$H$37="Todos",datos_base!$E$23,0))*parametros_manuales!$I$12+parametros_manuales!$E$37*(datos_base!$E$3+IF(parametros_manuales!$H$37="Todos",datos_base!$E$10,0))*parametros_manuales!$I$100+parametros_manuales!$E$37*(datos_base!$E$19+IF(parametros_manuales!$H$37="Todos",datos_base!$E$24,0))*parametros_manuales!$I$13+parametros_manuales!$F$37*(datos_base!$E$4+IF(parametros_manuales!$H$37="Todos",datos_base!$E$11,0))*parametros_manuales!$I$105+parametros_manuales!$F$37*(datos_base!$E$20+IF(parametros_manuales!$H$37="Todos",datos_base!$E$25,0))*parametros_manuales!$I$14+parametros_manuales!$G$37*(datos_base!$E$5+IF(parametros_manuales!$H$37="Todos",datos_base!$E$12,0))*parametros_manuales!$I$110+parametros_manuales!$G$37*(datos_base!$E$21+IF(parametros_manuales!$H$37="Todos",datos_base!$E$26,0))*parametros_manuales!$I$15)*parametros_manuales!$I$37*parametros_manuales!$J$37</f>
        <v>4399.007317898</v>
      </c>
      <c r="J101" s="9" t="n">
        <f aca="false">(parametros_manuales!$D$37*(datos_base!$E$2+IF(parametros_manuales!$H$37="Todos",datos_base!$E$9,0))*parametros_manuales!$J$95+parametros_manuales!$D$37*(datos_base!$E$18+IF(parametros_manuales!$H$37="Todos",datos_base!$E$23,0))*parametros_manuales!$J$12+parametros_manuales!$E$37*(datos_base!$E$3+IF(parametros_manuales!$H$37="Todos",datos_base!$E$10,0))*parametros_manuales!$J$100+parametros_manuales!$E$37*(datos_base!$E$19+IF(parametros_manuales!$H$37="Todos",datos_base!$E$24,0))*parametros_manuales!$J$13+parametros_manuales!$F$37*(datos_base!$E$4+IF(parametros_manuales!$H$37="Todos",datos_base!$E$11,0))*parametros_manuales!$J$105+parametros_manuales!$F$37*(datos_base!$E$20+IF(parametros_manuales!$H$37="Todos",datos_base!$E$25,0))*parametros_manuales!$J$14+parametros_manuales!$G$37*(datos_base!$E$5+IF(parametros_manuales!$H$37="Todos",datos_base!$E$12,0))*parametros_manuales!$J$110+parametros_manuales!$G$37*(datos_base!$E$21+IF(parametros_manuales!$H$37="Todos",datos_base!$E$26,0))*parametros_manuales!$J$15)*parametros_manuales!$I$37*parametros_manuales!$J$37</f>
        <v>4399.007317898</v>
      </c>
      <c r="K101" s="9" t="n">
        <f aca="false">(parametros_manuales!$D$37*(datos_base!$E$2+IF(parametros_manuales!$H$37="Todos",datos_base!$E$9,0))*parametros_manuales!$K$95+parametros_manuales!$D$37*(datos_base!$E$18+IF(parametros_manuales!$H$37="Todos",datos_base!$E$23,0))*parametros_manuales!$K$12+parametros_manuales!$E$37*(datos_base!$E$3+IF(parametros_manuales!$H$37="Todos",datos_base!$E$10,0))*parametros_manuales!$K$100+parametros_manuales!$E$37*(datos_base!$E$19+IF(parametros_manuales!$H$37="Todos",datos_base!$E$24,0))*parametros_manuales!$K$13+parametros_manuales!$F$37*(datos_base!$E$4+IF(parametros_manuales!$H$37="Todos",datos_base!$E$11,0))*parametros_manuales!$K$105+parametros_manuales!$F$37*(datos_base!$E$20+IF(parametros_manuales!$H$37="Todos",datos_base!$E$25,0))*parametros_manuales!$K$14+parametros_manuales!$G$37*(datos_base!$E$5+IF(parametros_manuales!$H$37="Todos",datos_base!$E$12,0))*parametros_manuales!$K$110+parametros_manuales!$G$37*(datos_base!$E$21+IF(parametros_manuales!$H$37="Todos",datos_base!$E$26,0))*parametros_manuales!$K$15)*parametros_manuales!$I$37*parametros_manuales!$J$37</f>
        <v>4473.7809878035</v>
      </c>
      <c r="L101" s="9" t="n">
        <f aca="false">(parametros_manuales!$D$37*(datos_base!$E$2+IF(parametros_manuales!$H$37="Todos",datos_base!$E$9,0))*parametros_manuales!$L$95+parametros_manuales!$D$37*(datos_base!$E$18+IF(parametros_manuales!$H$37="Todos",datos_base!$E$23,0))*parametros_manuales!$L$12+parametros_manuales!$E$37*(datos_base!$E$3+IF(parametros_manuales!$H$37="Todos",datos_base!$E$10,0))*parametros_manuales!$L$100+parametros_manuales!$E$37*(datos_base!$E$19+IF(parametros_manuales!$H$37="Todos",datos_base!$E$24,0))*parametros_manuales!$L$13+parametros_manuales!$F$37*(datos_base!$E$4+IF(parametros_manuales!$H$37="Todos",datos_base!$E$11,0))*parametros_manuales!$L$105+parametros_manuales!$F$37*(datos_base!$E$20+IF(parametros_manuales!$H$37="Todos",datos_base!$E$25,0))*parametros_manuales!$L$14+parametros_manuales!$G$37*(datos_base!$E$5+IF(parametros_manuales!$H$37="Todos",datos_base!$E$12,0))*parametros_manuales!$L$110+parametros_manuales!$G$37*(datos_base!$E$21+IF(parametros_manuales!$H$37="Todos",datos_base!$E$26,0))*parametros_manuales!$L$15)*parametros_manuales!$I$37*parametros_manuales!$J$37</f>
        <v>4548.554657709</v>
      </c>
      <c r="M101" s="9" t="n">
        <f aca="false">(parametros_manuales!$D$37*(datos_base!$E$2+IF(parametros_manuales!$H$37="Todos",datos_base!$E$9,0))*parametros_manuales!$M$95+parametros_manuales!$D$37*(datos_base!$E$18+IF(parametros_manuales!$H$37="Todos",datos_base!$E$23,0))*parametros_manuales!$M$12+parametros_manuales!$E$37*(datos_base!$E$3+IF(parametros_manuales!$H$37="Todos",datos_base!$E$10,0))*parametros_manuales!$M$100+parametros_manuales!$E$37*(datos_base!$E$19+IF(parametros_manuales!$H$37="Todos",datos_base!$E$24,0))*parametros_manuales!$M$13+parametros_manuales!$F$37*(datos_base!$E$4+IF(parametros_manuales!$H$37="Todos",datos_base!$E$11,0))*parametros_manuales!$M$105+parametros_manuales!$F$37*(datos_base!$E$20+IF(parametros_manuales!$H$37="Todos",datos_base!$E$25,0))*parametros_manuales!$M$14+parametros_manuales!$G$37*(datos_base!$E$5+IF(parametros_manuales!$H$37="Todos",datos_base!$E$12,0))*parametros_manuales!$M$110+parametros_manuales!$G$37*(datos_base!$E$21+IF(parametros_manuales!$H$37="Todos",datos_base!$E$26,0))*parametros_manuales!$M$15)*parametros_manuales!$I$37*parametros_manuales!$J$37</f>
        <v>4558.068257709</v>
      </c>
      <c r="N101" s="9" t="n">
        <f aca="false">SUM(B101:M101)</f>
        <v>50592.3495301</v>
      </c>
      <c r="O101" s="9" t="n">
        <f aca="false">MAX(B101:M101)</f>
        <v>4558.068257709</v>
      </c>
      <c r="P101" s="44" t="n">
        <f aca="false">O101/(parametros_manuales!$B$7)</f>
        <v>30.38712171806</v>
      </c>
      <c r="Q101" s="8" t="str">
        <f aca="false">IF(O101=0,"-",INDEX($B$82:$M$82,MATCH(O101,B101:M101,0)))</f>
        <v>Dic</v>
      </c>
    </row>
    <row r="102" customFormat="false" ht="14.25" hidden="false" customHeight="true" outlineLevel="0" collapsed="false">
      <c r="A102" s="8" t="str">
        <f aca="false">parametros_manuales!$B$38</f>
        <v>Carga de polvo</v>
      </c>
      <c r="B102" s="9" t="n">
        <f aca="false">(parametros_manuales!$D$38*(datos_base!$E$2+IF(parametros_manuales!$H$38="Todos",datos_base!$E$9,0))*parametros_manuales!$B$95+parametros_manuales!$D$38*(datos_base!$E$18+IF(parametros_manuales!$H$38="Todos",datos_base!$E$23,0))*parametros_manuales!$B$12+parametros_manuales!$E$38*(datos_base!$E$3+IF(parametros_manuales!$H$38="Todos",datos_base!$E$10,0))*parametros_manuales!$B$100+parametros_manuales!$E$38*(datos_base!$E$19+IF(parametros_manuales!$H$38="Todos",datos_base!$E$24,0))*parametros_manuales!$B$13+parametros_manuales!$F$38*(datos_base!$E$4+IF(parametros_manuales!$H$38="Todos",datos_base!$E$11,0))*parametros_manuales!$B$105+parametros_manuales!$F$38*(datos_base!$E$20+IF(parametros_manuales!$H$38="Todos",datos_base!$E$25,0))*parametros_manuales!$B$14+parametros_manuales!$G$38*(datos_base!$E$5+IF(parametros_manuales!$H$38="Todos",datos_base!$E$12,0))*parametros_manuales!$B$110+parametros_manuales!$G$38*(datos_base!$E$21+IF(parametros_manuales!$H$38="Todos",datos_base!$E$26,0))*parametros_manuales!$B$15)*parametros_manuales!$I$38*parametros_manuales!$J$38</f>
        <v>1551.473857709</v>
      </c>
      <c r="C102" s="9" t="n">
        <f aca="false">(parametros_manuales!$D$38*(datos_base!$E$2+IF(parametros_manuales!$H$38="Todos",datos_base!$E$9,0))*parametros_manuales!$C$95+parametros_manuales!$D$38*(datos_base!$E$18+IF(parametros_manuales!$H$38="Todos",datos_base!$E$23,0))*parametros_manuales!$C$12+parametros_manuales!$E$38*(datos_base!$E$3+IF(parametros_manuales!$H$38="Todos",datos_base!$E$10,0))*parametros_manuales!$C$100+parametros_manuales!$E$38*(datos_base!$E$19+IF(parametros_manuales!$H$38="Todos",datos_base!$E$24,0))*parametros_manuales!$C$13+parametros_manuales!$F$38*(datos_base!$E$4+IF(parametros_manuales!$H$38="Todos",datos_base!$E$11,0))*parametros_manuales!$C$105+parametros_manuales!$F$38*(datos_base!$E$20+IF(parametros_manuales!$H$38="Todos",datos_base!$E$25,0))*parametros_manuales!$C$14+parametros_manuales!$G$38*(datos_base!$E$5+IF(parametros_manuales!$H$38="Todos",datos_base!$E$12,0))*parametros_manuales!$C$110+parametros_manuales!$G$38*(datos_base!$E$21+IF(parametros_manuales!$H$38="Todos",datos_base!$E$26,0))*parametros_manuales!$C$15)*parametros_manuales!$I$38*parametros_manuales!$J$38</f>
        <v>1463.041717898</v>
      </c>
      <c r="D102" s="9" t="n">
        <f aca="false">(parametros_manuales!$D$38*(datos_base!$E$2+IF(parametros_manuales!$H$38="Todos",datos_base!$E$9,0))*parametros_manuales!$D$95+parametros_manuales!$D$38*(datos_base!$E$18+IF(parametros_manuales!$H$38="Todos",datos_base!$E$23,0))*parametros_manuales!$D$12+parametros_manuales!$E$38*(datos_base!$E$3+IF(parametros_manuales!$H$38="Todos",datos_base!$E$10,0))*parametros_manuales!$D$100+parametros_manuales!$E$38*(datos_base!$E$19+IF(parametros_manuales!$H$38="Todos",datos_base!$E$24,0))*parametros_manuales!$D$13+parametros_manuales!$F$38*(datos_base!$E$4+IF(parametros_manuales!$H$38="Todos",datos_base!$E$11,0))*parametros_manuales!$D$105+parametros_manuales!$F$38*(datos_base!$E$20+IF(parametros_manuales!$H$38="Todos",datos_base!$E$25,0))*parametros_manuales!$D$14+parametros_manuales!$G$38*(datos_base!$E$5+IF(parametros_manuales!$H$38="Todos",datos_base!$E$12,0))*parametros_manuales!$D$110+parametros_manuales!$G$38*(datos_base!$E$21+IF(parametros_manuales!$H$38="Todos",datos_base!$E$26,0))*parametros_manuales!$D$15)*parametros_manuales!$I$38*parametros_manuales!$J$38</f>
        <v>1422.1828323135</v>
      </c>
      <c r="E102" s="9" t="n">
        <f aca="false">(parametros_manuales!$D$38*(datos_base!$E$2+IF(parametros_manuales!$H$38="Todos",datos_base!$E$9,0))*parametros_manuales!$E$95+parametros_manuales!$D$38*(datos_base!$E$18+IF(parametros_manuales!$H$38="Todos",datos_base!$E$23,0))*parametros_manuales!$E$12+parametros_manuales!$E$38*(datos_base!$E$3+IF(parametros_manuales!$H$38="Todos",datos_base!$E$10,0))*parametros_manuales!$E$100+parametros_manuales!$E$38*(datos_base!$E$19+IF(parametros_manuales!$H$38="Todos",datos_base!$E$24,0))*parametros_manuales!$E$13+parametros_manuales!$F$38*(datos_base!$E$4+IF(parametros_manuales!$H$38="Todos",datos_base!$E$11,0))*parametros_manuales!$E$105+parametros_manuales!$F$38*(datos_base!$E$20+IF(parametros_manuales!$H$38="Todos",datos_base!$E$25,0))*parametros_manuales!$E$14+parametros_manuales!$G$38*(datos_base!$E$5+IF(parametros_manuales!$H$38="Todos",datos_base!$E$12,0))*parametros_manuales!$E$110+parametros_manuales!$G$38*(datos_base!$E$21+IF(parametros_manuales!$H$38="Todos",datos_base!$E$26,0))*parametros_manuales!$E$15)*parametros_manuales!$I$38*parametros_manuales!$J$38</f>
        <v>1379.8471545685</v>
      </c>
      <c r="F102" s="9" t="n">
        <f aca="false">(parametros_manuales!$D$38*(datos_base!$E$2+IF(parametros_manuales!$H$38="Todos",datos_base!$E$9,0))*parametros_manuales!$F$95+parametros_manuales!$D$38*(datos_base!$E$18+IF(parametros_manuales!$H$38="Todos",datos_base!$E$23,0))*parametros_manuales!$F$12+parametros_manuales!$E$38*(datos_base!$E$3+IF(parametros_manuales!$H$38="Todos",datos_base!$E$10,0))*parametros_manuales!$F$100+parametros_manuales!$E$38*(datos_base!$E$19+IF(parametros_manuales!$H$38="Todos",datos_base!$E$24,0))*parametros_manuales!$F$13+parametros_manuales!$F$38*(datos_base!$E$4+IF(parametros_manuales!$H$38="Todos",datos_base!$E$11,0))*parametros_manuales!$F$105+parametros_manuales!$F$38*(datos_base!$E$20+IF(parametros_manuales!$H$38="Todos",datos_base!$E$25,0))*parametros_manuales!$F$14+parametros_manuales!$G$38*(datos_base!$E$5+IF(parametros_manuales!$H$38="Todos",datos_base!$E$12,0))*parametros_manuales!$F$110+parametros_manuales!$G$38*(datos_base!$E$21+IF(parametros_manuales!$H$38="Todos",datos_base!$E$26,0))*parametros_manuales!$F$15)*parametros_manuales!$I$38*parametros_manuales!$J$38</f>
        <v>1293.699006918</v>
      </c>
      <c r="G102" s="9" t="n">
        <f aca="false">(parametros_manuales!$D$38*(datos_base!$E$2+IF(parametros_manuales!$H$38="Todos",datos_base!$E$9,0))*parametros_manuales!$G$95+parametros_manuales!$D$38*(datos_base!$E$18+IF(parametros_manuales!$H$38="Todos",datos_base!$E$23,0))*parametros_manuales!$G$12+parametros_manuales!$E$38*(datos_base!$E$3+IF(parametros_manuales!$H$38="Todos",datos_base!$E$10,0))*parametros_manuales!$G$100+parametros_manuales!$E$38*(datos_base!$E$19+IF(parametros_manuales!$H$38="Todos",datos_base!$E$24,0))*parametros_manuales!$G$13+parametros_manuales!$F$38*(datos_base!$E$4+IF(parametros_manuales!$H$38="Todos",datos_base!$E$11,0))*parametros_manuales!$G$105+parametros_manuales!$F$38*(datos_base!$E$20+IF(parametros_manuales!$H$38="Todos",datos_base!$E$25,0))*parametros_manuales!$G$14+parametros_manuales!$G$38*(datos_base!$E$5+IF(parametros_manuales!$H$38="Todos",datos_base!$E$12,0))*parametros_manuales!$G$110+parametros_manuales!$G$38*(datos_base!$E$21+IF(parametros_manuales!$H$38="Todos",datos_base!$E$26,0))*parametros_manuales!$G$15)*parametros_manuales!$I$38*parametros_manuales!$J$38</f>
        <v>1249.8865370125</v>
      </c>
      <c r="H102" s="9" t="n">
        <f aca="false">(parametros_manuales!$D$38*(datos_base!$E$2+IF(parametros_manuales!$H$38="Todos",datos_base!$E$9,0))*parametros_manuales!$H$95+parametros_manuales!$D$38*(datos_base!$E$18+IF(parametros_manuales!$H$38="Todos",datos_base!$E$23,0))*parametros_manuales!$H$12+parametros_manuales!$E$38*(datos_base!$E$3+IF(parametros_manuales!$H$38="Todos",datos_base!$E$10,0))*parametros_manuales!$H$100+parametros_manuales!$E$38*(datos_base!$E$19+IF(parametros_manuales!$H$38="Todos",datos_base!$E$24,0))*parametros_manuales!$H$13+parametros_manuales!$F$38*(datos_base!$E$4+IF(parametros_manuales!$H$38="Todos",datos_base!$E$11,0))*parametros_manuales!$H$105+parametros_manuales!$F$38*(datos_base!$E$20+IF(parametros_manuales!$H$38="Todos",datos_base!$E$25,0))*parametros_manuales!$H$14+parametros_manuales!$G$38*(datos_base!$E$5+IF(parametros_manuales!$H$38="Todos",datos_base!$E$12,0))*parametros_manuales!$H$110+parametros_manuales!$G$38*(datos_base!$E$21+IF(parametros_manuales!$H$38="Todos",datos_base!$E$26,0))*parametros_manuales!$H$15)*parametros_manuales!$I$38*parametros_manuales!$J$38</f>
        <v>1336.034684663</v>
      </c>
      <c r="I102" s="9" t="n">
        <f aca="false">(parametros_manuales!$D$38*(datos_base!$E$2+IF(parametros_manuales!$H$38="Todos",datos_base!$E$9,0))*parametros_manuales!$I$95+parametros_manuales!$D$38*(datos_base!$E$18+IF(parametros_manuales!$H$38="Todos",datos_base!$E$23,0))*parametros_manuales!$I$12+parametros_manuales!$E$38*(datos_base!$E$3+IF(parametros_manuales!$H$38="Todos",datos_base!$E$10,0))*parametros_manuales!$I$100+parametros_manuales!$E$38*(datos_base!$E$19+IF(parametros_manuales!$H$38="Todos",datos_base!$E$24,0))*parametros_manuales!$I$13+parametros_manuales!$F$38*(datos_base!$E$4+IF(parametros_manuales!$H$38="Todos",datos_base!$E$11,0))*parametros_manuales!$I$105+parametros_manuales!$F$38*(datos_base!$E$20+IF(parametros_manuales!$H$38="Todos",datos_base!$E$25,0))*parametros_manuales!$I$14+parametros_manuales!$G$38*(datos_base!$E$5+IF(parametros_manuales!$H$38="Todos",datos_base!$E$12,0))*parametros_manuales!$I$110+parametros_manuales!$G$38*(datos_base!$E$21+IF(parametros_manuales!$H$38="Todos",datos_base!$E$26,0))*parametros_manuales!$I$15)*parametros_manuales!$I$38*parametros_manuales!$J$38</f>
        <v>1463.041717898</v>
      </c>
      <c r="J102" s="9" t="n">
        <f aca="false">(parametros_manuales!$D$38*(datos_base!$E$2+IF(parametros_manuales!$H$38="Todos",datos_base!$E$9,0))*parametros_manuales!$J$95+parametros_manuales!$D$38*(datos_base!$E$18+IF(parametros_manuales!$H$38="Todos",datos_base!$E$23,0))*parametros_manuales!$J$12+parametros_manuales!$E$38*(datos_base!$E$3+IF(parametros_manuales!$H$38="Todos",datos_base!$E$10,0))*parametros_manuales!$J$100+parametros_manuales!$E$38*(datos_base!$E$19+IF(parametros_manuales!$H$38="Todos",datos_base!$E$24,0))*parametros_manuales!$J$13+parametros_manuales!$F$38*(datos_base!$E$4+IF(parametros_manuales!$H$38="Todos",datos_base!$E$11,0))*parametros_manuales!$J$105+parametros_manuales!$F$38*(datos_base!$E$20+IF(parametros_manuales!$H$38="Todos",datos_base!$E$25,0))*parametros_manuales!$J$14+parametros_manuales!$G$38*(datos_base!$E$5+IF(parametros_manuales!$H$38="Todos",datos_base!$E$12,0))*parametros_manuales!$J$110+parametros_manuales!$G$38*(datos_base!$E$21+IF(parametros_manuales!$H$38="Todos",datos_base!$E$26,0))*parametros_manuales!$J$15)*parametros_manuales!$I$38*parametros_manuales!$J$38</f>
        <v>1463.041717898</v>
      </c>
      <c r="K102" s="9" t="n">
        <f aca="false">(parametros_manuales!$D$38*(datos_base!$E$2+IF(parametros_manuales!$H$38="Todos",datos_base!$E$9,0))*parametros_manuales!$K$95+parametros_manuales!$D$38*(datos_base!$E$18+IF(parametros_manuales!$H$38="Todos",datos_base!$E$23,0))*parametros_manuales!$K$12+parametros_manuales!$E$38*(datos_base!$E$3+IF(parametros_manuales!$H$38="Todos",datos_base!$E$10,0))*parametros_manuales!$K$100+parametros_manuales!$E$38*(datos_base!$E$19+IF(parametros_manuales!$H$38="Todos",datos_base!$E$24,0))*parametros_manuales!$K$13+parametros_manuales!$F$38*(datos_base!$E$4+IF(parametros_manuales!$H$38="Todos",datos_base!$E$11,0))*parametros_manuales!$K$105+parametros_manuales!$F$38*(datos_base!$E$20+IF(parametros_manuales!$H$38="Todos",datos_base!$E$25,0))*parametros_manuales!$K$14+parametros_manuales!$G$38*(datos_base!$E$5+IF(parametros_manuales!$H$38="Todos",datos_base!$E$12,0))*parametros_manuales!$K$110+parametros_manuales!$G$38*(datos_base!$E$21+IF(parametros_manuales!$H$38="Todos",datos_base!$E$26,0))*parametros_manuales!$K$15)*parametros_manuales!$I$38*parametros_manuales!$J$38</f>
        <v>1506.0469878035</v>
      </c>
      <c r="L102" s="9" t="n">
        <f aca="false">(parametros_manuales!$D$38*(datos_base!$E$2+IF(parametros_manuales!$H$38="Todos",datos_base!$E$9,0))*parametros_manuales!$L$95+parametros_manuales!$D$38*(datos_base!$E$18+IF(parametros_manuales!$H$38="Todos",datos_base!$E$23,0))*parametros_manuales!$L$12+parametros_manuales!$E$38*(datos_base!$E$3+IF(parametros_manuales!$H$38="Todos",datos_base!$E$10,0))*parametros_manuales!$L$100+parametros_manuales!$E$38*(datos_base!$E$19+IF(parametros_manuales!$H$38="Todos",datos_base!$E$24,0))*parametros_manuales!$L$13+parametros_manuales!$F$38*(datos_base!$E$4+IF(parametros_manuales!$H$38="Todos",datos_base!$E$11,0))*parametros_manuales!$L$105+parametros_manuales!$F$38*(datos_base!$E$20+IF(parametros_manuales!$H$38="Todos",datos_base!$E$25,0))*parametros_manuales!$L$14+parametros_manuales!$G$38*(datos_base!$E$5+IF(parametros_manuales!$H$38="Todos",datos_base!$E$12,0))*parametros_manuales!$L$110+parametros_manuales!$G$38*(datos_base!$E$21+IF(parametros_manuales!$H$38="Todos",datos_base!$E$26,0))*parametros_manuales!$L$15)*parametros_manuales!$I$38*parametros_manuales!$J$38</f>
        <v>1549.052257709</v>
      </c>
      <c r="M102" s="9" t="n">
        <f aca="false">(parametros_manuales!$D$38*(datos_base!$E$2+IF(parametros_manuales!$H$38="Todos",datos_base!$E$9,0))*parametros_manuales!$M$95+parametros_manuales!$D$38*(datos_base!$E$18+IF(parametros_manuales!$H$38="Todos",datos_base!$E$23,0))*parametros_manuales!$M$12+parametros_manuales!$E$38*(datos_base!$E$3+IF(parametros_manuales!$H$38="Todos",datos_base!$E$10,0))*parametros_manuales!$M$100+parametros_manuales!$E$38*(datos_base!$E$19+IF(parametros_manuales!$H$38="Todos",datos_base!$E$24,0))*parametros_manuales!$M$13+parametros_manuales!$F$38*(datos_base!$E$4+IF(parametros_manuales!$H$38="Todos",datos_base!$E$11,0))*parametros_manuales!$M$105+parametros_manuales!$F$38*(datos_base!$E$20+IF(parametros_manuales!$H$38="Todos",datos_base!$E$25,0))*parametros_manuales!$M$14+parametros_manuales!$G$38*(datos_base!$E$5+IF(parametros_manuales!$H$38="Todos",datos_base!$E$12,0))*parametros_manuales!$M$110+parametros_manuales!$G$38*(datos_base!$E$21+IF(parametros_manuales!$H$38="Todos",datos_base!$E$26,0))*parametros_manuales!$M$15)*parametros_manuales!$I$38*parametros_manuales!$J$38</f>
        <v>1552.281057709</v>
      </c>
      <c r="N102" s="9" t="n">
        <f aca="false">SUM(B102:M102)</f>
        <v>17229.6295301</v>
      </c>
      <c r="O102" s="9" t="n">
        <f aca="false">MAX(B102:M102)</f>
        <v>1552.281057709</v>
      </c>
      <c r="P102" s="44" t="n">
        <f aca="false">O102/(parametros_manuales!$B$7)</f>
        <v>10.3485403847267</v>
      </c>
      <c r="Q102" s="8" t="str">
        <f aca="false">IF(O102=0,"-",INDEX($B$82:$M$82,MATCH(O102,B102:M102,0)))</f>
        <v>Dic</v>
      </c>
    </row>
    <row r="103" customFormat="false" ht="14.25" hidden="false" customHeight="true" outlineLevel="0" collapsed="false">
      <c r="A103" s="8" t="str">
        <f aca="false">parametros_manuales!$B$39</f>
        <v>Ensamblaje</v>
      </c>
      <c r="B103" s="9" t="n">
        <f aca="false">(parametros_manuales!$D$39*(datos_base!$E$2+IF(parametros_manuales!$H$39="Todos",datos_base!$E$9,0))*parametros_manuales!$B$95+parametros_manuales!$D$39*(datos_base!$E$18+IF(parametros_manuales!$H$39="Todos",datos_base!$E$23,0))*parametros_manuales!$B$12+parametros_manuales!$E$39*(datos_base!$E$3+IF(parametros_manuales!$H$39="Todos",datos_base!$E$10,0))*parametros_manuales!$B$100+parametros_manuales!$E$39*(datos_base!$E$19+IF(parametros_manuales!$H$39="Todos",datos_base!$E$24,0))*parametros_manuales!$B$13+parametros_manuales!$F$39*(datos_base!$E$4+IF(parametros_manuales!$H$39="Todos",datos_base!$E$11,0))*parametros_manuales!$B$105+parametros_manuales!$F$39*(datos_base!$E$20+IF(parametros_manuales!$H$39="Todos",datos_base!$E$25,0))*parametros_manuales!$B$14+parametros_manuales!$G$39*(datos_base!$E$5+IF(parametros_manuales!$H$39="Todos",datos_base!$E$12,0))*parametros_manuales!$B$110+parametros_manuales!$G$39*(datos_base!$E$21+IF(parametros_manuales!$H$39="Todos",datos_base!$E$26,0))*parametros_manuales!$B$15)*parametros_manuales!$I$39*parametros_manuales!$J$39</f>
        <v>1551.473857709</v>
      </c>
      <c r="C103" s="9" t="n">
        <f aca="false">(parametros_manuales!$D$39*(datos_base!$E$2+IF(parametros_manuales!$H$39="Todos",datos_base!$E$9,0))*parametros_manuales!$C$95+parametros_manuales!$D$39*(datos_base!$E$18+IF(parametros_manuales!$H$39="Todos",datos_base!$E$23,0))*parametros_manuales!$C$12+parametros_manuales!$E$39*(datos_base!$E$3+IF(parametros_manuales!$H$39="Todos",datos_base!$E$10,0))*parametros_manuales!$C$100+parametros_manuales!$E$39*(datos_base!$E$19+IF(parametros_manuales!$H$39="Todos",datos_base!$E$24,0))*parametros_manuales!$C$13+parametros_manuales!$F$39*(datos_base!$E$4+IF(parametros_manuales!$H$39="Todos",datos_base!$E$11,0))*parametros_manuales!$C$105+parametros_manuales!$F$39*(datos_base!$E$20+IF(parametros_manuales!$H$39="Todos",datos_base!$E$25,0))*parametros_manuales!$C$14+parametros_manuales!$G$39*(datos_base!$E$5+IF(parametros_manuales!$H$39="Todos",datos_base!$E$12,0))*parametros_manuales!$C$110+parametros_manuales!$G$39*(datos_base!$E$21+IF(parametros_manuales!$H$39="Todos",datos_base!$E$26,0))*parametros_manuales!$C$15)*parametros_manuales!$I$39*parametros_manuales!$J$39</f>
        <v>1463.041717898</v>
      </c>
      <c r="D103" s="9" t="n">
        <f aca="false">(parametros_manuales!$D$39*(datos_base!$E$2+IF(parametros_manuales!$H$39="Todos",datos_base!$E$9,0))*parametros_manuales!$D$95+parametros_manuales!$D$39*(datos_base!$E$18+IF(parametros_manuales!$H$39="Todos",datos_base!$E$23,0))*parametros_manuales!$D$12+parametros_manuales!$E$39*(datos_base!$E$3+IF(parametros_manuales!$H$39="Todos",datos_base!$E$10,0))*parametros_manuales!$D$100+parametros_manuales!$E$39*(datos_base!$E$19+IF(parametros_manuales!$H$39="Todos",datos_base!$E$24,0))*parametros_manuales!$D$13+parametros_manuales!$F$39*(datos_base!$E$4+IF(parametros_manuales!$H$39="Todos",datos_base!$E$11,0))*parametros_manuales!$D$105+parametros_manuales!$F$39*(datos_base!$E$20+IF(parametros_manuales!$H$39="Todos",datos_base!$E$25,0))*parametros_manuales!$D$14+parametros_manuales!$G$39*(datos_base!$E$5+IF(parametros_manuales!$H$39="Todos",datos_base!$E$12,0))*parametros_manuales!$D$110+parametros_manuales!$G$39*(datos_base!$E$21+IF(parametros_manuales!$H$39="Todos",datos_base!$E$26,0))*parametros_manuales!$D$15)*parametros_manuales!$I$39*parametros_manuales!$J$39</f>
        <v>1422.1828323135</v>
      </c>
      <c r="E103" s="9" t="n">
        <f aca="false">(parametros_manuales!$D$39*(datos_base!$E$2+IF(parametros_manuales!$H$39="Todos",datos_base!$E$9,0))*parametros_manuales!$E$95+parametros_manuales!$D$39*(datos_base!$E$18+IF(parametros_manuales!$H$39="Todos",datos_base!$E$23,0))*parametros_manuales!$E$12+parametros_manuales!$E$39*(datos_base!$E$3+IF(parametros_manuales!$H$39="Todos",datos_base!$E$10,0))*parametros_manuales!$E$100+parametros_manuales!$E$39*(datos_base!$E$19+IF(parametros_manuales!$H$39="Todos",datos_base!$E$24,0))*parametros_manuales!$E$13+parametros_manuales!$F$39*(datos_base!$E$4+IF(parametros_manuales!$H$39="Todos",datos_base!$E$11,0))*parametros_manuales!$E$105+parametros_manuales!$F$39*(datos_base!$E$20+IF(parametros_manuales!$H$39="Todos",datos_base!$E$25,0))*parametros_manuales!$E$14+parametros_manuales!$G$39*(datos_base!$E$5+IF(parametros_manuales!$H$39="Todos",datos_base!$E$12,0))*parametros_manuales!$E$110+parametros_manuales!$G$39*(datos_base!$E$21+IF(parametros_manuales!$H$39="Todos",datos_base!$E$26,0))*parametros_manuales!$E$15)*parametros_manuales!$I$39*parametros_manuales!$J$39</f>
        <v>1379.8471545685</v>
      </c>
      <c r="F103" s="9" t="n">
        <f aca="false">(parametros_manuales!$D$39*(datos_base!$E$2+IF(parametros_manuales!$H$39="Todos",datos_base!$E$9,0))*parametros_manuales!$F$95+parametros_manuales!$D$39*(datos_base!$E$18+IF(parametros_manuales!$H$39="Todos",datos_base!$E$23,0))*parametros_manuales!$F$12+parametros_manuales!$E$39*(datos_base!$E$3+IF(parametros_manuales!$H$39="Todos",datos_base!$E$10,0))*parametros_manuales!$F$100+parametros_manuales!$E$39*(datos_base!$E$19+IF(parametros_manuales!$H$39="Todos",datos_base!$E$24,0))*parametros_manuales!$F$13+parametros_manuales!$F$39*(datos_base!$E$4+IF(parametros_manuales!$H$39="Todos",datos_base!$E$11,0))*parametros_manuales!$F$105+parametros_manuales!$F$39*(datos_base!$E$20+IF(parametros_manuales!$H$39="Todos",datos_base!$E$25,0))*parametros_manuales!$F$14+parametros_manuales!$G$39*(datos_base!$E$5+IF(parametros_manuales!$H$39="Todos",datos_base!$E$12,0))*parametros_manuales!$F$110+parametros_manuales!$G$39*(datos_base!$E$21+IF(parametros_manuales!$H$39="Todos",datos_base!$E$26,0))*parametros_manuales!$F$15)*parametros_manuales!$I$39*parametros_manuales!$J$39</f>
        <v>1293.699006918</v>
      </c>
      <c r="G103" s="9" t="n">
        <f aca="false">(parametros_manuales!$D$39*(datos_base!$E$2+IF(parametros_manuales!$H$39="Todos",datos_base!$E$9,0))*parametros_manuales!$G$95+parametros_manuales!$D$39*(datos_base!$E$18+IF(parametros_manuales!$H$39="Todos",datos_base!$E$23,0))*parametros_manuales!$G$12+parametros_manuales!$E$39*(datos_base!$E$3+IF(parametros_manuales!$H$39="Todos",datos_base!$E$10,0))*parametros_manuales!$G$100+parametros_manuales!$E$39*(datos_base!$E$19+IF(parametros_manuales!$H$39="Todos",datos_base!$E$24,0))*parametros_manuales!$G$13+parametros_manuales!$F$39*(datos_base!$E$4+IF(parametros_manuales!$H$39="Todos",datos_base!$E$11,0))*parametros_manuales!$G$105+parametros_manuales!$F$39*(datos_base!$E$20+IF(parametros_manuales!$H$39="Todos",datos_base!$E$25,0))*parametros_manuales!$G$14+parametros_manuales!$G$39*(datos_base!$E$5+IF(parametros_manuales!$H$39="Todos",datos_base!$E$12,0))*parametros_manuales!$G$110+parametros_manuales!$G$39*(datos_base!$E$21+IF(parametros_manuales!$H$39="Todos",datos_base!$E$26,0))*parametros_manuales!$G$15)*parametros_manuales!$I$39*parametros_manuales!$J$39</f>
        <v>1249.8865370125</v>
      </c>
      <c r="H103" s="9" t="n">
        <f aca="false">(parametros_manuales!$D$39*(datos_base!$E$2+IF(parametros_manuales!$H$39="Todos",datos_base!$E$9,0))*parametros_manuales!$H$95+parametros_manuales!$D$39*(datos_base!$E$18+IF(parametros_manuales!$H$39="Todos",datos_base!$E$23,0))*parametros_manuales!$H$12+parametros_manuales!$E$39*(datos_base!$E$3+IF(parametros_manuales!$H$39="Todos",datos_base!$E$10,0))*parametros_manuales!$H$100+parametros_manuales!$E$39*(datos_base!$E$19+IF(parametros_manuales!$H$39="Todos",datos_base!$E$24,0))*parametros_manuales!$H$13+parametros_manuales!$F$39*(datos_base!$E$4+IF(parametros_manuales!$H$39="Todos",datos_base!$E$11,0))*parametros_manuales!$H$105+parametros_manuales!$F$39*(datos_base!$E$20+IF(parametros_manuales!$H$39="Todos",datos_base!$E$25,0))*parametros_manuales!$H$14+parametros_manuales!$G$39*(datos_base!$E$5+IF(parametros_manuales!$H$39="Todos",datos_base!$E$12,0))*parametros_manuales!$H$110+parametros_manuales!$G$39*(datos_base!$E$21+IF(parametros_manuales!$H$39="Todos",datos_base!$E$26,0))*parametros_manuales!$H$15)*parametros_manuales!$I$39*parametros_manuales!$J$39</f>
        <v>1336.034684663</v>
      </c>
      <c r="I103" s="9" t="n">
        <f aca="false">(parametros_manuales!$D$39*(datos_base!$E$2+IF(parametros_manuales!$H$39="Todos",datos_base!$E$9,0))*parametros_manuales!$I$95+parametros_manuales!$D$39*(datos_base!$E$18+IF(parametros_manuales!$H$39="Todos",datos_base!$E$23,0))*parametros_manuales!$I$12+parametros_manuales!$E$39*(datos_base!$E$3+IF(parametros_manuales!$H$39="Todos",datos_base!$E$10,0))*parametros_manuales!$I$100+parametros_manuales!$E$39*(datos_base!$E$19+IF(parametros_manuales!$H$39="Todos",datos_base!$E$24,0))*parametros_manuales!$I$13+parametros_manuales!$F$39*(datos_base!$E$4+IF(parametros_manuales!$H$39="Todos",datos_base!$E$11,0))*parametros_manuales!$I$105+parametros_manuales!$F$39*(datos_base!$E$20+IF(parametros_manuales!$H$39="Todos",datos_base!$E$25,0))*parametros_manuales!$I$14+parametros_manuales!$G$39*(datos_base!$E$5+IF(parametros_manuales!$H$39="Todos",datos_base!$E$12,0))*parametros_manuales!$I$110+parametros_manuales!$G$39*(datos_base!$E$21+IF(parametros_manuales!$H$39="Todos",datos_base!$E$26,0))*parametros_manuales!$I$15)*parametros_manuales!$I$39*parametros_manuales!$J$39</f>
        <v>1463.041717898</v>
      </c>
      <c r="J103" s="9" t="n">
        <f aca="false">(parametros_manuales!$D$39*(datos_base!$E$2+IF(parametros_manuales!$H$39="Todos",datos_base!$E$9,0))*parametros_manuales!$J$95+parametros_manuales!$D$39*(datos_base!$E$18+IF(parametros_manuales!$H$39="Todos",datos_base!$E$23,0))*parametros_manuales!$J$12+parametros_manuales!$E$39*(datos_base!$E$3+IF(parametros_manuales!$H$39="Todos",datos_base!$E$10,0))*parametros_manuales!$J$100+parametros_manuales!$E$39*(datos_base!$E$19+IF(parametros_manuales!$H$39="Todos",datos_base!$E$24,0))*parametros_manuales!$J$13+parametros_manuales!$F$39*(datos_base!$E$4+IF(parametros_manuales!$H$39="Todos",datos_base!$E$11,0))*parametros_manuales!$J$105+parametros_manuales!$F$39*(datos_base!$E$20+IF(parametros_manuales!$H$39="Todos",datos_base!$E$25,0))*parametros_manuales!$J$14+parametros_manuales!$G$39*(datos_base!$E$5+IF(parametros_manuales!$H$39="Todos",datos_base!$E$12,0))*parametros_manuales!$J$110+parametros_manuales!$G$39*(datos_base!$E$21+IF(parametros_manuales!$H$39="Todos",datos_base!$E$26,0))*parametros_manuales!$J$15)*parametros_manuales!$I$39*parametros_manuales!$J$39</f>
        <v>1463.041717898</v>
      </c>
      <c r="K103" s="9" t="n">
        <f aca="false">(parametros_manuales!$D$39*(datos_base!$E$2+IF(parametros_manuales!$H$39="Todos",datos_base!$E$9,0))*parametros_manuales!$K$95+parametros_manuales!$D$39*(datos_base!$E$18+IF(parametros_manuales!$H$39="Todos",datos_base!$E$23,0))*parametros_manuales!$K$12+parametros_manuales!$E$39*(datos_base!$E$3+IF(parametros_manuales!$H$39="Todos",datos_base!$E$10,0))*parametros_manuales!$K$100+parametros_manuales!$E$39*(datos_base!$E$19+IF(parametros_manuales!$H$39="Todos",datos_base!$E$24,0))*parametros_manuales!$K$13+parametros_manuales!$F$39*(datos_base!$E$4+IF(parametros_manuales!$H$39="Todos",datos_base!$E$11,0))*parametros_manuales!$K$105+parametros_manuales!$F$39*(datos_base!$E$20+IF(parametros_manuales!$H$39="Todos",datos_base!$E$25,0))*parametros_manuales!$K$14+parametros_manuales!$G$39*(datos_base!$E$5+IF(parametros_manuales!$H$39="Todos",datos_base!$E$12,0))*parametros_manuales!$K$110+parametros_manuales!$G$39*(datos_base!$E$21+IF(parametros_manuales!$H$39="Todos",datos_base!$E$26,0))*parametros_manuales!$K$15)*parametros_manuales!$I$39*parametros_manuales!$J$39</f>
        <v>1506.0469878035</v>
      </c>
      <c r="L103" s="9" t="n">
        <f aca="false">(parametros_manuales!$D$39*(datos_base!$E$2+IF(parametros_manuales!$H$39="Todos",datos_base!$E$9,0))*parametros_manuales!$L$95+parametros_manuales!$D$39*(datos_base!$E$18+IF(parametros_manuales!$H$39="Todos",datos_base!$E$23,0))*parametros_manuales!$L$12+parametros_manuales!$E$39*(datos_base!$E$3+IF(parametros_manuales!$H$39="Todos",datos_base!$E$10,0))*parametros_manuales!$L$100+parametros_manuales!$E$39*(datos_base!$E$19+IF(parametros_manuales!$H$39="Todos",datos_base!$E$24,0))*parametros_manuales!$L$13+parametros_manuales!$F$39*(datos_base!$E$4+IF(parametros_manuales!$H$39="Todos",datos_base!$E$11,0))*parametros_manuales!$L$105+parametros_manuales!$F$39*(datos_base!$E$20+IF(parametros_manuales!$H$39="Todos",datos_base!$E$25,0))*parametros_manuales!$L$14+parametros_manuales!$G$39*(datos_base!$E$5+IF(parametros_manuales!$H$39="Todos",datos_base!$E$12,0))*parametros_manuales!$L$110+parametros_manuales!$G$39*(datos_base!$E$21+IF(parametros_manuales!$H$39="Todos",datos_base!$E$26,0))*parametros_manuales!$L$15)*parametros_manuales!$I$39*parametros_manuales!$J$39</f>
        <v>1549.052257709</v>
      </c>
      <c r="M103" s="9" t="n">
        <f aca="false">(parametros_manuales!$D$39*(datos_base!$E$2+IF(parametros_manuales!$H$39="Todos",datos_base!$E$9,0))*parametros_manuales!$M$95+parametros_manuales!$D$39*(datos_base!$E$18+IF(parametros_manuales!$H$39="Todos",datos_base!$E$23,0))*parametros_manuales!$M$12+parametros_manuales!$E$39*(datos_base!$E$3+IF(parametros_manuales!$H$39="Todos",datos_base!$E$10,0))*parametros_manuales!$M$100+parametros_manuales!$E$39*(datos_base!$E$19+IF(parametros_manuales!$H$39="Todos",datos_base!$E$24,0))*parametros_manuales!$M$13+parametros_manuales!$F$39*(datos_base!$E$4+IF(parametros_manuales!$H$39="Todos",datos_base!$E$11,0))*parametros_manuales!$M$105+parametros_manuales!$F$39*(datos_base!$E$20+IF(parametros_manuales!$H$39="Todos",datos_base!$E$25,0))*parametros_manuales!$M$14+parametros_manuales!$G$39*(datos_base!$E$5+IF(parametros_manuales!$H$39="Todos",datos_base!$E$12,0))*parametros_manuales!$M$110+parametros_manuales!$G$39*(datos_base!$E$21+IF(parametros_manuales!$H$39="Todos",datos_base!$E$26,0))*parametros_manuales!$M$15)*parametros_manuales!$I$39*parametros_manuales!$J$39</f>
        <v>1552.281057709</v>
      </c>
      <c r="N103" s="9" t="n">
        <f aca="false">SUM(B103:M103)</f>
        <v>17229.6295301</v>
      </c>
      <c r="O103" s="9" t="n">
        <f aca="false">MAX(B103:M103)</f>
        <v>1552.281057709</v>
      </c>
      <c r="P103" s="44" t="n">
        <f aca="false">O103/(parametros_manuales!$B$7)</f>
        <v>10.3485403847267</v>
      </c>
      <c r="Q103" s="8" t="str">
        <f aca="false">IF(O103=0,"-",INDEX($B$82:$M$82,MATCH(O103,B103:M103,0)))</f>
        <v>Dic</v>
      </c>
    </row>
    <row r="104" customFormat="false" ht="14.25" hidden="false" customHeight="true" outlineLevel="0" collapsed="false">
      <c r="A104" s="8" t="str">
        <f aca="false">parametros_manuales!$B$40</f>
        <v>Presurización</v>
      </c>
      <c r="B104" s="9" t="n">
        <f aca="false">(parametros_manuales!$D$40*(datos_base!$E$2+IF(parametros_manuales!$H$40="Todos",datos_base!$E$9,0))*parametros_manuales!$B$95+parametros_manuales!$D$40*(datos_base!$E$18+IF(parametros_manuales!$H$40="Todos",datos_base!$E$23,0))*parametros_manuales!$B$12+parametros_manuales!$E$40*(datos_base!$E$3+IF(parametros_manuales!$H$40="Todos",datos_base!$E$10,0))*parametros_manuales!$B$100+parametros_manuales!$E$40*(datos_base!$E$19+IF(parametros_manuales!$H$40="Todos",datos_base!$E$24,0))*parametros_manuales!$B$13+parametros_manuales!$F$40*(datos_base!$E$4+IF(parametros_manuales!$H$40="Todos",datos_base!$E$11,0))*parametros_manuales!$B$105+parametros_manuales!$F$40*(datos_base!$E$20+IF(parametros_manuales!$H$40="Todos",datos_base!$E$25,0))*parametros_manuales!$B$14+parametros_manuales!$G$40*(datos_base!$E$5+IF(parametros_manuales!$H$40="Todos",datos_base!$E$12,0))*parametros_manuales!$B$110+parametros_manuales!$G$40*(datos_base!$E$21+IF(parametros_manuales!$H$40="Todos",datos_base!$E$26,0))*parametros_manuales!$B$15)*parametros_manuales!$I$40*parametros_manuales!$J$40</f>
        <v>1551.473857709</v>
      </c>
      <c r="C104" s="9" t="n">
        <f aca="false">(parametros_manuales!$D$40*(datos_base!$E$2+IF(parametros_manuales!$H$40="Todos",datos_base!$E$9,0))*parametros_manuales!$C$95+parametros_manuales!$D$40*(datos_base!$E$18+IF(parametros_manuales!$H$40="Todos",datos_base!$E$23,0))*parametros_manuales!$C$12+parametros_manuales!$E$40*(datos_base!$E$3+IF(parametros_manuales!$H$40="Todos",datos_base!$E$10,0))*parametros_manuales!$C$100+parametros_manuales!$E$40*(datos_base!$E$19+IF(parametros_manuales!$H$40="Todos",datos_base!$E$24,0))*parametros_manuales!$C$13+parametros_manuales!$F$40*(datos_base!$E$4+IF(parametros_manuales!$H$40="Todos",datos_base!$E$11,0))*parametros_manuales!$C$105+parametros_manuales!$F$40*(datos_base!$E$20+IF(parametros_manuales!$H$40="Todos",datos_base!$E$25,0))*parametros_manuales!$C$14+parametros_manuales!$G$40*(datos_base!$E$5+IF(parametros_manuales!$H$40="Todos",datos_base!$E$12,0))*parametros_manuales!$C$110+parametros_manuales!$G$40*(datos_base!$E$21+IF(parametros_manuales!$H$40="Todos",datos_base!$E$26,0))*parametros_manuales!$C$15)*parametros_manuales!$I$40*parametros_manuales!$J$40</f>
        <v>1463.041717898</v>
      </c>
      <c r="D104" s="9" t="n">
        <f aca="false">(parametros_manuales!$D$40*(datos_base!$E$2+IF(parametros_manuales!$H$40="Todos",datos_base!$E$9,0))*parametros_manuales!$D$95+parametros_manuales!$D$40*(datos_base!$E$18+IF(parametros_manuales!$H$40="Todos",datos_base!$E$23,0))*parametros_manuales!$D$12+parametros_manuales!$E$40*(datos_base!$E$3+IF(parametros_manuales!$H$40="Todos",datos_base!$E$10,0))*parametros_manuales!$D$100+parametros_manuales!$E$40*(datos_base!$E$19+IF(parametros_manuales!$H$40="Todos",datos_base!$E$24,0))*parametros_manuales!$D$13+parametros_manuales!$F$40*(datos_base!$E$4+IF(parametros_manuales!$H$40="Todos",datos_base!$E$11,0))*parametros_manuales!$D$105+parametros_manuales!$F$40*(datos_base!$E$20+IF(parametros_manuales!$H$40="Todos",datos_base!$E$25,0))*parametros_manuales!$D$14+parametros_manuales!$G$40*(datos_base!$E$5+IF(parametros_manuales!$H$40="Todos",datos_base!$E$12,0))*parametros_manuales!$D$110+parametros_manuales!$G$40*(datos_base!$E$21+IF(parametros_manuales!$H$40="Todos",datos_base!$E$26,0))*parametros_manuales!$D$15)*parametros_manuales!$I$40*parametros_manuales!$J$40</f>
        <v>1422.1828323135</v>
      </c>
      <c r="E104" s="9" t="n">
        <f aca="false">(parametros_manuales!$D$40*(datos_base!$E$2+IF(parametros_manuales!$H$40="Todos",datos_base!$E$9,0))*parametros_manuales!$E$95+parametros_manuales!$D$40*(datos_base!$E$18+IF(parametros_manuales!$H$40="Todos",datos_base!$E$23,0))*parametros_manuales!$E$12+parametros_manuales!$E$40*(datos_base!$E$3+IF(parametros_manuales!$H$40="Todos",datos_base!$E$10,0))*parametros_manuales!$E$100+parametros_manuales!$E$40*(datos_base!$E$19+IF(parametros_manuales!$H$40="Todos",datos_base!$E$24,0))*parametros_manuales!$E$13+parametros_manuales!$F$40*(datos_base!$E$4+IF(parametros_manuales!$H$40="Todos",datos_base!$E$11,0))*parametros_manuales!$E$105+parametros_manuales!$F$40*(datos_base!$E$20+IF(parametros_manuales!$H$40="Todos",datos_base!$E$25,0))*parametros_manuales!$E$14+parametros_manuales!$G$40*(datos_base!$E$5+IF(parametros_manuales!$H$40="Todos",datos_base!$E$12,0))*parametros_manuales!$E$110+parametros_manuales!$G$40*(datos_base!$E$21+IF(parametros_manuales!$H$40="Todos",datos_base!$E$26,0))*parametros_manuales!$E$15)*parametros_manuales!$I$40*parametros_manuales!$J$40</f>
        <v>1379.8471545685</v>
      </c>
      <c r="F104" s="9" t="n">
        <f aca="false">(parametros_manuales!$D$40*(datos_base!$E$2+IF(parametros_manuales!$H$40="Todos",datos_base!$E$9,0))*parametros_manuales!$F$95+parametros_manuales!$D$40*(datos_base!$E$18+IF(parametros_manuales!$H$40="Todos",datos_base!$E$23,0))*parametros_manuales!$F$12+parametros_manuales!$E$40*(datos_base!$E$3+IF(parametros_manuales!$H$40="Todos",datos_base!$E$10,0))*parametros_manuales!$F$100+parametros_manuales!$E$40*(datos_base!$E$19+IF(parametros_manuales!$H$40="Todos",datos_base!$E$24,0))*parametros_manuales!$F$13+parametros_manuales!$F$40*(datos_base!$E$4+IF(parametros_manuales!$H$40="Todos",datos_base!$E$11,0))*parametros_manuales!$F$105+parametros_manuales!$F$40*(datos_base!$E$20+IF(parametros_manuales!$H$40="Todos",datos_base!$E$25,0))*parametros_manuales!$F$14+parametros_manuales!$G$40*(datos_base!$E$5+IF(parametros_manuales!$H$40="Todos",datos_base!$E$12,0))*parametros_manuales!$F$110+parametros_manuales!$G$40*(datos_base!$E$21+IF(parametros_manuales!$H$40="Todos",datos_base!$E$26,0))*parametros_manuales!$F$15)*parametros_manuales!$I$40*parametros_manuales!$J$40</f>
        <v>1293.699006918</v>
      </c>
      <c r="G104" s="9" t="n">
        <f aca="false">(parametros_manuales!$D$40*(datos_base!$E$2+IF(parametros_manuales!$H$40="Todos",datos_base!$E$9,0))*parametros_manuales!$G$95+parametros_manuales!$D$40*(datos_base!$E$18+IF(parametros_manuales!$H$40="Todos",datos_base!$E$23,0))*parametros_manuales!$G$12+parametros_manuales!$E$40*(datos_base!$E$3+IF(parametros_manuales!$H$40="Todos",datos_base!$E$10,0))*parametros_manuales!$G$100+parametros_manuales!$E$40*(datos_base!$E$19+IF(parametros_manuales!$H$40="Todos",datos_base!$E$24,0))*parametros_manuales!$G$13+parametros_manuales!$F$40*(datos_base!$E$4+IF(parametros_manuales!$H$40="Todos",datos_base!$E$11,0))*parametros_manuales!$G$105+parametros_manuales!$F$40*(datos_base!$E$20+IF(parametros_manuales!$H$40="Todos",datos_base!$E$25,0))*parametros_manuales!$G$14+parametros_manuales!$G$40*(datos_base!$E$5+IF(parametros_manuales!$H$40="Todos",datos_base!$E$12,0))*parametros_manuales!$G$110+parametros_manuales!$G$40*(datos_base!$E$21+IF(parametros_manuales!$H$40="Todos",datos_base!$E$26,0))*parametros_manuales!$G$15)*parametros_manuales!$I$40*parametros_manuales!$J$40</f>
        <v>1249.8865370125</v>
      </c>
      <c r="H104" s="9" t="n">
        <f aca="false">(parametros_manuales!$D$40*(datos_base!$E$2+IF(parametros_manuales!$H$40="Todos",datos_base!$E$9,0))*parametros_manuales!$H$95+parametros_manuales!$D$40*(datos_base!$E$18+IF(parametros_manuales!$H$40="Todos",datos_base!$E$23,0))*parametros_manuales!$H$12+parametros_manuales!$E$40*(datos_base!$E$3+IF(parametros_manuales!$H$40="Todos",datos_base!$E$10,0))*parametros_manuales!$H$100+parametros_manuales!$E$40*(datos_base!$E$19+IF(parametros_manuales!$H$40="Todos",datos_base!$E$24,0))*parametros_manuales!$H$13+parametros_manuales!$F$40*(datos_base!$E$4+IF(parametros_manuales!$H$40="Todos",datos_base!$E$11,0))*parametros_manuales!$H$105+parametros_manuales!$F$40*(datos_base!$E$20+IF(parametros_manuales!$H$40="Todos",datos_base!$E$25,0))*parametros_manuales!$H$14+parametros_manuales!$G$40*(datos_base!$E$5+IF(parametros_manuales!$H$40="Todos",datos_base!$E$12,0))*parametros_manuales!$H$110+parametros_manuales!$G$40*(datos_base!$E$21+IF(parametros_manuales!$H$40="Todos",datos_base!$E$26,0))*parametros_manuales!$H$15)*parametros_manuales!$I$40*parametros_manuales!$J$40</f>
        <v>1336.034684663</v>
      </c>
      <c r="I104" s="9" t="n">
        <f aca="false">(parametros_manuales!$D$40*(datos_base!$E$2+IF(parametros_manuales!$H$40="Todos",datos_base!$E$9,0))*parametros_manuales!$I$95+parametros_manuales!$D$40*(datos_base!$E$18+IF(parametros_manuales!$H$40="Todos",datos_base!$E$23,0))*parametros_manuales!$I$12+parametros_manuales!$E$40*(datos_base!$E$3+IF(parametros_manuales!$H$40="Todos",datos_base!$E$10,0))*parametros_manuales!$I$100+parametros_manuales!$E$40*(datos_base!$E$19+IF(parametros_manuales!$H$40="Todos",datos_base!$E$24,0))*parametros_manuales!$I$13+parametros_manuales!$F$40*(datos_base!$E$4+IF(parametros_manuales!$H$40="Todos",datos_base!$E$11,0))*parametros_manuales!$I$105+parametros_manuales!$F$40*(datos_base!$E$20+IF(parametros_manuales!$H$40="Todos",datos_base!$E$25,0))*parametros_manuales!$I$14+parametros_manuales!$G$40*(datos_base!$E$5+IF(parametros_manuales!$H$40="Todos",datos_base!$E$12,0))*parametros_manuales!$I$110+parametros_manuales!$G$40*(datos_base!$E$21+IF(parametros_manuales!$H$40="Todos",datos_base!$E$26,0))*parametros_manuales!$I$15)*parametros_manuales!$I$40*parametros_manuales!$J$40</f>
        <v>1463.041717898</v>
      </c>
      <c r="J104" s="9" t="n">
        <f aca="false">(parametros_manuales!$D$40*(datos_base!$E$2+IF(parametros_manuales!$H$40="Todos",datos_base!$E$9,0))*parametros_manuales!$J$95+parametros_manuales!$D$40*(datos_base!$E$18+IF(parametros_manuales!$H$40="Todos",datos_base!$E$23,0))*parametros_manuales!$J$12+parametros_manuales!$E$40*(datos_base!$E$3+IF(parametros_manuales!$H$40="Todos",datos_base!$E$10,0))*parametros_manuales!$J$100+parametros_manuales!$E$40*(datos_base!$E$19+IF(parametros_manuales!$H$40="Todos",datos_base!$E$24,0))*parametros_manuales!$J$13+parametros_manuales!$F$40*(datos_base!$E$4+IF(parametros_manuales!$H$40="Todos",datos_base!$E$11,0))*parametros_manuales!$J$105+parametros_manuales!$F$40*(datos_base!$E$20+IF(parametros_manuales!$H$40="Todos",datos_base!$E$25,0))*parametros_manuales!$J$14+parametros_manuales!$G$40*(datos_base!$E$5+IF(parametros_manuales!$H$40="Todos",datos_base!$E$12,0))*parametros_manuales!$J$110+parametros_manuales!$G$40*(datos_base!$E$21+IF(parametros_manuales!$H$40="Todos",datos_base!$E$26,0))*parametros_manuales!$J$15)*parametros_manuales!$I$40*parametros_manuales!$J$40</f>
        <v>1463.041717898</v>
      </c>
      <c r="K104" s="9" t="n">
        <f aca="false">(parametros_manuales!$D$40*(datos_base!$E$2+IF(parametros_manuales!$H$40="Todos",datos_base!$E$9,0))*parametros_manuales!$K$95+parametros_manuales!$D$40*(datos_base!$E$18+IF(parametros_manuales!$H$40="Todos",datos_base!$E$23,0))*parametros_manuales!$K$12+parametros_manuales!$E$40*(datos_base!$E$3+IF(parametros_manuales!$H$40="Todos",datos_base!$E$10,0))*parametros_manuales!$K$100+parametros_manuales!$E$40*(datos_base!$E$19+IF(parametros_manuales!$H$40="Todos",datos_base!$E$24,0))*parametros_manuales!$K$13+parametros_manuales!$F$40*(datos_base!$E$4+IF(parametros_manuales!$H$40="Todos",datos_base!$E$11,0))*parametros_manuales!$K$105+parametros_manuales!$F$40*(datos_base!$E$20+IF(parametros_manuales!$H$40="Todos",datos_base!$E$25,0))*parametros_manuales!$K$14+parametros_manuales!$G$40*(datos_base!$E$5+IF(parametros_manuales!$H$40="Todos",datos_base!$E$12,0))*parametros_manuales!$K$110+parametros_manuales!$G$40*(datos_base!$E$21+IF(parametros_manuales!$H$40="Todos",datos_base!$E$26,0))*parametros_manuales!$K$15)*parametros_manuales!$I$40*parametros_manuales!$J$40</f>
        <v>1506.0469878035</v>
      </c>
      <c r="L104" s="9" t="n">
        <f aca="false">(parametros_manuales!$D$40*(datos_base!$E$2+IF(parametros_manuales!$H$40="Todos",datos_base!$E$9,0))*parametros_manuales!$L$95+parametros_manuales!$D$40*(datos_base!$E$18+IF(parametros_manuales!$H$40="Todos",datos_base!$E$23,0))*parametros_manuales!$L$12+parametros_manuales!$E$40*(datos_base!$E$3+IF(parametros_manuales!$H$40="Todos",datos_base!$E$10,0))*parametros_manuales!$L$100+parametros_manuales!$E$40*(datos_base!$E$19+IF(parametros_manuales!$H$40="Todos",datos_base!$E$24,0))*parametros_manuales!$L$13+parametros_manuales!$F$40*(datos_base!$E$4+IF(parametros_manuales!$H$40="Todos",datos_base!$E$11,0))*parametros_manuales!$L$105+parametros_manuales!$F$40*(datos_base!$E$20+IF(parametros_manuales!$H$40="Todos",datos_base!$E$25,0))*parametros_manuales!$L$14+parametros_manuales!$G$40*(datos_base!$E$5+IF(parametros_manuales!$H$40="Todos",datos_base!$E$12,0))*parametros_manuales!$L$110+parametros_manuales!$G$40*(datos_base!$E$21+IF(parametros_manuales!$H$40="Todos",datos_base!$E$26,0))*parametros_manuales!$L$15)*parametros_manuales!$I$40*parametros_manuales!$J$40</f>
        <v>1549.052257709</v>
      </c>
      <c r="M104" s="9" t="n">
        <f aca="false">(parametros_manuales!$D$40*(datos_base!$E$2+IF(parametros_manuales!$H$40="Todos",datos_base!$E$9,0))*parametros_manuales!$M$95+parametros_manuales!$D$40*(datos_base!$E$18+IF(parametros_manuales!$H$40="Todos",datos_base!$E$23,0))*parametros_manuales!$M$12+parametros_manuales!$E$40*(datos_base!$E$3+IF(parametros_manuales!$H$40="Todos",datos_base!$E$10,0))*parametros_manuales!$M$100+parametros_manuales!$E$40*(datos_base!$E$19+IF(parametros_manuales!$H$40="Todos",datos_base!$E$24,0))*parametros_manuales!$M$13+parametros_manuales!$F$40*(datos_base!$E$4+IF(parametros_manuales!$H$40="Todos",datos_base!$E$11,0))*parametros_manuales!$M$105+parametros_manuales!$F$40*(datos_base!$E$20+IF(parametros_manuales!$H$40="Todos",datos_base!$E$25,0))*parametros_manuales!$M$14+parametros_manuales!$G$40*(datos_base!$E$5+IF(parametros_manuales!$H$40="Todos",datos_base!$E$12,0))*parametros_manuales!$M$110+parametros_manuales!$G$40*(datos_base!$E$21+IF(parametros_manuales!$H$40="Todos",datos_base!$E$26,0))*parametros_manuales!$M$15)*parametros_manuales!$I$40*parametros_manuales!$J$40</f>
        <v>1552.281057709</v>
      </c>
      <c r="N104" s="9" t="n">
        <f aca="false">SUM(B104:M104)</f>
        <v>17229.6295301</v>
      </c>
      <c r="O104" s="9" t="n">
        <f aca="false">MAX(B104:M104)</f>
        <v>1552.281057709</v>
      </c>
      <c r="P104" s="44" t="n">
        <f aca="false">O104/(parametros_manuales!$B$7)</f>
        <v>10.3485403847267</v>
      </c>
      <c r="Q104" s="8" t="str">
        <f aca="false">IF(O104=0,"-",INDEX($B$82:$M$82,MATCH(O104,B104:M104,0)))</f>
        <v>Dic</v>
      </c>
    </row>
    <row r="105" customFormat="false" ht="14.25" hidden="false" customHeight="true" outlineLevel="0" collapsed="false">
      <c r="A105" s="8" t="str">
        <f aca="false">parametros_manuales!$B$41</f>
        <v>Control de calidad — Ensayo de pérdidas</v>
      </c>
      <c r="B105" s="9" t="n">
        <f aca="false">(parametros_manuales!$D$41*(datos_base!$E$2+IF(parametros_manuales!$H$41="Todos",datos_base!$E$9,0))*parametros_manuales!$B$95+parametros_manuales!$D$41*(datos_base!$E$18+IF(parametros_manuales!$H$41="Todos",datos_base!$E$23,0))*parametros_manuales!$B$12+parametros_manuales!$E$41*(datos_base!$E$3+IF(parametros_manuales!$H$41="Todos",datos_base!$E$10,0))*parametros_manuales!$B$100+parametros_manuales!$E$41*(datos_base!$E$19+IF(parametros_manuales!$H$41="Todos",datos_base!$E$24,0))*parametros_manuales!$B$13+parametros_manuales!$F$41*(datos_base!$E$4+IF(parametros_manuales!$H$41="Todos",datos_base!$E$11,0))*parametros_manuales!$B$105+parametros_manuales!$F$41*(datos_base!$E$20+IF(parametros_manuales!$H$41="Todos",datos_base!$E$25,0))*parametros_manuales!$B$14+parametros_manuales!$G$41*(datos_base!$E$5+IF(parametros_manuales!$H$41="Todos",datos_base!$E$12,0))*parametros_manuales!$B$110+parametros_manuales!$G$41*(datos_base!$E$21+IF(parametros_manuales!$H$41="Todos",datos_base!$E$26,0))*parametros_manuales!$B$15)*parametros_manuales!$I$41*parametros_manuales!$J$41</f>
        <v>1551.473857709</v>
      </c>
      <c r="C105" s="9" t="n">
        <f aca="false">(parametros_manuales!$D$41*(datos_base!$E$2+IF(parametros_manuales!$H$41="Todos",datos_base!$E$9,0))*parametros_manuales!$C$95+parametros_manuales!$D$41*(datos_base!$E$18+IF(parametros_manuales!$H$41="Todos",datos_base!$E$23,0))*parametros_manuales!$C$12+parametros_manuales!$E$41*(datos_base!$E$3+IF(parametros_manuales!$H$41="Todos",datos_base!$E$10,0))*parametros_manuales!$C$100+parametros_manuales!$E$41*(datos_base!$E$19+IF(parametros_manuales!$H$41="Todos",datos_base!$E$24,0))*parametros_manuales!$C$13+parametros_manuales!$F$41*(datos_base!$E$4+IF(parametros_manuales!$H$41="Todos",datos_base!$E$11,0))*parametros_manuales!$C$105+parametros_manuales!$F$41*(datos_base!$E$20+IF(parametros_manuales!$H$41="Todos",datos_base!$E$25,0))*parametros_manuales!$C$14+parametros_manuales!$G$41*(datos_base!$E$5+IF(parametros_manuales!$H$41="Todos",datos_base!$E$12,0))*parametros_manuales!$C$110+parametros_manuales!$G$41*(datos_base!$E$21+IF(parametros_manuales!$H$41="Todos",datos_base!$E$26,0))*parametros_manuales!$C$15)*parametros_manuales!$I$41*parametros_manuales!$J$41</f>
        <v>1463.041717898</v>
      </c>
      <c r="D105" s="9" t="n">
        <f aca="false">(parametros_manuales!$D$41*(datos_base!$E$2+IF(parametros_manuales!$H$41="Todos",datos_base!$E$9,0))*parametros_manuales!$D$95+parametros_manuales!$D$41*(datos_base!$E$18+IF(parametros_manuales!$H$41="Todos",datos_base!$E$23,0))*parametros_manuales!$D$12+parametros_manuales!$E$41*(datos_base!$E$3+IF(parametros_manuales!$H$41="Todos",datos_base!$E$10,0))*parametros_manuales!$D$100+parametros_manuales!$E$41*(datos_base!$E$19+IF(parametros_manuales!$H$41="Todos",datos_base!$E$24,0))*parametros_manuales!$D$13+parametros_manuales!$F$41*(datos_base!$E$4+IF(parametros_manuales!$H$41="Todos",datos_base!$E$11,0))*parametros_manuales!$D$105+parametros_manuales!$F$41*(datos_base!$E$20+IF(parametros_manuales!$H$41="Todos",datos_base!$E$25,0))*parametros_manuales!$D$14+parametros_manuales!$G$41*(datos_base!$E$5+IF(parametros_manuales!$H$41="Todos",datos_base!$E$12,0))*parametros_manuales!$D$110+parametros_manuales!$G$41*(datos_base!$E$21+IF(parametros_manuales!$H$41="Todos",datos_base!$E$26,0))*parametros_manuales!$D$15)*parametros_manuales!$I$41*parametros_manuales!$J$41</f>
        <v>1422.1828323135</v>
      </c>
      <c r="E105" s="9" t="n">
        <f aca="false">(parametros_manuales!$D$41*(datos_base!$E$2+IF(parametros_manuales!$H$41="Todos",datos_base!$E$9,0))*parametros_manuales!$E$95+parametros_manuales!$D$41*(datos_base!$E$18+IF(parametros_manuales!$H$41="Todos",datos_base!$E$23,0))*parametros_manuales!$E$12+parametros_manuales!$E$41*(datos_base!$E$3+IF(parametros_manuales!$H$41="Todos",datos_base!$E$10,0))*parametros_manuales!$E$100+parametros_manuales!$E$41*(datos_base!$E$19+IF(parametros_manuales!$H$41="Todos",datos_base!$E$24,0))*parametros_manuales!$E$13+parametros_manuales!$F$41*(datos_base!$E$4+IF(parametros_manuales!$H$41="Todos",datos_base!$E$11,0))*parametros_manuales!$E$105+parametros_manuales!$F$41*(datos_base!$E$20+IF(parametros_manuales!$H$41="Todos",datos_base!$E$25,0))*parametros_manuales!$E$14+parametros_manuales!$G$41*(datos_base!$E$5+IF(parametros_manuales!$H$41="Todos",datos_base!$E$12,0))*parametros_manuales!$E$110+parametros_manuales!$G$41*(datos_base!$E$21+IF(parametros_manuales!$H$41="Todos",datos_base!$E$26,0))*parametros_manuales!$E$15)*parametros_manuales!$I$41*parametros_manuales!$J$41</f>
        <v>1379.8471545685</v>
      </c>
      <c r="F105" s="9" t="n">
        <f aca="false">(parametros_manuales!$D$41*(datos_base!$E$2+IF(parametros_manuales!$H$41="Todos",datos_base!$E$9,0))*parametros_manuales!$F$95+parametros_manuales!$D$41*(datos_base!$E$18+IF(parametros_manuales!$H$41="Todos",datos_base!$E$23,0))*parametros_manuales!$F$12+parametros_manuales!$E$41*(datos_base!$E$3+IF(parametros_manuales!$H$41="Todos",datos_base!$E$10,0))*parametros_manuales!$F$100+parametros_manuales!$E$41*(datos_base!$E$19+IF(parametros_manuales!$H$41="Todos",datos_base!$E$24,0))*parametros_manuales!$F$13+parametros_manuales!$F$41*(datos_base!$E$4+IF(parametros_manuales!$H$41="Todos",datos_base!$E$11,0))*parametros_manuales!$F$105+parametros_manuales!$F$41*(datos_base!$E$20+IF(parametros_manuales!$H$41="Todos",datos_base!$E$25,0))*parametros_manuales!$F$14+parametros_manuales!$G$41*(datos_base!$E$5+IF(parametros_manuales!$H$41="Todos",datos_base!$E$12,0))*parametros_manuales!$F$110+parametros_manuales!$G$41*(datos_base!$E$21+IF(parametros_manuales!$H$41="Todos",datos_base!$E$26,0))*parametros_manuales!$F$15)*parametros_manuales!$I$41*parametros_manuales!$J$41</f>
        <v>1293.699006918</v>
      </c>
      <c r="G105" s="9" t="n">
        <f aca="false">(parametros_manuales!$D$41*(datos_base!$E$2+IF(parametros_manuales!$H$41="Todos",datos_base!$E$9,0))*parametros_manuales!$G$95+parametros_manuales!$D$41*(datos_base!$E$18+IF(parametros_manuales!$H$41="Todos",datos_base!$E$23,0))*parametros_manuales!$G$12+parametros_manuales!$E$41*(datos_base!$E$3+IF(parametros_manuales!$H$41="Todos",datos_base!$E$10,0))*parametros_manuales!$G$100+parametros_manuales!$E$41*(datos_base!$E$19+IF(parametros_manuales!$H$41="Todos",datos_base!$E$24,0))*parametros_manuales!$G$13+parametros_manuales!$F$41*(datos_base!$E$4+IF(parametros_manuales!$H$41="Todos",datos_base!$E$11,0))*parametros_manuales!$G$105+parametros_manuales!$F$41*(datos_base!$E$20+IF(parametros_manuales!$H$41="Todos",datos_base!$E$25,0))*parametros_manuales!$G$14+parametros_manuales!$G$41*(datos_base!$E$5+IF(parametros_manuales!$H$41="Todos",datos_base!$E$12,0))*parametros_manuales!$G$110+parametros_manuales!$G$41*(datos_base!$E$21+IF(parametros_manuales!$H$41="Todos",datos_base!$E$26,0))*parametros_manuales!$G$15)*parametros_manuales!$I$41*parametros_manuales!$J$41</f>
        <v>1249.8865370125</v>
      </c>
      <c r="H105" s="9" t="n">
        <f aca="false">(parametros_manuales!$D$41*(datos_base!$E$2+IF(parametros_manuales!$H$41="Todos",datos_base!$E$9,0))*parametros_manuales!$H$95+parametros_manuales!$D$41*(datos_base!$E$18+IF(parametros_manuales!$H$41="Todos",datos_base!$E$23,0))*parametros_manuales!$H$12+parametros_manuales!$E$41*(datos_base!$E$3+IF(parametros_manuales!$H$41="Todos",datos_base!$E$10,0))*parametros_manuales!$H$100+parametros_manuales!$E$41*(datos_base!$E$19+IF(parametros_manuales!$H$41="Todos",datos_base!$E$24,0))*parametros_manuales!$H$13+parametros_manuales!$F$41*(datos_base!$E$4+IF(parametros_manuales!$H$41="Todos",datos_base!$E$11,0))*parametros_manuales!$H$105+parametros_manuales!$F$41*(datos_base!$E$20+IF(parametros_manuales!$H$41="Todos",datos_base!$E$25,0))*parametros_manuales!$H$14+parametros_manuales!$G$41*(datos_base!$E$5+IF(parametros_manuales!$H$41="Todos",datos_base!$E$12,0))*parametros_manuales!$H$110+parametros_manuales!$G$41*(datos_base!$E$21+IF(parametros_manuales!$H$41="Todos",datos_base!$E$26,0))*parametros_manuales!$H$15)*parametros_manuales!$I$41*parametros_manuales!$J$41</f>
        <v>1336.034684663</v>
      </c>
      <c r="I105" s="9" t="n">
        <f aca="false">(parametros_manuales!$D$41*(datos_base!$E$2+IF(parametros_manuales!$H$41="Todos",datos_base!$E$9,0))*parametros_manuales!$I$95+parametros_manuales!$D$41*(datos_base!$E$18+IF(parametros_manuales!$H$41="Todos",datos_base!$E$23,0))*parametros_manuales!$I$12+parametros_manuales!$E$41*(datos_base!$E$3+IF(parametros_manuales!$H$41="Todos",datos_base!$E$10,0))*parametros_manuales!$I$100+parametros_manuales!$E$41*(datos_base!$E$19+IF(parametros_manuales!$H$41="Todos",datos_base!$E$24,0))*parametros_manuales!$I$13+parametros_manuales!$F$41*(datos_base!$E$4+IF(parametros_manuales!$H$41="Todos",datos_base!$E$11,0))*parametros_manuales!$I$105+parametros_manuales!$F$41*(datos_base!$E$20+IF(parametros_manuales!$H$41="Todos",datos_base!$E$25,0))*parametros_manuales!$I$14+parametros_manuales!$G$41*(datos_base!$E$5+IF(parametros_manuales!$H$41="Todos",datos_base!$E$12,0))*parametros_manuales!$I$110+parametros_manuales!$G$41*(datos_base!$E$21+IF(parametros_manuales!$H$41="Todos",datos_base!$E$26,0))*parametros_manuales!$I$15)*parametros_manuales!$I$41*parametros_manuales!$J$41</f>
        <v>1463.041717898</v>
      </c>
      <c r="J105" s="9" t="n">
        <f aca="false">(parametros_manuales!$D$41*(datos_base!$E$2+IF(parametros_manuales!$H$41="Todos",datos_base!$E$9,0))*parametros_manuales!$J$95+parametros_manuales!$D$41*(datos_base!$E$18+IF(parametros_manuales!$H$41="Todos",datos_base!$E$23,0))*parametros_manuales!$J$12+parametros_manuales!$E$41*(datos_base!$E$3+IF(parametros_manuales!$H$41="Todos",datos_base!$E$10,0))*parametros_manuales!$J$100+parametros_manuales!$E$41*(datos_base!$E$19+IF(parametros_manuales!$H$41="Todos",datos_base!$E$24,0))*parametros_manuales!$J$13+parametros_manuales!$F$41*(datos_base!$E$4+IF(parametros_manuales!$H$41="Todos",datos_base!$E$11,0))*parametros_manuales!$J$105+parametros_manuales!$F$41*(datos_base!$E$20+IF(parametros_manuales!$H$41="Todos",datos_base!$E$25,0))*parametros_manuales!$J$14+parametros_manuales!$G$41*(datos_base!$E$5+IF(parametros_manuales!$H$41="Todos",datos_base!$E$12,0))*parametros_manuales!$J$110+parametros_manuales!$G$41*(datos_base!$E$21+IF(parametros_manuales!$H$41="Todos",datos_base!$E$26,0))*parametros_manuales!$J$15)*parametros_manuales!$I$41*parametros_manuales!$J$41</f>
        <v>1463.041717898</v>
      </c>
      <c r="K105" s="9" t="n">
        <f aca="false">(parametros_manuales!$D$41*(datos_base!$E$2+IF(parametros_manuales!$H$41="Todos",datos_base!$E$9,0))*parametros_manuales!$K$95+parametros_manuales!$D$41*(datos_base!$E$18+IF(parametros_manuales!$H$41="Todos",datos_base!$E$23,0))*parametros_manuales!$K$12+parametros_manuales!$E$41*(datos_base!$E$3+IF(parametros_manuales!$H$41="Todos",datos_base!$E$10,0))*parametros_manuales!$K$100+parametros_manuales!$E$41*(datos_base!$E$19+IF(parametros_manuales!$H$41="Todos",datos_base!$E$24,0))*parametros_manuales!$K$13+parametros_manuales!$F$41*(datos_base!$E$4+IF(parametros_manuales!$H$41="Todos",datos_base!$E$11,0))*parametros_manuales!$K$105+parametros_manuales!$F$41*(datos_base!$E$20+IF(parametros_manuales!$H$41="Todos",datos_base!$E$25,0))*parametros_manuales!$K$14+parametros_manuales!$G$41*(datos_base!$E$5+IF(parametros_manuales!$H$41="Todos",datos_base!$E$12,0))*parametros_manuales!$K$110+parametros_manuales!$G$41*(datos_base!$E$21+IF(parametros_manuales!$H$41="Todos",datos_base!$E$26,0))*parametros_manuales!$K$15)*parametros_manuales!$I$41*parametros_manuales!$J$41</f>
        <v>1506.0469878035</v>
      </c>
      <c r="L105" s="9" t="n">
        <f aca="false">(parametros_manuales!$D$41*(datos_base!$E$2+IF(parametros_manuales!$H$41="Todos",datos_base!$E$9,0))*parametros_manuales!$L$95+parametros_manuales!$D$41*(datos_base!$E$18+IF(parametros_manuales!$H$41="Todos",datos_base!$E$23,0))*parametros_manuales!$L$12+parametros_manuales!$E$41*(datos_base!$E$3+IF(parametros_manuales!$H$41="Todos",datos_base!$E$10,0))*parametros_manuales!$L$100+parametros_manuales!$E$41*(datos_base!$E$19+IF(parametros_manuales!$H$41="Todos",datos_base!$E$24,0))*parametros_manuales!$L$13+parametros_manuales!$F$41*(datos_base!$E$4+IF(parametros_manuales!$H$41="Todos",datos_base!$E$11,0))*parametros_manuales!$L$105+parametros_manuales!$F$41*(datos_base!$E$20+IF(parametros_manuales!$H$41="Todos",datos_base!$E$25,0))*parametros_manuales!$L$14+parametros_manuales!$G$41*(datos_base!$E$5+IF(parametros_manuales!$H$41="Todos",datos_base!$E$12,0))*parametros_manuales!$L$110+parametros_manuales!$G$41*(datos_base!$E$21+IF(parametros_manuales!$H$41="Todos",datos_base!$E$26,0))*parametros_manuales!$L$15)*parametros_manuales!$I$41*parametros_manuales!$J$41</f>
        <v>1549.052257709</v>
      </c>
      <c r="M105" s="9" t="n">
        <f aca="false">(parametros_manuales!$D$41*(datos_base!$E$2+IF(parametros_manuales!$H$41="Todos",datos_base!$E$9,0))*parametros_manuales!$M$95+parametros_manuales!$D$41*(datos_base!$E$18+IF(parametros_manuales!$H$41="Todos",datos_base!$E$23,0))*parametros_manuales!$M$12+parametros_manuales!$E$41*(datos_base!$E$3+IF(parametros_manuales!$H$41="Todos",datos_base!$E$10,0))*parametros_manuales!$M$100+parametros_manuales!$E$41*(datos_base!$E$19+IF(parametros_manuales!$H$41="Todos",datos_base!$E$24,0))*parametros_manuales!$M$13+parametros_manuales!$F$41*(datos_base!$E$4+IF(parametros_manuales!$H$41="Todos",datos_base!$E$11,0))*parametros_manuales!$M$105+parametros_manuales!$F$41*(datos_base!$E$20+IF(parametros_manuales!$H$41="Todos",datos_base!$E$25,0))*parametros_manuales!$M$14+parametros_manuales!$G$41*(datos_base!$E$5+IF(parametros_manuales!$H$41="Todos",datos_base!$E$12,0))*parametros_manuales!$M$110+parametros_manuales!$G$41*(datos_base!$E$21+IF(parametros_manuales!$H$41="Todos",datos_base!$E$26,0))*parametros_manuales!$M$15)*parametros_manuales!$I$41*parametros_manuales!$J$41</f>
        <v>1552.281057709</v>
      </c>
      <c r="N105" s="9" t="n">
        <f aca="false">SUM(B105:M105)</f>
        <v>17229.6295301</v>
      </c>
      <c r="O105" s="9" t="n">
        <f aca="false">MAX(B105:M105)</f>
        <v>1552.281057709</v>
      </c>
      <c r="P105" s="44" t="n">
        <f aca="false">O105/(parametros_manuales!$B$7)</f>
        <v>10.3485403847267</v>
      </c>
      <c r="Q105" s="8" t="str">
        <f aca="false">IF(O105=0,"-",INDEX($B$82:$M$82,MATCH(O105,B105:M105,0)))</f>
        <v>Dic</v>
      </c>
    </row>
    <row r="106" customFormat="false" ht="14.25" hidden="false" customHeight="true" outlineLevel="0" collapsed="false">
      <c r="A106" s="8" t="str">
        <f aca="false">parametros_manuales!$B$42</f>
        <v>Etiquetado</v>
      </c>
      <c r="B106" s="9" t="n">
        <f aca="false">(parametros_manuales!$D$42*(datos_base!$E$2+IF(parametros_manuales!$H$42="Todos",datos_base!$E$9,0))*parametros_manuales!$B$95+parametros_manuales!$D$42*(datos_base!$E$18+IF(parametros_manuales!$H$42="Todos",datos_base!$E$23,0))*parametros_manuales!$B$12+parametros_manuales!$E$42*(datos_base!$E$3+IF(parametros_manuales!$H$42="Todos",datos_base!$E$10,0))*parametros_manuales!$B$100+parametros_manuales!$E$42*(datos_base!$E$19+IF(parametros_manuales!$H$42="Todos",datos_base!$E$24,0))*parametros_manuales!$B$13+parametros_manuales!$F$42*(datos_base!$E$4+IF(parametros_manuales!$H$42="Todos",datos_base!$E$11,0))*parametros_manuales!$B$105+parametros_manuales!$F$42*(datos_base!$E$20+IF(parametros_manuales!$H$42="Todos",datos_base!$E$25,0))*parametros_manuales!$B$14+parametros_manuales!$G$42*(datos_base!$E$5+IF(parametros_manuales!$H$42="Todos",datos_base!$E$12,0))*parametros_manuales!$B$110+parametros_manuales!$G$42*(datos_base!$E$21+IF(parametros_manuales!$H$42="Todos",datos_base!$E$26,0))*parametros_manuales!$B$15)*parametros_manuales!$I$42*parametros_manuales!$J$42</f>
        <v>1551.473857709</v>
      </c>
      <c r="C106" s="9" t="n">
        <f aca="false">(parametros_manuales!$D$42*(datos_base!$E$2+IF(parametros_manuales!$H$42="Todos",datos_base!$E$9,0))*parametros_manuales!$C$95+parametros_manuales!$D$42*(datos_base!$E$18+IF(parametros_manuales!$H$42="Todos",datos_base!$E$23,0))*parametros_manuales!$C$12+parametros_manuales!$E$42*(datos_base!$E$3+IF(parametros_manuales!$H$42="Todos",datos_base!$E$10,0))*parametros_manuales!$C$100+parametros_manuales!$E$42*(datos_base!$E$19+IF(parametros_manuales!$H$42="Todos",datos_base!$E$24,0))*parametros_manuales!$C$13+parametros_manuales!$F$42*(datos_base!$E$4+IF(parametros_manuales!$H$42="Todos",datos_base!$E$11,0))*parametros_manuales!$C$105+parametros_manuales!$F$42*(datos_base!$E$20+IF(parametros_manuales!$H$42="Todos",datos_base!$E$25,0))*parametros_manuales!$C$14+parametros_manuales!$G$42*(datos_base!$E$5+IF(parametros_manuales!$H$42="Todos",datos_base!$E$12,0))*parametros_manuales!$C$110+parametros_manuales!$G$42*(datos_base!$E$21+IF(parametros_manuales!$H$42="Todos",datos_base!$E$26,0))*parametros_manuales!$C$15)*parametros_manuales!$I$42*parametros_manuales!$J$42</f>
        <v>1463.041717898</v>
      </c>
      <c r="D106" s="9" t="n">
        <f aca="false">(parametros_manuales!$D$42*(datos_base!$E$2+IF(parametros_manuales!$H$42="Todos",datos_base!$E$9,0))*parametros_manuales!$D$95+parametros_manuales!$D$42*(datos_base!$E$18+IF(parametros_manuales!$H$42="Todos",datos_base!$E$23,0))*parametros_manuales!$D$12+parametros_manuales!$E$42*(datos_base!$E$3+IF(parametros_manuales!$H$42="Todos",datos_base!$E$10,0))*parametros_manuales!$D$100+parametros_manuales!$E$42*(datos_base!$E$19+IF(parametros_manuales!$H$42="Todos",datos_base!$E$24,0))*parametros_manuales!$D$13+parametros_manuales!$F$42*(datos_base!$E$4+IF(parametros_manuales!$H$42="Todos",datos_base!$E$11,0))*parametros_manuales!$D$105+parametros_manuales!$F$42*(datos_base!$E$20+IF(parametros_manuales!$H$42="Todos",datos_base!$E$25,0))*parametros_manuales!$D$14+parametros_manuales!$G$42*(datos_base!$E$5+IF(parametros_manuales!$H$42="Todos",datos_base!$E$12,0))*parametros_manuales!$D$110+parametros_manuales!$G$42*(datos_base!$E$21+IF(parametros_manuales!$H$42="Todos",datos_base!$E$26,0))*parametros_manuales!$D$15)*parametros_manuales!$I$42*parametros_manuales!$J$42</f>
        <v>1422.1828323135</v>
      </c>
      <c r="E106" s="9" t="n">
        <f aca="false">(parametros_manuales!$D$42*(datos_base!$E$2+IF(parametros_manuales!$H$42="Todos",datos_base!$E$9,0))*parametros_manuales!$E$95+parametros_manuales!$D$42*(datos_base!$E$18+IF(parametros_manuales!$H$42="Todos",datos_base!$E$23,0))*parametros_manuales!$E$12+parametros_manuales!$E$42*(datos_base!$E$3+IF(parametros_manuales!$H$42="Todos",datos_base!$E$10,0))*parametros_manuales!$E$100+parametros_manuales!$E$42*(datos_base!$E$19+IF(parametros_manuales!$H$42="Todos",datos_base!$E$24,0))*parametros_manuales!$E$13+parametros_manuales!$F$42*(datos_base!$E$4+IF(parametros_manuales!$H$42="Todos",datos_base!$E$11,0))*parametros_manuales!$E$105+parametros_manuales!$F$42*(datos_base!$E$20+IF(parametros_manuales!$H$42="Todos",datos_base!$E$25,0))*parametros_manuales!$E$14+parametros_manuales!$G$42*(datos_base!$E$5+IF(parametros_manuales!$H$42="Todos",datos_base!$E$12,0))*parametros_manuales!$E$110+parametros_manuales!$G$42*(datos_base!$E$21+IF(parametros_manuales!$H$42="Todos",datos_base!$E$26,0))*parametros_manuales!$E$15)*parametros_manuales!$I$42*parametros_manuales!$J$42</f>
        <v>1379.8471545685</v>
      </c>
      <c r="F106" s="9" t="n">
        <f aca="false">(parametros_manuales!$D$42*(datos_base!$E$2+IF(parametros_manuales!$H$42="Todos",datos_base!$E$9,0))*parametros_manuales!$F$95+parametros_manuales!$D$42*(datos_base!$E$18+IF(parametros_manuales!$H$42="Todos",datos_base!$E$23,0))*parametros_manuales!$F$12+parametros_manuales!$E$42*(datos_base!$E$3+IF(parametros_manuales!$H$42="Todos",datos_base!$E$10,0))*parametros_manuales!$F$100+parametros_manuales!$E$42*(datos_base!$E$19+IF(parametros_manuales!$H$42="Todos",datos_base!$E$24,0))*parametros_manuales!$F$13+parametros_manuales!$F$42*(datos_base!$E$4+IF(parametros_manuales!$H$42="Todos",datos_base!$E$11,0))*parametros_manuales!$F$105+parametros_manuales!$F$42*(datos_base!$E$20+IF(parametros_manuales!$H$42="Todos",datos_base!$E$25,0))*parametros_manuales!$F$14+parametros_manuales!$G$42*(datos_base!$E$5+IF(parametros_manuales!$H$42="Todos",datos_base!$E$12,0))*parametros_manuales!$F$110+parametros_manuales!$G$42*(datos_base!$E$21+IF(parametros_manuales!$H$42="Todos",datos_base!$E$26,0))*parametros_manuales!$F$15)*parametros_manuales!$I$42*parametros_manuales!$J$42</f>
        <v>1293.699006918</v>
      </c>
      <c r="G106" s="9" t="n">
        <f aca="false">(parametros_manuales!$D$42*(datos_base!$E$2+IF(parametros_manuales!$H$42="Todos",datos_base!$E$9,0))*parametros_manuales!$G$95+parametros_manuales!$D$42*(datos_base!$E$18+IF(parametros_manuales!$H$42="Todos",datos_base!$E$23,0))*parametros_manuales!$G$12+parametros_manuales!$E$42*(datos_base!$E$3+IF(parametros_manuales!$H$42="Todos",datos_base!$E$10,0))*parametros_manuales!$G$100+parametros_manuales!$E$42*(datos_base!$E$19+IF(parametros_manuales!$H$42="Todos",datos_base!$E$24,0))*parametros_manuales!$G$13+parametros_manuales!$F$42*(datos_base!$E$4+IF(parametros_manuales!$H$42="Todos",datos_base!$E$11,0))*parametros_manuales!$G$105+parametros_manuales!$F$42*(datos_base!$E$20+IF(parametros_manuales!$H$42="Todos",datos_base!$E$25,0))*parametros_manuales!$G$14+parametros_manuales!$G$42*(datos_base!$E$5+IF(parametros_manuales!$H$42="Todos",datos_base!$E$12,0))*parametros_manuales!$G$110+parametros_manuales!$G$42*(datos_base!$E$21+IF(parametros_manuales!$H$42="Todos",datos_base!$E$26,0))*parametros_manuales!$G$15)*parametros_manuales!$I$42*parametros_manuales!$J$42</f>
        <v>1249.8865370125</v>
      </c>
      <c r="H106" s="9" t="n">
        <f aca="false">(parametros_manuales!$D$42*(datos_base!$E$2+IF(parametros_manuales!$H$42="Todos",datos_base!$E$9,0))*parametros_manuales!$H$95+parametros_manuales!$D$42*(datos_base!$E$18+IF(parametros_manuales!$H$42="Todos",datos_base!$E$23,0))*parametros_manuales!$H$12+parametros_manuales!$E$42*(datos_base!$E$3+IF(parametros_manuales!$H$42="Todos",datos_base!$E$10,0))*parametros_manuales!$H$100+parametros_manuales!$E$42*(datos_base!$E$19+IF(parametros_manuales!$H$42="Todos",datos_base!$E$24,0))*parametros_manuales!$H$13+parametros_manuales!$F$42*(datos_base!$E$4+IF(parametros_manuales!$H$42="Todos",datos_base!$E$11,0))*parametros_manuales!$H$105+parametros_manuales!$F$42*(datos_base!$E$20+IF(parametros_manuales!$H$42="Todos",datos_base!$E$25,0))*parametros_manuales!$H$14+parametros_manuales!$G$42*(datos_base!$E$5+IF(parametros_manuales!$H$42="Todos",datos_base!$E$12,0))*parametros_manuales!$H$110+parametros_manuales!$G$42*(datos_base!$E$21+IF(parametros_manuales!$H$42="Todos",datos_base!$E$26,0))*parametros_manuales!$H$15)*parametros_manuales!$I$42*parametros_manuales!$J$42</f>
        <v>1336.034684663</v>
      </c>
      <c r="I106" s="9" t="n">
        <f aca="false">(parametros_manuales!$D$42*(datos_base!$E$2+IF(parametros_manuales!$H$42="Todos",datos_base!$E$9,0))*parametros_manuales!$I$95+parametros_manuales!$D$42*(datos_base!$E$18+IF(parametros_manuales!$H$42="Todos",datos_base!$E$23,0))*parametros_manuales!$I$12+parametros_manuales!$E$42*(datos_base!$E$3+IF(parametros_manuales!$H$42="Todos",datos_base!$E$10,0))*parametros_manuales!$I$100+parametros_manuales!$E$42*(datos_base!$E$19+IF(parametros_manuales!$H$42="Todos",datos_base!$E$24,0))*parametros_manuales!$I$13+parametros_manuales!$F$42*(datos_base!$E$4+IF(parametros_manuales!$H$42="Todos",datos_base!$E$11,0))*parametros_manuales!$I$105+parametros_manuales!$F$42*(datos_base!$E$20+IF(parametros_manuales!$H$42="Todos",datos_base!$E$25,0))*parametros_manuales!$I$14+parametros_manuales!$G$42*(datos_base!$E$5+IF(parametros_manuales!$H$42="Todos",datos_base!$E$12,0))*parametros_manuales!$I$110+parametros_manuales!$G$42*(datos_base!$E$21+IF(parametros_manuales!$H$42="Todos",datos_base!$E$26,0))*parametros_manuales!$I$15)*parametros_manuales!$I$42*parametros_manuales!$J$42</f>
        <v>1463.041717898</v>
      </c>
      <c r="J106" s="9" t="n">
        <f aca="false">(parametros_manuales!$D$42*(datos_base!$E$2+IF(parametros_manuales!$H$42="Todos",datos_base!$E$9,0))*parametros_manuales!$J$95+parametros_manuales!$D$42*(datos_base!$E$18+IF(parametros_manuales!$H$42="Todos",datos_base!$E$23,0))*parametros_manuales!$J$12+parametros_manuales!$E$42*(datos_base!$E$3+IF(parametros_manuales!$H$42="Todos",datos_base!$E$10,0))*parametros_manuales!$J$100+parametros_manuales!$E$42*(datos_base!$E$19+IF(parametros_manuales!$H$42="Todos",datos_base!$E$24,0))*parametros_manuales!$J$13+parametros_manuales!$F$42*(datos_base!$E$4+IF(parametros_manuales!$H$42="Todos",datos_base!$E$11,0))*parametros_manuales!$J$105+parametros_manuales!$F$42*(datos_base!$E$20+IF(parametros_manuales!$H$42="Todos",datos_base!$E$25,0))*parametros_manuales!$J$14+parametros_manuales!$G$42*(datos_base!$E$5+IF(parametros_manuales!$H$42="Todos",datos_base!$E$12,0))*parametros_manuales!$J$110+parametros_manuales!$G$42*(datos_base!$E$21+IF(parametros_manuales!$H$42="Todos",datos_base!$E$26,0))*parametros_manuales!$J$15)*parametros_manuales!$I$42*parametros_manuales!$J$42</f>
        <v>1463.041717898</v>
      </c>
      <c r="K106" s="9" t="n">
        <f aca="false">(parametros_manuales!$D$42*(datos_base!$E$2+IF(parametros_manuales!$H$42="Todos",datos_base!$E$9,0))*parametros_manuales!$K$95+parametros_manuales!$D$42*(datos_base!$E$18+IF(parametros_manuales!$H$42="Todos",datos_base!$E$23,0))*parametros_manuales!$K$12+parametros_manuales!$E$42*(datos_base!$E$3+IF(parametros_manuales!$H$42="Todos",datos_base!$E$10,0))*parametros_manuales!$K$100+parametros_manuales!$E$42*(datos_base!$E$19+IF(parametros_manuales!$H$42="Todos",datos_base!$E$24,0))*parametros_manuales!$K$13+parametros_manuales!$F$42*(datos_base!$E$4+IF(parametros_manuales!$H$42="Todos",datos_base!$E$11,0))*parametros_manuales!$K$105+parametros_manuales!$F$42*(datos_base!$E$20+IF(parametros_manuales!$H$42="Todos",datos_base!$E$25,0))*parametros_manuales!$K$14+parametros_manuales!$G$42*(datos_base!$E$5+IF(parametros_manuales!$H$42="Todos",datos_base!$E$12,0))*parametros_manuales!$K$110+parametros_manuales!$G$42*(datos_base!$E$21+IF(parametros_manuales!$H$42="Todos",datos_base!$E$26,0))*parametros_manuales!$K$15)*parametros_manuales!$I$42*parametros_manuales!$J$42</f>
        <v>1506.0469878035</v>
      </c>
      <c r="L106" s="9" t="n">
        <f aca="false">(parametros_manuales!$D$42*(datos_base!$E$2+IF(parametros_manuales!$H$42="Todos",datos_base!$E$9,0))*parametros_manuales!$L$95+parametros_manuales!$D$42*(datos_base!$E$18+IF(parametros_manuales!$H$42="Todos",datos_base!$E$23,0))*parametros_manuales!$L$12+parametros_manuales!$E$42*(datos_base!$E$3+IF(parametros_manuales!$H$42="Todos",datos_base!$E$10,0))*parametros_manuales!$L$100+parametros_manuales!$E$42*(datos_base!$E$19+IF(parametros_manuales!$H$42="Todos",datos_base!$E$24,0))*parametros_manuales!$L$13+parametros_manuales!$F$42*(datos_base!$E$4+IF(parametros_manuales!$H$42="Todos",datos_base!$E$11,0))*parametros_manuales!$L$105+parametros_manuales!$F$42*(datos_base!$E$20+IF(parametros_manuales!$H$42="Todos",datos_base!$E$25,0))*parametros_manuales!$L$14+parametros_manuales!$G$42*(datos_base!$E$5+IF(parametros_manuales!$H$42="Todos",datos_base!$E$12,0))*parametros_manuales!$L$110+parametros_manuales!$G$42*(datos_base!$E$21+IF(parametros_manuales!$H$42="Todos",datos_base!$E$26,0))*parametros_manuales!$L$15)*parametros_manuales!$I$42*parametros_manuales!$J$42</f>
        <v>1549.052257709</v>
      </c>
      <c r="M106" s="9" t="n">
        <f aca="false">(parametros_manuales!$D$42*(datos_base!$E$2+IF(parametros_manuales!$H$42="Todos",datos_base!$E$9,0))*parametros_manuales!$M$95+parametros_manuales!$D$42*(datos_base!$E$18+IF(parametros_manuales!$H$42="Todos",datos_base!$E$23,0))*parametros_manuales!$M$12+parametros_manuales!$E$42*(datos_base!$E$3+IF(parametros_manuales!$H$42="Todos",datos_base!$E$10,0))*parametros_manuales!$M$100+parametros_manuales!$E$42*(datos_base!$E$19+IF(parametros_manuales!$H$42="Todos",datos_base!$E$24,0))*parametros_manuales!$M$13+parametros_manuales!$F$42*(datos_base!$E$4+IF(parametros_manuales!$H$42="Todos",datos_base!$E$11,0))*parametros_manuales!$M$105+parametros_manuales!$F$42*(datos_base!$E$20+IF(parametros_manuales!$H$42="Todos",datos_base!$E$25,0))*parametros_manuales!$M$14+parametros_manuales!$G$42*(datos_base!$E$5+IF(parametros_manuales!$H$42="Todos",datos_base!$E$12,0))*parametros_manuales!$M$110+parametros_manuales!$G$42*(datos_base!$E$21+IF(parametros_manuales!$H$42="Todos",datos_base!$E$26,0))*parametros_manuales!$M$15)*parametros_manuales!$I$42*parametros_manuales!$J$42</f>
        <v>1552.281057709</v>
      </c>
      <c r="N106" s="9" t="n">
        <f aca="false">SUM(B106:M106)</f>
        <v>17229.6295301</v>
      </c>
      <c r="O106" s="9" t="n">
        <f aca="false">MAX(B106:M106)</f>
        <v>1552.281057709</v>
      </c>
      <c r="P106" s="44" t="n">
        <f aca="false">O106/(parametros_manuales!$B$7)</f>
        <v>10.3485403847267</v>
      </c>
      <c r="Q106" s="8" t="str">
        <f aca="false">IF(O106=0,"-",INDEX($B$82:$M$82,MATCH(O106,B106:M106,0)))</f>
        <v>Dic</v>
      </c>
    </row>
    <row r="107" customFormat="false" ht="14.25" hidden="false" customHeight="true" outlineLevel="0" collapsed="false">
      <c r="A107" s="8" t="str">
        <f aca="false">parametros_manuales!$B$43</f>
        <v>Embalaje y paletizado</v>
      </c>
      <c r="B107" s="9" t="n">
        <f aca="false">(parametros_manuales!$D$43*(datos_base!$E$2+IF(parametros_manuales!$H$43="Todos",datos_base!$E$9,0))*parametros_manuales!$B$95+parametros_manuales!$D$43*(datos_base!$E$18+IF(parametros_manuales!$H$43="Todos",datos_base!$E$23,0))*parametros_manuales!$B$12+parametros_manuales!$E$43*(datos_base!$E$3+IF(parametros_manuales!$H$43="Todos",datos_base!$E$10,0))*parametros_manuales!$B$100+parametros_manuales!$E$43*(datos_base!$E$19+IF(parametros_manuales!$H$43="Todos",datos_base!$E$24,0))*parametros_manuales!$B$13+parametros_manuales!$F$43*(datos_base!$E$4+IF(parametros_manuales!$H$43="Todos",datos_base!$E$11,0))*parametros_manuales!$B$105+parametros_manuales!$F$43*(datos_base!$E$20+IF(parametros_manuales!$H$43="Todos",datos_base!$E$25,0))*parametros_manuales!$B$14+parametros_manuales!$G$43*(datos_base!$E$5+IF(parametros_manuales!$H$43="Todos",datos_base!$E$12,0))*parametros_manuales!$B$110+parametros_manuales!$G$43*(datos_base!$E$21+IF(parametros_manuales!$H$43="Todos",datos_base!$E$26,0))*parametros_manuales!$B$15)*parametros_manuales!$I$43*parametros_manuales!$J$43</f>
        <v>4555.689857709</v>
      </c>
      <c r="C107" s="9" t="n">
        <f aca="false">(parametros_manuales!$D$43*(datos_base!$E$2+IF(parametros_manuales!$H$43="Todos",datos_base!$E$9,0))*parametros_manuales!$C$95+parametros_manuales!$D$43*(datos_base!$E$18+IF(parametros_manuales!$H$43="Todos",datos_base!$E$23,0))*parametros_manuales!$C$12+parametros_manuales!$E$43*(datos_base!$E$3+IF(parametros_manuales!$H$43="Todos",datos_base!$E$10,0))*parametros_manuales!$C$100+parametros_manuales!$E$43*(datos_base!$E$19+IF(parametros_manuales!$H$43="Todos",datos_base!$E$24,0))*parametros_manuales!$C$13+parametros_manuales!$F$43*(datos_base!$E$4+IF(parametros_manuales!$H$43="Todos",datos_base!$E$11,0))*parametros_manuales!$C$105+parametros_manuales!$F$43*(datos_base!$E$20+IF(parametros_manuales!$H$43="Todos",datos_base!$E$25,0))*parametros_manuales!$C$14+parametros_manuales!$G$43*(datos_base!$E$5+IF(parametros_manuales!$H$43="Todos",datos_base!$E$12,0))*parametros_manuales!$C$110+parametros_manuales!$G$43*(datos_base!$E$21+IF(parametros_manuales!$H$43="Todos",datos_base!$E$26,0))*parametros_manuales!$C$15)*parametros_manuales!$I$43*parametros_manuales!$J$43</f>
        <v>4399.007317898</v>
      </c>
      <c r="D107" s="9" t="n">
        <f aca="false">(parametros_manuales!$D$43*(datos_base!$E$2+IF(parametros_manuales!$H$43="Todos",datos_base!$E$9,0))*parametros_manuales!$D$95+parametros_manuales!$D$43*(datos_base!$E$18+IF(parametros_manuales!$H$43="Todos",datos_base!$E$23,0))*parametros_manuales!$D$12+parametros_manuales!$E$43*(datos_base!$E$3+IF(parametros_manuales!$H$43="Todos",datos_base!$E$10,0))*parametros_manuales!$D$100+parametros_manuales!$E$43*(datos_base!$E$19+IF(parametros_manuales!$H$43="Todos",datos_base!$E$24,0))*parametros_manuales!$D$13+parametros_manuales!$F$43*(datos_base!$E$4+IF(parametros_manuales!$H$43="Todos",datos_base!$E$11,0))*parametros_manuales!$D$105+parametros_manuales!$F$43*(datos_base!$E$20+IF(parametros_manuales!$H$43="Todos",datos_base!$E$25,0))*parametros_manuales!$D$14+parametros_manuales!$G$43*(datos_base!$E$5+IF(parametros_manuales!$H$43="Todos",datos_base!$E$12,0))*parametros_manuales!$D$110+parametros_manuales!$G$43*(datos_base!$E$21+IF(parametros_manuales!$H$43="Todos",datos_base!$E$26,0))*parametros_manuales!$D$15)*parametros_manuales!$I$43*parametros_manuales!$J$43</f>
        <v>4124.5400323135</v>
      </c>
      <c r="E107" s="9" t="n">
        <f aca="false">(parametros_manuales!$D$43*(datos_base!$E$2+IF(parametros_manuales!$H$43="Todos",datos_base!$E$9,0))*parametros_manuales!$E$95+parametros_manuales!$D$43*(datos_base!$E$18+IF(parametros_manuales!$H$43="Todos",datos_base!$E$23,0))*parametros_manuales!$E$12+parametros_manuales!$E$43*(datos_base!$E$3+IF(parametros_manuales!$H$43="Todos",datos_base!$E$10,0))*parametros_manuales!$E$100+parametros_manuales!$E$43*(datos_base!$E$19+IF(parametros_manuales!$H$43="Todos",datos_base!$E$24,0))*parametros_manuales!$E$13+parametros_manuales!$F$43*(datos_base!$E$4+IF(parametros_manuales!$H$43="Todos",datos_base!$E$11,0))*parametros_manuales!$E$105+parametros_manuales!$F$43*(datos_base!$E$20+IF(parametros_manuales!$H$43="Todos",datos_base!$E$25,0))*parametros_manuales!$E$14+parametros_manuales!$G$43*(datos_base!$E$5+IF(parametros_manuales!$H$43="Todos",datos_base!$E$12,0))*parametros_manuales!$E$110+parametros_manuales!$G$43*(datos_base!$E$21+IF(parametros_manuales!$H$43="Todos",datos_base!$E$26,0))*parametros_manuales!$E$15)*parametros_manuales!$I$43*parametros_manuales!$J$43</f>
        <v>3948.7303545685</v>
      </c>
      <c r="F107" s="9" t="n">
        <f aca="false">(parametros_manuales!$D$43*(datos_base!$E$2+IF(parametros_manuales!$H$43="Todos",datos_base!$E$9,0))*parametros_manuales!$F$95+parametros_manuales!$D$43*(datos_base!$E$18+IF(parametros_manuales!$H$43="Todos",datos_base!$E$23,0))*parametros_manuales!$F$12+parametros_manuales!$E$43*(datos_base!$E$3+IF(parametros_manuales!$H$43="Todos",datos_base!$E$10,0))*parametros_manuales!$F$100+parametros_manuales!$E$43*(datos_base!$E$19+IF(parametros_manuales!$H$43="Todos",datos_base!$E$24,0))*parametros_manuales!$F$13+parametros_manuales!$F$43*(datos_base!$E$4+IF(parametros_manuales!$H$43="Todos",datos_base!$E$11,0))*parametros_manuales!$F$105+parametros_manuales!$F$43*(datos_base!$E$20+IF(parametros_manuales!$H$43="Todos",datos_base!$E$25,0))*parametros_manuales!$F$14+parametros_manuales!$G$43*(datos_base!$E$5+IF(parametros_manuales!$H$43="Todos",datos_base!$E$12,0))*parametros_manuales!$F$110+parametros_manuales!$G$43*(datos_base!$E$21+IF(parametros_manuales!$H$43="Todos",datos_base!$E$26,0))*parametros_manuales!$F$15)*parametros_manuales!$I$43*parametros_manuales!$J$43</f>
        <v>3695.768606918</v>
      </c>
      <c r="G107" s="9" t="n">
        <f aca="false">(parametros_manuales!$D$43*(datos_base!$E$2+IF(parametros_manuales!$H$43="Todos",datos_base!$E$9,0))*parametros_manuales!$G$95+parametros_manuales!$D$43*(datos_base!$E$18+IF(parametros_manuales!$H$43="Todos",datos_base!$E$23,0))*parametros_manuales!$G$12+parametros_manuales!$E$43*(datos_base!$E$3+IF(parametros_manuales!$H$43="Todos",datos_base!$E$10,0))*parametros_manuales!$G$100+parametros_manuales!$E$43*(datos_base!$E$19+IF(parametros_manuales!$H$43="Todos",datos_base!$E$24,0))*parametros_manuales!$G$13+parametros_manuales!$F$43*(datos_base!$E$4+IF(parametros_manuales!$H$43="Todos",datos_base!$E$11,0))*parametros_manuales!$G$105+parametros_manuales!$F$43*(datos_base!$E$20+IF(parametros_manuales!$H$43="Todos",datos_base!$E$25,0))*parametros_manuales!$G$14+parametros_manuales!$G$43*(datos_base!$E$5+IF(parametros_manuales!$H$43="Todos",datos_base!$E$12,0))*parametros_manuales!$G$110+parametros_manuales!$G$43*(datos_base!$E$21+IF(parametros_manuales!$H$43="Todos",datos_base!$E$26,0))*parametros_manuales!$G$15)*parametros_manuales!$I$43*parametros_manuales!$J$43</f>
        <v>3618.6165370125</v>
      </c>
      <c r="H107" s="9" t="n">
        <f aca="false">(parametros_manuales!$D$43*(datos_base!$E$2+IF(parametros_manuales!$H$43="Todos",datos_base!$E$9,0))*parametros_manuales!$H$95+parametros_manuales!$D$43*(datos_base!$E$18+IF(parametros_manuales!$H$43="Todos",datos_base!$E$23,0))*parametros_manuales!$H$12+parametros_manuales!$E$43*(datos_base!$E$3+IF(parametros_manuales!$H$43="Todos",datos_base!$E$10,0))*parametros_manuales!$H$100+parametros_manuales!$E$43*(datos_base!$E$19+IF(parametros_manuales!$H$43="Todos",datos_base!$E$24,0))*parametros_manuales!$H$13+parametros_manuales!$F$43*(datos_base!$E$4+IF(parametros_manuales!$H$43="Todos",datos_base!$E$11,0))*parametros_manuales!$H$105+parametros_manuales!$F$43*(datos_base!$E$20+IF(parametros_manuales!$H$43="Todos",datos_base!$E$25,0))*parametros_manuales!$H$14+parametros_manuales!$G$43*(datos_base!$E$5+IF(parametros_manuales!$H$43="Todos",datos_base!$E$12,0))*parametros_manuales!$H$110+parametros_manuales!$G$43*(datos_base!$E$21+IF(parametros_manuales!$H$43="Todos",datos_base!$E$26,0))*parametros_manuales!$H$15)*parametros_manuales!$I$43*parametros_manuales!$J$43</f>
        <v>3871.578284663</v>
      </c>
      <c r="I107" s="9" t="n">
        <f aca="false">(parametros_manuales!$D$43*(datos_base!$E$2+IF(parametros_manuales!$H$43="Todos",datos_base!$E$9,0))*parametros_manuales!$I$95+parametros_manuales!$D$43*(datos_base!$E$18+IF(parametros_manuales!$H$43="Todos",datos_base!$E$23,0))*parametros_manuales!$I$12+parametros_manuales!$E$43*(datos_base!$E$3+IF(parametros_manuales!$H$43="Todos",datos_base!$E$10,0))*parametros_manuales!$I$100+parametros_manuales!$E$43*(datos_base!$E$19+IF(parametros_manuales!$H$43="Todos",datos_base!$E$24,0))*parametros_manuales!$I$13+parametros_manuales!$F$43*(datos_base!$E$4+IF(parametros_manuales!$H$43="Todos",datos_base!$E$11,0))*parametros_manuales!$I$105+parametros_manuales!$F$43*(datos_base!$E$20+IF(parametros_manuales!$H$43="Todos",datos_base!$E$25,0))*parametros_manuales!$I$14+parametros_manuales!$G$43*(datos_base!$E$5+IF(parametros_manuales!$H$43="Todos",datos_base!$E$12,0))*parametros_manuales!$I$110+parametros_manuales!$G$43*(datos_base!$E$21+IF(parametros_manuales!$H$43="Todos",datos_base!$E$26,0))*parametros_manuales!$I$15)*parametros_manuales!$I$43*parametros_manuales!$J$43</f>
        <v>4399.007317898</v>
      </c>
      <c r="J107" s="9" t="n">
        <f aca="false">(parametros_manuales!$D$43*(datos_base!$E$2+IF(parametros_manuales!$H$43="Todos",datos_base!$E$9,0))*parametros_manuales!$J$95+parametros_manuales!$D$43*(datos_base!$E$18+IF(parametros_manuales!$H$43="Todos",datos_base!$E$23,0))*parametros_manuales!$J$12+parametros_manuales!$E$43*(datos_base!$E$3+IF(parametros_manuales!$H$43="Todos",datos_base!$E$10,0))*parametros_manuales!$J$100+parametros_manuales!$E$43*(datos_base!$E$19+IF(parametros_manuales!$H$43="Todos",datos_base!$E$24,0))*parametros_manuales!$J$13+parametros_manuales!$F$43*(datos_base!$E$4+IF(parametros_manuales!$H$43="Todos",datos_base!$E$11,0))*parametros_manuales!$J$105+parametros_manuales!$F$43*(datos_base!$E$20+IF(parametros_manuales!$H$43="Todos",datos_base!$E$25,0))*parametros_manuales!$J$14+parametros_manuales!$G$43*(datos_base!$E$5+IF(parametros_manuales!$H$43="Todos",datos_base!$E$12,0))*parametros_manuales!$J$110+parametros_manuales!$G$43*(datos_base!$E$21+IF(parametros_manuales!$H$43="Todos",datos_base!$E$26,0))*parametros_manuales!$J$15)*parametros_manuales!$I$43*parametros_manuales!$J$43</f>
        <v>4399.007317898</v>
      </c>
      <c r="K107" s="9" t="n">
        <f aca="false">(parametros_manuales!$D$43*(datos_base!$E$2+IF(parametros_manuales!$H$43="Todos",datos_base!$E$9,0))*parametros_manuales!$K$95+parametros_manuales!$D$43*(datos_base!$E$18+IF(parametros_manuales!$H$43="Todos",datos_base!$E$23,0))*parametros_manuales!$K$12+parametros_manuales!$E$43*(datos_base!$E$3+IF(parametros_manuales!$H$43="Todos",datos_base!$E$10,0))*parametros_manuales!$K$100+parametros_manuales!$E$43*(datos_base!$E$19+IF(parametros_manuales!$H$43="Todos",datos_base!$E$24,0))*parametros_manuales!$K$13+parametros_manuales!$F$43*(datos_base!$E$4+IF(parametros_manuales!$H$43="Todos",datos_base!$E$11,0))*parametros_manuales!$K$105+parametros_manuales!$F$43*(datos_base!$E$20+IF(parametros_manuales!$H$43="Todos",datos_base!$E$25,0))*parametros_manuales!$K$14+parametros_manuales!$G$43*(datos_base!$E$5+IF(parametros_manuales!$H$43="Todos",datos_base!$E$12,0))*parametros_manuales!$K$110+parametros_manuales!$G$43*(datos_base!$E$21+IF(parametros_manuales!$H$43="Todos",datos_base!$E$26,0))*parametros_manuales!$K$15)*parametros_manuales!$I$43*parametros_manuales!$J$43</f>
        <v>4473.7809878035</v>
      </c>
      <c r="L107" s="9" t="n">
        <f aca="false">(parametros_manuales!$D$43*(datos_base!$E$2+IF(parametros_manuales!$H$43="Todos",datos_base!$E$9,0))*parametros_manuales!$L$95+parametros_manuales!$D$43*(datos_base!$E$18+IF(parametros_manuales!$H$43="Todos",datos_base!$E$23,0))*parametros_manuales!$L$12+parametros_manuales!$E$43*(datos_base!$E$3+IF(parametros_manuales!$H$43="Todos",datos_base!$E$10,0))*parametros_manuales!$L$100+parametros_manuales!$E$43*(datos_base!$E$19+IF(parametros_manuales!$H$43="Todos",datos_base!$E$24,0))*parametros_manuales!$L$13+parametros_manuales!$F$43*(datos_base!$E$4+IF(parametros_manuales!$H$43="Todos",datos_base!$E$11,0))*parametros_manuales!$L$105+parametros_manuales!$F$43*(datos_base!$E$20+IF(parametros_manuales!$H$43="Todos",datos_base!$E$25,0))*parametros_manuales!$L$14+parametros_manuales!$G$43*(datos_base!$E$5+IF(parametros_manuales!$H$43="Todos",datos_base!$E$12,0))*parametros_manuales!$L$110+parametros_manuales!$G$43*(datos_base!$E$21+IF(parametros_manuales!$H$43="Todos",datos_base!$E$26,0))*parametros_manuales!$L$15)*parametros_manuales!$I$43*parametros_manuales!$J$43</f>
        <v>4548.554657709</v>
      </c>
      <c r="M107" s="9" t="n">
        <f aca="false">(parametros_manuales!$D$43*(datos_base!$E$2+IF(parametros_manuales!$H$43="Todos",datos_base!$E$9,0))*parametros_manuales!$M$95+parametros_manuales!$D$43*(datos_base!$E$18+IF(parametros_manuales!$H$43="Todos",datos_base!$E$23,0))*parametros_manuales!$M$12+parametros_manuales!$E$43*(datos_base!$E$3+IF(parametros_manuales!$H$43="Todos",datos_base!$E$10,0))*parametros_manuales!$M$100+parametros_manuales!$E$43*(datos_base!$E$19+IF(parametros_manuales!$H$43="Todos",datos_base!$E$24,0))*parametros_manuales!$M$13+parametros_manuales!$F$43*(datos_base!$E$4+IF(parametros_manuales!$H$43="Todos",datos_base!$E$11,0))*parametros_manuales!$M$105+parametros_manuales!$F$43*(datos_base!$E$20+IF(parametros_manuales!$H$43="Todos",datos_base!$E$25,0))*parametros_manuales!$M$14+parametros_manuales!$G$43*(datos_base!$E$5+IF(parametros_manuales!$H$43="Todos",datos_base!$E$12,0))*parametros_manuales!$M$110+parametros_manuales!$G$43*(datos_base!$E$21+IF(parametros_manuales!$H$43="Todos",datos_base!$E$26,0))*parametros_manuales!$M$15)*parametros_manuales!$I$43*parametros_manuales!$J$43</f>
        <v>4558.068257709</v>
      </c>
      <c r="N107" s="9" t="n">
        <f aca="false">SUM(B107:M107)</f>
        <v>50592.3495301</v>
      </c>
      <c r="O107" s="9" t="n">
        <f aca="false">MAX(B107:M107)</f>
        <v>4558.068257709</v>
      </c>
      <c r="P107" s="44" t="n">
        <f aca="false">O107/(parametros_manuales!$B$7)</f>
        <v>30.38712171806</v>
      </c>
      <c r="Q107" s="8" t="str">
        <f aca="false">IF(O107=0,"-",INDEX($B$82:$M$82,MATCH(O107,B107:M107,0)))</f>
        <v>Dic</v>
      </c>
    </row>
    <row r="108" customFormat="false" ht="14.25" hidden="false" customHeight="true" outlineLevel="0" collapsed="false"/>
    <row r="109" customFormat="false" ht="14.25" hidden="false" customHeight="true" outlineLevel="0" collapsed="false">
      <c r="A109" s="7" t="s">
        <v>204</v>
      </c>
      <c r="B109" s="7" t="s">
        <v>59</v>
      </c>
      <c r="C109" s="7" t="s">
        <v>60</v>
      </c>
      <c r="D109" s="7" t="s">
        <v>61</v>
      </c>
      <c r="E109" s="7" t="s">
        <v>62</v>
      </c>
      <c r="F109" s="7" t="s">
        <v>63</v>
      </c>
      <c r="G109" s="7" t="s">
        <v>64</v>
      </c>
      <c r="H109" s="7" t="s">
        <v>65</v>
      </c>
      <c r="I109" s="7" t="s">
        <v>66</v>
      </c>
      <c r="J109" s="7" t="s">
        <v>67</v>
      </c>
      <c r="K109" s="7" t="s">
        <v>68</v>
      </c>
      <c r="L109" s="7" t="s">
        <v>69</v>
      </c>
      <c r="M109" s="7" t="s">
        <v>70</v>
      </c>
      <c r="N109" s="7" t="s">
        <v>181</v>
      </c>
      <c r="O109" s="7" t="s">
        <v>198</v>
      </c>
      <c r="P109" s="7" t="s">
        <v>199</v>
      </c>
      <c r="Q109" s="7" t="s">
        <v>200</v>
      </c>
    </row>
    <row r="110" customFormat="false" ht="14.25" hidden="false" customHeight="true" outlineLevel="0" collapsed="false">
      <c r="A110" s="8" t="str">
        <f aca="false">parametros_manuales!$B$19</f>
        <v>Recepción de materia prima</v>
      </c>
      <c r="B110" s="9" t="n">
        <f aca="false">(parametros_manuales!$D$19*(datos_base!$F$2+IF(parametros_manuales!$H$19="Todos",datos_base!$F$9,0))*parametros_manuales!$B$95+parametros_manuales!$D$19*(datos_base!$F$18+IF(parametros_manuales!$H$19="Todos",datos_base!$F$23,0))*parametros_manuales!$B$12+parametros_manuales!$E$19*(datos_base!$F$3+IF(parametros_manuales!$H$19="Todos",datos_base!$F$10,0))*parametros_manuales!$B$100+parametros_manuales!$E$19*(datos_base!$F$19+IF(parametros_manuales!$H$19="Todos",datos_base!$F$24,0))*parametros_manuales!$B$13+parametros_manuales!$F$19*(datos_base!$F$4+IF(parametros_manuales!$H$19="Todos",datos_base!$F$11,0))*parametros_manuales!$B$105+parametros_manuales!$F$19*(datos_base!$F$20+IF(parametros_manuales!$H$19="Todos",datos_base!$F$25,0))*parametros_manuales!$B$14+parametros_manuales!$G$19*(datos_base!$F$5+IF(parametros_manuales!$H$19="Todos",datos_base!$F$12,0))*parametros_manuales!$B$110+parametros_manuales!$G$19*(datos_base!$F$21+IF(parametros_manuales!$H$19="Todos",datos_base!$F$26,0))*parametros_manuales!$B$15)*parametros_manuales!$I$19*parametros_manuales!$J$19</f>
        <v>7935.883697511</v>
      </c>
      <c r="C110" s="9" t="n">
        <f aca="false">(parametros_manuales!$D$19*(datos_base!$F$2+IF(parametros_manuales!$H$19="Todos",datos_base!$F$9,0))*parametros_manuales!$C$95+parametros_manuales!$D$19*(datos_base!$F$18+IF(parametros_manuales!$H$19="Todos",datos_base!$F$23,0))*parametros_manuales!$C$12+parametros_manuales!$E$19*(datos_base!$F$3+IF(parametros_manuales!$H$19="Todos",datos_base!$F$10,0))*parametros_manuales!$C$100+parametros_manuales!$E$19*(datos_base!$F$19+IF(parametros_manuales!$H$19="Todos",datos_base!$F$24,0))*parametros_manuales!$C$13+parametros_manuales!$F$19*(datos_base!$F$4+IF(parametros_manuales!$H$19="Todos",datos_base!$F$11,0))*parametros_manuales!$C$105+parametros_manuales!$F$19*(datos_base!$F$20+IF(parametros_manuales!$H$19="Todos",datos_base!$F$25,0))*parametros_manuales!$C$14+parametros_manuales!$G$19*(datos_base!$F$5+IF(parametros_manuales!$H$19="Todos",datos_base!$F$12,0))*parametros_manuales!$C$110+parametros_manuales!$G$19*(datos_base!$F$21+IF(parametros_manuales!$H$19="Todos",datos_base!$F$26,0))*parametros_manuales!$C$15)*parametros_manuales!$I$19*parametros_manuales!$J$19</f>
        <v>7673.119569332</v>
      </c>
      <c r="D110" s="9" t="n">
        <f aca="false">(parametros_manuales!$D$19*(datos_base!$F$2+IF(parametros_manuales!$H$19="Todos",datos_base!$F$9,0))*parametros_manuales!$D$95+parametros_manuales!$D$19*(datos_base!$F$18+IF(parametros_manuales!$H$19="Todos",datos_base!$F$23,0))*parametros_manuales!$D$12+parametros_manuales!$E$19*(datos_base!$F$3+IF(parametros_manuales!$H$19="Todos",datos_base!$F$10,0))*parametros_manuales!$D$100+parametros_manuales!$E$19*(datos_base!$F$19+IF(parametros_manuales!$H$19="Todos",datos_base!$F$24,0))*parametros_manuales!$D$13+parametros_manuales!$F$19*(datos_base!$F$4+IF(parametros_manuales!$H$19="Todos",datos_base!$F$11,0))*parametros_manuales!$D$105+parametros_manuales!$F$19*(datos_base!$F$20+IF(parametros_manuales!$H$19="Todos",datos_base!$F$25,0))*parametros_manuales!$D$14+parametros_manuales!$G$19*(datos_base!$F$5+IF(parametros_manuales!$H$19="Todos",datos_base!$F$12,0))*parametros_manuales!$D$110+parametros_manuales!$G$19*(datos_base!$F$21+IF(parametros_manuales!$H$19="Todos",datos_base!$F$26,0))*parametros_manuales!$D$15)*parametros_manuales!$I$19*parametros_manuales!$J$19</f>
        <v>7182.1359063215</v>
      </c>
      <c r="E110" s="9" t="n">
        <f aca="false">(parametros_manuales!$D$19*(datos_base!$F$2+IF(parametros_manuales!$H$19="Todos",datos_base!$F$9,0))*parametros_manuales!$E$95+parametros_manuales!$D$19*(datos_base!$F$18+IF(parametros_manuales!$H$19="Todos",datos_base!$F$23,0))*parametros_manuales!$E$12+parametros_manuales!$E$19*(datos_base!$F$3+IF(parametros_manuales!$H$19="Todos",datos_base!$F$10,0))*parametros_manuales!$E$100+parametros_manuales!$E$19*(datos_base!$F$19+IF(parametros_manuales!$H$19="Todos",datos_base!$F$24,0))*parametros_manuales!$E$13+parametros_manuales!$F$19*(datos_base!$F$4+IF(parametros_manuales!$H$19="Todos",datos_base!$F$11,0))*parametros_manuales!$E$105+parametros_manuales!$F$19*(datos_base!$F$20+IF(parametros_manuales!$H$19="Todos",datos_base!$F$25,0))*parametros_manuales!$E$14+parametros_manuales!$G$19*(datos_base!$F$5+IF(parametros_manuales!$H$19="Todos",datos_base!$F$12,0))*parametros_manuales!$E$110+parametros_manuales!$G$19*(datos_base!$F$21+IF(parametros_manuales!$H$19="Todos",datos_base!$F$26,0))*parametros_manuales!$E$15)*parametros_manuales!$I$19*parametros_manuales!$J$19</f>
        <v>6871.5587427715</v>
      </c>
      <c r="F110" s="9" t="n">
        <f aca="false">(parametros_manuales!$D$19*(datos_base!$F$2+IF(parametros_manuales!$H$19="Todos",datos_base!$F$9,0))*parametros_manuales!$F$95+parametros_manuales!$D$19*(datos_base!$F$18+IF(parametros_manuales!$H$19="Todos",datos_base!$F$23,0))*parametros_manuales!$F$12+parametros_manuales!$E$19*(datos_base!$F$3+IF(parametros_manuales!$H$19="Todos",datos_base!$F$10,0))*parametros_manuales!$F$100+parametros_manuales!$E$19*(datos_base!$F$19+IF(parametros_manuales!$H$19="Todos",datos_base!$F$24,0))*parametros_manuales!$F$13+parametros_manuales!$F$19*(datos_base!$F$4+IF(parametros_manuales!$H$19="Todos",datos_base!$F$11,0))*parametros_manuales!$F$105+parametros_manuales!$F$19*(datos_base!$F$20+IF(parametros_manuales!$H$19="Todos",datos_base!$F$25,0))*parametros_manuales!$F$14+parametros_manuales!$G$19*(datos_base!$F$5+IF(parametros_manuales!$H$19="Todos",datos_base!$F$12,0))*parametros_manuales!$F$110+parametros_manuales!$G$19*(datos_base!$F$21+IF(parametros_manuales!$H$19="Todos",datos_base!$F$26,0))*parametros_manuales!$F$15)*parametros_manuales!$I$19*parametros_manuales!$J$19</f>
        <v>6430.810915132</v>
      </c>
      <c r="G110" s="9" t="n">
        <f aca="false">(parametros_manuales!$D$19*(datos_base!$F$2+IF(parametros_manuales!$H$19="Todos",datos_base!$F$9,0))*parametros_manuales!$G$95+parametros_manuales!$D$19*(datos_base!$F$18+IF(parametros_manuales!$H$19="Todos",datos_base!$F$23,0))*parametros_manuales!$G$12+parametros_manuales!$E$19*(datos_base!$F$3+IF(parametros_manuales!$H$19="Todos",datos_base!$F$10,0))*parametros_manuales!$G$100+parametros_manuales!$E$19*(datos_base!$F$19+IF(parametros_manuales!$H$19="Todos",datos_base!$F$24,0))*parametros_manuales!$G$13+parametros_manuales!$F$19*(datos_base!$F$4+IF(parametros_manuales!$H$19="Todos",datos_base!$F$11,0))*parametros_manuales!$G$105+parametros_manuales!$F$19*(datos_base!$F$20+IF(parametros_manuales!$H$19="Todos",datos_base!$F$25,0))*parametros_manuales!$G$14+parametros_manuales!$G$19*(datos_base!$F$5+IF(parametros_manuales!$H$19="Todos",datos_base!$F$12,0))*parametros_manuales!$G$110+parametros_manuales!$G$19*(datos_base!$F$21+IF(parametros_manuales!$H$19="Todos",datos_base!$F$26,0))*parametros_manuales!$G$15)*parametros_manuales!$I$19*parametros_manuales!$J$19</f>
        <v>6300.6402510425</v>
      </c>
      <c r="H110" s="9" t="n">
        <f aca="false">(parametros_manuales!$D$19*(datos_base!$F$2+IF(parametros_manuales!$H$19="Todos",datos_base!$F$9,0))*parametros_manuales!$H$95+parametros_manuales!$D$19*(datos_base!$F$18+IF(parametros_manuales!$H$19="Todos",datos_base!$F$23,0))*parametros_manuales!$H$12+parametros_manuales!$E$19*(datos_base!$F$3+IF(parametros_manuales!$H$19="Todos",datos_base!$F$10,0))*parametros_manuales!$H$100+parametros_manuales!$E$19*(datos_base!$F$19+IF(parametros_manuales!$H$19="Todos",datos_base!$F$24,0))*parametros_manuales!$H$13+parametros_manuales!$F$19*(datos_base!$F$4+IF(parametros_manuales!$H$19="Todos",datos_base!$F$11,0))*parametros_manuales!$H$105+parametros_manuales!$F$19*(datos_base!$F$20+IF(parametros_manuales!$H$19="Todos",datos_base!$F$25,0))*parametros_manuales!$H$14+parametros_manuales!$G$19*(datos_base!$F$5+IF(parametros_manuales!$H$19="Todos",datos_base!$F$12,0))*parametros_manuales!$H$110+parametros_manuales!$G$19*(datos_base!$F$21+IF(parametros_manuales!$H$19="Todos",datos_base!$F$26,0))*parametros_manuales!$H$15)*parametros_manuales!$I$19*parametros_manuales!$J$19</f>
        <v>6741.388078682</v>
      </c>
      <c r="I110" s="9" t="n">
        <f aca="false">(parametros_manuales!$D$19*(datos_base!$F$2+IF(parametros_manuales!$H$19="Todos",datos_base!$F$9,0))*parametros_manuales!$I$95+parametros_manuales!$D$19*(datos_base!$F$18+IF(parametros_manuales!$H$19="Todos",datos_base!$F$23,0))*parametros_manuales!$I$12+parametros_manuales!$E$19*(datos_base!$F$3+IF(parametros_manuales!$H$19="Todos",datos_base!$F$10,0))*parametros_manuales!$I$100+parametros_manuales!$E$19*(datos_base!$F$19+IF(parametros_manuales!$H$19="Todos",datos_base!$F$24,0))*parametros_manuales!$I$13+parametros_manuales!$F$19*(datos_base!$F$4+IF(parametros_manuales!$H$19="Todos",datos_base!$F$11,0))*parametros_manuales!$I$105+parametros_manuales!$F$19*(datos_base!$F$20+IF(parametros_manuales!$H$19="Todos",datos_base!$F$25,0))*parametros_manuales!$I$14+parametros_manuales!$G$19*(datos_base!$F$5+IF(parametros_manuales!$H$19="Todos",datos_base!$F$12,0))*parametros_manuales!$I$110+parametros_manuales!$G$19*(datos_base!$F$21+IF(parametros_manuales!$H$19="Todos",datos_base!$F$26,0))*parametros_manuales!$I$15)*parametros_manuales!$I$19*parametros_manuales!$J$19</f>
        <v>7673.11956933199</v>
      </c>
      <c r="J110" s="9" t="n">
        <f aca="false">(parametros_manuales!$D$19*(datos_base!$F$2+IF(parametros_manuales!$H$19="Todos",datos_base!$F$9,0))*parametros_manuales!$J$95+parametros_manuales!$D$19*(datos_base!$F$18+IF(parametros_manuales!$H$19="Todos",datos_base!$F$23,0))*parametros_manuales!$J$12+parametros_manuales!$E$19*(datos_base!$F$3+IF(parametros_manuales!$H$19="Todos",datos_base!$F$10,0))*parametros_manuales!$J$100+parametros_manuales!$E$19*(datos_base!$F$19+IF(parametros_manuales!$H$19="Todos",datos_base!$F$24,0))*parametros_manuales!$J$13+parametros_manuales!$F$19*(datos_base!$F$4+IF(parametros_manuales!$H$19="Todos",datos_base!$F$11,0))*parametros_manuales!$J$105+parametros_manuales!$F$19*(datos_base!$F$20+IF(parametros_manuales!$H$19="Todos",datos_base!$F$25,0))*parametros_manuales!$J$14+parametros_manuales!$G$19*(datos_base!$F$5+IF(parametros_manuales!$H$19="Todos",datos_base!$F$12,0))*parametros_manuales!$J$110+parametros_manuales!$G$19*(datos_base!$F$21+IF(parametros_manuales!$H$19="Todos",datos_base!$F$26,0))*parametros_manuales!$J$15)*parametros_manuales!$I$19*parametros_manuales!$J$19</f>
        <v>7673.119569332</v>
      </c>
      <c r="K110" s="9" t="n">
        <f aca="false">(parametros_manuales!$D$19*(datos_base!$F$2+IF(parametros_manuales!$H$19="Todos",datos_base!$F$9,0))*parametros_manuales!$K$95+parametros_manuales!$D$19*(datos_base!$F$18+IF(parametros_manuales!$H$19="Todos",datos_base!$F$23,0))*parametros_manuales!$K$12+parametros_manuales!$E$19*(datos_base!$F$3+IF(parametros_manuales!$H$19="Todos",datos_base!$F$10,0))*parametros_manuales!$K$100+parametros_manuales!$E$19*(datos_base!$F$19+IF(parametros_manuales!$H$19="Todos",datos_base!$F$24,0))*parametros_manuales!$K$13+parametros_manuales!$F$19*(datos_base!$F$4+IF(parametros_manuales!$H$19="Todos",datos_base!$F$11,0))*parametros_manuales!$K$105+parametros_manuales!$F$19*(datos_base!$F$20+IF(parametros_manuales!$H$19="Todos",datos_base!$F$25,0))*parametros_manuales!$K$14+parametros_manuales!$G$19*(datos_base!$F$5+IF(parametros_manuales!$H$19="Todos",datos_base!$F$12,0))*parametros_manuales!$K$110+parametros_manuales!$G$19*(datos_base!$F$21+IF(parametros_manuales!$H$19="Todos",datos_base!$F$26,0))*parametros_manuales!$K$15)*parametros_manuales!$I$19*parametros_manuales!$J$19</f>
        <v>7800.8674334215</v>
      </c>
      <c r="L110" s="9" t="n">
        <f aca="false">(parametros_manuales!$D$19*(datos_base!$F$2+IF(parametros_manuales!$H$19="Todos",datos_base!$F$9,0))*parametros_manuales!$L$95+parametros_manuales!$D$19*(datos_base!$F$18+IF(parametros_manuales!$H$19="Todos",datos_base!$F$23,0))*parametros_manuales!$L$12+parametros_manuales!$E$19*(datos_base!$F$3+IF(parametros_manuales!$H$19="Todos",datos_base!$F$10,0))*parametros_manuales!$L$100+parametros_manuales!$E$19*(datos_base!$F$19+IF(parametros_manuales!$H$19="Todos",datos_base!$F$24,0))*parametros_manuales!$L$13+parametros_manuales!$F$19*(datos_base!$F$4+IF(parametros_manuales!$H$19="Todos",datos_base!$F$11,0))*parametros_manuales!$L$105+parametros_manuales!$F$19*(datos_base!$F$20+IF(parametros_manuales!$H$19="Todos",datos_base!$F$25,0))*parametros_manuales!$L$14+parametros_manuales!$G$19*(datos_base!$F$5+IF(parametros_manuales!$H$19="Todos",datos_base!$F$12,0))*parametros_manuales!$L$110+parametros_manuales!$G$19*(datos_base!$F$21+IF(parametros_manuales!$H$19="Todos",datos_base!$F$26,0))*parametros_manuales!$L$15)*parametros_manuales!$I$19*parametros_manuales!$J$19</f>
        <v>7928.615297511</v>
      </c>
      <c r="M110" s="9" t="n">
        <f aca="false">(parametros_manuales!$D$19*(datos_base!$F$2+IF(parametros_manuales!$H$19="Todos",datos_base!$F$9,0))*parametros_manuales!$M$95+parametros_manuales!$D$19*(datos_base!$F$18+IF(parametros_manuales!$H$19="Todos",datos_base!$F$23,0))*parametros_manuales!$M$12+parametros_manuales!$E$19*(datos_base!$F$3+IF(parametros_manuales!$H$19="Todos",datos_base!$F$10,0))*parametros_manuales!$M$100+parametros_manuales!$E$19*(datos_base!$F$19+IF(parametros_manuales!$H$19="Todos",datos_base!$F$24,0))*parametros_manuales!$M$13+parametros_manuales!$F$19*(datos_base!$F$4+IF(parametros_manuales!$H$19="Todos",datos_base!$F$11,0))*parametros_manuales!$M$105+parametros_manuales!$F$19*(datos_base!$F$20+IF(parametros_manuales!$H$19="Todos",datos_base!$F$25,0))*parametros_manuales!$M$14+parametros_manuales!$G$19*(datos_base!$F$5+IF(parametros_manuales!$H$19="Todos",datos_base!$F$12,0))*parametros_manuales!$M$110+parametros_manuales!$G$19*(datos_base!$F$21+IF(parametros_manuales!$H$19="Todos",datos_base!$F$26,0))*parametros_manuales!$M$15)*parametros_manuales!$I$19*parametros_manuales!$J$19</f>
        <v>7938.306497511</v>
      </c>
      <c r="N110" s="9" t="n">
        <f aca="false">SUM(B110:M110)</f>
        <v>88149.5655279</v>
      </c>
      <c r="O110" s="9" t="n">
        <f aca="false">MAX(B110:M110)</f>
        <v>7938.306497511</v>
      </c>
      <c r="P110" s="44" t="n">
        <f aca="false">O110/(parametros_manuales!$B$7)</f>
        <v>52.92204331674</v>
      </c>
      <c r="Q110" s="8" t="str">
        <f aca="false">IF(O110=0,"-",INDEX($B$109:$M$109,MATCH(O110,B110:M110,0)))</f>
        <v>Dic</v>
      </c>
    </row>
    <row r="111" customFormat="false" ht="14.25" hidden="false" customHeight="true" outlineLevel="0" collapsed="false">
      <c r="A111" s="8" t="str">
        <f aca="false">parametros_manuales!$B$20</f>
        <v>Corte de chapa (guillotina) — 2,5 a 10 kg</v>
      </c>
      <c r="B111" s="9" t="n">
        <f aca="false">(parametros_manuales!$D$20*(datos_base!$F$2+IF(parametros_manuales!$H$20="Todos",datos_base!$F$9,0))*parametros_manuales!$B$95+parametros_manuales!$D$20*(datos_base!$F$18+IF(parametros_manuales!$H$20="Todos",datos_base!$F$23,0))*parametros_manuales!$B$12+parametros_manuales!$E$20*(datos_base!$F$3+IF(parametros_manuales!$H$20="Todos",datos_base!$F$10,0))*parametros_manuales!$B$100+parametros_manuales!$E$20*(datos_base!$F$19+IF(parametros_manuales!$H$20="Todos",datos_base!$F$24,0))*parametros_manuales!$B$13+parametros_manuales!$F$20*(datos_base!$F$4+IF(parametros_manuales!$H$20="Todos",datos_base!$F$11,0))*parametros_manuales!$B$105+parametros_manuales!$F$20*(datos_base!$F$20+IF(parametros_manuales!$H$20="Todos",datos_base!$F$25,0))*parametros_manuales!$B$14+parametros_manuales!$G$20*(datos_base!$F$5+IF(parametros_manuales!$H$20="Todos",datos_base!$F$12,0))*parametros_manuales!$B$110+parametros_manuales!$G$20*(datos_base!$F$21+IF(parametros_manuales!$H$20="Todos",datos_base!$F$26,0))*parametros_manuales!$B$15)*parametros_manuales!$I$20*parametros_manuales!$J$20</f>
        <v>2345.494753611</v>
      </c>
      <c r="C111" s="9" t="n">
        <f aca="false">(parametros_manuales!$D$20*(datos_base!$F$2+IF(parametros_manuales!$H$20="Todos",datos_base!$F$9,0))*parametros_manuales!$C$95+parametros_manuales!$D$20*(datos_base!$F$18+IF(parametros_manuales!$H$20="Todos",datos_base!$F$23,0))*parametros_manuales!$C$12+parametros_manuales!$E$20*(datos_base!$F$3+IF(parametros_manuales!$H$20="Todos",datos_base!$F$10,0))*parametros_manuales!$C$100+parametros_manuales!$E$20*(datos_base!$F$19+IF(parametros_manuales!$H$20="Todos",datos_base!$F$24,0))*parametros_manuales!$C$13+parametros_manuales!$F$20*(datos_base!$F$4+IF(parametros_manuales!$H$20="Todos",datos_base!$F$11,0))*parametros_manuales!$C$105+parametros_manuales!$F$20*(datos_base!$F$20+IF(parametros_manuales!$H$20="Todos",datos_base!$F$25,0))*parametros_manuales!$C$14+parametros_manuales!$G$20*(datos_base!$F$5+IF(parametros_manuales!$H$20="Todos",datos_base!$F$12,0))*parametros_manuales!$C$110+parametros_manuales!$G$20*(datos_base!$F$21+IF(parametros_manuales!$H$20="Todos",datos_base!$F$26,0))*parametros_manuales!$C$15)*parametros_manuales!$I$20*parametros_manuales!$J$20</f>
        <v>2082.730625432</v>
      </c>
      <c r="D111" s="9" t="n">
        <f aca="false">(parametros_manuales!$D$20*(datos_base!$F$2+IF(parametros_manuales!$H$20="Todos",datos_base!$F$9,0))*parametros_manuales!$D$95+parametros_manuales!$D$20*(datos_base!$F$18+IF(parametros_manuales!$H$20="Todos",datos_base!$F$23,0))*parametros_manuales!$D$12+parametros_manuales!$E$20*(datos_base!$F$3+IF(parametros_manuales!$H$20="Todos",datos_base!$F$10,0))*parametros_manuales!$D$100+parametros_manuales!$E$20*(datos_base!$F$19+IF(parametros_manuales!$H$20="Todos",datos_base!$F$24,0))*parametros_manuales!$D$13+parametros_manuales!$F$20*(datos_base!$F$4+IF(parametros_manuales!$H$20="Todos",datos_base!$F$11,0))*parametros_manuales!$D$105+parametros_manuales!$F$20*(datos_base!$F$20+IF(parametros_manuales!$H$20="Todos",datos_base!$F$25,0))*parametros_manuales!$D$14+parametros_manuales!$G$20*(datos_base!$F$5+IF(parametros_manuales!$H$20="Todos",datos_base!$F$12,0))*parametros_manuales!$D$110+parametros_manuales!$G$20*(datos_base!$F$21+IF(parametros_manuales!$H$20="Todos",datos_base!$F$26,0))*parametros_manuales!$D$15)*parametros_manuales!$I$20*parametros_manuales!$J$20</f>
        <v>2212.9012895215</v>
      </c>
      <c r="E111" s="9" t="n">
        <f aca="false">(parametros_manuales!$D$20*(datos_base!$F$2+IF(parametros_manuales!$H$20="Todos",datos_base!$F$9,0))*parametros_manuales!$E$95+parametros_manuales!$D$20*(datos_base!$F$18+IF(parametros_manuales!$H$20="Todos",datos_base!$F$23,0))*parametros_manuales!$E$12+parametros_manuales!$E$20*(datos_base!$F$3+IF(parametros_manuales!$H$20="Todos",datos_base!$F$10,0))*parametros_manuales!$E$100+parametros_manuales!$E$20*(datos_base!$F$19+IF(parametros_manuales!$H$20="Todos",datos_base!$F$24,0))*parametros_manuales!$E$13+parametros_manuales!$F$20*(datos_base!$F$4+IF(parametros_manuales!$H$20="Todos",datos_base!$F$11,0))*parametros_manuales!$E$105+parametros_manuales!$F$20*(datos_base!$F$20+IF(parametros_manuales!$H$20="Todos",datos_base!$F$25,0))*parametros_manuales!$E$14+parametros_manuales!$G$20*(datos_base!$F$5+IF(parametros_manuales!$H$20="Todos",datos_base!$F$12,0))*parametros_manuales!$E$110+parametros_manuales!$G$20*(datos_base!$F$21+IF(parametros_manuales!$H$20="Todos",datos_base!$F$26,0))*parametros_manuales!$E$15)*parametros_manuales!$I$20*parametros_manuales!$J$20</f>
        <v>2212.9012895215</v>
      </c>
      <c r="F111" s="9" t="n">
        <f aca="false">(parametros_manuales!$D$20*(datos_base!$F$2+IF(parametros_manuales!$H$20="Todos",datos_base!$F$9,0))*parametros_manuales!$F$95+parametros_manuales!$D$20*(datos_base!$F$18+IF(parametros_manuales!$H$20="Todos",datos_base!$F$23,0))*parametros_manuales!$F$12+parametros_manuales!$E$20*(datos_base!$F$3+IF(parametros_manuales!$H$20="Todos",datos_base!$F$10,0))*parametros_manuales!$F$100+parametros_manuales!$E$20*(datos_base!$F$19+IF(parametros_manuales!$H$20="Todos",datos_base!$F$24,0))*parametros_manuales!$F$13+parametros_manuales!$F$20*(datos_base!$F$4+IF(parametros_manuales!$H$20="Todos",datos_base!$F$11,0))*parametros_manuales!$F$105+parametros_manuales!$F$20*(datos_base!$F$20+IF(parametros_manuales!$H$20="Todos",datos_base!$F$25,0))*parametros_manuales!$F$14+parametros_manuales!$G$20*(datos_base!$F$5+IF(parametros_manuales!$H$20="Todos",datos_base!$F$12,0))*parametros_manuales!$F$110+parametros_manuales!$G$20*(datos_base!$F$21+IF(parametros_manuales!$H$20="Todos",datos_base!$F$26,0))*parametros_manuales!$F$15)*parametros_manuales!$I$20*parametros_manuales!$J$20</f>
        <v>2082.730625432</v>
      </c>
      <c r="G111" s="9" t="n">
        <f aca="false">(parametros_manuales!$D$20*(datos_base!$F$2+IF(parametros_manuales!$H$20="Todos",datos_base!$F$9,0))*parametros_manuales!$G$95+parametros_manuales!$D$20*(datos_base!$F$18+IF(parametros_manuales!$H$20="Todos",datos_base!$F$23,0))*parametros_manuales!$G$12+parametros_manuales!$E$20*(datos_base!$F$3+IF(parametros_manuales!$H$20="Todos",datos_base!$F$10,0))*parametros_manuales!$G$100+parametros_manuales!$E$20*(datos_base!$F$19+IF(parametros_manuales!$H$20="Todos",datos_base!$F$24,0))*parametros_manuales!$G$13+parametros_manuales!$F$20*(datos_base!$F$4+IF(parametros_manuales!$H$20="Todos",datos_base!$F$11,0))*parametros_manuales!$G$105+parametros_manuales!$F$20*(datos_base!$F$20+IF(parametros_manuales!$H$20="Todos",datos_base!$F$25,0))*parametros_manuales!$G$14+parametros_manuales!$G$20*(datos_base!$F$5+IF(parametros_manuales!$H$20="Todos",datos_base!$F$12,0))*parametros_manuales!$G$110+parametros_manuales!$G$20*(datos_base!$F$21+IF(parametros_manuales!$H$20="Todos",datos_base!$F$26,0))*parametros_manuales!$G$15)*parametros_manuales!$I$20*parametros_manuales!$J$20</f>
        <v>1952.5599613425</v>
      </c>
      <c r="H111" s="9" t="n">
        <f aca="false">(parametros_manuales!$D$20*(datos_base!$F$2+IF(parametros_manuales!$H$20="Todos",datos_base!$F$9,0))*parametros_manuales!$H$95+parametros_manuales!$D$20*(datos_base!$F$18+IF(parametros_manuales!$H$20="Todos",datos_base!$F$23,0))*parametros_manuales!$H$12+parametros_manuales!$E$20*(datos_base!$F$3+IF(parametros_manuales!$H$20="Todos",datos_base!$F$10,0))*parametros_manuales!$H$100+parametros_manuales!$E$20*(datos_base!$F$19+IF(parametros_manuales!$H$20="Todos",datos_base!$F$24,0))*parametros_manuales!$H$13+parametros_manuales!$F$20*(datos_base!$F$4+IF(parametros_manuales!$H$20="Todos",datos_base!$F$11,0))*parametros_manuales!$H$105+parametros_manuales!$F$20*(datos_base!$F$20+IF(parametros_manuales!$H$20="Todos",datos_base!$F$25,0))*parametros_manuales!$H$14+parametros_manuales!$G$20*(datos_base!$F$5+IF(parametros_manuales!$H$20="Todos",datos_base!$F$12,0))*parametros_manuales!$H$110+parametros_manuales!$G$20*(datos_base!$F$21+IF(parametros_manuales!$H$20="Todos",datos_base!$F$26,0))*parametros_manuales!$H$15)*parametros_manuales!$I$20*parametros_manuales!$J$20</f>
        <v>2082.730625432</v>
      </c>
      <c r="I111" s="9" t="n">
        <f aca="false">(parametros_manuales!$D$20*(datos_base!$F$2+IF(parametros_manuales!$H$20="Todos",datos_base!$F$9,0))*parametros_manuales!$I$95+parametros_manuales!$D$20*(datos_base!$F$18+IF(parametros_manuales!$H$20="Todos",datos_base!$F$23,0))*parametros_manuales!$I$12+parametros_manuales!$E$20*(datos_base!$F$3+IF(parametros_manuales!$H$20="Todos",datos_base!$F$10,0))*parametros_manuales!$I$100+parametros_manuales!$E$20*(datos_base!$F$19+IF(parametros_manuales!$H$20="Todos",datos_base!$F$24,0))*parametros_manuales!$I$13+parametros_manuales!$F$20*(datos_base!$F$4+IF(parametros_manuales!$H$20="Todos",datos_base!$F$11,0))*parametros_manuales!$I$105+parametros_manuales!$F$20*(datos_base!$F$20+IF(parametros_manuales!$H$20="Todos",datos_base!$F$25,0))*parametros_manuales!$I$14+parametros_manuales!$G$20*(datos_base!$F$5+IF(parametros_manuales!$H$20="Todos",datos_base!$F$12,0))*parametros_manuales!$I$110+parametros_manuales!$G$20*(datos_base!$F$21+IF(parametros_manuales!$H$20="Todos",datos_base!$F$26,0))*parametros_manuales!$I$15)*parametros_manuales!$I$20*parametros_manuales!$J$20</f>
        <v>2082.730625432</v>
      </c>
      <c r="J111" s="9" t="n">
        <f aca="false">(parametros_manuales!$D$20*(datos_base!$F$2+IF(parametros_manuales!$H$20="Todos",datos_base!$F$9,0))*parametros_manuales!$J$95+parametros_manuales!$D$20*(datos_base!$F$18+IF(parametros_manuales!$H$20="Todos",datos_base!$F$23,0))*parametros_manuales!$J$12+parametros_manuales!$E$20*(datos_base!$F$3+IF(parametros_manuales!$H$20="Todos",datos_base!$F$10,0))*parametros_manuales!$J$100+parametros_manuales!$E$20*(datos_base!$F$19+IF(parametros_manuales!$H$20="Todos",datos_base!$F$24,0))*parametros_manuales!$J$13+parametros_manuales!$F$20*(datos_base!$F$4+IF(parametros_manuales!$H$20="Todos",datos_base!$F$11,0))*parametros_manuales!$J$105+parametros_manuales!$F$20*(datos_base!$F$20+IF(parametros_manuales!$H$20="Todos",datos_base!$F$25,0))*parametros_manuales!$J$14+parametros_manuales!$G$20*(datos_base!$F$5+IF(parametros_manuales!$H$20="Todos",datos_base!$F$12,0))*parametros_manuales!$J$110+parametros_manuales!$G$20*(datos_base!$F$21+IF(parametros_manuales!$H$20="Todos",datos_base!$F$26,0))*parametros_manuales!$J$15)*parametros_manuales!$I$20*parametros_manuales!$J$20</f>
        <v>2082.730625432</v>
      </c>
      <c r="K111" s="9" t="n">
        <f aca="false">(parametros_manuales!$D$20*(datos_base!$F$2+IF(parametros_manuales!$H$20="Todos",datos_base!$F$9,0))*parametros_manuales!$K$95+parametros_manuales!$D$20*(datos_base!$F$18+IF(parametros_manuales!$H$20="Todos",datos_base!$F$23,0))*parametros_manuales!$K$12+parametros_manuales!$E$20*(datos_base!$F$3+IF(parametros_manuales!$H$20="Todos",datos_base!$F$10,0))*parametros_manuales!$K$100+parametros_manuales!$E$20*(datos_base!$F$19+IF(parametros_manuales!$H$20="Todos",datos_base!$F$24,0))*parametros_manuales!$K$13+parametros_manuales!$F$20*(datos_base!$F$4+IF(parametros_manuales!$H$20="Todos",datos_base!$F$11,0))*parametros_manuales!$K$105+parametros_manuales!$F$20*(datos_base!$F$20+IF(parametros_manuales!$H$20="Todos",datos_base!$F$25,0))*parametros_manuales!$K$14+parametros_manuales!$G$20*(datos_base!$F$5+IF(parametros_manuales!$H$20="Todos",datos_base!$F$12,0))*parametros_manuales!$K$110+parametros_manuales!$G$20*(datos_base!$F$21+IF(parametros_manuales!$H$20="Todos",datos_base!$F$26,0))*parametros_manuales!$K$15)*parametros_manuales!$I$20*parametros_manuales!$J$20</f>
        <v>2210.4784895215</v>
      </c>
      <c r="L111" s="9" t="n">
        <f aca="false">(parametros_manuales!$D$20*(datos_base!$F$2+IF(parametros_manuales!$H$20="Todos",datos_base!$F$9,0))*parametros_manuales!$L$95+parametros_manuales!$D$20*(datos_base!$F$18+IF(parametros_manuales!$H$20="Todos",datos_base!$F$23,0))*parametros_manuales!$L$12+parametros_manuales!$E$20*(datos_base!$F$3+IF(parametros_manuales!$H$20="Todos",datos_base!$F$10,0))*parametros_manuales!$L$100+parametros_manuales!$E$20*(datos_base!$F$19+IF(parametros_manuales!$H$20="Todos",datos_base!$F$24,0))*parametros_manuales!$L$13+parametros_manuales!$F$20*(datos_base!$F$4+IF(parametros_manuales!$H$20="Todos",datos_base!$F$11,0))*parametros_manuales!$L$105+parametros_manuales!$F$20*(datos_base!$F$20+IF(parametros_manuales!$H$20="Todos",datos_base!$F$25,0))*parametros_manuales!$L$14+parametros_manuales!$G$20*(datos_base!$F$5+IF(parametros_manuales!$H$20="Todos",datos_base!$F$12,0))*parametros_manuales!$L$110+parametros_manuales!$G$20*(datos_base!$F$21+IF(parametros_manuales!$H$20="Todos",datos_base!$F$26,0))*parametros_manuales!$L$15)*parametros_manuales!$I$20*parametros_manuales!$J$20</f>
        <v>2338.226353611</v>
      </c>
      <c r="M111" s="9" t="n">
        <f aca="false">(parametros_manuales!$D$20*(datos_base!$F$2+IF(parametros_manuales!$H$20="Todos",datos_base!$F$9,0))*parametros_manuales!$M$95+parametros_manuales!$D$20*(datos_base!$F$18+IF(parametros_manuales!$H$20="Todos",datos_base!$F$23,0))*parametros_manuales!$M$12+parametros_manuales!$E$20*(datos_base!$F$3+IF(parametros_manuales!$H$20="Todos",datos_base!$F$10,0))*parametros_manuales!$M$100+parametros_manuales!$E$20*(datos_base!$F$19+IF(parametros_manuales!$H$20="Todos",datos_base!$F$24,0))*parametros_manuales!$M$13+parametros_manuales!$F$20*(datos_base!$F$4+IF(parametros_manuales!$H$20="Todos",datos_base!$F$11,0))*parametros_manuales!$M$105+parametros_manuales!$F$20*(datos_base!$F$20+IF(parametros_manuales!$H$20="Todos",datos_base!$F$25,0))*parametros_manuales!$M$14+parametros_manuales!$G$20*(datos_base!$F$5+IF(parametros_manuales!$H$20="Todos",datos_base!$F$12,0))*parametros_manuales!$M$110+parametros_manuales!$G$20*(datos_base!$F$21+IF(parametros_manuales!$H$20="Todos",datos_base!$F$26,0))*parametros_manuales!$M$15)*parametros_manuales!$I$20*parametros_manuales!$J$20</f>
        <v>2347.917553611</v>
      </c>
      <c r="N111" s="9" t="n">
        <f aca="false">SUM(B111:M111)</f>
        <v>26034.1328179</v>
      </c>
      <c r="O111" s="9" t="n">
        <f aca="false">MAX(B111:M111)</f>
        <v>2347.917553611</v>
      </c>
      <c r="P111" s="44" t="n">
        <f aca="false">O111/(parametros_manuales!$B$7)</f>
        <v>15.65278369074</v>
      </c>
      <c r="Q111" s="8" t="str">
        <f aca="false">IF(O111=0,"-",INDEX($B$109:$M$109,MATCH(O111,B111:M111,0)))</f>
        <v>Dic</v>
      </c>
    </row>
    <row r="112" customFormat="false" ht="14.25" hidden="false" customHeight="true" outlineLevel="0" collapsed="false">
      <c r="A112" s="8" t="str">
        <f aca="false">parametros_manuales!$B$21</f>
        <v>Corte de tubo — 1 kg</v>
      </c>
      <c r="B112" s="9" t="n">
        <f aca="false">(parametros_manuales!$D$21*(datos_base!$F$2+IF(parametros_manuales!$H$21="Todos",datos_base!$F$9,0))*parametros_manuales!$B$95+parametros_manuales!$D$21*(datos_base!$F$18+IF(parametros_manuales!$H$21="Todos",datos_base!$F$23,0))*parametros_manuales!$B$12+parametros_manuales!$E$21*(datos_base!$F$3+IF(parametros_manuales!$H$21="Todos",datos_base!$F$10,0))*parametros_manuales!$B$100+parametros_manuales!$E$21*(datos_base!$F$19+IF(parametros_manuales!$H$21="Todos",datos_base!$F$24,0))*parametros_manuales!$B$13+parametros_manuales!$F$21*(datos_base!$F$4+IF(parametros_manuales!$H$21="Todos",datos_base!$F$11,0))*parametros_manuales!$B$105+parametros_manuales!$F$21*(datos_base!$F$20+IF(parametros_manuales!$H$21="Todos",datos_base!$F$25,0))*parametros_manuales!$B$14+parametros_manuales!$G$21*(datos_base!$F$5+IF(parametros_manuales!$H$21="Todos",datos_base!$F$12,0))*parametros_manuales!$B$110+parametros_manuales!$G$21*(datos_base!$F$21+IF(parametros_manuales!$H$21="Todos",datos_base!$F$26,0))*parametros_manuales!$B$15)*parametros_manuales!$I$21*parametros_manuales!$J$21</f>
        <v>5590.3889439</v>
      </c>
      <c r="C112" s="9" t="n">
        <f aca="false">(parametros_manuales!$D$21*(datos_base!$F$2+IF(parametros_manuales!$H$21="Todos",datos_base!$F$9,0))*parametros_manuales!$C$95+parametros_manuales!$D$21*(datos_base!$F$18+IF(parametros_manuales!$H$21="Todos",datos_base!$F$23,0))*parametros_manuales!$C$12+parametros_manuales!$E$21*(datos_base!$F$3+IF(parametros_manuales!$H$21="Todos",datos_base!$F$10,0))*parametros_manuales!$C$100+parametros_manuales!$E$21*(datos_base!$F$19+IF(parametros_manuales!$H$21="Todos",datos_base!$F$24,0))*parametros_manuales!$C$13+parametros_manuales!$F$21*(datos_base!$F$4+IF(parametros_manuales!$H$21="Todos",datos_base!$F$11,0))*parametros_manuales!$C$105+parametros_manuales!$F$21*(datos_base!$F$20+IF(parametros_manuales!$H$21="Todos",datos_base!$F$25,0))*parametros_manuales!$C$14+parametros_manuales!$G$21*(datos_base!$F$5+IF(parametros_manuales!$H$21="Todos",datos_base!$F$12,0))*parametros_manuales!$C$110+parametros_manuales!$G$21*(datos_base!$F$21+IF(parametros_manuales!$H$21="Todos",datos_base!$F$26,0))*parametros_manuales!$C$15)*parametros_manuales!$I$21*parametros_manuales!$J$21</f>
        <v>5590.3889439</v>
      </c>
      <c r="D112" s="9" t="n">
        <f aca="false">(parametros_manuales!$D$21*(datos_base!$F$2+IF(parametros_manuales!$H$21="Todos",datos_base!$F$9,0))*parametros_manuales!$D$95+parametros_manuales!$D$21*(datos_base!$F$18+IF(parametros_manuales!$H$21="Todos",datos_base!$F$23,0))*parametros_manuales!$D$12+parametros_manuales!$E$21*(datos_base!$F$3+IF(parametros_manuales!$H$21="Todos",datos_base!$F$10,0))*parametros_manuales!$D$100+parametros_manuales!$E$21*(datos_base!$F$19+IF(parametros_manuales!$H$21="Todos",datos_base!$F$24,0))*parametros_manuales!$D$13+parametros_manuales!$F$21*(datos_base!$F$4+IF(parametros_manuales!$H$21="Todos",datos_base!$F$11,0))*parametros_manuales!$D$105+parametros_manuales!$F$21*(datos_base!$F$20+IF(parametros_manuales!$H$21="Todos",datos_base!$F$25,0))*parametros_manuales!$D$14+parametros_manuales!$G$21*(datos_base!$F$5+IF(parametros_manuales!$H$21="Todos",datos_base!$F$12,0))*parametros_manuales!$D$110+parametros_manuales!$G$21*(datos_base!$F$21+IF(parametros_manuales!$H$21="Todos",datos_base!$F$26,0))*parametros_manuales!$D$15)*parametros_manuales!$I$21*parametros_manuales!$J$21</f>
        <v>4969.2346168</v>
      </c>
      <c r="E112" s="9" t="n">
        <f aca="false">(parametros_manuales!$D$21*(datos_base!$F$2+IF(parametros_manuales!$H$21="Todos",datos_base!$F$9,0))*parametros_manuales!$E$95+parametros_manuales!$D$21*(datos_base!$F$18+IF(parametros_manuales!$H$21="Todos",datos_base!$F$23,0))*parametros_manuales!$E$12+parametros_manuales!$E$21*(datos_base!$F$3+IF(parametros_manuales!$H$21="Todos",datos_base!$F$10,0))*parametros_manuales!$E$100+parametros_manuales!$E$21*(datos_base!$F$19+IF(parametros_manuales!$H$21="Todos",datos_base!$F$24,0))*parametros_manuales!$E$13+parametros_manuales!$F$21*(datos_base!$F$4+IF(parametros_manuales!$H$21="Todos",datos_base!$F$11,0))*parametros_manuales!$E$105+parametros_manuales!$F$21*(datos_base!$F$20+IF(parametros_manuales!$H$21="Todos",datos_base!$F$25,0))*parametros_manuales!$E$14+parametros_manuales!$G$21*(datos_base!$F$5+IF(parametros_manuales!$H$21="Todos",datos_base!$F$12,0))*parametros_manuales!$E$110+parametros_manuales!$G$21*(datos_base!$F$21+IF(parametros_manuales!$H$21="Todos",datos_base!$F$26,0))*parametros_manuales!$E$15)*parametros_manuales!$I$21*parametros_manuales!$J$21</f>
        <v>4658.65745325</v>
      </c>
      <c r="F112" s="9" t="n">
        <f aca="false">(parametros_manuales!$D$21*(datos_base!$F$2+IF(parametros_manuales!$H$21="Todos",datos_base!$F$9,0))*parametros_manuales!$F$95+parametros_manuales!$D$21*(datos_base!$F$18+IF(parametros_manuales!$H$21="Todos",datos_base!$F$23,0))*parametros_manuales!$F$12+parametros_manuales!$E$21*(datos_base!$F$3+IF(parametros_manuales!$H$21="Todos",datos_base!$F$10,0))*parametros_manuales!$F$100+parametros_manuales!$E$21*(datos_base!$F$19+IF(parametros_manuales!$H$21="Todos",datos_base!$F$24,0))*parametros_manuales!$F$13+parametros_manuales!$F$21*(datos_base!$F$4+IF(parametros_manuales!$H$21="Todos",datos_base!$F$11,0))*parametros_manuales!$F$105+parametros_manuales!$F$21*(datos_base!$F$20+IF(parametros_manuales!$H$21="Todos",datos_base!$F$25,0))*parametros_manuales!$F$14+parametros_manuales!$G$21*(datos_base!$F$5+IF(parametros_manuales!$H$21="Todos",datos_base!$F$12,0))*parametros_manuales!$F$110+parametros_manuales!$G$21*(datos_base!$F$21+IF(parametros_manuales!$H$21="Todos",datos_base!$F$26,0))*parametros_manuales!$F$15)*parametros_manuales!$I$21*parametros_manuales!$J$21</f>
        <v>4348.0802897</v>
      </c>
      <c r="G112" s="9" t="n">
        <f aca="false">(parametros_manuales!$D$21*(datos_base!$F$2+IF(parametros_manuales!$H$21="Todos",datos_base!$F$9,0))*parametros_manuales!$G$95+parametros_manuales!$D$21*(datos_base!$F$18+IF(parametros_manuales!$H$21="Todos",datos_base!$F$23,0))*parametros_manuales!$G$12+parametros_manuales!$E$21*(datos_base!$F$3+IF(parametros_manuales!$H$21="Todos",datos_base!$F$10,0))*parametros_manuales!$G$100+parametros_manuales!$E$21*(datos_base!$F$19+IF(parametros_manuales!$H$21="Todos",datos_base!$F$24,0))*parametros_manuales!$G$13+parametros_manuales!$F$21*(datos_base!$F$4+IF(parametros_manuales!$H$21="Todos",datos_base!$F$11,0))*parametros_manuales!$G$105+parametros_manuales!$F$21*(datos_base!$F$20+IF(parametros_manuales!$H$21="Todos",datos_base!$F$25,0))*parametros_manuales!$G$14+parametros_manuales!$G$21*(datos_base!$F$5+IF(parametros_manuales!$H$21="Todos",datos_base!$F$12,0))*parametros_manuales!$G$110+parametros_manuales!$G$21*(datos_base!$F$21+IF(parametros_manuales!$H$21="Todos",datos_base!$F$26,0))*parametros_manuales!$G$15)*parametros_manuales!$I$21*parametros_manuales!$J$21</f>
        <v>4348.0802897</v>
      </c>
      <c r="H112" s="9" t="n">
        <f aca="false">(parametros_manuales!$D$21*(datos_base!$F$2+IF(parametros_manuales!$H$21="Todos",datos_base!$F$9,0))*parametros_manuales!$H$95+parametros_manuales!$D$21*(datos_base!$F$18+IF(parametros_manuales!$H$21="Todos",datos_base!$F$23,0))*parametros_manuales!$H$12+parametros_manuales!$E$21*(datos_base!$F$3+IF(parametros_manuales!$H$21="Todos",datos_base!$F$10,0))*parametros_manuales!$H$100+parametros_manuales!$E$21*(datos_base!$F$19+IF(parametros_manuales!$H$21="Todos",datos_base!$F$24,0))*parametros_manuales!$H$13+parametros_manuales!$F$21*(datos_base!$F$4+IF(parametros_manuales!$H$21="Todos",datos_base!$F$11,0))*parametros_manuales!$H$105+parametros_manuales!$F$21*(datos_base!$F$20+IF(parametros_manuales!$H$21="Todos",datos_base!$F$25,0))*parametros_manuales!$H$14+parametros_manuales!$G$21*(datos_base!$F$5+IF(parametros_manuales!$H$21="Todos",datos_base!$F$12,0))*parametros_manuales!$H$110+parametros_manuales!$G$21*(datos_base!$F$21+IF(parametros_manuales!$H$21="Todos",datos_base!$F$26,0))*parametros_manuales!$H$15)*parametros_manuales!$I$21*parametros_manuales!$J$21</f>
        <v>4658.65745325</v>
      </c>
      <c r="I112" s="9" t="n">
        <f aca="false">(parametros_manuales!$D$21*(datos_base!$F$2+IF(parametros_manuales!$H$21="Todos",datos_base!$F$9,0))*parametros_manuales!$I$95+parametros_manuales!$D$21*(datos_base!$F$18+IF(parametros_manuales!$H$21="Todos",datos_base!$F$23,0))*parametros_manuales!$I$12+parametros_manuales!$E$21*(datos_base!$F$3+IF(parametros_manuales!$H$21="Todos",datos_base!$F$10,0))*parametros_manuales!$I$100+parametros_manuales!$E$21*(datos_base!$F$19+IF(parametros_manuales!$H$21="Todos",datos_base!$F$24,0))*parametros_manuales!$I$13+parametros_manuales!$F$21*(datos_base!$F$4+IF(parametros_manuales!$H$21="Todos",datos_base!$F$11,0))*parametros_manuales!$I$105+parametros_manuales!$F$21*(datos_base!$F$20+IF(parametros_manuales!$H$21="Todos",datos_base!$F$25,0))*parametros_manuales!$I$14+parametros_manuales!$G$21*(datos_base!$F$5+IF(parametros_manuales!$H$21="Todos",datos_base!$F$12,0))*parametros_manuales!$I$110+parametros_manuales!$G$21*(datos_base!$F$21+IF(parametros_manuales!$H$21="Todos",datos_base!$F$26,0))*parametros_manuales!$I$15)*parametros_manuales!$I$21*parametros_manuales!$J$21</f>
        <v>5590.3889439</v>
      </c>
      <c r="J112" s="9" t="n">
        <f aca="false">(parametros_manuales!$D$21*(datos_base!$F$2+IF(parametros_manuales!$H$21="Todos",datos_base!$F$9,0))*parametros_manuales!$J$95+parametros_manuales!$D$21*(datos_base!$F$18+IF(parametros_manuales!$H$21="Todos",datos_base!$F$23,0))*parametros_manuales!$J$12+parametros_manuales!$E$21*(datos_base!$F$3+IF(parametros_manuales!$H$21="Todos",datos_base!$F$10,0))*parametros_manuales!$J$100+parametros_manuales!$E$21*(datos_base!$F$19+IF(parametros_manuales!$H$21="Todos",datos_base!$F$24,0))*parametros_manuales!$J$13+parametros_manuales!$F$21*(datos_base!$F$4+IF(parametros_manuales!$H$21="Todos",datos_base!$F$11,0))*parametros_manuales!$J$105+parametros_manuales!$F$21*(datos_base!$F$20+IF(parametros_manuales!$H$21="Todos",datos_base!$F$25,0))*parametros_manuales!$J$14+parametros_manuales!$G$21*(datos_base!$F$5+IF(parametros_manuales!$H$21="Todos",datos_base!$F$12,0))*parametros_manuales!$J$110+parametros_manuales!$G$21*(datos_base!$F$21+IF(parametros_manuales!$H$21="Todos",datos_base!$F$26,0))*parametros_manuales!$J$15)*parametros_manuales!$I$21*parametros_manuales!$J$21</f>
        <v>5590.3889439</v>
      </c>
      <c r="K112" s="9" t="n">
        <f aca="false">(parametros_manuales!$D$21*(datos_base!$F$2+IF(parametros_manuales!$H$21="Todos",datos_base!$F$9,0))*parametros_manuales!$K$95+parametros_manuales!$D$21*(datos_base!$F$18+IF(parametros_manuales!$H$21="Todos",datos_base!$F$23,0))*parametros_manuales!$K$12+parametros_manuales!$E$21*(datos_base!$F$3+IF(parametros_manuales!$H$21="Todos",datos_base!$F$10,0))*parametros_manuales!$K$100+parametros_manuales!$E$21*(datos_base!$F$19+IF(parametros_manuales!$H$21="Todos",datos_base!$F$24,0))*parametros_manuales!$K$13+parametros_manuales!$F$21*(datos_base!$F$4+IF(parametros_manuales!$H$21="Todos",datos_base!$F$11,0))*parametros_manuales!$K$105+parametros_manuales!$F$21*(datos_base!$F$20+IF(parametros_manuales!$H$21="Todos",datos_base!$F$25,0))*parametros_manuales!$K$14+parametros_manuales!$G$21*(datos_base!$F$5+IF(parametros_manuales!$H$21="Todos",datos_base!$F$12,0))*parametros_manuales!$K$110+parametros_manuales!$G$21*(datos_base!$F$21+IF(parametros_manuales!$H$21="Todos",datos_base!$F$26,0))*parametros_manuales!$K$15)*parametros_manuales!$I$21*parametros_manuales!$J$21</f>
        <v>5590.3889439</v>
      </c>
      <c r="L112" s="9" t="n">
        <f aca="false">(parametros_manuales!$D$21*(datos_base!$F$2+IF(parametros_manuales!$H$21="Todos",datos_base!$F$9,0))*parametros_manuales!$L$95+parametros_manuales!$D$21*(datos_base!$F$18+IF(parametros_manuales!$H$21="Todos",datos_base!$F$23,0))*parametros_manuales!$L$12+parametros_manuales!$E$21*(datos_base!$F$3+IF(parametros_manuales!$H$21="Todos",datos_base!$F$10,0))*parametros_manuales!$L$100+parametros_manuales!$E$21*(datos_base!$F$19+IF(parametros_manuales!$H$21="Todos",datos_base!$F$24,0))*parametros_manuales!$L$13+parametros_manuales!$F$21*(datos_base!$F$4+IF(parametros_manuales!$H$21="Todos",datos_base!$F$11,0))*parametros_manuales!$L$105+parametros_manuales!$F$21*(datos_base!$F$20+IF(parametros_manuales!$H$21="Todos",datos_base!$F$25,0))*parametros_manuales!$L$14+parametros_manuales!$G$21*(datos_base!$F$5+IF(parametros_manuales!$H$21="Todos",datos_base!$F$12,0))*parametros_manuales!$L$110+parametros_manuales!$G$21*(datos_base!$F$21+IF(parametros_manuales!$H$21="Todos",datos_base!$F$26,0))*parametros_manuales!$L$15)*parametros_manuales!$I$21*parametros_manuales!$J$21</f>
        <v>5590.3889439</v>
      </c>
      <c r="M112" s="9" t="n">
        <f aca="false">(parametros_manuales!$D$21*(datos_base!$F$2+IF(parametros_manuales!$H$21="Todos",datos_base!$F$9,0))*parametros_manuales!$M$95+parametros_manuales!$D$21*(datos_base!$F$18+IF(parametros_manuales!$H$21="Todos",datos_base!$F$23,0))*parametros_manuales!$M$12+parametros_manuales!$E$21*(datos_base!$F$3+IF(parametros_manuales!$H$21="Todos",datos_base!$F$10,0))*parametros_manuales!$M$100+parametros_manuales!$E$21*(datos_base!$F$19+IF(parametros_manuales!$H$21="Todos",datos_base!$F$24,0))*parametros_manuales!$M$13+parametros_manuales!$F$21*(datos_base!$F$4+IF(parametros_manuales!$H$21="Todos",datos_base!$F$11,0))*parametros_manuales!$M$105+parametros_manuales!$F$21*(datos_base!$F$20+IF(parametros_manuales!$H$21="Todos",datos_base!$F$25,0))*parametros_manuales!$M$14+parametros_manuales!$G$21*(datos_base!$F$5+IF(parametros_manuales!$H$21="Todos",datos_base!$F$12,0))*parametros_manuales!$M$110+parametros_manuales!$G$21*(datos_base!$F$21+IF(parametros_manuales!$H$21="Todos",datos_base!$F$26,0))*parametros_manuales!$M$15)*parametros_manuales!$I$21*parametros_manuales!$J$21</f>
        <v>5590.3889439</v>
      </c>
      <c r="N112" s="9" t="n">
        <f aca="false">SUM(B112:M112)</f>
        <v>62115.43271</v>
      </c>
      <c r="O112" s="9" t="n">
        <f aca="false">MAX(B112:M112)</f>
        <v>5590.3889439</v>
      </c>
      <c r="P112" s="44" t="n">
        <f aca="false">O112/(parametros_manuales!$B$7)</f>
        <v>37.269259626</v>
      </c>
      <c r="Q112" s="8" t="str">
        <f aca="false">IF(O112=0,"-",INDEX($B$109:$M$109,MATCH(O112,B112:M112,0)))</f>
        <v>Ene</v>
      </c>
    </row>
    <row r="113" customFormat="false" ht="14.25" hidden="false" customHeight="true" outlineLevel="0" collapsed="false">
      <c r="A113" s="8" t="str">
        <f aca="false">parametros_manuales!$B$22</f>
        <v>Corte de disco y embutido (cúpula y fondo)</v>
      </c>
      <c r="B113" s="9" t="n">
        <f aca="false">(parametros_manuales!$D$22*(datos_base!$F$2+IF(parametros_manuales!$H$22="Todos",datos_base!$F$9,0))*parametros_manuales!$B$95+parametros_manuales!$D$22*(datos_base!$F$18+IF(parametros_manuales!$H$22="Todos",datos_base!$F$23,0))*parametros_manuales!$B$12+parametros_manuales!$E$22*(datos_base!$F$3+IF(parametros_manuales!$H$22="Todos",datos_base!$F$10,0))*parametros_manuales!$B$100+parametros_manuales!$E$22*(datos_base!$F$19+IF(parametros_manuales!$H$22="Todos",datos_base!$F$24,0))*parametros_manuales!$B$13+parametros_manuales!$F$22*(datos_base!$F$4+IF(parametros_manuales!$H$22="Todos",datos_base!$F$11,0))*parametros_manuales!$B$105+parametros_manuales!$F$22*(datos_base!$F$20+IF(parametros_manuales!$H$22="Todos",datos_base!$F$25,0))*parametros_manuales!$B$14+parametros_manuales!$G$22*(datos_base!$F$5+IF(parametros_manuales!$H$22="Todos",datos_base!$F$12,0))*parametros_manuales!$B$110+parametros_manuales!$G$22*(datos_base!$F$21+IF(parametros_manuales!$H$22="Todos",datos_base!$F$26,0))*parametros_manuales!$B$15)*parametros_manuales!$I$22*parametros_manuales!$J$22</f>
        <v>15871.767395022</v>
      </c>
      <c r="C113" s="9" t="n">
        <f aca="false">(parametros_manuales!$D$22*(datos_base!$F$2+IF(parametros_manuales!$H$22="Todos",datos_base!$F$9,0))*parametros_manuales!$C$95+parametros_manuales!$D$22*(datos_base!$F$18+IF(parametros_manuales!$H$22="Todos",datos_base!$F$23,0))*parametros_manuales!$C$12+parametros_manuales!$E$22*(datos_base!$F$3+IF(parametros_manuales!$H$22="Todos",datos_base!$F$10,0))*parametros_manuales!$C$100+parametros_manuales!$E$22*(datos_base!$F$19+IF(parametros_manuales!$H$22="Todos",datos_base!$F$24,0))*parametros_manuales!$C$13+parametros_manuales!$F$22*(datos_base!$F$4+IF(parametros_manuales!$H$22="Todos",datos_base!$F$11,0))*parametros_manuales!$C$105+parametros_manuales!$F$22*(datos_base!$F$20+IF(parametros_manuales!$H$22="Todos",datos_base!$F$25,0))*parametros_manuales!$C$14+parametros_manuales!$G$22*(datos_base!$F$5+IF(parametros_manuales!$H$22="Todos",datos_base!$F$12,0))*parametros_manuales!$C$110+parametros_manuales!$G$22*(datos_base!$F$21+IF(parametros_manuales!$H$22="Todos",datos_base!$F$26,0))*parametros_manuales!$C$15)*parametros_manuales!$I$22*parametros_manuales!$J$22</f>
        <v>15346.239138664</v>
      </c>
      <c r="D113" s="9" t="n">
        <f aca="false">(parametros_manuales!$D$22*(datos_base!$F$2+IF(parametros_manuales!$H$22="Todos",datos_base!$F$9,0))*parametros_manuales!$D$95+parametros_manuales!$D$22*(datos_base!$F$18+IF(parametros_manuales!$H$22="Todos",datos_base!$F$23,0))*parametros_manuales!$D$12+parametros_manuales!$E$22*(datos_base!$F$3+IF(parametros_manuales!$H$22="Todos",datos_base!$F$10,0))*parametros_manuales!$D$100+parametros_manuales!$E$22*(datos_base!$F$19+IF(parametros_manuales!$H$22="Todos",datos_base!$F$24,0))*parametros_manuales!$D$13+parametros_manuales!$F$22*(datos_base!$F$4+IF(parametros_manuales!$H$22="Todos",datos_base!$F$11,0))*parametros_manuales!$D$105+parametros_manuales!$F$22*(datos_base!$F$20+IF(parametros_manuales!$H$22="Todos",datos_base!$F$25,0))*parametros_manuales!$D$14+parametros_manuales!$G$22*(datos_base!$F$5+IF(parametros_manuales!$H$22="Todos",datos_base!$F$12,0))*parametros_manuales!$D$110+parametros_manuales!$G$22*(datos_base!$F$21+IF(parametros_manuales!$H$22="Todos",datos_base!$F$26,0))*parametros_manuales!$D$15)*parametros_manuales!$I$22*parametros_manuales!$J$22</f>
        <v>14364.271812643</v>
      </c>
      <c r="E113" s="9" t="n">
        <f aca="false">(parametros_manuales!$D$22*(datos_base!$F$2+IF(parametros_manuales!$H$22="Todos",datos_base!$F$9,0))*parametros_manuales!$E$95+parametros_manuales!$D$22*(datos_base!$F$18+IF(parametros_manuales!$H$22="Todos",datos_base!$F$23,0))*parametros_manuales!$E$12+parametros_manuales!$E$22*(datos_base!$F$3+IF(parametros_manuales!$H$22="Todos",datos_base!$F$10,0))*parametros_manuales!$E$100+parametros_manuales!$E$22*(datos_base!$F$19+IF(parametros_manuales!$H$22="Todos",datos_base!$F$24,0))*parametros_manuales!$E$13+parametros_manuales!$F$22*(datos_base!$F$4+IF(parametros_manuales!$H$22="Todos",datos_base!$F$11,0))*parametros_manuales!$E$105+parametros_manuales!$F$22*(datos_base!$F$20+IF(parametros_manuales!$H$22="Todos",datos_base!$F$25,0))*parametros_manuales!$E$14+parametros_manuales!$G$22*(datos_base!$F$5+IF(parametros_manuales!$H$22="Todos",datos_base!$F$12,0))*parametros_manuales!$E$110+parametros_manuales!$G$22*(datos_base!$F$21+IF(parametros_manuales!$H$22="Todos",datos_base!$F$26,0))*parametros_manuales!$E$15)*parametros_manuales!$I$22*parametros_manuales!$J$22</f>
        <v>13743.117485543</v>
      </c>
      <c r="F113" s="9" t="n">
        <f aca="false">(parametros_manuales!$D$22*(datos_base!$F$2+IF(parametros_manuales!$H$22="Todos",datos_base!$F$9,0))*parametros_manuales!$F$95+parametros_manuales!$D$22*(datos_base!$F$18+IF(parametros_manuales!$H$22="Todos",datos_base!$F$23,0))*parametros_manuales!$F$12+parametros_manuales!$E$22*(datos_base!$F$3+IF(parametros_manuales!$H$22="Todos",datos_base!$F$10,0))*parametros_manuales!$F$100+parametros_manuales!$E$22*(datos_base!$F$19+IF(parametros_manuales!$H$22="Todos",datos_base!$F$24,0))*parametros_manuales!$F$13+parametros_manuales!$F$22*(datos_base!$F$4+IF(parametros_manuales!$H$22="Todos",datos_base!$F$11,0))*parametros_manuales!$F$105+parametros_manuales!$F$22*(datos_base!$F$20+IF(parametros_manuales!$H$22="Todos",datos_base!$F$25,0))*parametros_manuales!$F$14+parametros_manuales!$G$22*(datos_base!$F$5+IF(parametros_manuales!$H$22="Todos",datos_base!$F$12,0))*parametros_manuales!$F$110+parametros_manuales!$G$22*(datos_base!$F$21+IF(parametros_manuales!$H$22="Todos",datos_base!$F$26,0))*parametros_manuales!$F$15)*parametros_manuales!$I$22*parametros_manuales!$J$22</f>
        <v>12861.621830264</v>
      </c>
      <c r="G113" s="9" t="n">
        <f aca="false">(parametros_manuales!$D$22*(datos_base!$F$2+IF(parametros_manuales!$H$22="Todos",datos_base!$F$9,0))*parametros_manuales!$G$95+parametros_manuales!$D$22*(datos_base!$F$18+IF(parametros_manuales!$H$22="Todos",datos_base!$F$23,0))*parametros_manuales!$G$12+parametros_manuales!$E$22*(datos_base!$F$3+IF(parametros_manuales!$H$22="Todos",datos_base!$F$10,0))*parametros_manuales!$G$100+parametros_manuales!$E$22*(datos_base!$F$19+IF(parametros_manuales!$H$22="Todos",datos_base!$F$24,0))*parametros_manuales!$G$13+parametros_manuales!$F$22*(datos_base!$F$4+IF(parametros_manuales!$H$22="Todos",datos_base!$F$11,0))*parametros_manuales!$G$105+parametros_manuales!$F$22*(datos_base!$F$20+IF(parametros_manuales!$H$22="Todos",datos_base!$F$25,0))*parametros_manuales!$G$14+parametros_manuales!$G$22*(datos_base!$F$5+IF(parametros_manuales!$H$22="Todos",datos_base!$F$12,0))*parametros_manuales!$G$110+parametros_manuales!$G$22*(datos_base!$F$21+IF(parametros_manuales!$H$22="Todos",datos_base!$F$26,0))*parametros_manuales!$G$15)*parametros_manuales!$I$22*parametros_manuales!$J$22</f>
        <v>12601.280502085</v>
      </c>
      <c r="H113" s="9" t="n">
        <f aca="false">(parametros_manuales!$D$22*(datos_base!$F$2+IF(parametros_manuales!$H$22="Todos",datos_base!$F$9,0))*parametros_manuales!$H$95+parametros_manuales!$D$22*(datos_base!$F$18+IF(parametros_manuales!$H$22="Todos",datos_base!$F$23,0))*parametros_manuales!$H$12+parametros_manuales!$E$22*(datos_base!$F$3+IF(parametros_manuales!$H$22="Todos",datos_base!$F$10,0))*parametros_manuales!$H$100+parametros_manuales!$E$22*(datos_base!$F$19+IF(parametros_manuales!$H$22="Todos",datos_base!$F$24,0))*parametros_manuales!$H$13+parametros_manuales!$F$22*(datos_base!$F$4+IF(parametros_manuales!$H$22="Todos",datos_base!$F$11,0))*parametros_manuales!$H$105+parametros_manuales!$F$22*(datos_base!$F$20+IF(parametros_manuales!$H$22="Todos",datos_base!$F$25,0))*parametros_manuales!$H$14+parametros_manuales!$G$22*(datos_base!$F$5+IF(parametros_manuales!$H$22="Todos",datos_base!$F$12,0))*parametros_manuales!$H$110+parametros_manuales!$G$22*(datos_base!$F$21+IF(parametros_manuales!$H$22="Todos",datos_base!$F$26,0))*parametros_manuales!$H$15)*parametros_manuales!$I$22*parametros_manuales!$J$22</f>
        <v>13482.776157364</v>
      </c>
      <c r="I113" s="9" t="n">
        <f aca="false">(parametros_manuales!$D$22*(datos_base!$F$2+IF(parametros_manuales!$H$22="Todos",datos_base!$F$9,0))*parametros_manuales!$I$95+parametros_manuales!$D$22*(datos_base!$F$18+IF(parametros_manuales!$H$22="Todos",datos_base!$F$23,0))*parametros_manuales!$I$12+parametros_manuales!$E$22*(datos_base!$F$3+IF(parametros_manuales!$H$22="Todos",datos_base!$F$10,0))*parametros_manuales!$I$100+parametros_manuales!$E$22*(datos_base!$F$19+IF(parametros_manuales!$H$22="Todos",datos_base!$F$24,0))*parametros_manuales!$I$13+parametros_manuales!$F$22*(datos_base!$F$4+IF(parametros_manuales!$H$22="Todos",datos_base!$F$11,0))*parametros_manuales!$I$105+parametros_manuales!$F$22*(datos_base!$F$20+IF(parametros_manuales!$H$22="Todos",datos_base!$F$25,0))*parametros_manuales!$I$14+parametros_manuales!$G$22*(datos_base!$F$5+IF(parametros_manuales!$H$22="Todos",datos_base!$F$12,0))*parametros_manuales!$I$110+parametros_manuales!$G$22*(datos_base!$F$21+IF(parametros_manuales!$H$22="Todos",datos_base!$F$26,0))*parametros_manuales!$I$15)*parametros_manuales!$I$22*parametros_manuales!$J$22</f>
        <v>15346.239138664</v>
      </c>
      <c r="J113" s="9" t="n">
        <f aca="false">(parametros_manuales!$D$22*(datos_base!$F$2+IF(parametros_manuales!$H$22="Todos",datos_base!$F$9,0))*parametros_manuales!$J$95+parametros_manuales!$D$22*(datos_base!$F$18+IF(parametros_manuales!$H$22="Todos",datos_base!$F$23,0))*parametros_manuales!$J$12+parametros_manuales!$E$22*(datos_base!$F$3+IF(parametros_manuales!$H$22="Todos",datos_base!$F$10,0))*parametros_manuales!$J$100+parametros_manuales!$E$22*(datos_base!$F$19+IF(parametros_manuales!$H$22="Todos",datos_base!$F$24,0))*parametros_manuales!$J$13+parametros_manuales!$F$22*(datos_base!$F$4+IF(parametros_manuales!$H$22="Todos",datos_base!$F$11,0))*parametros_manuales!$J$105+parametros_manuales!$F$22*(datos_base!$F$20+IF(parametros_manuales!$H$22="Todos",datos_base!$F$25,0))*parametros_manuales!$J$14+parametros_manuales!$G$22*(datos_base!$F$5+IF(parametros_manuales!$H$22="Todos",datos_base!$F$12,0))*parametros_manuales!$J$110+parametros_manuales!$G$22*(datos_base!$F$21+IF(parametros_manuales!$H$22="Todos",datos_base!$F$26,0))*parametros_manuales!$J$15)*parametros_manuales!$I$22*parametros_manuales!$J$22</f>
        <v>15346.239138664</v>
      </c>
      <c r="K113" s="9" t="n">
        <f aca="false">(parametros_manuales!$D$22*(datos_base!$F$2+IF(parametros_manuales!$H$22="Todos",datos_base!$F$9,0))*parametros_manuales!$K$95+parametros_manuales!$D$22*(datos_base!$F$18+IF(parametros_manuales!$H$22="Todos",datos_base!$F$23,0))*parametros_manuales!$K$12+parametros_manuales!$E$22*(datos_base!$F$3+IF(parametros_manuales!$H$22="Todos",datos_base!$F$10,0))*parametros_manuales!$K$100+parametros_manuales!$E$22*(datos_base!$F$19+IF(parametros_manuales!$H$22="Todos",datos_base!$F$24,0))*parametros_manuales!$K$13+parametros_manuales!$F$22*(datos_base!$F$4+IF(parametros_manuales!$H$22="Todos",datos_base!$F$11,0))*parametros_manuales!$K$105+parametros_manuales!$F$22*(datos_base!$F$20+IF(parametros_manuales!$H$22="Todos",datos_base!$F$25,0))*parametros_manuales!$K$14+parametros_manuales!$G$22*(datos_base!$F$5+IF(parametros_manuales!$H$22="Todos",datos_base!$F$12,0))*parametros_manuales!$K$110+parametros_manuales!$G$22*(datos_base!$F$21+IF(parametros_manuales!$H$22="Todos",datos_base!$F$26,0))*parametros_manuales!$K$15)*parametros_manuales!$I$22*parametros_manuales!$J$22</f>
        <v>15601.734866843</v>
      </c>
      <c r="L113" s="9" t="n">
        <f aca="false">(parametros_manuales!$D$22*(datos_base!$F$2+IF(parametros_manuales!$H$22="Todos",datos_base!$F$9,0))*parametros_manuales!$L$95+parametros_manuales!$D$22*(datos_base!$F$18+IF(parametros_manuales!$H$22="Todos",datos_base!$F$23,0))*parametros_manuales!$L$12+parametros_manuales!$E$22*(datos_base!$F$3+IF(parametros_manuales!$H$22="Todos",datos_base!$F$10,0))*parametros_manuales!$L$100+parametros_manuales!$E$22*(datos_base!$F$19+IF(parametros_manuales!$H$22="Todos",datos_base!$F$24,0))*parametros_manuales!$L$13+parametros_manuales!$F$22*(datos_base!$F$4+IF(parametros_manuales!$H$22="Todos",datos_base!$F$11,0))*parametros_manuales!$L$105+parametros_manuales!$F$22*(datos_base!$F$20+IF(parametros_manuales!$H$22="Todos",datos_base!$F$25,0))*parametros_manuales!$L$14+parametros_manuales!$G$22*(datos_base!$F$5+IF(parametros_manuales!$H$22="Todos",datos_base!$F$12,0))*parametros_manuales!$L$110+parametros_manuales!$G$22*(datos_base!$F$21+IF(parametros_manuales!$H$22="Todos",datos_base!$F$26,0))*parametros_manuales!$L$15)*parametros_manuales!$I$22*parametros_manuales!$J$22</f>
        <v>15857.230595022</v>
      </c>
      <c r="M113" s="9" t="n">
        <f aca="false">(parametros_manuales!$D$22*(datos_base!$F$2+IF(parametros_manuales!$H$22="Todos",datos_base!$F$9,0))*parametros_manuales!$M$95+parametros_manuales!$D$22*(datos_base!$F$18+IF(parametros_manuales!$H$22="Todos",datos_base!$F$23,0))*parametros_manuales!$M$12+parametros_manuales!$E$22*(datos_base!$F$3+IF(parametros_manuales!$H$22="Todos",datos_base!$F$10,0))*parametros_manuales!$M$100+parametros_manuales!$E$22*(datos_base!$F$19+IF(parametros_manuales!$H$22="Todos",datos_base!$F$24,0))*parametros_manuales!$M$13+parametros_manuales!$F$22*(datos_base!$F$4+IF(parametros_manuales!$H$22="Todos",datos_base!$F$11,0))*parametros_manuales!$M$105+parametros_manuales!$F$22*(datos_base!$F$20+IF(parametros_manuales!$H$22="Todos",datos_base!$F$25,0))*parametros_manuales!$M$14+parametros_manuales!$G$22*(datos_base!$F$5+IF(parametros_manuales!$H$22="Todos",datos_base!$F$12,0))*parametros_manuales!$M$110+parametros_manuales!$G$22*(datos_base!$F$21+IF(parametros_manuales!$H$22="Todos",datos_base!$F$26,0))*parametros_manuales!$M$15)*parametros_manuales!$I$22*parametros_manuales!$J$22</f>
        <v>15876.612995022</v>
      </c>
      <c r="N113" s="9" t="n">
        <f aca="false">SUM(B113:M113)</f>
        <v>176299.1310558</v>
      </c>
      <c r="O113" s="9" t="n">
        <f aca="false">MAX(B113:M113)</f>
        <v>15876.612995022</v>
      </c>
      <c r="P113" s="44" t="n">
        <f aca="false">O113/(parametros_manuales!$B$7)</f>
        <v>105.84408663348</v>
      </c>
      <c r="Q113" s="8" t="str">
        <f aca="false">IF(O113=0,"-",INDEX($B$109:$M$109,MATCH(O113,B113:M113,0)))</f>
        <v>Dic</v>
      </c>
    </row>
    <row r="114" customFormat="false" ht="14.25" hidden="false" customHeight="true" outlineLevel="0" collapsed="false">
      <c r="A114" s="8" t="str">
        <f aca="false">parametros_manuales!$B$23</f>
        <v>Preparación de cuello</v>
      </c>
      <c r="B114" s="9" t="n">
        <f aca="false">(parametros_manuales!$D$23*(datos_base!$F$2+IF(parametros_manuales!$H$23="Todos",datos_base!$F$9,0))*parametros_manuales!$B$95+parametros_manuales!$D$23*(datos_base!$F$18+IF(parametros_manuales!$H$23="Todos",datos_base!$F$23,0))*parametros_manuales!$B$12+parametros_manuales!$E$23*(datos_base!$F$3+IF(parametros_manuales!$H$23="Todos",datos_base!$F$10,0))*parametros_manuales!$B$100+parametros_manuales!$E$23*(datos_base!$F$19+IF(parametros_manuales!$H$23="Todos",datos_base!$F$24,0))*parametros_manuales!$B$13+parametros_manuales!$F$23*(datos_base!$F$4+IF(parametros_manuales!$H$23="Todos",datos_base!$F$11,0))*parametros_manuales!$B$105+parametros_manuales!$F$23*(datos_base!$F$20+IF(parametros_manuales!$H$23="Todos",datos_base!$F$25,0))*parametros_manuales!$B$14+parametros_manuales!$G$23*(datos_base!$F$5+IF(parametros_manuales!$H$23="Todos",datos_base!$F$12,0))*parametros_manuales!$B$110+parametros_manuales!$G$23*(datos_base!$F$21+IF(parametros_manuales!$H$23="Todos",datos_base!$F$26,0))*parametros_manuales!$B$15)*parametros_manuales!$I$23*parametros_manuales!$J$23</f>
        <v>7935.883697511</v>
      </c>
      <c r="C114" s="9" t="n">
        <f aca="false">(parametros_manuales!$D$23*(datos_base!$F$2+IF(parametros_manuales!$H$23="Todos",datos_base!$F$9,0))*parametros_manuales!$C$95+parametros_manuales!$D$23*(datos_base!$F$18+IF(parametros_manuales!$H$23="Todos",datos_base!$F$23,0))*parametros_manuales!$C$12+parametros_manuales!$E$23*(datos_base!$F$3+IF(parametros_manuales!$H$23="Todos",datos_base!$F$10,0))*parametros_manuales!$C$100+parametros_manuales!$E$23*(datos_base!$F$19+IF(parametros_manuales!$H$23="Todos",datos_base!$F$24,0))*parametros_manuales!$C$13+parametros_manuales!$F$23*(datos_base!$F$4+IF(parametros_manuales!$H$23="Todos",datos_base!$F$11,0))*parametros_manuales!$C$105+parametros_manuales!$F$23*(datos_base!$F$20+IF(parametros_manuales!$H$23="Todos",datos_base!$F$25,0))*parametros_manuales!$C$14+parametros_manuales!$G$23*(datos_base!$F$5+IF(parametros_manuales!$H$23="Todos",datos_base!$F$12,0))*parametros_manuales!$C$110+parametros_manuales!$G$23*(datos_base!$F$21+IF(parametros_manuales!$H$23="Todos",datos_base!$F$26,0))*parametros_manuales!$C$15)*parametros_manuales!$I$23*parametros_manuales!$J$23</f>
        <v>7673.119569332</v>
      </c>
      <c r="D114" s="9" t="n">
        <f aca="false">(parametros_manuales!$D$23*(datos_base!$F$2+IF(parametros_manuales!$H$23="Todos",datos_base!$F$9,0))*parametros_manuales!$D$95+parametros_manuales!$D$23*(datos_base!$F$18+IF(parametros_manuales!$H$23="Todos",datos_base!$F$23,0))*parametros_manuales!$D$12+parametros_manuales!$E$23*(datos_base!$F$3+IF(parametros_manuales!$H$23="Todos",datos_base!$F$10,0))*parametros_manuales!$D$100+parametros_manuales!$E$23*(datos_base!$F$19+IF(parametros_manuales!$H$23="Todos",datos_base!$F$24,0))*parametros_manuales!$D$13+parametros_manuales!$F$23*(datos_base!$F$4+IF(parametros_manuales!$H$23="Todos",datos_base!$F$11,0))*parametros_manuales!$D$105+parametros_manuales!$F$23*(datos_base!$F$20+IF(parametros_manuales!$H$23="Todos",datos_base!$F$25,0))*parametros_manuales!$D$14+parametros_manuales!$G$23*(datos_base!$F$5+IF(parametros_manuales!$H$23="Todos",datos_base!$F$12,0))*parametros_manuales!$D$110+parametros_manuales!$G$23*(datos_base!$F$21+IF(parametros_manuales!$H$23="Todos",datos_base!$F$26,0))*parametros_manuales!$D$15)*parametros_manuales!$I$23*parametros_manuales!$J$23</f>
        <v>7182.1359063215</v>
      </c>
      <c r="E114" s="9" t="n">
        <f aca="false">(parametros_manuales!$D$23*(datos_base!$F$2+IF(parametros_manuales!$H$23="Todos",datos_base!$F$9,0))*parametros_manuales!$E$95+parametros_manuales!$D$23*(datos_base!$F$18+IF(parametros_manuales!$H$23="Todos",datos_base!$F$23,0))*parametros_manuales!$E$12+parametros_manuales!$E$23*(datos_base!$F$3+IF(parametros_manuales!$H$23="Todos",datos_base!$F$10,0))*parametros_manuales!$E$100+parametros_manuales!$E$23*(datos_base!$F$19+IF(parametros_manuales!$H$23="Todos",datos_base!$F$24,0))*parametros_manuales!$E$13+parametros_manuales!$F$23*(datos_base!$F$4+IF(parametros_manuales!$H$23="Todos",datos_base!$F$11,0))*parametros_manuales!$E$105+parametros_manuales!$F$23*(datos_base!$F$20+IF(parametros_manuales!$H$23="Todos",datos_base!$F$25,0))*parametros_manuales!$E$14+parametros_manuales!$G$23*(datos_base!$F$5+IF(parametros_manuales!$H$23="Todos",datos_base!$F$12,0))*parametros_manuales!$E$110+parametros_manuales!$G$23*(datos_base!$F$21+IF(parametros_manuales!$H$23="Todos",datos_base!$F$26,0))*parametros_manuales!$E$15)*parametros_manuales!$I$23*parametros_manuales!$J$23</f>
        <v>6871.5587427715</v>
      </c>
      <c r="F114" s="9" t="n">
        <f aca="false">(parametros_manuales!$D$23*(datos_base!$F$2+IF(parametros_manuales!$H$23="Todos",datos_base!$F$9,0))*parametros_manuales!$F$95+parametros_manuales!$D$23*(datos_base!$F$18+IF(parametros_manuales!$H$23="Todos",datos_base!$F$23,0))*parametros_manuales!$F$12+parametros_manuales!$E$23*(datos_base!$F$3+IF(parametros_manuales!$H$23="Todos",datos_base!$F$10,0))*parametros_manuales!$F$100+parametros_manuales!$E$23*(datos_base!$F$19+IF(parametros_manuales!$H$23="Todos",datos_base!$F$24,0))*parametros_manuales!$F$13+parametros_manuales!$F$23*(datos_base!$F$4+IF(parametros_manuales!$H$23="Todos",datos_base!$F$11,0))*parametros_manuales!$F$105+parametros_manuales!$F$23*(datos_base!$F$20+IF(parametros_manuales!$H$23="Todos",datos_base!$F$25,0))*parametros_manuales!$F$14+parametros_manuales!$G$23*(datos_base!$F$5+IF(parametros_manuales!$H$23="Todos",datos_base!$F$12,0))*parametros_manuales!$F$110+parametros_manuales!$G$23*(datos_base!$F$21+IF(parametros_manuales!$H$23="Todos",datos_base!$F$26,0))*parametros_manuales!$F$15)*parametros_manuales!$I$23*parametros_manuales!$J$23</f>
        <v>6430.810915132</v>
      </c>
      <c r="G114" s="9" t="n">
        <f aca="false">(parametros_manuales!$D$23*(datos_base!$F$2+IF(parametros_manuales!$H$23="Todos",datos_base!$F$9,0))*parametros_manuales!$G$95+parametros_manuales!$D$23*(datos_base!$F$18+IF(parametros_manuales!$H$23="Todos",datos_base!$F$23,0))*parametros_manuales!$G$12+parametros_manuales!$E$23*(datos_base!$F$3+IF(parametros_manuales!$H$23="Todos",datos_base!$F$10,0))*parametros_manuales!$G$100+parametros_manuales!$E$23*(datos_base!$F$19+IF(parametros_manuales!$H$23="Todos",datos_base!$F$24,0))*parametros_manuales!$G$13+parametros_manuales!$F$23*(datos_base!$F$4+IF(parametros_manuales!$H$23="Todos",datos_base!$F$11,0))*parametros_manuales!$G$105+parametros_manuales!$F$23*(datos_base!$F$20+IF(parametros_manuales!$H$23="Todos",datos_base!$F$25,0))*parametros_manuales!$G$14+parametros_manuales!$G$23*(datos_base!$F$5+IF(parametros_manuales!$H$23="Todos",datos_base!$F$12,0))*parametros_manuales!$G$110+parametros_manuales!$G$23*(datos_base!$F$21+IF(parametros_manuales!$H$23="Todos",datos_base!$F$26,0))*parametros_manuales!$G$15)*parametros_manuales!$I$23*parametros_manuales!$J$23</f>
        <v>6300.6402510425</v>
      </c>
      <c r="H114" s="9" t="n">
        <f aca="false">(parametros_manuales!$D$23*(datos_base!$F$2+IF(parametros_manuales!$H$23="Todos",datos_base!$F$9,0))*parametros_manuales!$H$95+parametros_manuales!$D$23*(datos_base!$F$18+IF(parametros_manuales!$H$23="Todos",datos_base!$F$23,0))*parametros_manuales!$H$12+parametros_manuales!$E$23*(datos_base!$F$3+IF(parametros_manuales!$H$23="Todos",datos_base!$F$10,0))*parametros_manuales!$H$100+parametros_manuales!$E$23*(datos_base!$F$19+IF(parametros_manuales!$H$23="Todos",datos_base!$F$24,0))*parametros_manuales!$H$13+parametros_manuales!$F$23*(datos_base!$F$4+IF(parametros_manuales!$H$23="Todos",datos_base!$F$11,0))*parametros_manuales!$H$105+parametros_manuales!$F$23*(datos_base!$F$20+IF(parametros_manuales!$H$23="Todos",datos_base!$F$25,0))*parametros_manuales!$H$14+parametros_manuales!$G$23*(datos_base!$F$5+IF(parametros_manuales!$H$23="Todos",datos_base!$F$12,0))*parametros_manuales!$H$110+parametros_manuales!$G$23*(datos_base!$F$21+IF(parametros_manuales!$H$23="Todos",datos_base!$F$26,0))*parametros_manuales!$H$15)*parametros_manuales!$I$23*parametros_manuales!$J$23</f>
        <v>6741.388078682</v>
      </c>
      <c r="I114" s="9" t="n">
        <f aca="false">(parametros_manuales!$D$23*(datos_base!$F$2+IF(parametros_manuales!$H$23="Todos",datos_base!$F$9,0))*parametros_manuales!$I$95+parametros_manuales!$D$23*(datos_base!$F$18+IF(parametros_manuales!$H$23="Todos",datos_base!$F$23,0))*parametros_manuales!$I$12+parametros_manuales!$E$23*(datos_base!$F$3+IF(parametros_manuales!$H$23="Todos",datos_base!$F$10,0))*parametros_manuales!$I$100+parametros_manuales!$E$23*(datos_base!$F$19+IF(parametros_manuales!$H$23="Todos",datos_base!$F$24,0))*parametros_manuales!$I$13+parametros_manuales!$F$23*(datos_base!$F$4+IF(parametros_manuales!$H$23="Todos",datos_base!$F$11,0))*parametros_manuales!$I$105+parametros_manuales!$F$23*(datos_base!$F$20+IF(parametros_manuales!$H$23="Todos",datos_base!$F$25,0))*parametros_manuales!$I$14+parametros_manuales!$G$23*(datos_base!$F$5+IF(parametros_manuales!$H$23="Todos",datos_base!$F$12,0))*parametros_manuales!$I$110+parametros_manuales!$G$23*(datos_base!$F$21+IF(parametros_manuales!$H$23="Todos",datos_base!$F$26,0))*parametros_manuales!$I$15)*parametros_manuales!$I$23*parametros_manuales!$J$23</f>
        <v>7673.11956933199</v>
      </c>
      <c r="J114" s="9" t="n">
        <f aca="false">(parametros_manuales!$D$23*(datos_base!$F$2+IF(parametros_manuales!$H$23="Todos",datos_base!$F$9,0))*parametros_manuales!$J$95+parametros_manuales!$D$23*(datos_base!$F$18+IF(parametros_manuales!$H$23="Todos",datos_base!$F$23,0))*parametros_manuales!$J$12+parametros_manuales!$E$23*(datos_base!$F$3+IF(parametros_manuales!$H$23="Todos",datos_base!$F$10,0))*parametros_manuales!$J$100+parametros_manuales!$E$23*(datos_base!$F$19+IF(parametros_manuales!$H$23="Todos",datos_base!$F$24,0))*parametros_manuales!$J$13+parametros_manuales!$F$23*(datos_base!$F$4+IF(parametros_manuales!$H$23="Todos",datos_base!$F$11,0))*parametros_manuales!$J$105+parametros_manuales!$F$23*(datos_base!$F$20+IF(parametros_manuales!$H$23="Todos",datos_base!$F$25,0))*parametros_manuales!$J$14+parametros_manuales!$G$23*(datos_base!$F$5+IF(parametros_manuales!$H$23="Todos",datos_base!$F$12,0))*parametros_manuales!$J$110+parametros_manuales!$G$23*(datos_base!$F$21+IF(parametros_manuales!$H$23="Todos",datos_base!$F$26,0))*parametros_manuales!$J$15)*parametros_manuales!$I$23*parametros_manuales!$J$23</f>
        <v>7673.119569332</v>
      </c>
      <c r="K114" s="9" t="n">
        <f aca="false">(parametros_manuales!$D$23*(datos_base!$F$2+IF(parametros_manuales!$H$23="Todos",datos_base!$F$9,0))*parametros_manuales!$K$95+parametros_manuales!$D$23*(datos_base!$F$18+IF(parametros_manuales!$H$23="Todos",datos_base!$F$23,0))*parametros_manuales!$K$12+parametros_manuales!$E$23*(datos_base!$F$3+IF(parametros_manuales!$H$23="Todos",datos_base!$F$10,0))*parametros_manuales!$K$100+parametros_manuales!$E$23*(datos_base!$F$19+IF(parametros_manuales!$H$23="Todos",datos_base!$F$24,0))*parametros_manuales!$K$13+parametros_manuales!$F$23*(datos_base!$F$4+IF(parametros_manuales!$H$23="Todos",datos_base!$F$11,0))*parametros_manuales!$K$105+parametros_manuales!$F$23*(datos_base!$F$20+IF(parametros_manuales!$H$23="Todos",datos_base!$F$25,0))*parametros_manuales!$K$14+parametros_manuales!$G$23*(datos_base!$F$5+IF(parametros_manuales!$H$23="Todos",datos_base!$F$12,0))*parametros_manuales!$K$110+parametros_manuales!$G$23*(datos_base!$F$21+IF(parametros_manuales!$H$23="Todos",datos_base!$F$26,0))*parametros_manuales!$K$15)*parametros_manuales!$I$23*parametros_manuales!$J$23</f>
        <v>7800.8674334215</v>
      </c>
      <c r="L114" s="9" t="n">
        <f aca="false">(parametros_manuales!$D$23*(datos_base!$F$2+IF(parametros_manuales!$H$23="Todos",datos_base!$F$9,0))*parametros_manuales!$L$95+parametros_manuales!$D$23*(datos_base!$F$18+IF(parametros_manuales!$H$23="Todos",datos_base!$F$23,0))*parametros_manuales!$L$12+parametros_manuales!$E$23*(datos_base!$F$3+IF(parametros_manuales!$H$23="Todos",datos_base!$F$10,0))*parametros_manuales!$L$100+parametros_manuales!$E$23*(datos_base!$F$19+IF(parametros_manuales!$H$23="Todos",datos_base!$F$24,0))*parametros_manuales!$L$13+parametros_manuales!$F$23*(datos_base!$F$4+IF(parametros_manuales!$H$23="Todos",datos_base!$F$11,0))*parametros_manuales!$L$105+parametros_manuales!$F$23*(datos_base!$F$20+IF(parametros_manuales!$H$23="Todos",datos_base!$F$25,0))*parametros_manuales!$L$14+parametros_manuales!$G$23*(datos_base!$F$5+IF(parametros_manuales!$H$23="Todos",datos_base!$F$12,0))*parametros_manuales!$L$110+parametros_manuales!$G$23*(datos_base!$F$21+IF(parametros_manuales!$H$23="Todos",datos_base!$F$26,0))*parametros_manuales!$L$15)*parametros_manuales!$I$23*parametros_manuales!$J$23</f>
        <v>7928.615297511</v>
      </c>
      <c r="M114" s="9" t="n">
        <f aca="false">(parametros_manuales!$D$23*(datos_base!$F$2+IF(parametros_manuales!$H$23="Todos",datos_base!$F$9,0))*parametros_manuales!$M$95+parametros_manuales!$D$23*(datos_base!$F$18+IF(parametros_manuales!$H$23="Todos",datos_base!$F$23,0))*parametros_manuales!$M$12+parametros_manuales!$E$23*(datos_base!$F$3+IF(parametros_manuales!$H$23="Todos",datos_base!$F$10,0))*parametros_manuales!$M$100+parametros_manuales!$E$23*(datos_base!$F$19+IF(parametros_manuales!$H$23="Todos",datos_base!$F$24,0))*parametros_manuales!$M$13+parametros_manuales!$F$23*(datos_base!$F$4+IF(parametros_manuales!$H$23="Todos",datos_base!$F$11,0))*parametros_manuales!$M$105+parametros_manuales!$F$23*(datos_base!$F$20+IF(parametros_manuales!$H$23="Todos",datos_base!$F$25,0))*parametros_manuales!$M$14+parametros_manuales!$G$23*(datos_base!$F$5+IF(parametros_manuales!$H$23="Todos",datos_base!$F$12,0))*parametros_manuales!$M$110+parametros_manuales!$G$23*(datos_base!$F$21+IF(parametros_manuales!$H$23="Todos",datos_base!$F$26,0))*parametros_manuales!$M$15)*parametros_manuales!$I$23*parametros_manuales!$J$23</f>
        <v>7938.306497511</v>
      </c>
      <c r="N114" s="9" t="n">
        <f aca="false">SUM(B114:M114)</f>
        <v>88149.5655279</v>
      </c>
      <c r="O114" s="9" t="n">
        <f aca="false">MAX(B114:M114)</f>
        <v>7938.306497511</v>
      </c>
      <c r="P114" s="44" t="n">
        <f aca="false">O114/(parametros_manuales!$B$7)</f>
        <v>52.92204331674</v>
      </c>
      <c r="Q114" s="8" t="str">
        <f aca="false">IF(O114=0,"-",INDEX($B$109:$M$109,MATCH(O114,B114:M114,0)))</f>
        <v>Dic</v>
      </c>
    </row>
    <row r="115" customFormat="false" ht="14.25" hidden="false" customHeight="true" outlineLevel="0" collapsed="false">
      <c r="A115" s="8" t="str">
        <f aca="false">parametros_manuales!$B$24</f>
        <v>Numerado de cúpula</v>
      </c>
      <c r="B115" s="9" t="n">
        <f aca="false">(parametros_manuales!$D$24*(datos_base!$F$2+IF(parametros_manuales!$H$24="Todos",datos_base!$F$9,0))*parametros_manuales!$B$95+parametros_manuales!$D$24*(datos_base!$F$18+IF(parametros_manuales!$H$24="Todos",datos_base!$F$23,0))*parametros_manuales!$B$12+parametros_manuales!$E$24*(datos_base!$F$3+IF(parametros_manuales!$H$24="Todos",datos_base!$F$10,0))*parametros_manuales!$B$100+parametros_manuales!$E$24*(datos_base!$F$19+IF(parametros_manuales!$H$24="Todos",datos_base!$F$24,0))*parametros_manuales!$B$13+parametros_manuales!$F$24*(datos_base!$F$4+IF(parametros_manuales!$H$24="Todos",datos_base!$F$11,0))*parametros_manuales!$B$105+parametros_manuales!$F$24*(datos_base!$F$20+IF(parametros_manuales!$H$24="Todos",datos_base!$F$25,0))*parametros_manuales!$B$14+parametros_manuales!$G$24*(datos_base!$F$5+IF(parametros_manuales!$H$24="Todos",datos_base!$F$12,0))*parametros_manuales!$B$110+parametros_manuales!$G$24*(datos_base!$F$21+IF(parametros_manuales!$H$24="Todos",datos_base!$F$26,0))*parametros_manuales!$B$15)*parametros_manuales!$I$24*parametros_manuales!$J$24</f>
        <v>7935.883697511</v>
      </c>
      <c r="C115" s="9" t="n">
        <f aca="false">(parametros_manuales!$D$24*(datos_base!$F$2+IF(parametros_manuales!$H$24="Todos",datos_base!$F$9,0))*parametros_manuales!$C$95+parametros_manuales!$D$24*(datos_base!$F$18+IF(parametros_manuales!$H$24="Todos",datos_base!$F$23,0))*parametros_manuales!$C$12+parametros_manuales!$E$24*(datos_base!$F$3+IF(parametros_manuales!$H$24="Todos",datos_base!$F$10,0))*parametros_manuales!$C$100+parametros_manuales!$E$24*(datos_base!$F$19+IF(parametros_manuales!$H$24="Todos",datos_base!$F$24,0))*parametros_manuales!$C$13+parametros_manuales!$F$24*(datos_base!$F$4+IF(parametros_manuales!$H$24="Todos",datos_base!$F$11,0))*parametros_manuales!$C$105+parametros_manuales!$F$24*(datos_base!$F$20+IF(parametros_manuales!$H$24="Todos",datos_base!$F$25,0))*parametros_manuales!$C$14+parametros_manuales!$G$24*(datos_base!$F$5+IF(parametros_manuales!$H$24="Todos",datos_base!$F$12,0))*parametros_manuales!$C$110+parametros_manuales!$G$24*(datos_base!$F$21+IF(parametros_manuales!$H$24="Todos",datos_base!$F$26,0))*parametros_manuales!$C$15)*parametros_manuales!$I$24*parametros_manuales!$J$24</f>
        <v>7673.119569332</v>
      </c>
      <c r="D115" s="9" t="n">
        <f aca="false">(parametros_manuales!$D$24*(datos_base!$F$2+IF(parametros_manuales!$H$24="Todos",datos_base!$F$9,0))*parametros_manuales!$D$95+parametros_manuales!$D$24*(datos_base!$F$18+IF(parametros_manuales!$H$24="Todos",datos_base!$F$23,0))*parametros_manuales!$D$12+parametros_manuales!$E$24*(datos_base!$F$3+IF(parametros_manuales!$H$24="Todos",datos_base!$F$10,0))*parametros_manuales!$D$100+parametros_manuales!$E$24*(datos_base!$F$19+IF(parametros_manuales!$H$24="Todos",datos_base!$F$24,0))*parametros_manuales!$D$13+parametros_manuales!$F$24*(datos_base!$F$4+IF(parametros_manuales!$H$24="Todos",datos_base!$F$11,0))*parametros_manuales!$D$105+parametros_manuales!$F$24*(datos_base!$F$20+IF(parametros_manuales!$H$24="Todos",datos_base!$F$25,0))*parametros_manuales!$D$14+parametros_manuales!$G$24*(datos_base!$F$5+IF(parametros_manuales!$H$24="Todos",datos_base!$F$12,0))*parametros_manuales!$D$110+parametros_manuales!$G$24*(datos_base!$F$21+IF(parametros_manuales!$H$24="Todos",datos_base!$F$26,0))*parametros_manuales!$D$15)*parametros_manuales!$I$24*parametros_manuales!$J$24</f>
        <v>7182.1359063215</v>
      </c>
      <c r="E115" s="9" t="n">
        <f aca="false">(parametros_manuales!$D$24*(datos_base!$F$2+IF(parametros_manuales!$H$24="Todos",datos_base!$F$9,0))*parametros_manuales!$E$95+parametros_manuales!$D$24*(datos_base!$F$18+IF(parametros_manuales!$H$24="Todos",datos_base!$F$23,0))*parametros_manuales!$E$12+parametros_manuales!$E$24*(datos_base!$F$3+IF(parametros_manuales!$H$24="Todos",datos_base!$F$10,0))*parametros_manuales!$E$100+parametros_manuales!$E$24*(datos_base!$F$19+IF(parametros_manuales!$H$24="Todos",datos_base!$F$24,0))*parametros_manuales!$E$13+parametros_manuales!$F$24*(datos_base!$F$4+IF(parametros_manuales!$H$24="Todos",datos_base!$F$11,0))*parametros_manuales!$E$105+parametros_manuales!$F$24*(datos_base!$F$20+IF(parametros_manuales!$H$24="Todos",datos_base!$F$25,0))*parametros_manuales!$E$14+parametros_manuales!$G$24*(datos_base!$F$5+IF(parametros_manuales!$H$24="Todos",datos_base!$F$12,0))*parametros_manuales!$E$110+parametros_manuales!$G$24*(datos_base!$F$21+IF(parametros_manuales!$H$24="Todos",datos_base!$F$26,0))*parametros_manuales!$E$15)*parametros_manuales!$I$24*parametros_manuales!$J$24</f>
        <v>6871.5587427715</v>
      </c>
      <c r="F115" s="9" t="n">
        <f aca="false">(parametros_manuales!$D$24*(datos_base!$F$2+IF(parametros_manuales!$H$24="Todos",datos_base!$F$9,0))*parametros_manuales!$F$95+parametros_manuales!$D$24*(datos_base!$F$18+IF(parametros_manuales!$H$24="Todos",datos_base!$F$23,0))*parametros_manuales!$F$12+parametros_manuales!$E$24*(datos_base!$F$3+IF(parametros_manuales!$H$24="Todos",datos_base!$F$10,0))*parametros_manuales!$F$100+parametros_manuales!$E$24*(datos_base!$F$19+IF(parametros_manuales!$H$24="Todos",datos_base!$F$24,0))*parametros_manuales!$F$13+parametros_manuales!$F$24*(datos_base!$F$4+IF(parametros_manuales!$H$24="Todos",datos_base!$F$11,0))*parametros_manuales!$F$105+parametros_manuales!$F$24*(datos_base!$F$20+IF(parametros_manuales!$H$24="Todos",datos_base!$F$25,0))*parametros_manuales!$F$14+parametros_manuales!$G$24*(datos_base!$F$5+IF(parametros_manuales!$H$24="Todos",datos_base!$F$12,0))*parametros_manuales!$F$110+parametros_manuales!$G$24*(datos_base!$F$21+IF(parametros_manuales!$H$24="Todos",datos_base!$F$26,0))*parametros_manuales!$F$15)*parametros_manuales!$I$24*parametros_manuales!$J$24</f>
        <v>6430.810915132</v>
      </c>
      <c r="G115" s="9" t="n">
        <f aca="false">(parametros_manuales!$D$24*(datos_base!$F$2+IF(parametros_manuales!$H$24="Todos",datos_base!$F$9,0))*parametros_manuales!$G$95+parametros_manuales!$D$24*(datos_base!$F$18+IF(parametros_manuales!$H$24="Todos",datos_base!$F$23,0))*parametros_manuales!$G$12+parametros_manuales!$E$24*(datos_base!$F$3+IF(parametros_manuales!$H$24="Todos",datos_base!$F$10,0))*parametros_manuales!$G$100+parametros_manuales!$E$24*(datos_base!$F$19+IF(parametros_manuales!$H$24="Todos",datos_base!$F$24,0))*parametros_manuales!$G$13+parametros_manuales!$F$24*(datos_base!$F$4+IF(parametros_manuales!$H$24="Todos",datos_base!$F$11,0))*parametros_manuales!$G$105+parametros_manuales!$F$24*(datos_base!$F$20+IF(parametros_manuales!$H$24="Todos",datos_base!$F$25,0))*parametros_manuales!$G$14+parametros_manuales!$G$24*(datos_base!$F$5+IF(parametros_manuales!$H$24="Todos",datos_base!$F$12,0))*parametros_manuales!$G$110+parametros_manuales!$G$24*(datos_base!$F$21+IF(parametros_manuales!$H$24="Todos",datos_base!$F$26,0))*parametros_manuales!$G$15)*parametros_manuales!$I$24*parametros_manuales!$J$24</f>
        <v>6300.6402510425</v>
      </c>
      <c r="H115" s="9" t="n">
        <f aca="false">(parametros_manuales!$D$24*(datos_base!$F$2+IF(parametros_manuales!$H$24="Todos",datos_base!$F$9,0))*parametros_manuales!$H$95+parametros_manuales!$D$24*(datos_base!$F$18+IF(parametros_manuales!$H$24="Todos",datos_base!$F$23,0))*parametros_manuales!$H$12+parametros_manuales!$E$24*(datos_base!$F$3+IF(parametros_manuales!$H$24="Todos",datos_base!$F$10,0))*parametros_manuales!$H$100+parametros_manuales!$E$24*(datos_base!$F$19+IF(parametros_manuales!$H$24="Todos",datos_base!$F$24,0))*parametros_manuales!$H$13+parametros_manuales!$F$24*(datos_base!$F$4+IF(parametros_manuales!$H$24="Todos",datos_base!$F$11,0))*parametros_manuales!$H$105+parametros_manuales!$F$24*(datos_base!$F$20+IF(parametros_manuales!$H$24="Todos",datos_base!$F$25,0))*parametros_manuales!$H$14+parametros_manuales!$G$24*(datos_base!$F$5+IF(parametros_manuales!$H$24="Todos",datos_base!$F$12,0))*parametros_manuales!$H$110+parametros_manuales!$G$24*(datos_base!$F$21+IF(parametros_manuales!$H$24="Todos",datos_base!$F$26,0))*parametros_manuales!$H$15)*parametros_manuales!$I$24*parametros_manuales!$J$24</f>
        <v>6741.388078682</v>
      </c>
      <c r="I115" s="9" t="n">
        <f aca="false">(parametros_manuales!$D$24*(datos_base!$F$2+IF(parametros_manuales!$H$24="Todos",datos_base!$F$9,0))*parametros_manuales!$I$95+parametros_manuales!$D$24*(datos_base!$F$18+IF(parametros_manuales!$H$24="Todos",datos_base!$F$23,0))*parametros_manuales!$I$12+parametros_manuales!$E$24*(datos_base!$F$3+IF(parametros_manuales!$H$24="Todos",datos_base!$F$10,0))*parametros_manuales!$I$100+parametros_manuales!$E$24*(datos_base!$F$19+IF(parametros_manuales!$H$24="Todos",datos_base!$F$24,0))*parametros_manuales!$I$13+parametros_manuales!$F$24*(datos_base!$F$4+IF(parametros_manuales!$H$24="Todos",datos_base!$F$11,0))*parametros_manuales!$I$105+parametros_manuales!$F$24*(datos_base!$F$20+IF(parametros_manuales!$H$24="Todos",datos_base!$F$25,0))*parametros_manuales!$I$14+parametros_manuales!$G$24*(datos_base!$F$5+IF(parametros_manuales!$H$24="Todos",datos_base!$F$12,0))*parametros_manuales!$I$110+parametros_manuales!$G$24*(datos_base!$F$21+IF(parametros_manuales!$H$24="Todos",datos_base!$F$26,0))*parametros_manuales!$I$15)*parametros_manuales!$I$24*parametros_manuales!$J$24</f>
        <v>7673.11956933199</v>
      </c>
      <c r="J115" s="9" t="n">
        <f aca="false">(parametros_manuales!$D$24*(datos_base!$F$2+IF(parametros_manuales!$H$24="Todos",datos_base!$F$9,0))*parametros_manuales!$J$95+parametros_manuales!$D$24*(datos_base!$F$18+IF(parametros_manuales!$H$24="Todos",datos_base!$F$23,0))*parametros_manuales!$J$12+parametros_manuales!$E$24*(datos_base!$F$3+IF(parametros_manuales!$H$24="Todos",datos_base!$F$10,0))*parametros_manuales!$J$100+parametros_manuales!$E$24*(datos_base!$F$19+IF(parametros_manuales!$H$24="Todos",datos_base!$F$24,0))*parametros_manuales!$J$13+parametros_manuales!$F$24*(datos_base!$F$4+IF(parametros_manuales!$H$24="Todos",datos_base!$F$11,0))*parametros_manuales!$J$105+parametros_manuales!$F$24*(datos_base!$F$20+IF(parametros_manuales!$H$24="Todos",datos_base!$F$25,0))*parametros_manuales!$J$14+parametros_manuales!$G$24*(datos_base!$F$5+IF(parametros_manuales!$H$24="Todos",datos_base!$F$12,0))*parametros_manuales!$J$110+parametros_manuales!$G$24*(datos_base!$F$21+IF(parametros_manuales!$H$24="Todos",datos_base!$F$26,0))*parametros_manuales!$J$15)*parametros_manuales!$I$24*parametros_manuales!$J$24</f>
        <v>7673.119569332</v>
      </c>
      <c r="K115" s="9" t="n">
        <f aca="false">(parametros_manuales!$D$24*(datos_base!$F$2+IF(parametros_manuales!$H$24="Todos",datos_base!$F$9,0))*parametros_manuales!$K$95+parametros_manuales!$D$24*(datos_base!$F$18+IF(parametros_manuales!$H$24="Todos",datos_base!$F$23,0))*parametros_manuales!$K$12+parametros_manuales!$E$24*(datos_base!$F$3+IF(parametros_manuales!$H$24="Todos",datos_base!$F$10,0))*parametros_manuales!$K$100+parametros_manuales!$E$24*(datos_base!$F$19+IF(parametros_manuales!$H$24="Todos",datos_base!$F$24,0))*parametros_manuales!$K$13+parametros_manuales!$F$24*(datos_base!$F$4+IF(parametros_manuales!$H$24="Todos",datos_base!$F$11,0))*parametros_manuales!$K$105+parametros_manuales!$F$24*(datos_base!$F$20+IF(parametros_manuales!$H$24="Todos",datos_base!$F$25,0))*parametros_manuales!$K$14+parametros_manuales!$G$24*(datos_base!$F$5+IF(parametros_manuales!$H$24="Todos",datos_base!$F$12,0))*parametros_manuales!$K$110+parametros_manuales!$G$24*(datos_base!$F$21+IF(parametros_manuales!$H$24="Todos",datos_base!$F$26,0))*parametros_manuales!$K$15)*parametros_manuales!$I$24*parametros_manuales!$J$24</f>
        <v>7800.8674334215</v>
      </c>
      <c r="L115" s="9" t="n">
        <f aca="false">(parametros_manuales!$D$24*(datos_base!$F$2+IF(parametros_manuales!$H$24="Todos",datos_base!$F$9,0))*parametros_manuales!$L$95+parametros_manuales!$D$24*(datos_base!$F$18+IF(parametros_manuales!$H$24="Todos",datos_base!$F$23,0))*parametros_manuales!$L$12+parametros_manuales!$E$24*(datos_base!$F$3+IF(parametros_manuales!$H$24="Todos",datos_base!$F$10,0))*parametros_manuales!$L$100+parametros_manuales!$E$24*(datos_base!$F$19+IF(parametros_manuales!$H$24="Todos",datos_base!$F$24,0))*parametros_manuales!$L$13+parametros_manuales!$F$24*(datos_base!$F$4+IF(parametros_manuales!$H$24="Todos",datos_base!$F$11,0))*parametros_manuales!$L$105+parametros_manuales!$F$24*(datos_base!$F$20+IF(parametros_manuales!$H$24="Todos",datos_base!$F$25,0))*parametros_manuales!$L$14+parametros_manuales!$G$24*(datos_base!$F$5+IF(parametros_manuales!$H$24="Todos",datos_base!$F$12,0))*parametros_manuales!$L$110+parametros_manuales!$G$24*(datos_base!$F$21+IF(parametros_manuales!$H$24="Todos",datos_base!$F$26,0))*parametros_manuales!$L$15)*parametros_manuales!$I$24*parametros_manuales!$J$24</f>
        <v>7928.615297511</v>
      </c>
      <c r="M115" s="9" t="n">
        <f aca="false">(parametros_manuales!$D$24*(datos_base!$F$2+IF(parametros_manuales!$H$24="Todos",datos_base!$F$9,0))*parametros_manuales!$M$95+parametros_manuales!$D$24*(datos_base!$F$18+IF(parametros_manuales!$H$24="Todos",datos_base!$F$23,0))*parametros_manuales!$M$12+parametros_manuales!$E$24*(datos_base!$F$3+IF(parametros_manuales!$H$24="Todos",datos_base!$F$10,0))*parametros_manuales!$M$100+parametros_manuales!$E$24*(datos_base!$F$19+IF(parametros_manuales!$H$24="Todos",datos_base!$F$24,0))*parametros_manuales!$M$13+parametros_manuales!$F$24*(datos_base!$F$4+IF(parametros_manuales!$H$24="Todos",datos_base!$F$11,0))*parametros_manuales!$M$105+parametros_manuales!$F$24*(datos_base!$F$20+IF(parametros_manuales!$H$24="Todos",datos_base!$F$25,0))*parametros_manuales!$M$14+parametros_manuales!$G$24*(datos_base!$F$5+IF(parametros_manuales!$H$24="Todos",datos_base!$F$12,0))*parametros_manuales!$M$110+parametros_manuales!$G$24*(datos_base!$F$21+IF(parametros_manuales!$H$24="Todos",datos_base!$F$26,0))*parametros_manuales!$M$15)*parametros_manuales!$I$24*parametros_manuales!$J$24</f>
        <v>7938.306497511</v>
      </c>
      <c r="N115" s="9" t="n">
        <f aca="false">SUM(B115:M115)</f>
        <v>88149.5655279</v>
      </c>
      <c r="O115" s="9" t="n">
        <f aca="false">MAX(B115:M115)</f>
        <v>7938.306497511</v>
      </c>
      <c r="P115" s="44" t="n">
        <f aca="false">O115/(parametros_manuales!$B$7)</f>
        <v>52.92204331674</v>
      </c>
      <c r="Q115" s="8" t="str">
        <f aca="false">IF(O115=0,"-",INDEX($B$109:$M$109,MATCH(O115,B115:M115,0)))</f>
        <v>Dic</v>
      </c>
    </row>
    <row r="116" customFormat="false" ht="14.25" hidden="false" customHeight="true" outlineLevel="0" collapsed="false">
      <c r="A116" s="8" t="str">
        <f aca="false">parametros_manuales!$B$25</f>
        <v>Soldadura del cuello a la cúpula</v>
      </c>
      <c r="B116" s="9" t="n">
        <f aca="false">(parametros_manuales!$D$25*(datos_base!$F$2+IF(parametros_manuales!$H$25="Todos",datos_base!$F$9,0))*parametros_manuales!$B$95+parametros_manuales!$D$25*(datos_base!$F$18+IF(parametros_manuales!$H$25="Todos",datos_base!$F$23,0))*parametros_manuales!$B$12+parametros_manuales!$E$25*(datos_base!$F$3+IF(parametros_manuales!$H$25="Todos",datos_base!$F$10,0))*parametros_manuales!$B$100+parametros_manuales!$E$25*(datos_base!$F$19+IF(parametros_manuales!$H$25="Todos",datos_base!$F$24,0))*parametros_manuales!$B$13+parametros_manuales!$F$25*(datos_base!$F$4+IF(parametros_manuales!$H$25="Todos",datos_base!$F$11,0))*parametros_manuales!$B$105+parametros_manuales!$F$25*(datos_base!$F$20+IF(parametros_manuales!$H$25="Todos",datos_base!$F$25,0))*parametros_manuales!$B$14+parametros_manuales!$G$25*(datos_base!$F$5+IF(parametros_manuales!$H$25="Todos",datos_base!$F$12,0))*parametros_manuales!$B$110+parametros_manuales!$G$25*(datos_base!$F$21+IF(parametros_manuales!$H$25="Todos",datos_base!$F$26,0))*parametros_manuales!$B$15)*parametros_manuales!$I$25*parametros_manuales!$J$25</f>
        <v>7935.883697511</v>
      </c>
      <c r="C116" s="9" t="n">
        <f aca="false">(parametros_manuales!$D$25*(datos_base!$F$2+IF(parametros_manuales!$H$25="Todos",datos_base!$F$9,0))*parametros_manuales!$C$95+parametros_manuales!$D$25*(datos_base!$F$18+IF(parametros_manuales!$H$25="Todos",datos_base!$F$23,0))*parametros_manuales!$C$12+parametros_manuales!$E$25*(datos_base!$F$3+IF(parametros_manuales!$H$25="Todos",datos_base!$F$10,0))*parametros_manuales!$C$100+parametros_manuales!$E$25*(datos_base!$F$19+IF(parametros_manuales!$H$25="Todos",datos_base!$F$24,0))*parametros_manuales!$C$13+parametros_manuales!$F$25*(datos_base!$F$4+IF(parametros_manuales!$H$25="Todos",datos_base!$F$11,0))*parametros_manuales!$C$105+parametros_manuales!$F$25*(datos_base!$F$20+IF(parametros_manuales!$H$25="Todos",datos_base!$F$25,0))*parametros_manuales!$C$14+parametros_manuales!$G$25*(datos_base!$F$5+IF(parametros_manuales!$H$25="Todos",datos_base!$F$12,0))*parametros_manuales!$C$110+parametros_manuales!$G$25*(datos_base!$F$21+IF(parametros_manuales!$H$25="Todos",datos_base!$F$26,0))*parametros_manuales!$C$15)*parametros_manuales!$I$25*parametros_manuales!$J$25</f>
        <v>7673.119569332</v>
      </c>
      <c r="D116" s="9" t="n">
        <f aca="false">(parametros_manuales!$D$25*(datos_base!$F$2+IF(parametros_manuales!$H$25="Todos",datos_base!$F$9,0))*parametros_manuales!$D$95+parametros_manuales!$D$25*(datos_base!$F$18+IF(parametros_manuales!$H$25="Todos",datos_base!$F$23,0))*parametros_manuales!$D$12+parametros_manuales!$E$25*(datos_base!$F$3+IF(parametros_manuales!$H$25="Todos",datos_base!$F$10,0))*parametros_manuales!$D$100+parametros_manuales!$E$25*(datos_base!$F$19+IF(parametros_manuales!$H$25="Todos",datos_base!$F$24,0))*parametros_manuales!$D$13+parametros_manuales!$F$25*(datos_base!$F$4+IF(parametros_manuales!$H$25="Todos",datos_base!$F$11,0))*parametros_manuales!$D$105+parametros_manuales!$F$25*(datos_base!$F$20+IF(parametros_manuales!$H$25="Todos",datos_base!$F$25,0))*parametros_manuales!$D$14+parametros_manuales!$G$25*(datos_base!$F$5+IF(parametros_manuales!$H$25="Todos",datos_base!$F$12,0))*parametros_manuales!$D$110+parametros_manuales!$G$25*(datos_base!$F$21+IF(parametros_manuales!$H$25="Todos",datos_base!$F$26,0))*parametros_manuales!$D$15)*parametros_manuales!$I$25*parametros_manuales!$J$25</f>
        <v>7182.1359063215</v>
      </c>
      <c r="E116" s="9" t="n">
        <f aca="false">(parametros_manuales!$D$25*(datos_base!$F$2+IF(parametros_manuales!$H$25="Todos",datos_base!$F$9,0))*parametros_manuales!$E$95+parametros_manuales!$D$25*(datos_base!$F$18+IF(parametros_manuales!$H$25="Todos",datos_base!$F$23,0))*parametros_manuales!$E$12+parametros_manuales!$E$25*(datos_base!$F$3+IF(parametros_manuales!$H$25="Todos",datos_base!$F$10,0))*parametros_manuales!$E$100+parametros_manuales!$E$25*(datos_base!$F$19+IF(parametros_manuales!$H$25="Todos",datos_base!$F$24,0))*parametros_manuales!$E$13+parametros_manuales!$F$25*(datos_base!$F$4+IF(parametros_manuales!$H$25="Todos",datos_base!$F$11,0))*parametros_manuales!$E$105+parametros_manuales!$F$25*(datos_base!$F$20+IF(parametros_manuales!$H$25="Todos",datos_base!$F$25,0))*parametros_manuales!$E$14+parametros_manuales!$G$25*(datos_base!$F$5+IF(parametros_manuales!$H$25="Todos",datos_base!$F$12,0))*parametros_manuales!$E$110+parametros_manuales!$G$25*(datos_base!$F$21+IF(parametros_manuales!$H$25="Todos",datos_base!$F$26,0))*parametros_manuales!$E$15)*parametros_manuales!$I$25*parametros_manuales!$J$25</f>
        <v>6871.5587427715</v>
      </c>
      <c r="F116" s="9" t="n">
        <f aca="false">(parametros_manuales!$D$25*(datos_base!$F$2+IF(parametros_manuales!$H$25="Todos",datos_base!$F$9,0))*parametros_manuales!$F$95+parametros_manuales!$D$25*(datos_base!$F$18+IF(parametros_manuales!$H$25="Todos",datos_base!$F$23,0))*parametros_manuales!$F$12+parametros_manuales!$E$25*(datos_base!$F$3+IF(parametros_manuales!$H$25="Todos",datos_base!$F$10,0))*parametros_manuales!$F$100+parametros_manuales!$E$25*(datos_base!$F$19+IF(parametros_manuales!$H$25="Todos",datos_base!$F$24,0))*parametros_manuales!$F$13+parametros_manuales!$F$25*(datos_base!$F$4+IF(parametros_manuales!$H$25="Todos",datos_base!$F$11,0))*parametros_manuales!$F$105+parametros_manuales!$F$25*(datos_base!$F$20+IF(parametros_manuales!$H$25="Todos",datos_base!$F$25,0))*parametros_manuales!$F$14+parametros_manuales!$G$25*(datos_base!$F$5+IF(parametros_manuales!$H$25="Todos",datos_base!$F$12,0))*parametros_manuales!$F$110+parametros_manuales!$G$25*(datos_base!$F$21+IF(parametros_manuales!$H$25="Todos",datos_base!$F$26,0))*parametros_manuales!$F$15)*parametros_manuales!$I$25*parametros_manuales!$J$25</f>
        <v>6430.810915132</v>
      </c>
      <c r="G116" s="9" t="n">
        <f aca="false">(parametros_manuales!$D$25*(datos_base!$F$2+IF(parametros_manuales!$H$25="Todos",datos_base!$F$9,0))*parametros_manuales!$G$95+parametros_manuales!$D$25*(datos_base!$F$18+IF(parametros_manuales!$H$25="Todos",datos_base!$F$23,0))*parametros_manuales!$G$12+parametros_manuales!$E$25*(datos_base!$F$3+IF(parametros_manuales!$H$25="Todos",datos_base!$F$10,0))*parametros_manuales!$G$100+parametros_manuales!$E$25*(datos_base!$F$19+IF(parametros_manuales!$H$25="Todos",datos_base!$F$24,0))*parametros_manuales!$G$13+parametros_manuales!$F$25*(datos_base!$F$4+IF(parametros_manuales!$H$25="Todos",datos_base!$F$11,0))*parametros_manuales!$G$105+parametros_manuales!$F$25*(datos_base!$F$20+IF(parametros_manuales!$H$25="Todos",datos_base!$F$25,0))*parametros_manuales!$G$14+parametros_manuales!$G$25*(datos_base!$F$5+IF(parametros_manuales!$H$25="Todos",datos_base!$F$12,0))*parametros_manuales!$G$110+parametros_manuales!$G$25*(datos_base!$F$21+IF(parametros_manuales!$H$25="Todos",datos_base!$F$26,0))*parametros_manuales!$G$15)*parametros_manuales!$I$25*parametros_manuales!$J$25</f>
        <v>6300.6402510425</v>
      </c>
      <c r="H116" s="9" t="n">
        <f aca="false">(parametros_manuales!$D$25*(datos_base!$F$2+IF(parametros_manuales!$H$25="Todos",datos_base!$F$9,0))*parametros_manuales!$H$95+parametros_manuales!$D$25*(datos_base!$F$18+IF(parametros_manuales!$H$25="Todos",datos_base!$F$23,0))*parametros_manuales!$H$12+parametros_manuales!$E$25*(datos_base!$F$3+IF(parametros_manuales!$H$25="Todos",datos_base!$F$10,0))*parametros_manuales!$H$100+parametros_manuales!$E$25*(datos_base!$F$19+IF(parametros_manuales!$H$25="Todos",datos_base!$F$24,0))*parametros_manuales!$H$13+parametros_manuales!$F$25*(datos_base!$F$4+IF(parametros_manuales!$H$25="Todos",datos_base!$F$11,0))*parametros_manuales!$H$105+parametros_manuales!$F$25*(datos_base!$F$20+IF(parametros_manuales!$H$25="Todos",datos_base!$F$25,0))*parametros_manuales!$H$14+parametros_manuales!$G$25*(datos_base!$F$5+IF(parametros_manuales!$H$25="Todos",datos_base!$F$12,0))*parametros_manuales!$H$110+parametros_manuales!$G$25*(datos_base!$F$21+IF(parametros_manuales!$H$25="Todos",datos_base!$F$26,0))*parametros_manuales!$H$15)*parametros_manuales!$I$25*parametros_manuales!$J$25</f>
        <v>6741.388078682</v>
      </c>
      <c r="I116" s="9" t="n">
        <f aca="false">(parametros_manuales!$D$25*(datos_base!$F$2+IF(parametros_manuales!$H$25="Todos",datos_base!$F$9,0))*parametros_manuales!$I$95+parametros_manuales!$D$25*(datos_base!$F$18+IF(parametros_manuales!$H$25="Todos",datos_base!$F$23,0))*parametros_manuales!$I$12+parametros_manuales!$E$25*(datos_base!$F$3+IF(parametros_manuales!$H$25="Todos",datos_base!$F$10,0))*parametros_manuales!$I$100+parametros_manuales!$E$25*(datos_base!$F$19+IF(parametros_manuales!$H$25="Todos",datos_base!$F$24,0))*parametros_manuales!$I$13+parametros_manuales!$F$25*(datos_base!$F$4+IF(parametros_manuales!$H$25="Todos",datos_base!$F$11,0))*parametros_manuales!$I$105+parametros_manuales!$F$25*(datos_base!$F$20+IF(parametros_manuales!$H$25="Todos",datos_base!$F$25,0))*parametros_manuales!$I$14+parametros_manuales!$G$25*(datos_base!$F$5+IF(parametros_manuales!$H$25="Todos",datos_base!$F$12,0))*parametros_manuales!$I$110+parametros_manuales!$G$25*(datos_base!$F$21+IF(parametros_manuales!$H$25="Todos",datos_base!$F$26,0))*parametros_manuales!$I$15)*parametros_manuales!$I$25*parametros_manuales!$J$25</f>
        <v>7673.11956933199</v>
      </c>
      <c r="J116" s="9" t="n">
        <f aca="false">(parametros_manuales!$D$25*(datos_base!$F$2+IF(parametros_manuales!$H$25="Todos",datos_base!$F$9,0))*parametros_manuales!$J$95+parametros_manuales!$D$25*(datos_base!$F$18+IF(parametros_manuales!$H$25="Todos",datos_base!$F$23,0))*parametros_manuales!$J$12+parametros_manuales!$E$25*(datos_base!$F$3+IF(parametros_manuales!$H$25="Todos",datos_base!$F$10,0))*parametros_manuales!$J$100+parametros_manuales!$E$25*(datos_base!$F$19+IF(parametros_manuales!$H$25="Todos",datos_base!$F$24,0))*parametros_manuales!$J$13+parametros_manuales!$F$25*(datos_base!$F$4+IF(parametros_manuales!$H$25="Todos",datos_base!$F$11,0))*parametros_manuales!$J$105+parametros_manuales!$F$25*(datos_base!$F$20+IF(parametros_manuales!$H$25="Todos",datos_base!$F$25,0))*parametros_manuales!$J$14+parametros_manuales!$G$25*(datos_base!$F$5+IF(parametros_manuales!$H$25="Todos",datos_base!$F$12,0))*parametros_manuales!$J$110+parametros_manuales!$G$25*(datos_base!$F$21+IF(parametros_manuales!$H$25="Todos",datos_base!$F$26,0))*parametros_manuales!$J$15)*parametros_manuales!$I$25*parametros_manuales!$J$25</f>
        <v>7673.119569332</v>
      </c>
      <c r="K116" s="9" t="n">
        <f aca="false">(parametros_manuales!$D$25*(datos_base!$F$2+IF(parametros_manuales!$H$25="Todos",datos_base!$F$9,0))*parametros_manuales!$K$95+parametros_manuales!$D$25*(datos_base!$F$18+IF(parametros_manuales!$H$25="Todos",datos_base!$F$23,0))*parametros_manuales!$K$12+parametros_manuales!$E$25*(datos_base!$F$3+IF(parametros_manuales!$H$25="Todos",datos_base!$F$10,0))*parametros_manuales!$K$100+parametros_manuales!$E$25*(datos_base!$F$19+IF(parametros_manuales!$H$25="Todos",datos_base!$F$24,0))*parametros_manuales!$K$13+parametros_manuales!$F$25*(datos_base!$F$4+IF(parametros_manuales!$H$25="Todos",datos_base!$F$11,0))*parametros_manuales!$K$105+parametros_manuales!$F$25*(datos_base!$F$20+IF(parametros_manuales!$H$25="Todos",datos_base!$F$25,0))*parametros_manuales!$K$14+parametros_manuales!$G$25*(datos_base!$F$5+IF(parametros_manuales!$H$25="Todos",datos_base!$F$12,0))*parametros_manuales!$K$110+parametros_manuales!$G$25*(datos_base!$F$21+IF(parametros_manuales!$H$25="Todos",datos_base!$F$26,0))*parametros_manuales!$K$15)*parametros_manuales!$I$25*parametros_manuales!$J$25</f>
        <v>7800.8674334215</v>
      </c>
      <c r="L116" s="9" t="n">
        <f aca="false">(parametros_manuales!$D$25*(datos_base!$F$2+IF(parametros_manuales!$H$25="Todos",datos_base!$F$9,0))*parametros_manuales!$L$95+parametros_manuales!$D$25*(datos_base!$F$18+IF(parametros_manuales!$H$25="Todos",datos_base!$F$23,0))*parametros_manuales!$L$12+parametros_manuales!$E$25*(datos_base!$F$3+IF(parametros_manuales!$H$25="Todos",datos_base!$F$10,0))*parametros_manuales!$L$100+parametros_manuales!$E$25*(datos_base!$F$19+IF(parametros_manuales!$H$25="Todos",datos_base!$F$24,0))*parametros_manuales!$L$13+parametros_manuales!$F$25*(datos_base!$F$4+IF(parametros_manuales!$H$25="Todos",datos_base!$F$11,0))*parametros_manuales!$L$105+parametros_manuales!$F$25*(datos_base!$F$20+IF(parametros_manuales!$H$25="Todos",datos_base!$F$25,0))*parametros_manuales!$L$14+parametros_manuales!$G$25*(datos_base!$F$5+IF(parametros_manuales!$H$25="Todos",datos_base!$F$12,0))*parametros_manuales!$L$110+parametros_manuales!$G$25*(datos_base!$F$21+IF(parametros_manuales!$H$25="Todos",datos_base!$F$26,0))*parametros_manuales!$L$15)*parametros_manuales!$I$25*parametros_manuales!$J$25</f>
        <v>7928.615297511</v>
      </c>
      <c r="M116" s="9" t="n">
        <f aca="false">(parametros_manuales!$D$25*(datos_base!$F$2+IF(parametros_manuales!$H$25="Todos",datos_base!$F$9,0))*parametros_manuales!$M$95+parametros_manuales!$D$25*(datos_base!$F$18+IF(parametros_manuales!$H$25="Todos",datos_base!$F$23,0))*parametros_manuales!$M$12+parametros_manuales!$E$25*(datos_base!$F$3+IF(parametros_manuales!$H$25="Todos",datos_base!$F$10,0))*parametros_manuales!$M$100+parametros_manuales!$E$25*(datos_base!$F$19+IF(parametros_manuales!$H$25="Todos",datos_base!$F$24,0))*parametros_manuales!$M$13+parametros_manuales!$F$25*(datos_base!$F$4+IF(parametros_manuales!$H$25="Todos",datos_base!$F$11,0))*parametros_manuales!$M$105+parametros_manuales!$F$25*(datos_base!$F$20+IF(parametros_manuales!$H$25="Todos",datos_base!$F$25,0))*parametros_manuales!$M$14+parametros_manuales!$G$25*(datos_base!$F$5+IF(parametros_manuales!$H$25="Todos",datos_base!$F$12,0))*parametros_manuales!$M$110+parametros_manuales!$G$25*(datos_base!$F$21+IF(parametros_manuales!$H$25="Todos",datos_base!$F$26,0))*parametros_manuales!$M$15)*parametros_manuales!$I$25*parametros_manuales!$J$25</f>
        <v>7938.306497511</v>
      </c>
      <c r="N116" s="9" t="n">
        <f aca="false">SUM(B116:M116)</f>
        <v>88149.5655279</v>
      </c>
      <c r="O116" s="9" t="n">
        <f aca="false">MAX(B116:M116)</f>
        <v>7938.306497511</v>
      </c>
      <c r="P116" s="44" t="n">
        <f aca="false">O116/(parametros_manuales!$B$7)</f>
        <v>52.92204331674</v>
      </c>
      <c r="Q116" s="8" t="str">
        <f aca="false">IF(O116=0,"-",INDEX($B$109:$M$109,MATCH(O116,B116:M116,0)))</f>
        <v>Dic</v>
      </c>
    </row>
    <row r="117" customFormat="false" ht="14.25" hidden="false" customHeight="true" outlineLevel="0" collapsed="false">
      <c r="A117" s="8" t="str">
        <f aca="false">parametros_manuales!$B$26</f>
        <v>Cilindrado</v>
      </c>
      <c r="B117" s="9" t="n">
        <f aca="false">(parametros_manuales!$D$26*(datos_base!$F$2+IF(parametros_manuales!$H$26="Todos",datos_base!$F$9,0))*parametros_manuales!$B$95+parametros_manuales!$D$26*(datos_base!$F$18+IF(parametros_manuales!$H$26="Todos",datos_base!$F$23,0))*parametros_manuales!$B$12+parametros_manuales!$E$26*(datos_base!$F$3+IF(parametros_manuales!$H$26="Todos",datos_base!$F$10,0))*parametros_manuales!$B$100+parametros_manuales!$E$26*(datos_base!$F$19+IF(parametros_manuales!$H$26="Todos",datos_base!$F$24,0))*parametros_manuales!$B$13+parametros_manuales!$F$26*(datos_base!$F$4+IF(parametros_manuales!$H$26="Todos",datos_base!$F$11,0))*parametros_manuales!$B$105+parametros_manuales!$F$26*(datos_base!$F$20+IF(parametros_manuales!$H$26="Todos",datos_base!$F$25,0))*parametros_manuales!$B$14+parametros_manuales!$G$26*(datos_base!$F$5+IF(parametros_manuales!$H$26="Todos",datos_base!$F$12,0))*parametros_manuales!$B$110+parametros_manuales!$G$26*(datos_base!$F$21+IF(parametros_manuales!$H$26="Todos",datos_base!$F$26,0))*parametros_manuales!$B$15)*parametros_manuales!$I$26*parametros_manuales!$J$26</f>
        <v>2345.494753611</v>
      </c>
      <c r="C117" s="9" t="n">
        <f aca="false">(parametros_manuales!$D$26*(datos_base!$F$2+IF(parametros_manuales!$H$26="Todos",datos_base!$F$9,0))*parametros_manuales!$C$95+parametros_manuales!$D$26*(datos_base!$F$18+IF(parametros_manuales!$H$26="Todos",datos_base!$F$23,0))*parametros_manuales!$C$12+parametros_manuales!$E$26*(datos_base!$F$3+IF(parametros_manuales!$H$26="Todos",datos_base!$F$10,0))*parametros_manuales!$C$100+parametros_manuales!$E$26*(datos_base!$F$19+IF(parametros_manuales!$H$26="Todos",datos_base!$F$24,0))*parametros_manuales!$C$13+parametros_manuales!$F$26*(datos_base!$F$4+IF(parametros_manuales!$H$26="Todos",datos_base!$F$11,0))*parametros_manuales!$C$105+parametros_manuales!$F$26*(datos_base!$F$20+IF(parametros_manuales!$H$26="Todos",datos_base!$F$25,0))*parametros_manuales!$C$14+parametros_manuales!$G$26*(datos_base!$F$5+IF(parametros_manuales!$H$26="Todos",datos_base!$F$12,0))*parametros_manuales!$C$110+parametros_manuales!$G$26*(datos_base!$F$21+IF(parametros_manuales!$H$26="Todos",datos_base!$F$26,0))*parametros_manuales!$C$15)*parametros_manuales!$I$26*parametros_manuales!$J$26</f>
        <v>2082.730625432</v>
      </c>
      <c r="D117" s="9" t="n">
        <f aca="false">(parametros_manuales!$D$26*(datos_base!$F$2+IF(parametros_manuales!$H$26="Todos",datos_base!$F$9,0))*parametros_manuales!$D$95+parametros_manuales!$D$26*(datos_base!$F$18+IF(parametros_manuales!$H$26="Todos",datos_base!$F$23,0))*parametros_manuales!$D$12+parametros_manuales!$E$26*(datos_base!$F$3+IF(parametros_manuales!$H$26="Todos",datos_base!$F$10,0))*parametros_manuales!$D$100+parametros_manuales!$E$26*(datos_base!$F$19+IF(parametros_manuales!$H$26="Todos",datos_base!$F$24,0))*parametros_manuales!$D$13+parametros_manuales!$F$26*(datos_base!$F$4+IF(parametros_manuales!$H$26="Todos",datos_base!$F$11,0))*parametros_manuales!$D$105+parametros_manuales!$F$26*(datos_base!$F$20+IF(parametros_manuales!$H$26="Todos",datos_base!$F$25,0))*parametros_manuales!$D$14+parametros_manuales!$G$26*(datos_base!$F$5+IF(parametros_manuales!$H$26="Todos",datos_base!$F$12,0))*parametros_manuales!$D$110+parametros_manuales!$G$26*(datos_base!$F$21+IF(parametros_manuales!$H$26="Todos",datos_base!$F$26,0))*parametros_manuales!$D$15)*parametros_manuales!$I$26*parametros_manuales!$J$26</f>
        <v>2212.9012895215</v>
      </c>
      <c r="E117" s="9" t="n">
        <f aca="false">(parametros_manuales!$D$26*(datos_base!$F$2+IF(parametros_manuales!$H$26="Todos",datos_base!$F$9,0))*parametros_manuales!$E$95+parametros_manuales!$D$26*(datos_base!$F$18+IF(parametros_manuales!$H$26="Todos",datos_base!$F$23,0))*parametros_manuales!$E$12+parametros_manuales!$E$26*(datos_base!$F$3+IF(parametros_manuales!$H$26="Todos",datos_base!$F$10,0))*parametros_manuales!$E$100+parametros_manuales!$E$26*(datos_base!$F$19+IF(parametros_manuales!$H$26="Todos",datos_base!$F$24,0))*parametros_manuales!$E$13+parametros_manuales!$F$26*(datos_base!$F$4+IF(parametros_manuales!$H$26="Todos",datos_base!$F$11,0))*parametros_manuales!$E$105+parametros_manuales!$F$26*(datos_base!$F$20+IF(parametros_manuales!$H$26="Todos",datos_base!$F$25,0))*parametros_manuales!$E$14+parametros_manuales!$G$26*(datos_base!$F$5+IF(parametros_manuales!$H$26="Todos",datos_base!$F$12,0))*parametros_manuales!$E$110+parametros_manuales!$G$26*(datos_base!$F$21+IF(parametros_manuales!$H$26="Todos",datos_base!$F$26,0))*parametros_manuales!$E$15)*parametros_manuales!$I$26*parametros_manuales!$J$26</f>
        <v>2212.9012895215</v>
      </c>
      <c r="F117" s="9" t="n">
        <f aca="false">(parametros_manuales!$D$26*(datos_base!$F$2+IF(parametros_manuales!$H$26="Todos",datos_base!$F$9,0))*parametros_manuales!$F$95+parametros_manuales!$D$26*(datos_base!$F$18+IF(parametros_manuales!$H$26="Todos",datos_base!$F$23,0))*parametros_manuales!$F$12+parametros_manuales!$E$26*(datos_base!$F$3+IF(parametros_manuales!$H$26="Todos",datos_base!$F$10,0))*parametros_manuales!$F$100+parametros_manuales!$E$26*(datos_base!$F$19+IF(parametros_manuales!$H$26="Todos",datos_base!$F$24,0))*parametros_manuales!$F$13+parametros_manuales!$F$26*(datos_base!$F$4+IF(parametros_manuales!$H$26="Todos",datos_base!$F$11,0))*parametros_manuales!$F$105+parametros_manuales!$F$26*(datos_base!$F$20+IF(parametros_manuales!$H$26="Todos",datos_base!$F$25,0))*parametros_manuales!$F$14+parametros_manuales!$G$26*(datos_base!$F$5+IF(parametros_manuales!$H$26="Todos",datos_base!$F$12,0))*parametros_manuales!$F$110+parametros_manuales!$G$26*(datos_base!$F$21+IF(parametros_manuales!$H$26="Todos",datos_base!$F$26,0))*parametros_manuales!$F$15)*parametros_manuales!$I$26*parametros_manuales!$J$26</f>
        <v>2082.730625432</v>
      </c>
      <c r="G117" s="9" t="n">
        <f aca="false">(parametros_manuales!$D$26*(datos_base!$F$2+IF(parametros_manuales!$H$26="Todos",datos_base!$F$9,0))*parametros_manuales!$G$95+parametros_manuales!$D$26*(datos_base!$F$18+IF(parametros_manuales!$H$26="Todos",datos_base!$F$23,0))*parametros_manuales!$G$12+parametros_manuales!$E$26*(datos_base!$F$3+IF(parametros_manuales!$H$26="Todos",datos_base!$F$10,0))*parametros_manuales!$G$100+parametros_manuales!$E$26*(datos_base!$F$19+IF(parametros_manuales!$H$26="Todos",datos_base!$F$24,0))*parametros_manuales!$G$13+parametros_manuales!$F$26*(datos_base!$F$4+IF(parametros_manuales!$H$26="Todos",datos_base!$F$11,0))*parametros_manuales!$G$105+parametros_manuales!$F$26*(datos_base!$F$20+IF(parametros_manuales!$H$26="Todos",datos_base!$F$25,0))*parametros_manuales!$G$14+parametros_manuales!$G$26*(datos_base!$F$5+IF(parametros_manuales!$H$26="Todos",datos_base!$F$12,0))*parametros_manuales!$G$110+parametros_manuales!$G$26*(datos_base!$F$21+IF(parametros_manuales!$H$26="Todos",datos_base!$F$26,0))*parametros_manuales!$G$15)*parametros_manuales!$I$26*parametros_manuales!$J$26</f>
        <v>1952.5599613425</v>
      </c>
      <c r="H117" s="9" t="n">
        <f aca="false">(parametros_manuales!$D$26*(datos_base!$F$2+IF(parametros_manuales!$H$26="Todos",datos_base!$F$9,0))*parametros_manuales!$H$95+parametros_manuales!$D$26*(datos_base!$F$18+IF(parametros_manuales!$H$26="Todos",datos_base!$F$23,0))*parametros_manuales!$H$12+parametros_manuales!$E$26*(datos_base!$F$3+IF(parametros_manuales!$H$26="Todos",datos_base!$F$10,0))*parametros_manuales!$H$100+parametros_manuales!$E$26*(datos_base!$F$19+IF(parametros_manuales!$H$26="Todos",datos_base!$F$24,0))*parametros_manuales!$H$13+parametros_manuales!$F$26*(datos_base!$F$4+IF(parametros_manuales!$H$26="Todos",datos_base!$F$11,0))*parametros_manuales!$H$105+parametros_manuales!$F$26*(datos_base!$F$20+IF(parametros_manuales!$H$26="Todos",datos_base!$F$25,0))*parametros_manuales!$H$14+parametros_manuales!$G$26*(datos_base!$F$5+IF(parametros_manuales!$H$26="Todos",datos_base!$F$12,0))*parametros_manuales!$H$110+parametros_manuales!$G$26*(datos_base!$F$21+IF(parametros_manuales!$H$26="Todos",datos_base!$F$26,0))*parametros_manuales!$H$15)*parametros_manuales!$I$26*parametros_manuales!$J$26</f>
        <v>2082.730625432</v>
      </c>
      <c r="I117" s="9" t="n">
        <f aca="false">(parametros_manuales!$D$26*(datos_base!$F$2+IF(parametros_manuales!$H$26="Todos",datos_base!$F$9,0))*parametros_manuales!$I$95+parametros_manuales!$D$26*(datos_base!$F$18+IF(parametros_manuales!$H$26="Todos",datos_base!$F$23,0))*parametros_manuales!$I$12+parametros_manuales!$E$26*(datos_base!$F$3+IF(parametros_manuales!$H$26="Todos",datos_base!$F$10,0))*parametros_manuales!$I$100+parametros_manuales!$E$26*(datos_base!$F$19+IF(parametros_manuales!$H$26="Todos",datos_base!$F$24,0))*parametros_manuales!$I$13+parametros_manuales!$F$26*(datos_base!$F$4+IF(parametros_manuales!$H$26="Todos",datos_base!$F$11,0))*parametros_manuales!$I$105+parametros_manuales!$F$26*(datos_base!$F$20+IF(parametros_manuales!$H$26="Todos",datos_base!$F$25,0))*parametros_manuales!$I$14+parametros_manuales!$G$26*(datos_base!$F$5+IF(parametros_manuales!$H$26="Todos",datos_base!$F$12,0))*parametros_manuales!$I$110+parametros_manuales!$G$26*(datos_base!$F$21+IF(parametros_manuales!$H$26="Todos",datos_base!$F$26,0))*parametros_manuales!$I$15)*parametros_manuales!$I$26*parametros_manuales!$J$26</f>
        <v>2082.730625432</v>
      </c>
      <c r="J117" s="9" t="n">
        <f aca="false">(parametros_manuales!$D$26*(datos_base!$F$2+IF(parametros_manuales!$H$26="Todos",datos_base!$F$9,0))*parametros_manuales!$J$95+parametros_manuales!$D$26*(datos_base!$F$18+IF(parametros_manuales!$H$26="Todos",datos_base!$F$23,0))*parametros_manuales!$J$12+parametros_manuales!$E$26*(datos_base!$F$3+IF(parametros_manuales!$H$26="Todos",datos_base!$F$10,0))*parametros_manuales!$J$100+parametros_manuales!$E$26*(datos_base!$F$19+IF(parametros_manuales!$H$26="Todos",datos_base!$F$24,0))*parametros_manuales!$J$13+parametros_manuales!$F$26*(datos_base!$F$4+IF(parametros_manuales!$H$26="Todos",datos_base!$F$11,0))*parametros_manuales!$J$105+parametros_manuales!$F$26*(datos_base!$F$20+IF(parametros_manuales!$H$26="Todos",datos_base!$F$25,0))*parametros_manuales!$J$14+parametros_manuales!$G$26*(datos_base!$F$5+IF(parametros_manuales!$H$26="Todos",datos_base!$F$12,0))*parametros_manuales!$J$110+parametros_manuales!$G$26*(datos_base!$F$21+IF(parametros_manuales!$H$26="Todos",datos_base!$F$26,0))*parametros_manuales!$J$15)*parametros_manuales!$I$26*parametros_manuales!$J$26</f>
        <v>2082.730625432</v>
      </c>
      <c r="K117" s="9" t="n">
        <f aca="false">(parametros_manuales!$D$26*(datos_base!$F$2+IF(parametros_manuales!$H$26="Todos",datos_base!$F$9,0))*parametros_manuales!$K$95+parametros_manuales!$D$26*(datos_base!$F$18+IF(parametros_manuales!$H$26="Todos",datos_base!$F$23,0))*parametros_manuales!$K$12+parametros_manuales!$E$26*(datos_base!$F$3+IF(parametros_manuales!$H$26="Todos",datos_base!$F$10,0))*parametros_manuales!$K$100+parametros_manuales!$E$26*(datos_base!$F$19+IF(parametros_manuales!$H$26="Todos",datos_base!$F$24,0))*parametros_manuales!$K$13+parametros_manuales!$F$26*(datos_base!$F$4+IF(parametros_manuales!$H$26="Todos",datos_base!$F$11,0))*parametros_manuales!$K$105+parametros_manuales!$F$26*(datos_base!$F$20+IF(parametros_manuales!$H$26="Todos",datos_base!$F$25,0))*parametros_manuales!$K$14+parametros_manuales!$G$26*(datos_base!$F$5+IF(parametros_manuales!$H$26="Todos",datos_base!$F$12,0))*parametros_manuales!$K$110+parametros_manuales!$G$26*(datos_base!$F$21+IF(parametros_manuales!$H$26="Todos",datos_base!$F$26,0))*parametros_manuales!$K$15)*parametros_manuales!$I$26*parametros_manuales!$J$26</f>
        <v>2210.4784895215</v>
      </c>
      <c r="L117" s="9" t="n">
        <f aca="false">(parametros_manuales!$D$26*(datos_base!$F$2+IF(parametros_manuales!$H$26="Todos",datos_base!$F$9,0))*parametros_manuales!$L$95+parametros_manuales!$D$26*(datos_base!$F$18+IF(parametros_manuales!$H$26="Todos",datos_base!$F$23,0))*parametros_manuales!$L$12+parametros_manuales!$E$26*(datos_base!$F$3+IF(parametros_manuales!$H$26="Todos",datos_base!$F$10,0))*parametros_manuales!$L$100+parametros_manuales!$E$26*(datos_base!$F$19+IF(parametros_manuales!$H$26="Todos",datos_base!$F$24,0))*parametros_manuales!$L$13+parametros_manuales!$F$26*(datos_base!$F$4+IF(parametros_manuales!$H$26="Todos",datos_base!$F$11,0))*parametros_manuales!$L$105+parametros_manuales!$F$26*(datos_base!$F$20+IF(parametros_manuales!$H$26="Todos",datos_base!$F$25,0))*parametros_manuales!$L$14+parametros_manuales!$G$26*(datos_base!$F$5+IF(parametros_manuales!$H$26="Todos",datos_base!$F$12,0))*parametros_manuales!$L$110+parametros_manuales!$G$26*(datos_base!$F$21+IF(parametros_manuales!$H$26="Todos",datos_base!$F$26,0))*parametros_manuales!$L$15)*parametros_manuales!$I$26*parametros_manuales!$J$26</f>
        <v>2338.226353611</v>
      </c>
      <c r="M117" s="9" t="n">
        <f aca="false">(parametros_manuales!$D$26*(datos_base!$F$2+IF(parametros_manuales!$H$26="Todos",datos_base!$F$9,0))*parametros_manuales!$M$95+parametros_manuales!$D$26*(datos_base!$F$18+IF(parametros_manuales!$H$26="Todos",datos_base!$F$23,0))*parametros_manuales!$M$12+parametros_manuales!$E$26*(datos_base!$F$3+IF(parametros_manuales!$H$26="Todos",datos_base!$F$10,0))*parametros_manuales!$M$100+parametros_manuales!$E$26*(datos_base!$F$19+IF(parametros_manuales!$H$26="Todos",datos_base!$F$24,0))*parametros_manuales!$M$13+parametros_manuales!$F$26*(datos_base!$F$4+IF(parametros_manuales!$H$26="Todos",datos_base!$F$11,0))*parametros_manuales!$M$105+parametros_manuales!$F$26*(datos_base!$F$20+IF(parametros_manuales!$H$26="Todos",datos_base!$F$25,0))*parametros_manuales!$M$14+parametros_manuales!$G$26*(datos_base!$F$5+IF(parametros_manuales!$H$26="Todos",datos_base!$F$12,0))*parametros_manuales!$M$110+parametros_manuales!$G$26*(datos_base!$F$21+IF(parametros_manuales!$H$26="Todos",datos_base!$F$26,0))*parametros_manuales!$M$15)*parametros_manuales!$I$26*parametros_manuales!$J$26</f>
        <v>2347.917553611</v>
      </c>
      <c r="N117" s="9" t="n">
        <f aca="false">SUM(B117:M117)</f>
        <v>26034.1328179</v>
      </c>
      <c r="O117" s="9" t="n">
        <f aca="false">MAX(B117:M117)</f>
        <v>2347.917553611</v>
      </c>
      <c r="P117" s="44" t="n">
        <f aca="false">O117/(parametros_manuales!$B$7)</f>
        <v>15.65278369074</v>
      </c>
      <c r="Q117" s="8" t="str">
        <f aca="false">IF(O117=0,"-",INDEX($B$109:$M$109,MATCH(O117,B117:M117,0)))</f>
        <v>Dic</v>
      </c>
    </row>
    <row r="118" customFormat="false" ht="14.25" hidden="false" customHeight="true" outlineLevel="0" collapsed="false">
      <c r="A118" s="8" t="str">
        <f aca="false">parametros_manuales!$B$27</f>
        <v>Soldadura longitudinal</v>
      </c>
      <c r="B118" s="9" t="n">
        <f aca="false">(parametros_manuales!$D$27*(datos_base!$F$2+IF(parametros_manuales!$H$27="Todos",datos_base!$F$9,0))*parametros_manuales!$B$95+parametros_manuales!$D$27*(datos_base!$F$18+IF(parametros_manuales!$H$27="Todos",datos_base!$F$23,0))*parametros_manuales!$B$12+parametros_manuales!$E$27*(datos_base!$F$3+IF(parametros_manuales!$H$27="Todos",datos_base!$F$10,0))*parametros_manuales!$B$100+parametros_manuales!$E$27*(datos_base!$F$19+IF(parametros_manuales!$H$27="Todos",datos_base!$F$24,0))*parametros_manuales!$B$13+parametros_manuales!$F$27*(datos_base!$F$4+IF(parametros_manuales!$H$27="Todos",datos_base!$F$11,0))*parametros_manuales!$B$105+parametros_manuales!$F$27*(datos_base!$F$20+IF(parametros_manuales!$H$27="Todos",datos_base!$F$25,0))*parametros_manuales!$B$14+parametros_manuales!$G$27*(datos_base!$F$5+IF(parametros_manuales!$H$27="Todos",datos_base!$F$12,0))*parametros_manuales!$B$110+parametros_manuales!$G$27*(datos_base!$F$21+IF(parametros_manuales!$H$27="Todos",datos_base!$F$26,0))*parametros_manuales!$B$15)*parametros_manuales!$I$27*parametros_manuales!$J$27</f>
        <v>2345.494753611</v>
      </c>
      <c r="C118" s="9" t="n">
        <f aca="false">(parametros_manuales!$D$27*(datos_base!$F$2+IF(parametros_manuales!$H$27="Todos",datos_base!$F$9,0))*parametros_manuales!$C$95+parametros_manuales!$D$27*(datos_base!$F$18+IF(parametros_manuales!$H$27="Todos",datos_base!$F$23,0))*parametros_manuales!$C$12+parametros_manuales!$E$27*(datos_base!$F$3+IF(parametros_manuales!$H$27="Todos",datos_base!$F$10,0))*parametros_manuales!$C$100+parametros_manuales!$E$27*(datos_base!$F$19+IF(parametros_manuales!$H$27="Todos",datos_base!$F$24,0))*parametros_manuales!$C$13+parametros_manuales!$F$27*(datos_base!$F$4+IF(parametros_manuales!$H$27="Todos",datos_base!$F$11,0))*parametros_manuales!$C$105+parametros_manuales!$F$27*(datos_base!$F$20+IF(parametros_manuales!$H$27="Todos",datos_base!$F$25,0))*parametros_manuales!$C$14+parametros_manuales!$G$27*(datos_base!$F$5+IF(parametros_manuales!$H$27="Todos",datos_base!$F$12,0))*parametros_manuales!$C$110+parametros_manuales!$G$27*(datos_base!$F$21+IF(parametros_manuales!$H$27="Todos",datos_base!$F$26,0))*parametros_manuales!$C$15)*parametros_manuales!$I$27*parametros_manuales!$J$27</f>
        <v>2082.730625432</v>
      </c>
      <c r="D118" s="9" t="n">
        <f aca="false">(parametros_manuales!$D$27*(datos_base!$F$2+IF(parametros_manuales!$H$27="Todos",datos_base!$F$9,0))*parametros_manuales!$D$95+parametros_manuales!$D$27*(datos_base!$F$18+IF(parametros_manuales!$H$27="Todos",datos_base!$F$23,0))*parametros_manuales!$D$12+parametros_manuales!$E$27*(datos_base!$F$3+IF(parametros_manuales!$H$27="Todos",datos_base!$F$10,0))*parametros_manuales!$D$100+parametros_manuales!$E$27*(datos_base!$F$19+IF(parametros_manuales!$H$27="Todos",datos_base!$F$24,0))*parametros_manuales!$D$13+parametros_manuales!$F$27*(datos_base!$F$4+IF(parametros_manuales!$H$27="Todos",datos_base!$F$11,0))*parametros_manuales!$D$105+parametros_manuales!$F$27*(datos_base!$F$20+IF(parametros_manuales!$H$27="Todos",datos_base!$F$25,0))*parametros_manuales!$D$14+parametros_manuales!$G$27*(datos_base!$F$5+IF(parametros_manuales!$H$27="Todos",datos_base!$F$12,0))*parametros_manuales!$D$110+parametros_manuales!$G$27*(datos_base!$F$21+IF(parametros_manuales!$H$27="Todos",datos_base!$F$26,0))*parametros_manuales!$D$15)*parametros_manuales!$I$27*parametros_manuales!$J$27</f>
        <v>2212.9012895215</v>
      </c>
      <c r="E118" s="9" t="n">
        <f aca="false">(parametros_manuales!$D$27*(datos_base!$F$2+IF(parametros_manuales!$H$27="Todos",datos_base!$F$9,0))*parametros_manuales!$E$95+parametros_manuales!$D$27*(datos_base!$F$18+IF(parametros_manuales!$H$27="Todos",datos_base!$F$23,0))*parametros_manuales!$E$12+parametros_manuales!$E$27*(datos_base!$F$3+IF(parametros_manuales!$H$27="Todos",datos_base!$F$10,0))*parametros_manuales!$E$100+parametros_manuales!$E$27*(datos_base!$F$19+IF(parametros_manuales!$H$27="Todos",datos_base!$F$24,0))*parametros_manuales!$E$13+parametros_manuales!$F$27*(datos_base!$F$4+IF(parametros_manuales!$H$27="Todos",datos_base!$F$11,0))*parametros_manuales!$E$105+parametros_manuales!$F$27*(datos_base!$F$20+IF(parametros_manuales!$H$27="Todos",datos_base!$F$25,0))*parametros_manuales!$E$14+parametros_manuales!$G$27*(datos_base!$F$5+IF(parametros_manuales!$H$27="Todos",datos_base!$F$12,0))*parametros_manuales!$E$110+parametros_manuales!$G$27*(datos_base!$F$21+IF(parametros_manuales!$H$27="Todos",datos_base!$F$26,0))*parametros_manuales!$E$15)*parametros_manuales!$I$27*parametros_manuales!$J$27</f>
        <v>2212.9012895215</v>
      </c>
      <c r="F118" s="9" t="n">
        <f aca="false">(parametros_manuales!$D$27*(datos_base!$F$2+IF(parametros_manuales!$H$27="Todos",datos_base!$F$9,0))*parametros_manuales!$F$95+parametros_manuales!$D$27*(datos_base!$F$18+IF(parametros_manuales!$H$27="Todos",datos_base!$F$23,0))*parametros_manuales!$F$12+parametros_manuales!$E$27*(datos_base!$F$3+IF(parametros_manuales!$H$27="Todos",datos_base!$F$10,0))*parametros_manuales!$F$100+parametros_manuales!$E$27*(datos_base!$F$19+IF(parametros_manuales!$H$27="Todos",datos_base!$F$24,0))*parametros_manuales!$F$13+parametros_manuales!$F$27*(datos_base!$F$4+IF(parametros_manuales!$H$27="Todos",datos_base!$F$11,0))*parametros_manuales!$F$105+parametros_manuales!$F$27*(datos_base!$F$20+IF(parametros_manuales!$H$27="Todos",datos_base!$F$25,0))*parametros_manuales!$F$14+parametros_manuales!$G$27*(datos_base!$F$5+IF(parametros_manuales!$H$27="Todos",datos_base!$F$12,0))*parametros_manuales!$F$110+parametros_manuales!$G$27*(datos_base!$F$21+IF(parametros_manuales!$H$27="Todos",datos_base!$F$26,0))*parametros_manuales!$F$15)*parametros_manuales!$I$27*parametros_manuales!$J$27</f>
        <v>2082.730625432</v>
      </c>
      <c r="G118" s="9" t="n">
        <f aca="false">(parametros_manuales!$D$27*(datos_base!$F$2+IF(parametros_manuales!$H$27="Todos",datos_base!$F$9,0))*parametros_manuales!$G$95+parametros_manuales!$D$27*(datos_base!$F$18+IF(parametros_manuales!$H$27="Todos",datos_base!$F$23,0))*parametros_manuales!$G$12+parametros_manuales!$E$27*(datos_base!$F$3+IF(parametros_manuales!$H$27="Todos",datos_base!$F$10,0))*parametros_manuales!$G$100+parametros_manuales!$E$27*(datos_base!$F$19+IF(parametros_manuales!$H$27="Todos",datos_base!$F$24,0))*parametros_manuales!$G$13+parametros_manuales!$F$27*(datos_base!$F$4+IF(parametros_manuales!$H$27="Todos",datos_base!$F$11,0))*parametros_manuales!$G$105+parametros_manuales!$F$27*(datos_base!$F$20+IF(parametros_manuales!$H$27="Todos",datos_base!$F$25,0))*parametros_manuales!$G$14+parametros_manuales!$G$27*(datos_base!$F$5+IF(parametros_manuales!$H$27="Todos",datos_base!$F$12,0))*parametros_manuales!$G$110+parametros_manuales!$G$27*(datos_base!$F$21+IF(parametros_manuales!$H$27="Todos",datos_base!$F$26,0))*parametros_manuales!$G$15)*parametros_manuales!$I$27*parametros_manuales!$J$27</f>
        <v>1952.5599613425</v>
      </c>
      <c r="H118" s="9" t="n">
        <f aca="false">(parametros_manuales!$D$27*(datos_base!$F$2+IF(parametros_manuales!$H$27="Todos",datos_base!$F$9,0))*parametros_manuales!$H$95+parametros_manuales!$D$27*(datos_base!$F$18+IF(parametros_manuales!$H$27="Todos",datos_base!$F$23,0))*parametros_manuales!$H$12+parametros_manuales!$E$27*(datos_base!$F$3+IF(parametros_manuales!$H$27="Todos",datos_base!$F$10,0))*parametros_manuales!$H$100+parametros_manuales!$E$27*(datos_base!$F$19+IF(parametros_manuales!$H$27="Todos",datos_base!$F$24,0))*parametros_manuales!$H$13+parametros_manuales!$F$27*(datos_base!$F$4+IF(parametros_manuales!$H$27="Todos",datos_base!$F$11,0))*parametros_manuales!$H$105+parametros_manuales!$F$27*(datos_base!$F$20+IF(parametros_manuales!$H$27="Todos",datos_base!$F$25,0))*parametros_manuales!$H$14+parametros_manuales!$G$27*(datos_base!$F$5+IF(parametros_manuales!$H$27="Todos",datos_base!$F$12,0))*parametros_manuales!$H$110+parametros_manuales!$G$27*(datos_base!$F$21+IF(parametros_manuales!$H$27="Todos",datos_base!$F$26,0))*parametros_manuales!$H$15)*parametros_manuales!$I$27*parametros_manuales!$J$27</f>
        <v>2082.730625432</v>
      </c>
      <c r="I118" s="9" t="n">
        <f aca="false">(parametros_manuales!$D$27*(datos_base!$F$2+IF(parametros_manuales!$H$27="Todos",datos_base!$F$9,0))*parametros_manuales!$I$95+parametros_manuales!$D$27*(datos_base!$F$18+IF(parametros_manuales!$H$27="Todos",datos_base!$F$23,0))*parametros_manuales!$I$12+parametros_manuales!$E$27*(datos_base!$F$3+IF(parametros_manuales!$H$27="Todos",datos_base!$F$10,0))*parametros_manuales!$I$100+parametros_manuales!$E$27*(datos_base!$F$19+IF(parametros_manuales!$H$27="Todos",datos_base!$F$24,0))*parametros_manuales!$I$13+parametros_manuales!$F$27*(datos_base!$F$4+IF(parametros_manuales!$H$27="Todos",datos_base!$F$11,0))*parametros_manuales!$I$105+parametros_manuales!$F$27*(datos_base!$F$20+IF(parametros_manuales!$H$27="Todos",datos_base!$F$25,0))*parametros_manuales!$I$14+parametros_manuales!$G$27*(datos_base!$F$5+IF(parametros_manuales!$H$27="Todos",datos_base!$F$12,0))*parametros_manuales!$I$110+parametros_manuales!$G$27*(datos_base!$F$21+IF(parametros_manuales!$H$27="Todos",datos_base!$F$26,0))*parametros_manuales!$I$15)*parametros_manuales!$I$27*parametros_manuales!$J$27</f>
        <v>2082.730625432</v>
      </c>
      <c r="J118" s="9" t="n">
        <f aca="false">(parametros_manuales!$D$27*(datos_base!$F$2+IF(parametros_manuales!$H$27="Todos",datos_base!$F$9,0))*parametros_manuales!$J$95+parametros_manuales!$D$27*(datos_base!$F$18+IF(parametros_manuales!$H$27="Todos",datos_base!$F$23,0))*parametros_manuales!$J$12+parametros_manuales!$E$27*(datos_base!$F$3+IF(parametros_manuales!$H$27="Todos",datos_base!$F$10,0))*parametros_manuales!$J$100+parametros_manuales!$E$27*(datos_base!$F$19+IF(parametros_manuales!$H$27="Todos",datos_base!$F$24,0))*parametros_manuales!$J$13+parametros_manuales!$F$27*(datos_base!$F$4+IF(parametros_manuales!$H$27="Todos",datos_base!$F$11,0))*parametros_manuales!$J$105+parametros_manuales!$F$27*(datos_base!$F$20+IF(parametros_manuales!$H$27="Todos",datos_base!$F$25,0))*parametros_manuales!$J$14+parametros_manuales!$G$27*(datos_base!$F$5+IF(parametros_manuales!$H$27="Todos",datos_base!$F$12,0))*parametros_manuales!$J$110+parametros_manuales!$G$27*(datos_base!$F$21+IF(parametros_manuales!$H$27="Todos",datos_base!$F$26,0))*parametros_manuales!$J$15)*parametros_manuales!$I$27*parametros_manuales!$J$27</f>
        <v>2082.730625432</v>
      </c>
      <c r="K118" s="9" t="n">
        <f aca="false">(parametros_manuales!$D$27*(datos_base!$F$2+IF(parametros_manuales!$H$27="Todos",datos_base!$F$9,0))*parametros_manuales!$K$95+parametros_manuales!$D$27*(datos_base!$F$18+IF(parametros_manuales!$H$27="Todos",datos_base!$F$23,0))*parametros_manuales!$K$12+parametros_manuales!$E$27*(datos_base!$F$3+IF(parametros_manuales!$H$27="Todos",datos_base!$F$10,0))*parametros_manuales!$K$100+parametros_manuales!$E$27*(datos_base!$F$19+IF(parametros_manuales!$H$27="Todos",datos_base!$F$24,0))*parametros_manuales!$K$13+parametros_manuales!$F$27*(datos_base!$F$4+IF(parametros_manuales!$H$27="Todos",datos_base!$F$11,0))*parametros_manuales!$K$105+parametros_manuales!$F$27*(datos_base!$F$20+IF(parametros_manuales!$H$27="Todos",datos_base!$F$25,0))*parametros_manuales!$K$14+parametros_manuales!$G$27*(datos_base!$F$5+IF(parametros_manuales!$H$27="Todos",datos_base!$F$12,0))*parametros_manuales!$K$110+parametros_manuales!$G$27*(datos_base!$F$21+IF(parametros_manuales!$H$27="Todos",datos_base!$F$26,0))*parametros_manuales!$K$15)*parametros_manuales!$I$27*parametros_manuales!$J$27</f>
        <v>2210.4784895215</v>
      </c>
      <c r="L118" s="9" t="n">
        <f aca="false">(parametros_manuales!$D$27*(datos_base!$F$2+IF(parametros_manuales!$H$27="Todos",datos_base!$F$9,0))*parametros_manuales!$L$95+parametros_manuales!$D$27*(datos_base!$F$18+IF(parametros_manuales!$H$27="Todos",datos_base!$F$23,0))*parametros_manuales!$L$12+parametros_manuales!$E$27*(datos_base!$F$3+IF(parametros_manuales!$H$27="Todos",datos_base!$F$10,0))*parametros_manuales!$L$100+parametros_manuales!$E$27*(datos_base!$F$19+IF(parametros_manuales!$H$27="Todos",datos_base!$F$24,0))*parametros_manuales!$L$13+parametros_manuales!$F$27*(datos_base!$F$4+IF(parametros_manuales!$H$27="Todos",datos_base!$F$11,0))*parametros_manuales!$L$105+parametros_manuales!$F$27*(datos_base!$F$20+IF(parametros_manuales!$H$27="Todos",datos_base!$F$25,0))*parametros_manuales!$L$14+parametros_manuales!$G$27*(datos_base!$F$5+IF(parametros_manuales!$H$27="Todos",datos_base!$F$12,0))*parametros_manuales!$L$110+parametros_manuales!$G$27*(datos_base!$F$21+IF(parametros_manuales!$H$27="Todos",datos_base!$F$26,0))*parametros_manuales!$L$15)*parametros_manuales!$I$27*parametros_manuales!$J$27</f>
        <v>2338.226353611</v>
      </c>
      <c r="M118" s="9" t="n">
        <f aca="false">(parametros_manuales!$D$27*(datos_base!$F$2+IF(parametros_manuales!$H$27="Todos",datos_base!$F$9,0))*parametros_manuales!$M$95+parametros_manuales!$D$27*(datos_base!$F$18+IF(parametros_manuales!$H$27="Todos",datos_base!$F$23,0))*parametros_manuales!$M$12+parametros_manuales!$E$27*(datos_base!$F$3+IF(parametros_manuales!$H$27="Todos",datos_base!$F$10,0))*parametros_manuales!$M$100+parametros_manuales!$E$27*(datos_base!$F$19+IF(parametros_manuales!$H$27="Todos",datos_base!$F$24,0))*parametros_manuales!$M$13+parametros_manuales!$F$27*(datos_base!$F$4+IF(parametros_manuales!$H$27="Todos",datos_base!$F$11,0))*parametros_manuales!$M$105+parametros_manuales!$F$27*(datos_base!$F$20+IF(parametros_manuales!$H$27="Todos",datos_base!$F$25,0))*parametros_manuales!$M$14+parametros_manuales!$G$27*(datos_base!$F$5+IF(parametros_manuales!$H$27="Todos",datos_base!$F$12,0))*parametros_manuales!$M$110+parametros_manuales!$G$27*(datos_base!$F$21+IF(parametros_manuales!$H$27="Todos",datos_base!$F$26,0))*parametros_manuales!$M$15)*parametros_manuales!$I$27*parametros_manuales!$J$27</f>
        <v>2347.917553611</v>
      </c>
      <c r="N118" s="9" t="n">
        <f aca="false">SUM(B118:M118)</f>
        <v>26034.1328179</v>
      </c>
      <c r="O118" s="9" t="n">
        <f aca="false">MAX(B118:M118)</f>
        <v>2347.917553611</v>
      </c>
      <c r="P118" s="44" t="n">
        <f aca="false">O118/(parametros_manuales!$B$7)</f>
        <v>15.65278369074</v>
      </c>
      <c r="Q118" s="8" t="str">
        <f aca="false">IF(O118=0,"-",INDEX($B$109:$M$109,MATCH(O118,B118:M118,0)))</f>
        <v>Dic</v>
      </c>
    </row>
    <row r="119" customFormat="false" ht="14.25" hidden="false" customHeight="true" outlineLevel="0" collapsed="false">
      <c r="A119" s="8" t="str">
        <f aca="false">parametros_manuales!$B$28</f>
        <v>Encastre de fondo</v>
      </c>
      <c r="B119" s="9" t="n">
        <f aca="false">(parametros_manuales!$D$28*(datos_base!$F$2+IF(parametros_manuales!$H$28="Todos",datos_base!$F$9,0))*parametros_manuales!$B$95+parametros_manuales!$D$28*(datos_base!$F$18+IF(parametros_manuales!$H$28="Todos",datos_base!$F$23,0))*parametros_manuales!$B$12+parametros_manuales!$E$28*(datos_base!$F$3+IF(parametros_manuales!$H$28="Todos",datos_base!$F$10,0))*parametros_manuales!$B$100+parametros_manuales!$E$28*(datos_base!$F$19+IF(parametros_manuales!$H$28="Todos",datos_base!$F$24,0))*parametros_manuales!$B$13+parametros_manuales!$F$28*(datos_base!$F$4+IF(parametros_manuales!$H$28="Todos",datos_base!$F$11,0))*parametros_manuales!$B$105+parametros_manuales!$F$28*(datos_base!$F$20+IF(parametros_manuales!$H$28="Todos",datos_base!$F$25,0))*parametros_manuales!$B$14+parametros_manuales!$G$28*(datos_base!$F$5+IF(parametros_manuales!$H$28="Todos",datos_base!$F$12,0))*parametros_manuales!$B$110+parametros_manuales!$G$28*(datos_base!$F$21+IF(parametros_manuales!$H$28="Todos",datos_base!$F$26,0))*parametros_manuales!$B$15)*parametros_manuales!$I$28*parametros_manuales!$J$28</f>
        <v>7935.883697511</v>
      </c>
      <c r="C119" s="9" t="n">
        <f aca="false">(parametros_manuales!$D$28*(datos_base!$F$2+IF(parametros_manuales!$H$28="Todos",datos_base!$F$9,0))*parametros_manuales!$C$95+parametros_manuales!$D$28*(datos_base!$F$18+IF(parametros_manuales!$H$28="Todos",datos_base!$F$23,0))*parametros_manuales!$C$12+parametros_manuales!$E$28*(datos_base!$F$3+IF(parametros_manuales!$H$28="Todos",datos_base!$F$10,0))*parametros_manuales!$C$100+parametros_manuales!$E$28*(datos_base!$F$19+IF(parametros_manuales!$H$28="Todos",datos_base!$F$24,0))*parametros_manuales!$C$13+parametros_manuales!$F$28*(datos_base!$F$4+IF(parametros_manuales!$H$28="Todos",datos_base!$F$11,0))*parametros_manuales!$C$105+parametros_manuales!$F$28*(datos_base!$F$20+IF(parametros_manuales!$H$28="Todos",datos_base!$F$25,0))*parametros_manuales!$C$14+parametros_manuales!$G$28*(datos_base!$F$5+IF(parametros_manuales!$H$28="Todos",datos_base!$F$12,0))*parametros_manuales!$C$110+parametros_manuales!$G$28*(datos_base!$F$21+IF(parametros_manuales!$H$28="Todos",datos_base!$F$26,0))*parametros_manuales!$C$15)*parametros_manuales!$I$28*parametros_manuales!$J$28</f>
        <v>7673.119569332</v>
      </c>
      <c r="D119" s="9" t="n">
        <f aca="false">(parametros_manuales!$D$28*(datos_base!$F$2+IF(parametros_manuales!$H$28="Todos",datos_base!$F$9,0))*parametros_manuales!$D$95+parametros_manuales!$D$28*(datos_base!$F$18+IF(parametros_manuales!$H$28="Todos",datos_base!$F$23,0))*parametros_manuales!$D$12+parametros_manuales!$E$28*(datos_base!$F$3+IF(parametros_manuales!$H$28="Todos",datos_base!$F$10,0))*parametros_manuales!$D$100+parametros_manuales!$E$28*(datos_base!$F$19+IF(parametros_manuales!$H$28="Todos",datos_base!$F$24,0))*parametros_manuales!$D$13+parametros_manuales!$F$28*(datos_base!$F$4+IF(parametros_manuales!$H$28="Todos",datos_base!$F$11,0))*parametros_manuales!$D$105+parametros_manuales!$F$28*(datos_base!$F$20+IF(parametros_manuales!$H$28="Todos",datos_base!$F$25,0))*parametros_manuales!$D$14+parametros_manuales!$G$28*(datos_base!$F$5+IF(parametros_manuales!$H$28="Todos",datos_base!$F$12,0))*parametros_manuales!$D$110+parametros_manuales!$G$28*(datos_base!$F$21+IF(parametros_manuales!$H$28="Todos",datos_base!$F$26,0))*parametros_manuales!$D$15)*parametros_manuales!$I$28*parametros_manuales!$J$28</f>
        <v>7182.1359063215</v>
      </c>
      <c r="E119" s="9" t="n">
        <f aca="false">(parametros_manuales!$D$28*(datos_base!$F$2+IF(parametros_manuales!$H$28="Todos",datos_base!$F$9,0))*parametros_manuales!$E$95+parametros_manuales!$D$28*(datos_base!$F$18+IF(parametros_manuales!$H$28="Todos",datos_base!$F$23,0))*parametros_manuales!$E$12+parametros_manuales!$E$28*(datos_base!$F$3+IF(parametros_manuales!$H$28="Todos",datos_base!$F$10,0))*parametros_manuales!$E$100+parametros_manuales!$E$28*(datos_base!$F$19+IF(parametros_manuales!$H$28="Todos",datos_base!$F$24,0))*parametros_manuales!$E$13+parametros_manuales!$F$28*(datos_base!$F$4+IF(parametros_manuales!$H$28="Todos",datos_base!$F$11,0))*parametros_manuales!$E$105+parametros_manuales!$F$28*(datos_base!$F$20+IF(parametros_manuales!$H$28="Todos",datos_base!$F$25,0))*parametros_manuales!$E$14+parametros_manuales!$G$28*(datos_base!$F$5+IF(parametros_manuales!$H$28="Todos",datos_base!$F$12,0))*parametros_manuales!$E$110+parametros_manuales!$G$28*(datos_base!$F$21+IF(parametros_manuales!$H$28="Todos",datos_base!$F$26,0))*parametros_manuales!$E$15)*parametros_manuales!$I$28*parametros_manuales!$J$28</f>
        <v>6871.5587427715</v>
      </c>
      <c r="F119" s="9" t="n">
        <f aca="false">(parametros_manuales!$D$28*(datos_base!$F$2+IF(parametros_manuales!$H$28="Todos",datos_base!$F$9,0))*parametros_manuales!$F$95+parametros_manuales!$D$28*(datos_base!$F$18+IF(parametros_manuales!$H$28="Todos",datos_base!$F$23,0))*parametros_manuales!$F$12+parametros_manuales!$E$28*(datos_base!$F$3+IF(parametros_manuales!$H$28="Todos",datos_base!$F$10,0))*parametros_manuales!$F$100+parametros_manuales!$E$28*(datos_base!$F$19+IF(parametros_manuales!$H$28="Todos",datos_base!$F$24,0))*parametros_manuales!$F$13+parametros_manuales!$F$28*(datos_base!$F$4+IF(parametros_manuales!$H$28="Todos",datos_base!$F$11,0))*parametros_manuales!$F$105+parametros_manuales!$F$28*(datos_base!$F$20+IF(parametros_manuales!$H$28="Todos",datos_base!$F$25,0))*parametros_manuales!$F$14+parametros_manuales!$G$28*(datos_base!$F$5+IF(parametros_manuales!$H$28="Todos",datos_base!$F$12,0))*parametros_manuales!$F$110+parametros_manuales!$G$28*(datos_base!$F$21+IF(parametros_manuales!$H$28="Todos",datos_base!$F$26,0))*parametros_manuales!$F$15)*parametros_manuales!$I$28*parametros_manuales!$J$28</f>
        <v>6430.810915132</v>
      </c>
      <c r="G119" s="9" t="n">
        <f aca="false">(parametros_manuales!$D$28*(datos_base!$F$2+IF(parametros_manuales!$H$28="Todos",datos_base!$F$9,0))*parametros_manuales!$G$95+parametros_manuales!$D$28*(datos_base!$F$18+IF(parametros_manuales!$H$28="Todos",datos_base!$F$23,0))*parametros_manuales!$G$12+parametros_manuales!$E$28*(datos_base!$F$3+IF(parametros_manuales!$H$28="Todos",datos_base!$F$10,0))*parametros_manuales!$G$100+parametros_manuales!$E$28*(datos_base!$F$19+IF(parametros_manuales!$H$28="Todos",datos_base!$F$24,0))*parametros_manuales!$G$13+parametros_manuales!$F$28*(datos_base!$F$4+IF(parametros_manuales!$H$28="Todos",datos_base!$F$11,0))*parametros_manuales!$G$105+parametros_manuales!$F$28*(datos_base!$F$20+IF(parametros_manuales!$H$28="Todos",datos_base!$F$25,0))*parametros_manuales!$G$14+parametros_manuales!$G$28*(datos_base!$F$5+IF(parametros_manuales!$H$28="Todos",datos_base!$F$12,0))*parametros_manuales!$G$110+parametros_manuales!$G$28*(datos_base!$F$21+IF(parametros_manuales!$H$28="Todos",datos_base!$F$26,0))*parametros_manuales!$G$15)*parametros_manuales!$I$28*parametros_manuales!$J$28</f>
        <v>6300.6402510425</v>
      </c>
      <c r="H119" s="9" t="n">
        <f aca="false">(parametros_manuales!$D$28*(datos_base!$F$2+IF(parametros_manuales!$H$28="Todos",datos_base!$F$9,0))*parametros_manuales!$H$95+parametros_manuales!$D$28*(datos_base!$F$18+IF(parametros_manuales!$H$28="Todos",datos_base!$F$23,0))*parametros_manuales!$H$12+parametros_manuales!$E$28*(datos_base!$F$3+IF(parametros_manuales!$H$28="Todos",datos_base!$F$10,0))*parametros_manuales!$H$100+parametros_manuales!$E$28*(datos_base!$F$19+IF(parametros_manuales!$H$28="Todos",datos_base!$F$24,0))*parametros_manuales!$H$13+parametros_manuales!$F$28*(datos_base!$F$4+IF(parametros_manuales!$H$28="Todos",datos_base!$F$11,0))*parametros_manuales!$H$105+parametros_manuales!$F$28*(datos_base!$F$20+IF(parametros_manuales!$H$28="Todos",datos_base!$F$25,0))*parametros_manuales!$H$14+parametros_manuales!$G$28*(datos_base!$F$5+IF(parametros_manuales!$H$28="Todos",datos_base!$F$12,0))*parametros_manuales!$H$110+parametros_manuales!$G$28*(datos_base!$F$21+IF(parametros_manuales!$H$28="Todos",datos_base!$F$26,0))*parametros_manuales!$H$15)*parametros_manuales!$I$28*parametros_manuales!$J$28</f>
        <v>6741.388078682</v>
      </c>
      <c r="I119" s="9" t="n">
        <f aca="false">(parametros_manuales!$D$28*(datos_base!$F$2+IF(parametros_manuales!$H$28="Todos",datos_base!$F$9,0))*parametros_manuales!$I$95+parametros_manuales!$D$28*(datos_base!$F$18+IF(parametros_manuales!$H$28="Todos",datos_base!$F$23,0))*parametros_manuales!$I$12+parametros_manuales!$E$28*(datos_base!$F$3+IF(parametros_manuales!$H$28="Todos",datos_base!$F$10,0))*parametros_manuales!$I$100+parametros_manuales!$E$28*(datos_base!$F$19+IF(parametros_manuales!$H$28="Todos",datos_base!$F$24,0))*parametros_manuales!$I$13+parametros_manuales!$F$28*(datos_base!$F$4+IF(parametros_manuales!$H$28="Todos",datos_base!$F$11,0))*parametros_manuales!$I$105+parametros_manuales!$F$28*(datos_base!$F$20+IF(parametros_manuales!$H$28="Todos",datos_base!$F$25,0))*parametros_manuales!$I$14+parametros_manuales!$G$28*(datos_base!$F$5+IF(parametros_manuales!$H$28="Todos",datos_base!$F$12,0))*parametros_manuales!$I$110+parametros_manuales!$G$28*(datos_base!$F$21+IF(parametros_manuales!$H$28="Todos",datos_base!$F$26,0))*parametros_manuales!$I$15)*parametros_manuales!$I$28*parametros_manuales!$J$28</f>
        <v>7673.11956933199</v>
      </c>
      <c r="J119" s="9" t="n">
        <f aca="false">(parametros_manuales!$D$28*(datos_base!$F$2+IF(parametros_manuales!$H$28="Todos",datos_base!$F$9,0))*parametros_manuales!$J$95+parametros_manuales!$D$28*(datos_base!$F$18+IF(parametros_manuales!$H$28="Todos",datos_base!$F$23,0))*parametros_manuales!$J$12+parametros_manuales!$E$28*(datos_base!$F$3+IF(parametros_manuales!$H$28="Todos",datos_base!$F$10,0))*parametros_manuales!$J$100+parametros_manuales!$E$28*(datos_base!$F$19+IF(parametros_manuales!$H$28="Todos",datos_base!$F$24,0))*parametros_manuales!$J$13+parametros_manuales!$F$28*(datos_base!$F$4+IF(parametros_manuales!$H$28="Todos",datos_base!$F$11,0))*parametros_manuales!$J$105+parametros_manuales!$F$28*(datos_base!$F$20+IF(parametros_manuales!$H$28="Todos",datos_base!$F$25,0))*parametros_manuales!$J$14+parametros_manuales!$G$28*(datos_base!$F$5+IF(parametros_manuales!$H$28="Todos",datos_base!$F$12,0))*parametros_manuales!$J$110+parametros_manuales!$G$28*(datos_base!$F$21+IF(parametros_manuales!$H$28="Todos",datos_base!$F$26,0))*parametros_manuales!$J$15)*parametros_manuales!$I$28*parametros_manuales!$J$28</f>
        <v>7673.119569332</v>
      </c>
      <c r="K119" s="9" t="n">
        <f aca="false">(parametros_manuales!$D$28*(datos_base!$F$2+IF(parametros_manuales!$H$28="Todos",datos_base!$F$9,0))*parametros_manuales!$K$95+parametros_manuales!$D$28*(datos_base!$F$18+IF(parametros_manuales!$H$28="Todos",datos_base!$F$23,0))*parametros_manuales!$K$12+parametros_manuales!$E$28*(datos_base!$F$3+IF(parametros_manuales!$H$28="Todos",datos_base!$F$10,0))*parametros_manuales!$K$100+parametros_manuales!$E$28*(datos_base!$F$19+IF(parametros_manuales!$H$28="Todos",datos_base!$F$24,0))*parametros_manuales!$K$13+parametros_manuales!$F$28*(datos_base!$F$4+IF(parametros_manuales!$H$28="Todos",datos_base!$F$11,0))*parametros_manuales!$K$105+parametros_manuales!$F$28*(datos_base!$F$20+IF(parametros_manuales!$H$28="Todos",datos_base!$F$25,0))*parametros_manuales!$K$14+parametros_manuales!$G$28*(datos_base!$F$5+IF(parametros_manuales!$H$28="Todos",datos_base!$F$12,0))*parametros_manuales!$K$110+parametros_manuales!$G$28*(datos_base!$F$21+IF(parametros_manuales!$H$28="Todos",datos_base!$F$26,0))*parametros_manuales!$K$15)*parametros_manuales!$I$28*parametros_manuales!$J$28</f>
        <v>7800.8674334215</v>
      </c>
      <c r="L119" s="9" t="n">
        <f aca="false">(parametros_manuales!$D$28*(datos_base!$F$2+IF(parametros_manuales!$H$28="Todos",datos_base!$F$9,0))*parametros_manuales!$L$95+parametros_manuales!$D$28*(datos_base!$F$18+IF(parametros_manuales!$H$28="Todos",datos_base!$F$23,0))*parametros_manuales!$L$12+parametros_manuales!$E$28*(datos_base!$F$3+IF(parametros_manuales!$H$28="Todos",datos_base!$F$10,0))*parametros_manuales!$L$100+parametros_manuales!$E$28*(datos_base!$F$19+IF(parametros_manuales!$H$28="Todos",datos_base!$F$24,0))*parametros_manuales!$L$13+parametros_manuales!$F$28*(datos_base!$F$4+IF(parametros_manuales!$H$28="Todos",datos_base!$F$11,0))*parametros_manuales!$L$105+parametros_manuales!$F$28*(datos_base!$F$20+IF(parametros_manuales!$H$28="Todos",datos_base!$F$25,0))*parametros_manuales!$L$14+parametros_manuales!$G$28*(datos_base!$F$5+IF(parametros_manuales!$H$28="Todos",datos_base!$F$12,0))*parametros_manuales!$L$110+parametros_manuales!$G$28*(datos_base!$F$21+IF(parametros_manuales!$H$28="Todos",datos_base!$F$26,0))*parametros_manuales!$L$15)*parametros_manuales!$I$28*parametros_manuales!$J$28</f>
        <v>7928.615297511</v>
      </c>
      <c r="M119" s="9" t="n">
        <f aca="false">(parametros_manuales!$D$28*(datos_base!$F$2+IF(parametros_manuales!$H$28="Todos",datos_base!$F$9,0))*parametros_manuales!$M$95+parametros_manuales!$D$28*(datos_base!$F$18+IF(parametros_manuales!$H$28="Todos",datos_base!$F$23,0))*parametros_manuales!$M$12+parametros_manuales!$E$28*(datos_base!$F$3+IF(parametros_manuales!$H$28="Todos",datos_base!$F$10,0))*parametros_manuales!$M$100+parametros_manuales!$E$28*(datos_base!$F$19+IF(parametros_manuales!$H$28="Todos",datos_base!$F$24,0))*parametros_manuales!$M$13+parametros_manuales!$F$28*(datos_base!$F$4+IF(parametros_manuales!$H$28="Todos",datos_base!$F$11,0))*parametros_manuales!$M$105+parametros_manuales!$F$28*(datos_base!$F$20+IF(parametros_manuales!$H$28="Todos",datos_base!$F$25,0))*parametros_manuales!$M$14+parametros_manuales!$G$28*(datos_base!$F$5+IF(parametros_manuales!$H$28="Todos",datos_base!$F$12,0))*parametros_manuales!$M$110+parametros_manuales!$G$28*(datos_base!$F$21+IF(parametros_manuales!$H$28="Todos",datos_base!$F$26,0))*parametros_manuales!$M$15)*parametros_manuales!$I$28*parametros_manuales!$J$28</f>
        <v>7938.306497511</v>
      </c>
      <c r="N119" s="9" t="n">
        <f aca="false">SUM(B119:M119)</f>
        <v>88149.5655279</v>
      </c>
      <c r="O119" s="9" t="n">
        <f aca="false">MAX(B119:M119)</f>
        <v>7938.306497511</v>
      </c>
      <c r="P119" s="44" t="n">
        <f aca="false">O119/(parametros_manuales!$B$7)</f>
        <v>52.92204331674</v>
      </c>
      <c r="Q119" s="8" t="str">
        <f aca="false">IF(O119=0,"-",INDEX($B$109:$M$109,MATCH(O119,B119:M119,0)))</f>
        <v>Dic</v>
      </c>
    </row>
    <row r="120" customFormat="false" ht="14.25" hidden="false" customHeight="true" outlineLevel="0" collapsed="false">
      <c r="A120" s="8" t="str">
        <f aca="false">parametros_manuales!$B$29</f>
        <v>Bordoneado</v>
      </c>
      <c r="B120" s="9" t="n">
        <f aca="false">(parametros_manuales!$D$29*(datos_base!$F$2+IF(parametros_manuales!$H$29="Todos",datos_base!$F$9,0))*parametros_manuales!$B$95+parametros_manuales!$D$29*(datos_base!$F$18+IF(parametros_manuales!$H$29="Todos",datos_base!$F$23,0))*parametros_manuales!$B$12+parametros_manuales!$E$29*(datos_base!$F$3+IF(parametros_manuales!$H$29="Todos",datos_base!$F$10,0))*parametros_manuales!$B$100+parametros_manuales!$E$29*(datos_base!$F$19+IF(parametros_manuales!$H$29="Todos",datos_base!$F$24,0))*parametros_manuales!$B$13+parametros_manuales!$F$29*(datos_base!$F$4+IF(parametros_manuales!$H$29="Todos",datos_base!$F$11,0))*parametros_manuales!$B$105+parametros_manuales!$F$29*(datos_base!$F$20+IF(parametros_manuales!$H$29="Todos",datos_base!$F$25,0))*parametros_manuales!$B$14+parametros_manuales!$G$29*(datos_base!$F$5+IF(parametros_manuales!$H$29="Todos",datos_base!$F$12,0))*parametros_manuales!$B$110+parametros_manuales!$G$29*(datos_base!$F$21+IF(parametros_manuales!$H$29="Todos",datos_base!$F$26,0))*parametros_manuales!$B$15)*parametros_manuales!$I$29*parametros_manuales!$J$29</f>
        <v>7935.883697511</v>
      </c>
      <c r="C120" s="9" t="n">
        <f aca="false">(parametros_manuales!$D$29*(datos_base!$F$2+IF(parametros_manuales!$H$29="Todos",datos_base!$F$9,0))*parametros_manuales!$C$95+parametros_manuales!$D$29*(datos_base!$F$18+IF(parametros_manuales!$H$29="Todos",datos_base!$F$23,0))*parametros_manuales!$C$12+parametros_manuales!$E$29*(datos_base!$F$3+IF(parametros_manuales!$H$29="Todos",datos_base!$F$10,0))*parametros_manuales!$C$100+parametros_manuales!$E$29*(datos_base!$F$19+IF(parametros_manuales!$H$29="Todos",datos_base!$F$24,0))*parametros_manuales!$C$13+parametros_manuales!$F$29*(datos_base!$F$4+IF(parametros_manuales!$H$29="Todos",datos_base!$F$11,0))*parametros_manuales!$C$105+parametros_manuales!$F$29*(datos_base!$F$20+IF(parametros_manuales!$H$29="Todos",datos_base!$F$25,0))*parametros_manuales!$C$14+parametros_manuales!$G$29*(datos_base!$F$5+IF(parametros_manuales!$H$29="Todos",datos_base!$F$12,0))*parametros_manuales!$C$110+parametros_manuales!$G$29*(datos_base!$F$21+IF(parametros_manuales!$H$29="Todos",datos_base!$F$26,0))*parametros_manuales!$C$15)*parametros_manuales!$I$29*parametros_manuales!$J$29</f>
        <v>7673.119569332</v>
      </c>
      <c r="D120" s="9" t="n">
        <f aca="false">(parametros_manuales!$D$29*(datos_base!$F$2+IF(parametros_manuales!$H$29="Todos",datos_base!$F$9,0))*parametros_manuales!$D$95+parametros_manuales!$D$29*(datos_base!$F$18+IF(parametros_manuales!$H$29="Todos",datos_base!$F$23,0))*parametros_manuales!$D$12+parametros_manuales!$E$29*(datos_base!$F$3+IF(parametros_manuales!$H$29="Todos",datos_base!$F$10,0))*parametros_manuales!$D$100+parametros_manuales!$E$29*(datos_base!$F$19+IF(parametros_manuales!$H$29="Todos",datos_base!$F$24,0))*parametros_manuales!$D$13+parametros_manuales!$F$29*(datos_base!$F$4+IF(parametros_manuales!$H$29="Todos",datos_base!$F$11,0))*parametros_manuales!$D$105+parametros_manuales!$F$29*(datos_base!$F$20+IF(parametros_manuales!$H$29="Todos",datos_base!$F$25,0))*parametros_manuales!$D$14+parametros_manuales!$G$29*(datos_base!$F$5+IF(parametros_manuales!$H$29="Todos",datos_base!$F$12,0))*parametros_manuales!$D$110+parametros_manuales!$G$29*(datos_base!$F$21+IF(parametros_manuales!$H$29="Todos",datos_base!$F$26,0))*parametros_manuales!$D$15)*parametros_manuales!$I$29*parametros_manuales!$J$29</f>
        <v>7182.1359063215</v>
      </c>
      <c r="E120" s="9" t="n">
        <f aca="false">(parametros_manuales!$D$29*(datos_base!$F$2+IF(parametros_manuales!$H$29="Todos",datos_base!$F$9,0))*parametros_manuales!$E$95+parametros_manuales!$D$29*(datos_base!$F$18+IF(parametros_manuales!$H$29="Todos",datos_base!$F$23,0))*parametros_manuales!$E$12+parametros_manuales!$E$29*(datos_base!$F$3+IF(parametros_manuales!$H$29="Todos",datos_base!$F$10,0))*parametros_manuales!$E$100+parametros_manuales!$E$29*(datos_base!$F$19+IF(parametros_manuales!$H$29="Todos",datos_base!$F$24,0))*parametros_manuales!$E$13+parametros_manuales!$F$29*(datos_base!$F$4+IF(parametros_manuales!$H$29="Todos",datos_base!$F$11,0))*parametros_manuales!$E$105+parametros_manuales!$F$29*(datos_base!$F$20+IF(parametros_manuales!$H$29="Todos",datos_base!$F$25,0))*parametros_manuales!$E$14+parametros_manuales!$G$29*(datos_base!$F$5+IF(parametros_manuales!$H$29="Todos",datos_base!$F$12,0))*parametros_manuales!$E$110+parametros_manuales!$G$29*(datos_base!$F$21+IF(parametros_manuales!$H$29="Todos",datos_base!$F$26,0))*parametros_manuales!$E$15)*parametros_manuales!$I$29*parametros_manuales!$J$29</f>
        <v>6871.5587427715</v>
      </c>
      <c r="F120" s="9" t="n">
        <f aca="false">(parametros_manuales!$D$29*(datos_base!$F$2+IF(parametros_manuales!$H$29="Todos",datos_base!$F$9,0))*parametros_manuales!$F$95+parametros_manuales!$D$29*(datos_base!$F$18+IF(parametros_manuales!$H$29="Todos",datos_base!$F$23,0))*parametros_manuales!$F$12+parametros_manuales!$E$29*(datos_base!$F$3+IF(parametros_manuales!$H$29="Todos",datos_base!$F$10,0))*parametros_manuales!$F$100+parametros_manuales!$E$29*(datos_base!$F$19+IF(parametros_manuales!$H$29="Todos",datos_base!$F$24,0))*parametros_manuales!$F$13+parametros_manuales!$F$29*(datos_base!$F$4+IF(parametros_manuales!$H$29="Todos",datos_base!$F$11,0))*parametros_manuales!$F$105+parametros_manuales!$F$29*(datos_base!$F$20+IF(parametros_manuales!$H$29="Todos",datos_base!$F$25,0))*parametros_manuales!$F$14+parametros_manuales!$G$29*(datos_base!$F$5+IF(parametros_manuales!$H$29="Todos",datos_base!$F$12,0))*parametros_manuales!$F$110+parametros_manuales!$G$29*(datos_base!$F$21+IF(parametros_manuales!$H$29="Todos",datos_base!$F$26,0))*parametros_manuales!$F$15)*parametros_manuales!$I$29*parametros_manuales!$J$29</f>
        <v>6430.810915132</v>
      </c>
      <c r="G120" s="9" t="n">
        <f aca="false">(parametros_manuales!$D$29*(datos_base!$F$2+IF(parametros_manuales!$H$29="Todos",datos_base!$F$9,0))*parametros_manuales!$G$95+parametros_manuales!$D$29*(datos_base!$F$18+IF(parametros_manuales!$H$29="Todos",datos_base!$F$23,0))*parametros_manuales!$G$12+parametros_manuales!$E$29*(datos_base!$F$3+IF(parametros_manuales!$H$29="Todos",datos_base!$F$10,0))*parametros_manuales!$G$100+parametros_manuales!$E$29*(datos_base!$F$19+IF(parametros_manuales!$H$29="Todos",datos_base!$F$24,0))*parametros_manuales!$G$13+parametros_manuales!$F$29*(datos_base!$F$4+IF(parametros_manuales!$H$29="Todos",datos_base!$F$11,0))*parametros_manuales!$G$105+parametros_manuales!$F$29*(datos_base!$F$20+IF(parametros_manuales!$H$29="Todos",datos_base!$F$25,0))*parametros_manuales!$G$14+parametros_manuales!$G$29*(datos_base!$F$5+IF(parametros_manuales!$H$29="Todos",datos_base!$F$12,0))*parametros_manuales!$G$110+parametros_manuales!$G$29*(datos_base!$F$21+IF(parametros_manuales!$H$29="Todos",datos_base!$F$26,0))*parametros_manuales!$G$15)*parametros_manuales!$I$29*parametros_manuales!$J$29</f>
        <v>6300.6402510425</v>
      </c>
      <c r="H120" s="9" t="n">
        <f aca="false">(parametros_manuales!$D$29*(datos_base!$F$2+IF(parametros_manuales!$H$29="Todos",datos_base!$F$9,0))*parametros_manuales!$H$95+parametros_manuales!$D$29*(datos_base!$F$18+IF(parametros_manuales!$H$29="Todos",datos_base!$F$23,0))*parametros_manuales!$H$12+parametros_manuales!$E$29*(datos_base!$F$3+IF(parametros_manuales!$H$29="Todos",datos_base!$F$10,0))*parametros_manuales!$H$100+parametros_manuales!$E$29*(datos_base!$F$19+IF(parametros_manuales!$H$29="Todos",datos_base!$F$24,0))*parametros_manuales!$H$13+parametros_manuales!$F$29*(datos_base!$F$4+IF(parametros_manuales!$H$29="Todos",datos_base!$F$11,0))*parametros_manuales!$H$105+parametros_manuales!$F$29*(datos_base!$F$20+IF(parametros_manuales!$H$29="Todos",datos_base!$F$25,0))*parametros_manuales!$H$14+parametros_manuales!$G$29*(datos_base!$F$5+IF(parametros_manuales!$H$29="Todos",datos_base!$F$12,0))*parametros_manuales!$H$110+parametros_manuales!$G$29*(datos_base!$F$21+IF(parametros_manuales!$H$29="Todos",datos_base!$F$26,0))*parametros_manuales!$H$15)*parametros_manuales!$I$29*parametros_manuales!$J$29</f>
        <v>6741.388078682</v>
      </c>
      <c r="I120" s="9" t="n">
        <f aca="false">(parametros_manuales!$D$29*(datos_base!$F$2+IF(parametros_manuales!$H$29="Todos",datos_base!$F$9,0))*parametros_manuales!$I$95+parametros_manuales!$D$29*(datos_base!$F$18+IF(parametros_manuales!$H$29="Todos",datos_base!$F$23,0))*parametros_manuales!$I$12+parametros_manuales!$E$29*(datos_base!$F$3+IF(parametros_manuales!$H$29="Todos",datos_base!$F$10,0))*parametros_manuales!$I$100+parametros_manuales!$E$29*(datos_base!$F$19+IF(parametros_manuales!$H$29="Todos",datos_base!$F$24,0))*parametros_manuales!$I$13+parametros_manuales!$F$29*(datos_base!$F$4+IF(parametros_manuales!$H$29="Todos",datos_base!$F$11,0))*parametros_manuales!$I$105+parametros_manuales!$F$29*(datos_base!$F$20+IF(parametros_manuales!$H$29="Todos",datos_base!$F$25,0))*parametros_manuales!$I$14+parametros_manuales!$G$29*(datos_base!$F$5+IF(parametros_manuales!$H$29="Todos",datos_base!$F$12,0))*parametros_manuales!$I$110+parametros_manuales!$G$29*(datos_base!$F$21+IF(parametros_manuales!$H$29="Todos",datos_base!$F$26,0))*parametros_manuales!$I$15)*parametros_manuales!$I$29*parametros_manuales!$J$29</f>
        <v>7673.11956933199</v>
      </c>
      <c r="J120" s="9" t="n">
        <f aca="false">(parametros_manuales!$D$29*(datos_base!$F$2+IF(parametros_manuales!$H$29="Todos",datos_base!$F$9,0))*parametros_manuales!$J$95+parametros_manuales!$D$29*(datos_base!$F$18+IF(parametros_manuales!$H$29="Todos",datos_base!$F$23,0))*parametros_manuales!$J$12+parametros_manuales!$E$29*(datos_base!$F$3+IF(parametros_manuales!$H$29="Todos",datos_base!$F$10,0))*parametros_manuales!$J$100+parametros_manuales!$E$29*(datos_base!$F$19+IF(parametros_manuales!$H$29="Todos",datos_base!$F$24,0))*parametros_manuales!$J$13+parametros_manuales!$F$29*(datos_base!$F$4+IF(parametros_manuales!$H$29="Todos",datos_base!$F$11,0))*parametros_manuales!$J$105+parametros_manuales!$F$29*(datos_base!$F$20+IF(parametros_manuales!$H$29="Todos",datos_base!$F$25,0))*parametros_manuales!$J$14+parametros_manuales!$G$29*(datos_base!$F$5+IF(parametros_manuales!$H$29="Todos",datos_base!$F$12,0))*parametros_manuales!$J$110+parametros_manuales!$G$29*(datos_base!$F$21+IF(parametros_manuales!$H$29="Todos",datos_base!$F$26,0))*parametros_manuales!$J$15)*parametros_manuales!$I$29*parametros_manuales!$J$29</f>
        <v>7673.119569332</v>
      </c>
      <c r="K120" s="9" t="n">
        <f aca="false">(parametros_manuales!$D$29*(datos_base!$F$2+IF(parametros_manuales!$H$29="Todos",datos_base!$F$9,0))*parametros_manuales!$K$95+parametros_manuales!$D$29*(datos_base!$F$18+IF(parametros_manuales!$H$29="Todos",datos_base!$F$23,0))*parametros_manuales!$K$12+parametros_manuales!$E$29*(datos_base!$F$3+IF(parametros_manuales!$H$29="Todos",datos_base!$F$10,0))*parametros_manuales!$K$100+parametros_manuales!$E$29*(datos_base!$F$19+IF(parametros_manuales!$H$29="Todos",datos_base!$F$24,0))*parametros_manuales!$K$13+parametros_manuales!$F$29*(datos_base!$F$4+IF(parametros_manuales!$H$29="Todos",datos_base!$F$11,0))*parametros_manuales!$K$105+parametros_manuales!$F$29*(datos_base!$F$20+IF(parametros_manuales!$H$29="Todos",datos_base!$F$25,0))*parametros_manuales!$K$14+parametros_manuales!$G$29*(datos_base!$F$5+IF(parametros_manuales!$H$29="Todos",datos_base!$F$12,0))*parametros_manuales!$K$110+parametros_manuales!$G$29*(datos_base!$F$21+IF(parametros_manuales!$H$29="Todos",datos_base!$F$26,0))*parametros_manuales!$K$15)*parametros_manuales!$I$29*parametros_manuales!$J$29</f>
        <v>7800.8674334215</v>
      </c>
      <c r="L120" s="9" t="n">
        <f aca="false">(parametros_manuales!$D$29*(datos_base!$F$2+IF(parametros_manuales!$H$29="Todos",datos_base!$F$9,0))*parametros_manuales!$L$95+parametros_manuales!$D$29*(datos_base!$F$18+IF(parametros_manuales!$H$29="Todos",datos_base!$F$23,0))*parametros_manuales!$L$12+parametros_manuales!$E$29*(datos_base!$F$3+IF(parametros_manuales!$H$29="Todos",datos_base!$F$10,0))*parametros_manuales!$L$100+parametros_manuales!$E$29*(datos_base!$F$19+IF(parametros_manuales!$H$29="Todos",datos_base!$F$24,0))*parametros_manuales!$L$13+parametros_manuales!$F$29*(datos_base!$F$4+IF(parametros_manuales!$H$29="Todos",datos_base!$F$11,0))*parametros_manuales!$L$105+parametros_manuales!$F$29*(datos_base!$F$20+IF(parametros_manuales!$H$29="Todos",datos_base!$F$25,0))*parametros_manuales!$L$14+parametros_manuales!$G$29*(datos_base!$F$5+IF(parametros_manuales!$H$29="Todos",datos_base!$F$12,0))*parametros_manuales!$L$110+parametros_manuales!$G$29*(datos_base!$F$21+IF(parametros_manuales!$H$29="Todos",datos_base!$F$26,0))*parametros_manuales!$L$15)*parametros_manuales!$I$29*parametros_manuales!$J$29</f>
        <v>7928.615297511</v>
      </c>
      <c r="M120" s="9" t="n">
        <f aca="false">(parametros_manuales!$D$29*(datos_base!$F$2+IF(parametros_manuales!$H$29="Todos",datos_base!$F$9,0))*parametros_manuales!$M$95+parametros_manuales!$D$29*(datos_base!$F$18+IF(parametros_manuales!$H$29="Todos",datos_base!$F$23,0))*parametros_manuales!$M$12+parametros_manuales!$E$29*(datos_base!$F$3+IF(parametros_manuales!$H$29="Todos",datos_base!$F$10,0))*parametros_manuales!$M$100+parametros_manuales!$E$29*(datos_base!$F$19+IF(parametros_manuales!$H$29="Todos",datos_base!$F$24,0))*parametros_manuales!$M$13+parametros_manuales!$F$29*(datos_base!$F$4+IF(parametros_manuales!$H$29="Todos",datos_base!$F$11,0))*parametros_manuales!$M$105+parametros_manuales!$F$29*(datos_base!$F$20+IF(parametros_manuales!$H$29="Todos",datos_base!$F$25,0))*parametros_manuales!$M$14+parametros_manuales!$G$29*(datos_base!$F$5+IF(parametros_manuales!$H$29="Todos",datos_base!$F$12,0))*parametros_manuales!$M$110+parametros_manuales!$G$29*(datos_base!$F$21+IF(parametros_manuales!$H$29="Todos",datos_base!$F$26,0))*parametros_manuales!$M$15)*parametros_manuales!$I$29*parametros_manuales!$J$29</f>
        <v>7938.306497511</v>
      </c>
      <c r="N120" s="9" t="n">
        <f aca="false">SUM(B120:M120)</f>
        <v>88149.5655279</v>
      </c>
      <c r="O120" s="9" t="n">
        <f aca="false">MAX(B120:M120)</f>
        <v>7938.306497511</v>
      </c>
      <c r="P120" s="44" t="n">
        <f aca="false">O120/(parametros_manuales!$B$7)</f>
        <v>52.92204331674</v>
      </c>
      <c r="Q120" s="8" t="str">
        <f aca="false">IF(O120=0,"-",INDEX($B$109:$M$109,MATCH(O120,B120:M120,0)))</f>
        <v>Dic</v>
      </c>
    </row>
    <row r="121" customFormat="false" ht="14.25" hidden="false" customHeight="true" outlineLevel="0" collapsed="false">
      <c r="A121" s="8" t="str">
        <f aca="false">parametros_manuales!$B$30</f>
        <v>Soldadura circunferencial de cúpula y fondo</v>
      </c>
      <c r="B121" s="9" t="n">
        <f aca="false">(parametros_manuales!$D$30*(datos_base!$F$2+IF(parametros_manuales!$H$30="Todos",datos_base!$F$9,0))*parametros_manuales!$B$95+parametros_manuales!$D$30*(datos_base!$F$18+IF(parametros_manuales!$H$30="Todos",datos_base!$F$23,0))*parametros_manuales!$B$12+parametros_manuales!$E$30*(datos_base!$F$3+IF(parametros_manuales!$H$30="Todos",datos_base!$F$10,0))*parametros_manuales!$B$100+parametros_manuales!$E$30*(datos_base!$F$19+IF(parametros_manuales!$H$30="Todos",datos_base!$F$24,0))*parametros_manuales!$B$13+parametros_manuales!$F$30*(datos_base!$F$4+IF(parametros_manuales!$H$30="Todos",datos_base!$F$11,0))*parametros_manuales!$B$105+parametros_manuales!$F$30*(datos_base!$F$20+IF(parametros_manuales!$H$30="Todos",datos_base!$F$25,0))*parametros_manuales!$B$14+parametros_manuales!$G$30*(datos_base!$F$5+IF(parametros_manuales!$H$30="Todos",datos_base!$F$12,0))*parametros_manuales!$B$110+parametros_manuales!$G$30*(datos_base!$F$21+IF(parametros_manuales!$H$30="Todos",datos_base!$F$26,0))*parametros_manuales!$B$15)*parametros_manuales!$I$30*parametros_manuales!$J$30</f>
        <v>7935.883697511</v>
      </c>
      <c r="C121" s="9" t="n">
        <f aca="false">(parametros_manuales!$D$30*(datos_base!$F$2+IF(parametros_manuales!$H$30="Todos",datos_base!$F$9,0))*parametros_manuales!$C$95+parametros_manuales!$D$30*(datos_base!$F$18+IF(parametros_manuales!$H$30="Todos",datos_base!$F$23,0))*parametros_manuales!$C$12+parametros_manuales!$E$30*(datos_base!$F$3+IF(parametros_manuales!$H$30="Todos",datos_base!$F$10,0))*parametros_manuales!$C$100+parametros_manuales!$E$30*(datos_base!$F$19+IF(parametros_manuales!$H$30="Todos",datos_base!$F$24,0))*parametros_manuales!$C$13+parametros_manuales!$F$30*(datos_base!$F$4+IF(parametros_manuales!$H$30="Todos",datos_base!$F$11,0))*parametros_manuales!$C$105+parametros_manuales!$F$30*(datos_base!$F$20+IF(parametros_manuales!$H$30="Todos",datos_base!$F$25,0))*parametros_manuales!$C$14+parametros_manuales!$G$30*(datos_base!$F$5+IF(parametros_manuales!$H$30="Todos",datos_base!$F$12,0))*parametros_manuales!$C$110+parametros_manuales!$G$30*(datos_base!$F$21+IF(parametros_manuales!$H$30="Todos",datos_base!$F$26,0))*parametros_manuales!$C$15)*parametros_manuales!$I$30*parametros_manuales!$J$30</f>
        <v>7673.119569332</v>
      </c>
      <c r="D121" s="9" t="n">
        <f aca="false">(parametros_manuales!$D$30*(datos_base!$F$2+IF(parametros_manuales!$H$30="Todos",datos_base!$F$9,0))*parametros_manuales!$D$95+parametros_manuales!$D$30*(datos_base!$F$18+IF(parametros_manuales!$H$30="Todos",datos_base!$F$23,0))*parametros_manuales!$D$12+parametros_manuales!$E$30*(datos_base!$F$3+IF(parametros_manuales!$H$30="Todos",datos_base!$F$10,0))*parametros_manuales!$D$100+parametros_manuales!$E$30*(datos_base!$F$19+IF(parametros_manuales!$H$30="Todos",datos_base!$F$24,0))*parametros_manuales!$D$13+parametros_manuales!$F$30*(datos_base!$F$4+IF(parametros_manuales!$H$30="Todos",datos_base!$F$11,0))*parametros_manuales!$D$105+parametros_manuales!$F$30*(datos_base!$F$20+IF(parametros_manuales!$H$30="Todos",datos_base!$F$25,0))*parametros_manuales!$D$14+parametros_manuales!$G$30*(datos_base!$F$5+IF(parametros_manuales!$H$30="Todos",datos_base!$F$12,0))*parametros_manuales!$D$110+parametros_manuales!$G$30*(datos_base!$F$21+IF(parametros_manuales!$H$30="Todos",datos_base!$F$26,0))*parametros_manuales!$D$15)*parametros_manuales!$I$30*parametros_manuales!$J$30</f>
        <v>7182.1359063215</v>
      </c>
      <c r="E121" s="9" t="n">
        <f aca="false">(parametros_manuales!$D$30*(datos_base!$F$2+IF(parametros_manuales!$H$30="Todos",datos_base!$F$9,0))*parametros_manuales!$E$95+parametros_manuales!$D$30*(datos_base!$F$18+IF(parametros_manuales!$H$30="Todos",datos_base!$F$23,0))*parametros_manuales!$E$12+parametros_manuales!$E$30*(datos_base!$F$3+IF(parametros_manuales!$H$30="Todos",datos_base!$F$10,0))*parametros_manuales!$E$100+parametros_manuales!$E$30*(datos_base!$F$19+IF(parametros_manuales!$H$30="Todos",datos_base!$F$24,0))*parametros_manuales!$E$13+parametros_manuales!$F$30*(datos_base!$F$4+IF(parametros_manuales!$H$30="Todos",datos_base!$F$11,0))*parametros_manuales!$E$105+parametros_manuales!$F$30*(datos_base!$F$20+IF(parametros_manuales!$H$30="Todos",datos_base!$F$25,0))*parametros_manuales!$E$14+parametros_manuales!$G$30*(datos_base!$F$5+IF(parametros_manuales!$H$30="Todos",datos_base!$F$12,0))*parametros_manuales!$E$110+parametros_manuales!$G$30*(datos_base!$F$21+IF(parametros_manuales!$H$30="Todos",datos_base!$F$26,0))*parametros_manuales!$E$15)*parametros_manuales!$I$30*parametros_manuales!$J$30</f>
        <v>6871.5587427715</v>
      </c>
      <c r="F121" s="9" t="n">
        <f aca="false">(parametros_manuales!$D$30*(datos_base!$F$2+IF(parametros_manuales!$H$30="Todos",datos_base!$F$9,0))*parametros_manuales!$F$95+parametros_manuales!$D$30*(datos_base!$F$18+IF(parametros_manuales!$H$30="Todos",datos_base!$F$23,0))*parametros_manuales!$F$12+parametros_manuales!$E$30*(datos_base!$F$3+IF(parametros_manuales!$H$30="Todos",datos_base!$F$10,0))*parametros_manuales!$F$100+parametros_manuales!$E$30*(datos_base!$F$19+IF(parametros_manuales!$H$30="Todos",datos_base!$F$24,0))*parametros_manuales!$F$13+parametros_manuales!$F$30*(datos_base!$F$4+IF(parametros_manuales!$H$30="Todos",datos_base!$F$11,0))*parametros_manuales!$F$105+parametros_manuales!$F$30*(datos_base!$F$20+IF(parametros_manuales!$H$30="Todos",datos_base!$F$25,0))*parametros_manuales!$F$14+parametros_manuales!$G$30*(datos_base!$F$5+IF(parametros_manuales!$H$30="Todos",datos_base!$F$12,0))*parametros_manuales!$F$110+parametros_manuales!$G$30*(datos_base!$F$21+IF(parametros_manuales!$H$30="Todos",datos_base!$F$26,0))*parametros_manuales!$F$15)*parametros_manuales!$I$30*parametros_manuales!$J$30</f>
        <v>6430.810915132</v>
      </c>
      <c r="G121" s="9" t="n">
        <f aca="false">(parametros_manuales!$D$30*(datos_base!$F$2+IF(parametros_manuales!$H$30="Todos",datos_base!$F$9,0))*parametros_manuales!$G$95+parametros_manuales!$D$30*(datos_base!$F$18+IF(parametros_manuales!$H$30="Todos",datos_base!$F$23,0))*parametros_manuales!$G$12+parametros_manuales!$E$30*(datos_base!$F$3+IF(parametros_manuales!$H$30="Todos",datos_base!$F$10,0))*parametros_manuales!$G$100+parametros_manuales!$E$30*(datos_base!$F$19+IF(parametros_manuales!$H$30="Todos",datos_base!$F$24,0))*parametros_manuales!$G$13+parametros_manuales!$F$30*(datos_base!$F$4+IF(parametros_manuales!$H$30="Todos",datos_base!$F$11,0))*parametros_manuales!$G$105+parametros_manuales!$F$30*(datos_base!$F$20+IF(parametros_manuales!$H$30="Todos",datos_base!$F$25,0))*parametros_manuales!$G$14+parametros_manuales!$G$30*(datos_base!$F$5+IF(parametros_manuales!$H$30="Todos",datos_base!$F$12,0))*parametros_manuales!$G$110+parametros_manuales!$G$30*(datos_base!$F$21+IF(parametros_manuales!$H$30="Todos",datos_base!$F$26,0))*parametros_manuales!$G$15)*parametros_manuales!$I$30*parametros_manuales!$J$30</f>
        <v>6300.6402510425</v>
      </c>
      <c r="H121" s="9" t="n">
        <f aca="false">(parametros_manuales!$D$30*(datos_base!$F$2+IF(parametros_manuales!$H$30="Todos",datos_base!$F$9,0))*parametros_manuales!$H$95+parametros_manuales!$D$30*(datos_base!$F$18+IF(parametros_manuales!$H$30="Todos",datos_base!$F$23,0))*parametros_manuales!$H$12+parametros_manuales!$E$30*(datos_base!$F$3+IF(parametros_manuales!$H$30="Todos",datos_base!$F$10,0))*parametros_manuales!$H$100+parametros_manuales!$E$30*(datos_base!$F$19+IF(parametros_manuales!$H$30="Todos",datos_base!$F$24,0))*parametros_manuales!$H$13+parametros_manuales!$F$30*(datos_base!$F$4+IF(parametros_manuales!$H$30="Todos",datos_base!$F$11,0))*parametros_manuales!$H$105+parametros_manuales!$F$30*(datos_base!$F$20+IF(parametros_manuales!$H$30="Todos",datos_base!$F$25,0))*parametros_manuales!$H$14+parametros_manuales!$G$30*(datos_base!$F$5+IF(parametros_manuales!$H$30="Todos",datos_base!$F$12,0))*parametros_manuales!$H$110+parametros_manuales!$G$30*(datos_base!$F$21+IF(parametros_manuales!$H$30="Todos",datos_base!$F$26,0))*parametros_manuales!$H$15)*parametros_manuales!$I$30*parametros_manuales!$J$30</f>
        <v>6741.388078682</v>
      </c>
      <c r="I121" s="9" t="n">
        <f aca="false">(parametros_manuales!$D$30*(datos_base!$F$2+IF(parametros_manuales!$H$30="Todos",datos_base!$F$9,0))*parametros_manuales!$I$95+parametros_manuales!$D$30*(datos_base!$F$18+IF(parametros_manuales!$H$30="Todos",datos_base!$F$23,0))*parametros_manuales!$I$12+parametros_manuales!$E$30*(datos_base!$F$3+IF(parametros_manuales!$H$30="Todos",datos_base!$F$10,0))*parametros_manuales!$I$100+parametros_manuales!$E$30*(datos_base!$F$19+IF(parametros_manuales!$H$30="Todos",datos_base!$F$24,0))*parametros_manuales!$I$13+parametros_manuales!$F$30*(datos_base!$F$4+IF(parametros_manuales!$H$30="Todos",datos_base!$F$11,0))*parametros_manuales!$I$105+parametros_manuales!$F$30*(datos_base!$F$20+IF(parametros_manuales!$H$30="Todos",datos_base!$F$25,0))*parametros_manuales!$I$14+parametros_manuales!$G$30*(datos_base!$F$5+IF(parametros_manuales!$H$30="Todos",datos_base!$F$12,0))*parametros_manuales!$I$110+parametros_manuales!$G$30*(datos_base!$F$21+IF(parametros_manuales!$H$30="Todos",datos_base!$F$26,0))*parametros_manuales!$I$15)*parametros_manuales!$I$30*parametros_manuales!$J$30</f>
        <v>7673.11956933199</v>
      </c>
      <c r="J121" s="9" t="n">
        <f aca="false">(parametros_manuales!$D$30*(datos_base!$F$2+IF(parametros_manuales!$H$30="Todos",datos_base!$F$9,0))*parametros_manuales!$J$95+parametros_manuales!$D$30*(datos_base!$F$18+IF(parametros_manuales!$H$30="Todos",datos_base!$F$23,0))*parametros_manuales!$J$12+parametros_manuales!$E$30*(datos_base!$F$3+IF(parametros_manuales!$H$30="Todos",datos_base!$F$10,0))*parametros_manuales!$J$100+parametros_manuales!$E$30*(datos_base!$F$19+IF(parametros_manuales!$H$30="Todos",datos_base!$F$24,0))*parametros_manuales!$J$13+parametros_manuales!$F$30*(datos_base!$F$4+IF(parametros_manuales!$H$30="Todos",datos_base!$F$11,0))*parametros_manuales!$J$105+parametros_manuales!$F$30*(datos_base!$F$20+IF(parametros_manuales!$H$30="Todos",datos_base!$F$25,0))*parametros_manuales!$J$14+parametros_manuales!$G$30*(datos_base!$F$5+IF(parametros_manuales!$H$30="Todos",datos_base!$F$12,0))*parametros_manuales!$J$110+parametros_manuales!$G$30*(datos_base!$F$21+IF(parametros_manuales!$H$30="Todos",datos_base!$F$26,0))*parametros_manuales!$J$15)*parametros_manuales!$I$30*parametros_manuales!$J$30</f>
        <v>7673.119569332</v>
      </c>
      <c r="K121" s="9" t="n">
        <f aca="false">(parametros_manuales!$D$30*(datos_base!$F$2+IF(parametros_manuales!$H$30="Todos",datos_base!$F$9,0))*parametros_manuales!$K$95+parametros_manuales!$D$30*(datos_base!$F$18+IF(parametros_manuales!$H$30="Todos",datos_base!$F$23,0))*parametros_manuales!$K$12+parametros_manuales!$E$30*(datos_base!$F$3+IF(parametros_manuales!$H$30="Todos",datos_base!$F$10,0))*parametros_manuales!$K$100+parametros_manuales!$E$30*(datos_base!$F$19+IF(parametros_manuales!$H$30="Todos",datos_base!$F$24,0))*parametros_manuales!$K$13+parametros_manuales!$F$30*(datos_base!$F$4+IF(parametros_manuales!$H$30="Todos",datos_base!$F$11,0))*parametros_manuales!$K$105+parametros_manuales!$F$30*(datos_base!$F$20+IF(parametros_manuales!$H$30="Todos",datos_base!$F$25,0))*parametros_manuales!$K$14+parametros_manuales!$G$30*(datos_base!$F$5+IF(parametros_manuales!$H$30="Todos",datos_base!$F$12,0))*parametros_manuales!$K$110+parametros_manuales!$G$30*(datos_base!$F$21+IF(parametros_manuales!$H$30="Todos",datos_base!$F$26,0))*parametros_manuales!$K$15)*parametros_manuales!$I$30*parametros_manuales!$J$30</f>
        <v>7800.8674334215</v>
      </c>
      <c r="L121" s="9" t="n">
        <f aca="false">(parametros_manuales!$D$30*(datos_base!$F$2+IF(parametros_manuales!$H$30="Todos",datos_base!$F$9,0))*parametros_manuales!$L$95+parametros_manuales!$D$30*(datos_base!$F$18+IF(parametros_manuales!$H$30="Todos",datos_base!$F$23,0))*parametros_manuales!$L$12+parametros_manuales!$E$30*(datos_base!$F$3+IF(parametros_manuales!$H$30="Todos",datos_base!$F$10,0))*parametros_manuales!$L$100+parametros_manuales!$E$30*(datos_base!$F$19+IF(parametros_manuales!$H$30="Todos",datos_base!$F$24,0))*parametros_manuales!$L$13+parametros_manuales!$F$30*(datos_base!$F$4+IF(parametros_manuales!$H$30="Todos",datos_base!$F$11,0))*parametros_manuales!$L$105+parametros_manuales!$F$30*(datos_base!$F$20+IF(parametros_manuales!$H$30="Todos",datos_base!$F$25,0))*parametros_manuales!$L$14+parametros_manuales!$G$30*(datos_base!$F$5+IF(parametros_manuales!$H$30="Todos",datos_base!$F$12,0))*parametros_manuales!$L$110+parametros_manuales!$G$30*(datos_base!$F$21+IF(parametros_manuales!$H$30="Todos",datos_base!$F$26,0))*parametros_manuales!$L$15)*parametros_manuales!$I$30*parametros_manuales!$J$30</f>
        <v>7928.615297511</v>
      </c>
      <c r="M121" s="9" t="n">
        <f aca="false">(parametros_manuales!$D$30*(datos_base!$F$2+IF(parametros_manuales!$H$30="Todos",datos_base!$F$9,0))*parametros_manuales!$M$95+parametros_manuales!$D$30*(datos_base!$F$18+IF(parametros_manuales!$H$30="Todos",datos_base!$F$23,0))*parametros_manuales!$M$12+parametros_manuales!$E$30*(datos_base!$F$3+IF(parametros_manuales!$H$30="Todos",datos_base!$F$10,0))*parametros_manuales!$M$100+parametros_manuales!$E$30*(datos_base!$F$19+IF(parametros_manuales!$H$30="Todos",datos_base!$F$24,0))*parametros_manuales!$M$13+parametros_manuales!$F$30*(datos_base!$F$4+IF(parametros_manuales!$H$30="Todos",datos_base!$F$11,0))*parametros_manuales!$M$105+parametros_manuales!$F$30*(datos_base!$F$20+IF(parametros_manuales!$H$30="Todos",datos_base!$F$25,0))*parametros_manuales!$M$14+parametros_manuales!$G$30*(datos_base!$F$5+IF(parametros_manuales!$H$30="Todos",datos_base!$F$12,0))*parametros_manuales!$M$110+parametros_manuales!$G$30*(datos_base!$F$21+IF(parametros_manuales!$H$30="Todos",datos_base!$F$26,0))*parametros_manuales!$M$15)*parametros_manuales!$I$30*parametros_manuales!$J$30</f>
        <v>7938.306497511</v>
      </c>
      <c r="N121" s="9" t="n">
        <f aca="false">SUM(B121:M121)</f>
        <v>88149.5655279</v>
      </c>
      <c r="O121" s="9" t="n">
        <f aca="false">MAX(B121:M121)</f>
        <v>7938.306497511</v>
      </c>
      <c r="P121" s="44" t="n">
        <f aca="false">O121/(parametros_manuales!$B$7)</f>
        <v>52.92204331674</v>
      </c>
      <c r="Q121" s="8" t="str">
        <f aca="false">IF(O121=0,"-",INDEX($B$109:$M$109,MATCH(O121,B121:M121,0)))</f>
        <v>Dic</v>
      </c>
    </row>
    <row r="122" customFormat="false" ht="14.25" hidden="false" customHeight="true" outlineLevel="0" collapsed="false">
      <c r="A122" s="8" t="str">
        <f aca="false">parametros_manuales!$B$31</f>
        <v>Control de calidad — Espesor</v>
      </c>
      <c r="B122" s="9" t="n">
        <f aca="false">(parametros_manuales!$D$31*(datos_base!$F$2+IF(parametros_manuales!$H$31="Todos",datos_base!$F$9,0))*parametros_manuales!$B$95+parametros_manuales!$D$31*(datos_base!$F$18+IF(parametros_manuales!$H$31="Todos",datos_base!$F$23,0))*parametros_manuales!$B$12+parametros_manuales!$E$31*(datos_base!$F$3+IF(parametros_manuales!$H$31="Todos",datos_base!$F$10,0))*parametros_manuales!$B$100+parametros_manuales!$E$31*(datos_base!$F$19+IF(parametros_manuales!$H$31="Todos",datos_base!$F$24,0))*parametros_manuales!$B$13+parametros_manuales!$F$31*(datos_base!$F$4+IF(parametros_manuales!$H$31="Todos",datos_base!$F$11,0))*parametros_manuales!$B$105+parametros_manuales!$F$31*(datos_base!$F$20+IF(parametros_manuales!$H$31="Todos",datos_base!$F$25,0))*parametros_manuales!$B$14+parametros_manuales!$G$31*(datos_base!$F$5+IF(parametros_manuales!$H$31="Todos",datos_base!$F$12,0))*parametros_manuales!$B$110+parametros_manuales!$G$31*(datos_base!$F$21+IF(parametros_manuales!$H$31="Todos",datos_base!$F$26,0))*parametros_manuales!$B$15)*parametros_manuales!$I$31*parametros_manuales!$J$31</f>
        <v>158.71767395022</v>
      </c>
      <c r="C122" s="9" t="n">
        <f aca="false">(parametros_manuales!$D$31*(datos_base!$F$2+IF(parametros_manuales!$H$31="Todos",datos_base!$F$9,0))*parametros_manuales!$C$95+parametros_manuales!$D$31*(datos_base!$F$18+IF(parametros_manuales!$H$31="Todos",datos_base!$F$23,0))*parametros_manuales!$C$12+parametros_manuales!$E$31*(datos_base!$F$3+IF(parametros_manuales!$H$31="Todos",datos_base!$F$10,0))*parametros_manuales!$C$100+parametros_manuales!$E$31*(datos_base!$F$19+IF(parametros_manuales!$H$31="Todos",datos_base!$F$24,0))*parametros_manuales!$C$13+parametros_manuales!$F$31*(datos_base!$F$4+IF(parametros_manuales!$H$31="Todos",datos_base!$F$11,0))*parametros_manuales!$C$105+parametros_manuales!$F$31*(datos_base!$F$20+IF(parametros_manuales!$H$31="Todos",datos_base!$F$25,0))*parametros_manuales!$C$14+parametros_manuales!$G$31*(datos_base!$F$5+IF(parametros_manuales!$H$31="Todos",datos_base!$F$12,0))*parametros_manuales!$C$110+parametros_manuales!$G$31*(datos_base!$F$21+IF(parametros_manuales!$H$31="Todos",datos_base!$F$26,0))*parametros_manuales!$C$15)*parametros_manuales!$I$31*parametros_manuales!$J$31</f>
        <v>153.46239138664</v>
      </c>
      <c r="D122" s="9" t="n">
        <f aca="false">(parametros_manuales!$D$31*(datos_base!$F$2+IF(parametros_manuales!$H$31="Todos",datos_base!$F$9,0))*parametros_manuales!$D$95+parametros_manuales!$D$31*(datos_base!$F$18+IF(parametros_manuales!$H$31="Todos",datos_base!$F$23,0))*parametros_manuales!$D$12+parametros_manuales!$E$31*(datos_base!$F$3+IF(parametros_manuales!$H$31="Todos",datos_base!$F$10,0))*parametros_manuales!$D$100+parametros_manuales!$E$31*(datos_base!$F$19+IF(parametros_manuales!$H$31="Todos",datos_base!$F$24,0))*parametros_manuales!$D$13+parametros_manuales!$F$31*(datos_base!$F$4+IF(parametros_manuales!$H$31="Todos",datos_base!$F$11,0))*parametros_manuales!$D$105+parametros_manuales!$F$31*(datos_base!$F$20+IF(parametros_manuales!$H$31="Todos",datos_base!$F$25,0))*parametros_manuales!$D$14+parametros_manuales!$G$31*(datos_base!$F$5+IF(parametros_manuales!$H$31="Todos",datos_base!$F$12,0))*parametros_manuales!$D$110+parametros_manuales!$G$31*(datos_base!$F$21+IF(parametros_manuales!$H$31="Todos",datos_base!$F$26,0))*parametros_manuales!$D$15)*parametros_manuales!$I$31*parametros_manuales!$J$31</f>
        <v>143.64271812643</v>
      </c>
      <c r="E122" s="9" t="n">
        <f aca="false">(parametros_manuales!$D$31*(datos_base!$F$2+IF(parametros_manuales!$H$31="Todos",datos_base!$F$9,0))*parametros_manuales!$E$95+parametros_manuales!$D$31*(datos_base!$F$18+IF(parametros_manuales!$H$31="Todos",datos_base!$F$23,0))*parametros_manuales!$E$12+parametros_manuales!$E$31*(datos_base!$F$3+IF(parametros_manuales!$H$31="Todos",datos_base!$F$10,0))*parametros_manuales!$E$100+parametros_manuales!$E$31*(datos_base!$F$19+IF(parametros_manuales!$H$31="Todos",datos_base!$F$24,0))*parametros_manuales!$E$13+parametros_manuales!$F$31*(datos_base!$F$4+IF(parametros_manuales!$H$31="Todos",datos_base!$F$11,0))*parametros_manuales!$E$105+parametros_manuales!$F$31*(datos_base!$F$20+IF(parametros_manuales!$H$31="Todos",datos_base!$F$25,0))*parametros_manuales!$E$14+parametros_manuales!$G$31*(datos_base!$F$5+IF(parametros_manuales!$H$31="Todos",datos_base!$F$12,0))*parametros_manuales!$E$110+parametros_manuales!$G$31*(datos_base!$F$21+IF(parametros_manuales!$H$31="Todos",datos_base!$F$26,0))*parametros_manuales!$E$15)*parametros_manuales!$I$31*parametros_manuales!$J$31</f>
        <v>137.43117485543</v>
      </c>
      <c r="F122" s="9" t="n">
        <f aca="false">(parametros_manuales!$D$31*(datos_base!$F$2+IF(parametros_manuales!$H$31="Todos",datos_base!$F$9,0))*parametros_manuales!$F$95+parametros_manuales!$D$31*(datos_base!$F$18+IF(parametros_manuales!$H$31="Todos",datos_base!$F$23,0))*parametros_manuales!$F$12+parametros_manuales!$E$31*(datos_base!$F$3+IF(parametros_manuales!$H$31="Todos",datos_base!$F$10,0))*parametros_manuales!$F$100+parametros_manuales!$E$31*(datos_base!$F$19+IF(parametros_manuales!$H$31="Todos",datos_base!$F$24,0))*parametros_manuales!$F$13+parametros_manuales!$F$31*(datos_base!$F$4+IF(parametros_manuales!$H$31="Todos",datos_base!$F$11,0))*parametros_manuales!$F$105+parametros_manuales!$F$31*(datos_base!$F$20+IF(parametros_manuales!$H$31="Todos",datos_base!$F$25,0))*parametros_manuales!$F$14+parametros_manuales!$G$31*(datos_base!$F$5+IF(parametros_manuales!$H$31="Todos",datos_base!$F$12,0))*parametros_manuales!$F$110+parametros_manuales!$G$31*(datos_base!$F$21+IF(parametros_manuales!$H$31="Todos",datos_base!$F$26,0))*parametros_manuales!$F$15)*parametros_manuales!$I$31*parametros_manuales!$J$31</f>
        <v>128.61621830264</v>
      </c>
      <c r="G122" s="9" t="n">
        <f aca="false">(parametros_manuales!$D$31*(datos_base!$F$2+IF(parametros_manuales!$H$31="Todos",datos_base!$F$9,0))*parametros_manuales!$G$95+parametros_manuales!$D$31*(datos_base!$F$18+IF(parametros_manuales!$H$31="Todos",datos_base!$F$23,0))*parametros_manuales!$G$12+parametros_manuales!$E$31*(datos_base!$F$3+IF(parametros_manuales!$H$31="Todos",datos_base!$F$10,0))*parametros_manuales!$G$100+parametros_manuales!$E$31*(datos_base!$F$19+IF(parametros_manuales!$H$31="Todos",datos_base!$F$24,0))*parametros_manuales!$G$13+parametros_manuales!$F$31*(datos_base!$F$4+IF(parametros_manuales!$H$31="Todos",datos_base!$F$11,0))*parametros_manuales!$G$105+parametros_manuales!$F$31*(datos_base!$F$20+IF(parametros_manuales!$H$31="Todos",datos_base!$F$25,0))*parametros_manuales!$G$14+parametros_manuales!$G$31*(datos_base!$F$5+IF(parametros_manuales!$H$31="Todos",datos_base!$F$12,0))*parametros_manuales!$G$110+parametros_manuales!$G$31*(datos_base!$F$21+IF(parametros_manuales!$H$31="Todos",datos_base!$F$26,0))*parametros_manuales!$G$15)*parametros_manuales!$I$31*parametros_manuales!$J$31</f>
        <v>126.01280502085</v>
      </c>
      <c r="H122" s="9" t="n">
        <f aca="false">(parametros_manuales!$D$31*(datos_base!$F$2+IF(parametros_manuales!$H$31="Todos",datos_base!$F$9,0))*parametros_manuales!$H$95+parametros_manuales!$D$31*(datos_base!$F$18+IF(parametros_manuales!$H$31="Todos",datos_base!$F$23,0))*parametros_manuales!$H$12+parametros_manuales!$E$31*(datos_base!$F$3+IF(parametros_manuales!$H$31="Todos",datos_base!$F$10,0))*parametros_manuales!$H$100+parametros_manuales!$E$31*(datos_base!$F$19+IF(parametros_manuales!$H$31="Todos",datos_base!$F$24,0))*parametros_manuales!$H$13+parametros_manuales!$F$31*(datos_base!$F$4+IF(parametros_manuales!$H$31="Todos",datos_base!$F$11,0))*parametros_manuales!$H$105+parametros_manuales!$F$31*(datos_base!$F$20+IF(parametros_manuales!$H$31="Todos",datos_base!$F$25,0))*parametros_manuales!$H$14+parametros_manuales!$G$31*(datos_base!$F$5+IF(parametros_manuales!$H$31="Todos",datos_base!$F$12,0))*parametros_manuales!$H$110+parametros_manuales!$G$31*(datos_base!$F$21+IF(parametros_manuales!$H$31="Todos",datos_base!$F$26,0))*parametros_manuales!$H$15)*parametros_manuales!$I$31*parametros_manuales!$J$31</f>
        <v>134.82776157364</v>
      </c>
      <c r="I122" s="9" t="n">
        <f aca="false">(parametros_manuales!$D$31*(datos_base!$F$2+IF(parametros_manuales!$H$31="Todos",datos_base!$F$9,0))*parametros_manuales!$I$95+parametros_manuales!$D$31*(datos_base!$F$18+IF(parametros_manuales!$H$31="Todos",datos_base!$F$23,0))*parametros_manuales!$I$12+parametros_manuales!$E$31*(datos_base!$F$3+IF(parametros_manuales!$H$31="Todos",datos_base!$F$10,0))*parametros_manuales!$I$100+parametros_manuales!$E$31*(datos_base!$F$19+IF(parametros_manuales!$H$31="Todos",datos_base!$F$24,0))*parametros_manuales!$I$13+parametros_manuales!$F$31*(datos_base!$F$4+IF(parametros_manuales!$H$31="Todos",datos_base!$F$11,0))*parametros_manuales!$I$105+parametros_manuales!$F$31*(datos_base!$F$20+IF(parametros_manuales!$H$31="Todos",datos_base!$F$25,0))*parametros_manuales!$I$14+parametros_manuales!$G$31*(datos_base!$F$5+IF(parametros_manuales!$H$31="Todos",datos_base!$F$12,0))*parametros_manuales!$I$110+parametros_manuales!$G$31*(datos_base!$F$21+IF(parametros_manuales!$H$31="Todos",datos_base!$F$26,0))*parametros_manuales!$I$15)*parametros_manuales!$I$31*parametros_manuales!$J$31</f>
        <v>153.46239138664</v>
      </c>
      <c r="J122" s="9" t="n">
        <f aca="false">(parametros_manuales!$D$31*(datos_base!$F$2+IF(parametros_manuales!$H$31="Todos",datos_base!$F$9,0))*parametros_manuales!$J$95+parametros_manuales!$D$31*(datos_base!$F$18+IF(parametros_manuales!$H$31="Todos",datos_base!$F$23,0))*parametros_manuales!$J$12+parametros_manuales!$E$31*(datos_base!$F$3+IF(parametros_manuales!$H$31="Todos",datos_base!$F$10,0))*parametros_manuales!$J$100+parametros_manuales!$E$31*(datos_base!$F$19+IF(parametros_manuales!$H$31="Todos",datos_base!$F$24,0))*parametros_manuales!$J$13+parametros_manuales!$F$31*(datos_base!$F$4+IF(parametros_manuales!$H$31="Todos",datos_base!$F$11,0))*parametros_manuales!$J$105+parametros_manuales!$F$31*(datos_base!$F$20+IF(parametros_manuales!$H$31="Todos",datos_base!$F$25,0))*parametros_manuales!$J$14+parametros_manuales!$G$31*(datos_base!$F$5+IF(parametros_manuales!$H$31="Todos",datos_base!$F$12,0))*parametros_manuales!$J$110+parametros_manuales!$G$31*(datos_base!$F$21+IF(parametros_manuales!$H$31="Todos",datos_base!$F$26,0))*parametros_manuales!$J$15)*parametros_manuales!$I$31*parametros_manuales!$J$31</f>
        <v>153.46239138664</v>
      </c>
      <c r="K122" s="9" t="n">
        <f aca="false">(parametros_manuales!$D$31*(datos_base!$F$2+IF(parametros_manuales!$H$31="Todos",datos_base!$F$9,0))*parametros_manuales!$K$95+parametros_manuales!$D$31*(datos_base!$F$18+IF(parametros_manuales!$H$31="Todos",datos_base!$F$23,0))*parametros_manuales!$K$12+parametros_manuales!$E$31*(datos_base!$F$3+IF(parametros_manuales!$H$31="Todos",datos_base!$F$10,0))*parametros_manuales!$K$100+parametros_manuales!$E$31*(datos_base!$F$19+IF(parametros_manuales!$H$31="Todos",datos_base!$F$24,0))*parametros_manuales!$K$13+parametros_manuales!$F$31*(datos_base!$F$4+IF(parametros_manuales!$H$31="Todos",datos_base!$F$11,0))*parametros_manuales!$K$105+parametros_manuales!$F$31*(datos_base!$F$20+IF(parametros_manuales!$H$31="Todos",datos_base!$F$25,0))*parametros_manuales!$K$14+parametros_manuales!$G$31*(datos_base!$F$5+IF(parametros_manuales!$H$31="Todos",datos_base!$F$12,0))*parametros_manuales!$K$110+parametros_manuales!$G$31*(datos_base!$F$21+IF(parametros_manuales!$H$31="Todos",datos_base!$F$26,0))*parametros_manuales!$K$15)*parametros_manuales!$I$31*parametros_manuales!$J$31</f>
        <v>156.01734866843</v>
      </c>
      <c r="L122" s="9" t="n">
        <f aca="false">(parametros_manuales!$D$31*(datos_base!$F$2+IF(parametros_manuales!$H$31="Todos",datos_base!$F$9,0))*parametros_manuales!$L$95+parametros_manuales!$D$31*(datos_base!$F$18+IF(parametros_manuales!$H$31="Todos",datos_base!$F$23,0))*parametros_manuales!$L$12+parametros_manuales!$E$31*(datos_base!$F$3+IF(parametros_manuales!$H$31="Todos",datos_base!$F$10,0))*parametros_manuales!$L$100+parametros_manuales!$E$31*(datos_base!$F$19+IF(parametros_manuales!$H$31="Todos",datos_base!$F$24,0))*parametros_manuales!$L$13+parametros_manuales!$F$31*(datos_base!$F$4+IF(parametros_manuales!$H$31="Todos",datos_base!$F$11,0))*parametros_manuales!$L$105+parametros_manuales!$F$31*(datos_base!$F$20+IF(parametros_manuales!$H$31="Todos",datos_base!$F$25,0))*parametros_manuales!$L$14+parametros_manuales!$G$31*(datos_base!$F$5+IF(parametros_manuales!$H$31="Todos",datos_base!$F$12,0))*parametros_manuales!$L$110+parametros_manuales!$G$31*(datos_base!$F$21+IF(parametros_manuales!$H$31="Todos",datos_base!$F$26,0))*parametros_manuales!$L$15)*parametros_manuales!$I$31*parametros_manuales!$J$31</f>
        <v>158.57230595022</v>
      </c>
      <c r="M122" s="9" t="n">
        <f aca="false">(parametros_manuales!$D$31*(datos_base!$F$2+IF(parametros_manuales!$H$31="Todos",datos_base!$F$9,0))*parametros_manuales!$M$95+parametros_manuales!$D$31*(datos_base!$F$18+IF(parametros_manuales!$H$31="Todos",datos_base!$F$23,0))*parametros_manuales!$M$12+parametros_manuales!$E$31*(datos_base!$F$3+IF(parametros_manuales!$H$31="Todos",datos_base!$F$10,0))*parametros_manuales!$M$100+parametros_manuales!$E$31*(datos_base!$F$19+IF(parametros_manuales!$H$31="Todos",datos_base!$F$24,0))*parametros_manuales!$M$13+parametros_manuales!$F$31*(datos_base!$F$4+IF(parametros_manuales!$H$31="Todos",datos_base!$F$11,0))*parametros_manuales!$M$105+parametros_manuales!$F$31*(datos_base!$F$20+IF(parametros_manuales!$H$31="Todos",datos_base!$F$25,0))*parametros_manuales!$M$14+parametros_manuales!$G$31*(datos_base!$F$5+IF(parametros_manuales!$H$31="Todos",datos_base!$F$12,0))*parametros_manuales!$M$110+parametros_manuales!$G$31*(datos_base!$F$21+IF(parametros_manuales!$H$31="Todos",datos_base!$F$26,0))*parametros_manuales!$M$15)*parametros_manuales!$I$31*parametros_manuales!$J$31</f>
        <v>158.76612995022</v>
      </c>
      <c r="N122" s="9" t="n">
        <f aca="false">SUM(B122:M122)</f>
        <v>1762.991310558</v>
      </c>
      <c r="O122" s="9" t="n">
        <f aca="false">MAX(B122:M122)</f>
        <v>158.76612995022</v>
      </c>
      <c r="P122" s="44" t="n">
        <f aca="false">O122/(parametros_manuales!$B$7)</f>
        <v>1.0584408663348</v>
      </c>
      <c r="Q122" s="8" t="str">
        <f aca="false">IF(O122=0,"-",INDEX($B$109:$M$109,MATCH(O122,B122:M122,0)))</f>
        <v>Dic</v>
      </c>
    </row>
    <row r="123" customFormat="false" ht="14.25" hidden="false" customHeight="true" outlineLevel="0" collapsed="false">
      <c r="A123" s="8" t="str">
        <f aca="false">parametros_manuales!$B$32</f>
        <v>Prueba hidráulica</v>
      </c>
      <c r="B123" s="9" t="n">
        <f aca="false">(parametros_manuales!$D$32*(datos_base!$F$2+IF(parametros_manuales!$H$32="Todos",datos_base!$F$9,0))*parametros_manuales!$B$95+parametros_manuales!$D$32*(datos_base!$F$18+IF(parametros_manuales!$H$32="Todos",datos_base!$F$23,0))*parametros_manuales!$B$12+parametros_manuales!$E$32*(datos_base!$F$3+IF(parametros_manuales!$H$32="Todos",datos_base!$F$10,0))*parametros_manuales!$B$100+parametros_manuales!$E$32*(datos_base!$F$19+IF(parametros_manuales!$H$32="Todos",datos_base!$F$24,0))*parametros_manuales!$B$13+parametros_manuales!$F$32*(datos_base!$F$4+IF(parametros_manuales!$H$32="Todos",datos_base!$F$11,0))*parametros_manuales!$B$105+parametros_manuales!$F$32*(datos_base!$F$20+IF(parametros_manuales!$H$32="Todos",datos_base!$F$25,0))*parametros_manuales!$B$14+parametros_manuales!$G$32*(datos_base!$F$5+IF(parametros_manuales!$H$32="Todos",datos_base!$F$12,0))*parametros_manuales!$B$110+parametros_manuales!$G$32*(datos_base!$F$21+IF(parametros_manuales!$H$32="Todos",datos_base!$F$26,0))*parametros_manuales!$B$15)*parametros_manuales!$I$32*parametros_manuales!$J$32</f>
        <v>7935.883697511</v>
      </c>
      <c r="C123" s="9" t="n">
        <f aca="false">(parametros_manuales!$D$32*(datos_base!$F$2+IF(parametros_manuales!$H$32="Todos",datos_base!$F$9,0))*parametros_manuales!$C$95+parametros_manuales!$D$32*(datos_base!$F$18+IF(parametros_manuales!$H$32="Todos",datos_base!$F$23,0))*parametros_manuales!$C$12+parametros_manuales!$E$32*(datos_base!$F$3+IF(parametros_manuales!$H$32="Todos",datos_base!$F$10,0))*parametros_manuales!$C$100+parametros_manuales!$E$32*(datos_base!$F$19+IF(parametros_manuales!$H$32="Todos",datos_base!$F$24,0))*parametros_manuales!$C$13+parametros_manuales!$F$32*(datos_base!$F$4+IF(parametros_manuales!$H$32="Todos",datos_base!$F$11,0))*parametros_manuales!$C$105+parametros_manuales!$F$32*(datos_base!$F$20+IF(parametros_manuales!$H$32="Todos",datos_base!$F$25,0))*parametros_manuales!$C$14+parametros_manuales!$G$32*(datos_base!$F$5+IF(parametros_manuales!$H$32="Todos",datos_base!$F$12,0))*parametros_manuales!$C$110+parametros_manuales!$G$32*(datos_base!$F$21+IF(parametros_manuales!$H$32="Todos",datos_base!$F$26,0))*parametros_manuales!$C$15)*parametros_manuales!$I$32*parametros_manuales!$J$32</f>
        <v>7673.119569332</v>
      </c>
      <c r="D123" s="9" t="n">
        <f aca="false">(parametros_manuales!$D$32*(datos_base!$F$2+IF(parametros_manuales!$H$32="Todos",datos_base!$F$9,0))*parametros_manuales!$D$95+parametros_manuales!$D$32*(datos_base!$F$18+IF(parametros_manuales!$H$32="Todos",datos_base!$F$23,0))*parametros_manuales!$D$12+parametros_manuales!$E$32*(datos_base!$F$3+IF(parametros_manuales!$H$32="Todos",datos_base!$F$10,0))*parametros_manuales!$D$100+parametros_manuales!$E$32*(datos_base!$F$19+IF(parametros_manuales!$H$32="Todos",datos_base!$F$24,0))*parametros_manuales!$D$13+parametros_manuales!$F$32*(datos_base!$F$4+IF(parametros_manuales!$H$32="Todos",datos_base!$F$11,0))*parametros_manuales!$D$105+parametros_manuales!$F$32*(datos_base!$F$20+IF(parametros_manuales!$H$32="Todos",datos_base!$F$25,0))*parametros_manuales!$D$14+parametros_manuales!$G$32*(datos_base!$F$5+IF(parametros_manuales!$H$32="Todos",datos_base!$F$12,0))*parametros_manuales!$D$110+parametros_manuales!$G$32*(datos_base!$F$21+IF(parametros_manuales!$H$32="Todos",datos_base!$F$26,0))*parametros_manuales!$D$15)*parametros_manuales!$I$32*parametros_manuales!$J$32</f>
        <v>7182.1359063215</v>
      </c>
      <c r="E123" s="9" t="n">
        <f aca="false">(parametros_manuales!$D$32*(datos_base!$F$2+IF(parametros_manuales!$H$32="Todos",datos_base!$F$9,0))*parametros_manuales!$E$95+parametros_manuales!$D$32*(datos_base!$F$18+IF(parametros_manuales!$H$32="Todos",datos_base!$F$23,0))*parametros_manuales!$E$12+parametros_manuales!$E$32*(datos_base!$F$3+IF(parametros_manuales!$H$32="Todos",datos_base!$F$10,0))*parametros_manuales!$E$100+parametros_manuales!$E$32*(datos_base!$F$19+IF(parametros_manuales!$H$32="Todos",datos_base!$F$24,0))*parametros_manuales!$E$13+parametros_manuales!$F$32*(datos_base!$F$4+IF(parametros_manuales!$H$32="Todos",datos_base!$F$11,0))*parametros_manuales!$E$105+parametros_manuales!$F$32*(datos_base!$F$20+IF(parametros_manuales!$H$32="Todos",datos_base!$F$25,0))*parametros_manuales!$E$14+parametros_manuales!$G$32*(datos_base!$F$5+IF(parametros_manuales!$H$32="Todos",datos_base!$F$12,0))*parametros_manuales!$E$110+parametros_manuales!$G$32*(datos_base!$F$21+IF(parametros_manuales!$H$32="Todos",datos_base!$F$26,0))*parametros_manuales!$E$15)*parametros_manuales!$I$32*parametros_manuales!$J$32</f>
        <v>6871.5587427715</v>
      </c>
      <c r="F123" s="9" t="n">
        <f aca="false">(parametros_manuales!$D$32*(datos_base!$F$2+IF(parametros_manuales!$H$32="Todos",datos_base!$F$9,0))*parametros_manuales!$F$95+parametros_manuales!$D$32*(datos_base!$F$18+IF(parametros_manuales!$H$32="Todos",datos_base!$F$23,0))*parametros_manuales!$F$12+parametros_manuales!$E$32*(datos_base!$F$3+IF(parametros_manuales!$H$32="Todos",datos_base!$F$10,0))*parametros_manuales!$F$100+parametros_manuales!$E$32*(datos_base!$F$19+IF(parametros_manuales!$H$32="Todos",datos_base!$F$24,0))*parametros_manuales!$F$13+parametros_manuales!$F$32*(datos_base!$F$4+IF(parametros_manuales!$H$32="Todos",datos_base!$F$11,0))*parametros_manuales!$F$105+parametros_manuales!$F$32*(datos_base!$F$20+IF(parametros_manuales!$H$32="Todos",datos_base!$F$25,0))*parametros_manuales!$F$14+parametros_manuales!$G$32*(datos_base!$F$5+IF(parametros_manuales!$H$32="Todos",datos_base!$F$12,0))*parametros_manuales!$F$110+parametros_manuales!$G$32*(datos_base!$F$21+IF(parametros_manuales!$H$32="Todos",datos_base!$F$26,0))*parametros_manuales!$F$15)*parametros_manuales!$I$32*parametros_manuales!$J$32</f>
        <v>6430.810915132</v>
      </c>
      <c r="G123" s="9" t="n">
        <f aca="false">(parametros_manuales!$D$32*(datos_base!$F$2+IF(parametros_manuales!$H$32="Todos",datos_base!$F$9,0))*parametros_manuales!$G$95+parametros_manuales!$D$32*(datos_base!$F$18+IF(parametros_manuales!$H$32="Todos",datos_base!$F$23,0))*parametros_manuales!$G$12+parametros_manuales!$E$32*(datos_base!$F$3+IF(parametros_manuales!$H$32="Todos",datos_base!$F$10,0))*parametros_manuales!$G$100+parametros_manuales!$E$32*(datos_base!$F$19+IF(parametros_manuales!$H$32="Todos",datos_base!$F$24,0))*parametros_manuales!$G$13+parametros_manuales!$F$32*(datos_base!$F$4+IF(parametros_manuales!$H$32="Todos",datos_base!$F$11,0))*parametros_manuales!$G$105+parametros_manuales!$F$32*(datos_base!$F$20+IF(parametros_manuales!$H$32="Todos",datos_base!$F$25,0))*parametros_manuales!$G$14+parametros_manuales!$G$32*(datos_base!$F$5+IF(parametros_manuales!$H$32="Todos",datos_base!$F$12,0))*parametros_manuales!$G$110+parametros_manuales!$G$32*(datos_base!$F$21+IF(parametros_manuales!$H$32="Todos",datos_base!$F$26,0))*parametros_manuales!$G$15)*parametros_manuales!$I$32*parametros_manuales!$J$32</f>
        <v>6300.6402510425</v>
      </c>
      <c r="H123" s="9" t="n">
        <f aca="false">(parametros_manuales!$D$32*(datos_base!$F$2+IF(parametros_manuales!$H$32="Todos",datos_base!$F$9,0))*parametros_manuales!$H$95+parametros_manuales!$D$32*(datos_base!$F$18+IF(parametros_manuales!$H$32="Todos",datos_base!$F$23,0))*parametros_manuales!$H$12+parametros_manuales!$E$32*(datos_base!$F$3+IF(parametros_manuales!$H$32="Todos",datos_base!$F$10,0))*parametros_manuales!$H$100+parametros_manuales!$E$32*(datos_base!$F$19+IF(parametros_manuales!$H$32="Todos",datos_base!$F$24,0))*parametros_manuales!$H$13+parametros_manuales!$F$32*(datos_base!$F$4+IF(parametros_manuales!$H$32="Todos",datos_base!$F$11,0))*parametros_manuales!$H$105+parametros_manuales!$F$32*(datos_base!$F$20+IF(parametros_manuales!$H$32="Todos",datos_base!$F$25,0))*parametros_manuales!$H$14+parametros_manuales!$G$32*(datos_base!$F$5+IF(parametros_manuales!$H$32="Todos",datos_base!$F$12,0))*parametros_manuales!$H$110+parametros_manuales!$G$32*(datos_base!$F$21+IF(parametros_manuales!$H$32="Todos",datos_base!$F$26,0))*parametros_manuales!$H$15)*parametros_manuales!$I$32*parametros_manuales!$J$32</f>
        <v>6741.388078682</v>
      </c>
      <c r="I123" s="9" t="n">
        <f aca="false">(parametros_manuales!$D$32*(datos_base!$F$2+IF(parametros_manuales!$H$32="Todos",datos_base!$F$9,0))*parametros_manuales!$I$95+parametros_manuales!$D$32*(datos_base!$F$18+IF(parametros_manuales!$H$32="Todos",datos_base!$F$23,0))*parametros_manuales!$I$12+parametros_manuales!$E$32*(datos_base!$F$3+IF(parametros_manuales!$H$32="Todos",datos_base!$F$10,0))*parametros_manuales!$I$100+parametros_manuales!$E$32*(datos_base!$F$19+IF(parametros_manuales!$H$32="Todos",datos_base!$F$24,0))*parametros_manuales!$I$13+parametros_manuales!$F$32*(datos_base!$F$4+IF(parametros_manuales!$H$32="Todos",datos_base!$F$11,0))*parametros_manuales!$I$105+parametros_manuales!$F$32*(datos_base!$F$20+IF(parametros_manuales!$H$32="Todos",datos_base!$F$25,0))*parametros_manuales!$I$14+parametros_manuales!$G$32*(datos_base!$F$5+IF(parametros_manuales!$H$32="Todos",datos_base!$F$12,0))*parametros_manuales!$I$110+parametros_manuales!$G$32*(datos_base!$F$21+IF(parametros_manuales!$H$32="Todos",datos_base!$F$26,0))*parametros_manuales!$I$15)*parametros_manuales!$I$32*parametros_manuales!$J$32</f>
        <v>7673.11956933199</v>
      </c>
      <c r="J123" s="9" t="n">
        <f aca="false">(parametros_manuales!$D$32*(datos_base!$F$2+IF(parametros_manuales!$H$32="Todos",datos_base!$F$9,0))*parametros_manuales!$J$95+parametros_manuales!$D$32*(datos_base!$F$18+IF(parametros_manuales!$H$32="Todos",datos_base!$F$23,0))*parametros_manuales!$J$12+parametros_manuales!$E$32*(datos_base!$F$3+IF(parametros_manuales!$H$32="Todos",datos_base!$F$10,0))*parametros_manuales!$J$100+parametros_manuales!$E$32*(datos_base!$F$19+IF(parametros_manuales!$H$32="Todos",datos_base!$F$24,0))*parametros_manuales!$J$13+parametros_manuales!$F$32*(datos_base!$F$4+IF(parametros_manuales!$H$32="Todos",datos_base!$F$11,0))*parametros_manuales!$J$105+parametros_manuales!$F$32*(datos_base!$F$20+IF(parametros_manuales!$H$32="Todos",datos_base!$F$25,0))*parametros_manuales!$J$14+parametros_manuales!$G$32*(datos_base!$F$5+IF(parametros_manuales!$H$32="Todos",datos_base!$F$12,0))*parametros_manuales!$J$110+parametros_manuales!$G$32*(datos_base!$F$21+IF(parametros_manuales!$H$32="Todos",datos_base!$F$26,0))*parametros_manuales!$J$15)*parametros_manuales!$I$32*parametros_manuales!$J$32</f>
        <v>7673.119569332</v>
      </c>
      <c r="K123" s="9" t="n">
        <f aca="false">(parametros_manuales!$D$32*(datos_base!$F$2+IF(parametros_manuales!$H$32="Todos",datos_base!$F$9,0))*parametros_manuales!$K$95+parametros_manuales!$D$32*(datos_base!$F$18+IF(parametros_manuales!$H$32="Todos",datos_base!$F$23,0))*parametros_manuales!$K$12+parametros_manuales!$E$32*(datos_base!$F$3+IF(parametros_manuales!$H$32="Todos",datos_base!$F$10,0))*parametros_manuales!$K$100+parametros_manuales!$E$32*(datos_base!$F$19+IF(parametros_manuales!$H$32="Todos",datos_base!$F$24,0))*parametros_manuales!$K$13+parametros_manuales!$F$32*(datos_base!$F$4+IF(parametros_manuales!$H$32="Todos",datos_base!$F$11,0))*parametros_manuales!$K$105+parametros_manuales!$F$32*(datos_base!$F$20+IF(parametros_manuales!$H$32="Todos",datos_base!$F$25,0))*parametros_manuales!$K$14+parametros_manuales!$G$32*(datos_base!$F$5+IF(parametros_manuales!$H$32="Todos",datos_base!$F$12,0))*parametros_manuales!$K$110+parametros_manuales!$G$32*(datos_base!$F$21+IF(parametros_manuales!$H$32="Todos",datos_base!$F$26,0))*parametros_manuales!$K$15)*parametros_manuales!$I$32*parametros_manuales!$J$32</f>
        <v>7800.8674334215</v>
      </c>
      <c r="L123" s="9" t="n">
        <f aca="false">(parametros_manuales!$D$32*(datos_base!$F$2+IF(parametros_manuales!$H$32="Todos",datos_base!$F$9,0))*parametros_manuales!$L$95+parametros_manuales!$D$32*(datos_base!$F$18+IF(parametros_manuales!$H$32="Todos",datos_base!$F$23,0))*parametros_manuales!$L$12+parametros_manuales!$E$32*(datos_base!$F$3+IF(parametros_manuales!$H$32="Todos",datos_base!$F$10,0))*parametros_manuales!$L$100+parametros_manuales!$E$32*(datos_base!$F$19+IF(parametros_manuales!$H$32="Todos",datos_base!$F$24,0))*parametros_manuales!$L$13+parametros_manuales!$F$32*(datos_base!$F$4+IF(parametros_manuales!$H$32="Todos",datos_base!$F$11,0))*parametros_manuales!$L$105+parametros_manuales!$F$32*(datos_base!$F$20+IF(parametros_manuales!$H$32="Todos",datos_base!$F$25,0))*parametros_manuales!$L$14+parametros_manuales!$G$32*(datos_base!$F$5+IF(parametros_manuales!$H$32="Todos",datos_base!$F$12,0))*parametros_manuales!$L$110+parametros_manuales!$G$32*(datos_base!$F$21+IF(parametros_manuales!$H$32="Todos",datos_base!$F$26,0))*parametros_manuales!$L$15)*parametros_manuales!$I$32*parametros_manuales!$J$32</f>
        <v>7928.615297511</v>
      </c>
      <c r="M123" s="9" t="n">
        <f aca="false">(parametros_manuales!$D$32*(datos_base!$F$2+IF(parametros_manuales!$H$32="Todos",datos_base!$F$9,0))*parametros_manuales!$M$95+parametros_manuales!$D$32*(datos_base!$F$18+IF(parametros_manuales!$H$32="Todos",datos_base!$F$23,0))*parametros_manuales!$M$12+parametros_manuales!$E$32*(datos_base!$F$3+IF(parametros_manuales!$H$32="Todos",datos_base!$F$10,0))*parametros_manuales!$M$100+parametros_manuales!$E$32*(datos_base!$F$19+IF(parametros_manuales!$H$32="Todos",datos_base!$F$24,0))*parametros_manuales!$M$13+parametros_manuales!$F$32*(datos_base!$F$4+IF(parametros_manuales!$H$32="Todos",datos_base!$F$11,0))*parametros_manuales!$M$105+parametros_manuales!$F$32*(datos_base!$F$20+IF(parametros_manuales!$H$32="Todos",datos_base!$F$25,0))*parametros_manuales!$M$14+parametros_manuales!$G$32*(datos_base!$F$5+IF(parametros_manuales!$H$32="Todos",datos_base!$F$12,0))*parametros_manuales!$M$110+parametros_manuales!$G$32*(datos_base!$F$21+IF(parametros_manuales!$H$32="Todos",datos_base!$F$26,0))*parametros_manuales!$M$15)*parametros_manuales!$I$32*parametros_manuales!$J$32</f>
        <v>7938.306497511</v>
      </c>
      <c r="N123" s="9" t="n">
        <f aca="false">SUM(B123:M123)</f>
        <v>88149.5655279</v>
      </c>
      <c r="O123" s="9" t="n">
        <f aca="false">MAX(B123:M123)</f>
        <v>7938.306497511</v>
      </c>
      <c r="P123" s="44" t="n">
        <f aca="false">O123/(parametros_manuales!$B$7)</f>
        <v>52.92204331674</v>
      </c>
      <c r="Q123" s="8" t="str">
        <f aca="false">IF(O123=0,"-",INDEX($B$109:$M$109,MATCH(O123,B123:M123,0)))</f>
        <v>Dic</v>
      </c>
    </row>
    <row r="124" customFormat="false" ht="14.25" hidden="false" customHeight="true" outlineLevel="0" collapsed="false">
      <c r="A124" s="8" t="str">
        <f aca="false">parametros_manuales!$B$33</f>
        <v>Secado</v>
      </c>
      <c r="B124" s="9" t="n">
        <f aca="false">(parametros_manuales!$D$33*(datos_base!$F$2+IF(parametros_manuales!$H$33="Todos",datos_base!$F$9,0))*parametros_manuales!$B$95+parametros_manuales!$D$33*(datos_base!$F$18+IF(parametros_manuales!$H$33="Todos",datos_base!$F$23,0))*parametros_manuales!$B$12+parametros_manuales!$E$33*(datos_base!$F$3+IF(parametros_manuales!$H$33="Todos",datos_base!$F$10,0))*parametros_manuales!$B$100+parametros_manuales!$E$33*(datos_base!$F$19+IF(parametros_manuales!$H$33="Todos",datos_base!$F$24,0))*parametros_manuales!$B$13+parametros_manuales!$F$33*(datos_base!$F$4+IF(parametros_manuales!$H$33="Todos",datos_base!$F$11,0))*parametros_manuales!$B$105+parametros_manuales!$F$33*(datos_base!$F$20+IF(parametros_manuales!$H$33="Todos",datos_base!$F$25,0))*parametros_manuales!$B$14+parametros_manuales!$G$33*(datos_base!$F$5+IF(parametros_manuales!$H$33="Todos",datos_base!$F$12,0))*parametros_manuales!$B$110+parametros_manuales!$G$33*(datos_base!$F$21+IF(parametros_manuales!$H$33="Todos",datos_base!$F$26,0))*parametros_manuales!$B$15)*parametros_manuales!$I$33*parametros_manuales!$J$33</f>
        <v>7935.883697511</v>
      </c>
      <c r="C124" s="9" t="n">
        <f aca="false">(parametros_manuales!$D$33*(datos_base!$F$2+IF(parametros_manuales!$H$33="Todos",datos_base!$F$9,0))*parametros_manuales!$C$95+parametros_manuales!$D$33*(datos_base!$F$18+IF(parametros_manuales!$H$33="Todos",datos_base!$F$23,0))*parametros_manuales!$C$12+parametros_manuales!$E$33*(datos_base!$F$3+IF(parametros_manuales!$H$33="Todos",datos_base!$F$10,0))*parametros_manuales!$C$100+parametros_manuales!$E$33*(datos_base!$F$19+IF(parametros_manuales!$H$33="Todos",datos_base!$F$24,0))*parametros_manuales!$C$13+parametros_manuales!$F$33*(datos_base!$F$4+IF(parametros_manuales!$H$33="Todos",datos_base!$F$11,0))*parametros_manuales!$C$105+parametros_manuales!$F$33*(datos_base!$F$20+IF(parametros_manuales!$H$33="Todos",datos_base!$F$25,0))*parametros_manuales!$C$14+parametros_manuales!$G$33*(datos_base!$F$5+IF(parametros_manuales!$H$33="Todos",datos_base!$F$12,0))*parametros_manuales!$C$110+parametros_manuales!$G$33*(datos_base!$F$21+IF(parametros_manuales!$H$33="Todos",datos_base!$F$26,0))*parametros_manuales!$C$15)*parametros_manuales!$I$33*parametros_manuales!$J$33</f>
        <v>7673.119569332</v>
      </c>
      <c r="D124" s="9" t="n">
        <f aca="false">(parametros_manuales!$D$33*(datos_base!$F$2+IF(parametros_manuales!$H$33="Todos",datos_base!$F$9,0))*parametros_manuales!$D$95+parametros_manuales!$D$33*(datos_base!$F$18+IF(parametros_manuales!$H$33="Todos",datos_base!$F$23,0))*parametros_manuales!$D$12+parametros_manuales!$E$33*(datos_base!$F$3+IF(parametros_manuales!$H$33="Todos",datos_base!$F$10,0))*parametros_manuales!$D$100+parametros_manuales!$E$33*(datos_base!$F$19+IF(parametros_manuales!$H$33="Todos",datos_base!$F$24,0))*parametros_manuales!$D$13+parametros_manuales!$F$33*(datos_base!$F$4+IF(parametros_manuales!$H$33="Todos",datos_base!$F$11,0))*parametros_manuales!$D$105+parametros_manuales!$F$33*(datos_base!$F$20+IF(parametros_manuales!$H$33="Todos",datos_base!$F$25,0))*parametros_manuales!$D$14+parametros_manuales!$G$33*(datos_base!$F$5+IF(parametros_manuales!$H$33="Todos",datos_base!$F$12,0))*parametros_manuales!$D$110+parametros_manuales!$G$33*(datos_base!$F$21+IF(parametros_manuales!$H$33="Todos",datos_base!$F$26,0))*parametros_manuales!$D$15)*parametros_manuales!$I$33*parametros_manuales!$J$33</f>
        <v>7182.1359063215</v>
      </c>
      <c r="E124" s="9" t="n">
        <f aca="false">(parametros_manuales!$D$33*(datos_base!$F$2+IF(parametros_manuales!$H$33="Todos",datos_base!$F$9,0))*parametros_manuales!$E$95+parametros_manuales!$D$33*(datos_base!$F$18+IF(parametros_manuales!$H$33="Todos",datos_base!$F$23,0))*parametros_manuales!$E$12+parametros_manuales!$E$33*(datos_base!$F$3+IF(parametros_manuales!$H$33="Todos",datos_base!$F$10,0))*parametros_manuales!$E$100+parametros_manuales!$E$33*(datos_base!$F$19+IF(parametros_manuales!$H$33="Todos",datos_base!$F$24,0))*parametros_manuales!$E$13+parametros_manuales!$F$33*(datos_base!$F$4+IF(parametros_manuales!$H$33="Todos",datos_base!$F$11,0))*parametros_manuales!$E$105+parametros_manuales!$F$33*(datos_base!$F$20+IF(parametros_manuales!$H$33="Todos",datos_base!$F$25,0))*parametros_manuales!$E$14+parametros_manuales!$G$33*(datos_base!$F$5+IF(parametros_manuales!$H$33="Todos",datos_base!$F$12,0))*parametros_manuales!$E$110+parametros_manuales!$G$33*(datos_base!$F$21+IF(parametros_manuales!$H$33="Todos",datos_base!$F$26,0))*parametros_manuales!$E$15)*parametros_manuales!$I$33*parametros_manuales!$J$33</f>
        <v>6871.5587427715</v>
      </c>
      <c r="F124" s="9" t="n">
        <f aca="false">(parametros_manuales!$D$33*(datos_base!$F$2+IF(parametros_manuales!$H$33="Todos",datos_base!$F$9,0))*parametros_manuales!$F$95+parametros_manuales!$D$33*(datos_base!$F$18+IF(parametros_manuales!$H$33="Todos",datos_base!$F$23,0))*parametros_manuales!$F$12+parametros_manuales!$E$33*(datos_base!$F$3+IF(parametros_manuales!$H$33="Todos",datos_base!$F$10,0))*parametros_manuales!$F$100+parametros_manuales!$E$33*(datos_base!$F$19+IF(parametros_manuales!$H$33="Todos",datos_base!$F$24,0))*parametros_manuales!$F$13+parametros_manuales!$F$33*(datos_base!$F$4+IF(parametros_manuales!$H$33="Todos",datos_base!$F$11,0))*parametros_manuales!$F$105+parametros_manuales!$F$33*(datos_base!$F$20+IF(parametros_manuales!$H$33="Todos",datos_base!$F$25,0))*parametros_manuales!$F$14+parametros_manuales!$G$33*(datos_base!$F$5+IF(parametros_manuales!$H$33="Todos",datos_base!$F$12,0))*parametros_manuales!$F$110+parametros_manuales!$G$33*(datos_base!$F$21+IF(parametros_manuales!$H$33="Todos",datos_base!$F$26,0))*parametros_manuales!$F$15)*parametros_manuales!$I$33*parametros_manuales!$J$33</f>
        <v>6430.810915132</v>
      </c>
      <c r="G124" s="9" t="n">
        <f aca="false">(parametros_manuales!$D$33*(datos_base!$F$2+IF(parametros_manuales!$H$33="Todos",datos_base!$F$9,0))*parametros_manuales!$G$95+parametros_manuales!$D$33*(datos_base!$F$18+IF(parametros_manuales!$H$33="Todos",datos_base!$F$23,0))*parametros_manuales!$G$12+parametros_manuales!$E$33*(datos_base!$F$3+IF(parametros_manuales!$H$33="Todos",datos_base!$F$10,0))*parametros_manuales!$G$100+parametros_manuales!$E$33*(datos_base!$F$19+IF(parametros_manuales!$H$33="Todos",datos_base!$F$24,0))*parametros_manuales!$G$13+parametros_manuales!$F$33*(datos_base!$F$4+IF(parametros_manuales!$H$33="Todos",datos_base!$F$11,0))*parametros_manuales!$G$105+parametros_manuales!$F$33*(datos_base!$F$20+IF(parametros_manuales!$H$33="Todos",datos_base!$F$25,0))*parametros_manuales!$G$14+parametros_manuales!$G$33*(datos_base!$F$5+IF(parametros_manuales!$H$33="Todos",datos_base!$F$12,0))*parametros_manuales!$G$110+parametros_manuales!$G$33*(datos_base!$F$21+IF(parametros_manuales!$H$33="Todos",datos_base!$F$26,0))*parametros_manuales!$G$15)*parametros_manuales!$I$33*parametros_manuales!$J$33</f>
        <v>6300.6402510425</v>
      </c>
      <c r="H124" s="9" t="n">
        <f aca="false">(parametros_manuales!$D$33*(datos_base!$F$2+IF(parametros_manuales!$H$33="Todos",datos_base!$F$9,0))*parametros_manuales!$H$95+parametros_manuales!$D$33*(datos_base!$F$18+IF(parametros_manuales!$H$33="Todos",datos_base!$F$23,0))*parametros_manuales!$H$12+parametros_manuales!$E$33*(datos_base!$F$3+IF(parametros_manuales!$H$33="Todos",datos_base!$F$10,0))*parametros_manuales!$H$100+parametros_manuales!$E$33*(datos_base!$F$19+IF(parametros_manuales!$H$33="Todos",datos_base!$F$24,0))*parametros_manuales!$H$13+parametros_manuales!$F$33*(datos_base!$F$4+IF(parametros_manuales!$H$33="Todos",datos_base!$F$11,0))*parametros_manuales!$H$105+parametros_manuales!$F$33*(datos_base!$F$20+IF(parametros_manuales!$H$33="Todos",datos_base!$F$25,0))*parametros_manuales!$H$14+parametros_manuales!$G$33*(datos_base!$F$5+IF(parametros_manuales!$H$33="Todos",datos_base!$F$12,0))*parametros_manuales!$H$110+parametros_manuales!$G$33*(datos_base!$F$21+IF(parametros_manuales!$H$33="Todos",datos_base!$F$26,0))*parametros_manuales!$H$15)*parametros_manuales!$I$33*parametros_manuales!$J$33</f>
        <v>6741.388078682</v>
      </c>
      <c r="I124" s="9" t="n">
        <f aca="false">(parametros_manuales!$D$33*(datos_base!$F$2+IF(parametros_manuales!$H$33="Todos",datos_base!$F$9,0))*parametros_manuales!$I$95+parametros_manuales!$D$33*(datos_base!$F$18+IF(parametros_manuales!$H$33="Todos",datos_base!$F$23,0))*parametros_manuales!$I$12+parametros_manuales!$E$33*(datos_base!$F$3+IF(parametros_manuales!$H$33="Todos",datos_base!$F$10,0))*parametros_manuales!$I$100+parametros_manuales!$E$33*(datos_base!$F$19+IF(parametros_manuales!$H$33="Todos",datos_base!$F$24,0))*parametros_manuales!$I$13+parametros_manuales!$F$33*(datos_base!$F$4+IF(parametros_manuales!$H$33="Todos",datos_base!$F$11,0))*parametros_manuales!$I$105+parametros_manuales!$F$33*(datos_base!$F$20+IF(parametros_manuales!$H$33="Todos",datos_base!$F$25,0))*parametros_manuales!$I$14+parametros_manuales!$G$33*(datos_base!$F$5+IF(parametros_manuales!$H$33="Todos",datos_base!$F$12,0))*parametros_manuales!$I$110+parametros_manuales!$G$33*(datos_base!$F$21+IF(parametros_manuales!$H$33="Todos",datos_base!$F$26,0))*parametros_manuales!$I$15)*parametros_manuales!$I$33*parametros_manuales!$J$33</f>
        <v>7673.11956933199</v>
      </c>
      <c r="J124" s="9" t="n">
        <f aca="false">(parametros_manuales!$D$33*(datos_base!$F$2+IF(parametros_manuales!$H$33="Todos",datos_base!$F$9,0))*parametros_manuales!$J$95+parametros_manuales!$D$33*(datos_base!$F$18+IF(parametros_manuales!$H$33="Todos",datos_base!$F$23,0))*parametros_manuales!$J$12+parametros_manuales!$E$33*(datos_base!$F$3+IF(parametros_manuales!$H$33="Todos",datos_base!$F$10,0))*parametros_manuales!$J$100+parametros_manuales!$E$33*(datos_base!$F$19+IF(parametros_manuales!$H$33="Todos",datos_base!$F$24,0))*parametros_manuales!$J$13+parametros_manuales!$F$33*(datos_base!$F$4+IF(parametros_manuales!$H$33="Todos",datos_base!$F$11,0))*parametros_manuales!$J$105+parametros_manuales!$F$33*(datos_base!$F$20+IF(parametros_manuales!$H$33="Todos",datos_base!$F$25,0))*parametros_manuales!$J$14+parametros_manuales!$G$33*(datos_base!$F$5+IF(parametros_manuales!$H$33="Todos",datos_base!$F$12,0))*parametros_manuales!$J$110+parametros_manuales!$G$33*(datos_base!$F$21+IF(parametros_manuales!$H$33="Todos",datos_base!$F$26,0))*parametros_manuales!$J$15)*parametros_manuales!$I$33*parametros_manuales!$J$33</f>
        <v>7673.119569332</v>
      </c>
      <c r="K124" s="9" t="n">
        <f aca="false">(parametros_manuales!$D$33*(datos_base!$F$2+IF(parametros_manuales!$H$33="Todos",datos_base!$F$9,0))*parametros_manuales!$K$95+parametros_manuales!$D$33*(datos_base!$F$18+IF(parametros_manuales!$H$33="Todos",datos_base!$F$23,0))*parametros_manuales!$K$12+parametros_manuales!$E$33*(datos_base!$F$3+IF(parametros_manuales!$H$33="Todos",datos_base!$F$10,0))*parametros_manuales!$K$100+parametros_manuales!$E$33*(datos_base!$F$19+IF(parametros_manuales!$H$33="Todos",datos_base!$F$24,0))*parametros_manuales!$K$13+parametros_manuales!$F$33*(datos_base!$F$4+IF(parametros_manuales!$H$33="Todos",datos_base!$F$11,0))*parametros_manuales!$K$105+parametros_manuales!$F$33*(datos_base!$F$20+IF(parametros_manuales!$H$33="Todos",datos_base!$F$25,0))*parametros_manuales!$K$14+parametros_manuales!$G$33*(datos_base!$F$5+IF(parametros_manuales!$H$33="Todos",datos_base!$F$12,0))*parametros_manuales!$K$110+parametros_manuales!$G$33*(datos_base!$F$21+IF(parametros_manuales!$H$33="Todos",datos_base!$F$26,0))*parametros_manuales!$K$15)*parametros_manuales!$I$33*parametros_manuales!$J$33</f>
        <v>7800.8674334215</v>
      </c>
      <c r="L124" s="9" t="n">
        <f aca="false">(parametros_manuales!$D$33*(datos_base!$F$2+IF(parametros_manuales!$H$33="Todos",datos_base!$F$9,0))*parametros_manuales!$L$95+parametros_manuales!$D$33*(datos_base!$F$18+IF(parametros_manuales!$H$33="Todos",datos_base!$F$23,0))*parametros_manuales!$L$12+parametros_manuales!$E$33*(datos_base!$F$3+IF(parametros_manuales!$H$33="Todos",datos_base!$F$10,0))*parametros_manuales!$L$100+parametros_manuales!$E$33*(datos_base!$F$19+IF(parametros_manuales!$H$33="Todos",datos_base!$F$24,0))*parametros_manuales!$L$13+parametros_manuales!$F$33*(datos_base!$F$4+IF(parametros_manuales!$H$33="Todos",datos_base!$F$11,0))*parametros_manuales!$L$105+parametros_manuales!$F$33*(datos_base!$F$20+IF(parametros_manuales!$H$33="Todos",datos_base!$F$25,0))*parametros_manuales!$L$14+parametros_manuales!$G$33*(datos_base!$F$5+IF(parametros_manuales!$H$33="Todos",datos_base!$F$12,0))*parametros_manuales!$L$110+parametros_manuales!$G$33*(datos_base!$F$21+IF(parametros_manuales!$H$33="Todos",datos_base!$F$26,0))*parametros_manuales!$L$15)*parametros_manuales!$I$33*parametros_manuales!$J$33</f>
        <v>7928.615297511</v>
      </c>
      <c r="M124" s="9" t="n">
        <f aca="false">(parametros_manuales!$D$33*(datos_base!$F$2+IF(parametros_manuales!$H$33="Todos",datos_base!$F$9,0))*parametros_manuales!$M$95+parametros_manuales!$D$33*(datos_base!$F$18+IF(parametros_manuales!$H$33="Todos",datos_base!$F$23,0))*parametros_manuales!$M$12+parametros_manuales!$E$33*(datos_base!$F$3+IF(parametros_manuales!$H$33="Todos",datos_base!$F$10,0))*parametros_manuales!$M$100+parametros_manuales!$E$33*(datos_base!$F$19+IF(parametros_manuales!$H$33="Todos",datos_base!$F$24,0))*parametros_manuales!$M$13+parametros_manuales!$F$33*(datos_base!$F$4+IF(parametros_manuales!$H$33="Todos",datos_base!$F$11,0))*parametros_manuales!$M$105+parametros_manuales!$F$33*(datos_base!$F$20+IF(parametros_manuales!$H$33="Todos",datos_base!$F$25,0))*parametros_manuales!$M$14+parametros_manuales!$G$33*(datos_base!$F$5+IF(parametros_manuales!$H$33="Todos",datos_base!$F$12,0))*parametros_manuales!$M$110+parametros_manuales!$G$33*(datos_base!$F$21+IF(parametros_manuales!$H$33="Todos",datos_base!$F$26,0))*parametros_manuales!$M$15)*parametros_manuales!$I$33*parametros_manuales!$J$33</f>
        <v>7938.306497511</v>
      </c>
      <c r="N124" s="9" t="n">
        <f aca="false">SUM(B124:M124)</f>
        <v>88149.5655279</v>
      </c>
      <c r="O124" s="9" t="n">
        <f aca="false">MAX(B124:M124)</f>
        <v>7938.306497511</v>
      </c>
      <c r="P124" s="44" t="n">
        <f aca="false">O124/(parametros_manuales!$B$7)</f>
        <v>52.92204331674</v>
      </c>
      <c r="Q124" s="8" t="str">
        <f aca="false">IF(O124=0,"-",INDEX($B$109:$M$109,MATCH(O124,B124:M124,0)))</f>
        <v>Dic</v>
      </c>
    </row>
    <row r="125" customFormat="false" ht="14.25" hidden="false" customHeight="true" outlineLevel="0" collapsed="false">
      <c r="A125" s="8" t="str">
        <f aca="false">parametros_manuales!$B$34</f>
        <v>Granallado</v>
      </c>
      <c r="B125" s="9" t="n">
        <f aca="false">(parametros_manuales!$D$34*(datos_base!$F$2+IF(parametros_manuales!$H$34="Todos",datos_base!$F$9,0))*parametros_manuales!$B$95+parametros_manuales!$D$34*(datos_base!$F$18+IF(parametros_manuales!$H$34="Todos",datos_base!$F$23,0))*parametros_manuales!$B$12+parametros_manuales!$E$34*(datos_base!$F$3+IF(parametros_manuales!$H$34="Todos",datos_base!$F$10,0))*parametros_manuales!$B$100+parametros_manuales!$E$34*(datos_base!$F$19+IF(parametros_manuales!$H$34="Todos",datos_base!$F$24,0))*parametros_manuales!$B$13+parametros_manuales!$F$34*(datos_base!$F$4+IF(parametros_manuales!$H$34="Todos",datos_base!$F$11,0))*parametros_manuales!$B$105+parametros_manuales!$F$34*(datos_base!$F$20+IF(parametros_manuales!$H$34="Todos",datos_base!$F$25,0))*parametros_manuales!$B$14+parametros_manuales!$G$34*(datos_base!$F$5+IF(parametros_manuales!$H$34="Todos",datos_base!$F$12,0))*parametros_manuales!$B$110+parametros_manuales!$G$34*(datos_base!$F$21+IF(parametros_manuales!$H$34="Todos",datos_base!$F$26,0))*parametros_manuales!$B$15)*parametros_manuales!$I$34*parametros_manuales!$J$34</f>
        <v>7935.883697511</v>
      </c>
      <c r="C125" s="9" t="n">
        <f aca="false">(parametros_manuales!$D$34*(datos_base!$F$2+IF(parametros_manuales!$H$34="Todos",datos_base!$F$9,0))*parametros_manuales!$C$95+parametros_manuales!$D$34*(datos_base!$F$18+IF(parametros_manuales!$H$34="Todos",datos_base!$F$23,0))*parametros_manuales!$C$12+parametros_manuales!$E$34*(datos_base!$F$3+IF(parametros_manuales!$H$34="Todos",datos_base!$F$10,0))*parametros_manuales!$C$100+parametros_manuales!$E$34*(datos_base!$F$19+IF(parametros_manuales!$H$34="Todos",datos_base!$F$24,0))*parametros_manuales!$C$13+parametros_manuales!$F$34*(datos_base!$F$4+IF(parametros_manuales!$H$34="Todos",datos_base!$F$11,0))*parametros_manuales!$C$105+parametros_manuales!$F$34*(datos_base!$F$20+IF(parametros_manuales!$H$34="Todos",datos_base!$F$25,0))*parametros_manuales!$C$14+parametros_manuales!$G$34*(datos_base!$F$5+IF(parametros_manuales!$H$34="Todos",datos_base!$F$12,0))*parametros_manuales!$C$110+parametros_manuales!$G$34*(datos_base!$F$21+IF(parametros_manuales!$H$34="Todos",datos_base!$F$26,0))*parametros_manuales!$C$15)*parametros_manuales!$I$34*parametros_manuales!$J$34</f>
        <v>7673.119569332</v>
      </c>
      <c r="D125" s="9" t="n">
        <f aca="false">(parametros_manuales!$D$34*(datos_base!$F$2+IF(parametros_manuales!$H$34="Todos",datos_base!$F$9,0))*parametros_manuales!$D$95+parametros_manuales!$D$34*(datos_base!$F$18+IF(parametros_manuales!$H$34="Todos",datos_base!$F$23,0))*parametros_manuales!$D$12+parametros_manuales!$E$34*(datos_base!$F$3+IF(parametros_manuales!$H$34="Todos",datos_base!$F$10,0))*parametros_manuales!$D$100+parametros_manuales!$E$34*(datos_base!$F$19+IF(parametros_manuales!$H$34="Todos",datos_base!$F$24,0))*parametros_manuales!$D$13+parametros_manuales!$F$34*(datos_base!$F$4+IF(parametros_manuales!$H$34="Todos",datos_base!$F$11,0))*parametros_manuales!$D$105+parametros_manuales!$F$34*(datos_base!$F$20+IF(parametros_manuales!$H$34="Todos",datos_base!$F$25,0))*parametros_manuales!$D$14+parametros_manuales!$G$34*(datos_base!$F$5+IF(parametros_manuales!$H$34="Todos",datos_base!$F$12,0))*parametros_manuales!$D$110+parametros_manuales!$G$34*(datos_base!$F$21+IF(parametros_manuales!$H$34="Todos",datos_base!$F$26,0))*parametros_manuales!$D$15)*parametros_manuales!$I$34*parametros_manuales!$J$34</f>
        <v>7182.1359063215</v>
      </c>
      <c r="E125" s="9" t="n">
        <f aca="false">(parametros_manuales!$D$34*(datos_base!$F$2+IF(parametros_manuales!$H$34="Todos",datos_base!$F$9,0))*parametros_manuales!$E$95+parametros_manuales!$D$34*(datos_base!$F$18+IF(parametros_manuales!$H$34="Todos",datos_base!$F$23,0))*parametros_manuales!$E$12+parametros_manuales!$E$34*(datos_base!$F$3+IF(parametros_manuales!$H$34="Todos",datos_base!$F$10,0))*parametros_manuales!$E$100+parametros_manuales!$E$34*(datos_base!$F$19+IF(parametros_manuales!$H$34="Todos",datos_base!$F$24,0))*parametros_manuales!$E$13+parametros_manuales!$F$34*(datos_base!$F$4+IF(parametros_manuales!$H$34="Todos",datos_base!$F$11,0))*parametros_manuales!$E$105+parametros_manuales!$F$34*(datos_base!$F$20+IF(parametros_manuales!$H$34="Todos",datos_base!$F$25,0))*parametros_manuales!$E$14+parametros_manuales!$G$34*(datos_base!$F$5+IF(parametros_manuales!$H$34="Todos",datos_base!$F$12,0))*parametros_manuales!$E$110+parametros_manuales!$G$34*(datos_base!$F$21+IF(parametros_manuales!$H$34="Todos",datos_base!$F$26,0))*parametros_manuales!$E$15)*parametros_manuales!$I$34*parametros_manuales!$J$34</f>
        <v>6871.5587427715</v>
      </c>
      <c r="F125" s="9" t="n">
        <f aca="false">(parametros_manuales!$D$34*(datos_base!$F$2+IF(parametros_manuales!$H$34="Todos",datos_base!$F$9,0))*parametros_manuales!$F$95+parametros_manuales!$D$34*(datos_base!$F$18+IF(parametros_manuales!$H$34="Todos",datos_base!$F$23,0))*parametros_manuales!$F$12+parametros_manuales!$E$34*(datos_base!$F$3+IF(parametros_manuales!$H$34="Todos",datos_base!$F$10,0))*parametros_manuales!$F$100+parametros_manuales!$E$34*(datos_base!$F$19+IF(parametros_manuales!$H$34="Todos",datos_base!$F$24,0))*parametros_manuales!$F$13+parametros_manuales!$F$34*(datos_base!$F$4+IF(parametros_manuales!$H$34="Todos",datos_base!$F$11,0))*parametros_manuales!$F$105+parametros_manuales!$F$34*(datos_base!$F$20+IF(parametros_manuales!$H$34="Todos",datos_base!$F$25,0))*parametros_manuales!$F$14+parametros_manuales!$G$34*(datos_base!$F$5+IF(parametros_manuales!$H$34="Todos",datos_base!$F$12,0))*parametros_manuales!$F$110+parametros_manuales!$G$34*(datos_base!$F$21+IF(parametros_manuales!$H$34="Todos",datos_base!$F$26,0))*parametros_manuales!$F$15)*parametros_manuales!$I$34*parametros_manuales!$J$34</f>
        <v>6430.810915132</v>
      </c>
      <c r="G125" s="9" t="n">
        <f aca="false">(parametros_manuales!$D$34*(datos_base!$F$2+IF(parametros_manuales!$H$34="Todos",datos_base!$F$9,0))*parametros_manuales!$G$95+parametros_manuales!$D$34*(datos_base!$F$18+IF(parametros_manuales!$H$34="Todos",datos_base!$F$23,0))*parametros_manuales!$G$12+parametros_manuales!$E$34*(datos_base!$F$3+IF(parametros_manuales!$H$34="Todos",datos_base!$F$10,0))*parametros_manuales!$G$100+parametros_manuales!$E$34*(datos_base!$F$19+IF(parametros_manuales!$H$34="Todos",datos_base!$F$24,0))*parametros_manuales!$G$13+parametros_manuales!$F$34*(datos_base!$F$4+IF(parametros_manuales!$H$34="Todos",datos_base!$F$11,0))*parametros_manuales!$G$105+parametros_manuales!$F$34*(datos_base!$F$20+IF(parametros_manuales!$H$34="Todos",datos_base!$F$25,0))*parametros_manuales!$G$14+parametros_manuales!$G$34*(datos_base!$F$5+IF(parametros_manuales!$H$34="Todos",datos_base!$F$12,0))*parametros_manuales!$G$110+parametros_manuales!$G$34*(datos_base!$F$21+IF(parametros_manuales!$H$34="Todos",datos_base!$F$26,0))*parametros_manuales!$G$15)*parametros_manuales!$I$34*parametros_manuales!$J$34</f>
        <v>6300.6402510425</v>
      </c>
      <c r="H125" s="9" t="n">
        <f aca="false">(parametros_manuales!$D$34*(datos_base!$F$2+IF(parametros_manuales!$H$34="Todos",datos_base!$F$9,0))*parametros_manuales!$H$95+parametros_manuales!$D$34*(datos_base!$F$18+IF(parametros_manuales!$H$34="Todos",datos_base!$F$23,0))*parametros_manuales!$H$12+parametros_manuales!$E$34*(datos_base!$F$3+IF(parametros_manuales!$H$34="Todos",datos_base!$F$10,0))*parametros_manuales!$H$100+parametros_manuales!$E$34*(datos_base!$F$19+IF(parametros_manuales!$H$34="Todos",datos_base!$F$24,0))*parametros_manuales!$H$13+parametros_manuales!$F$34*(datos_base!$F$4+IF(parametros_manuales!$H$34="Todos",datos_base!$F$11,0))*parametros_manuales!$H$105+parametros_manuales!$F$34*(datos_base!$F$20+IF(parametros_manuales!$H$34="Todos",datos_base!$F$25,0))*parametros_manuales!$H$14+parametros_manuales!$G$34*(datos_base!$F$5+IF(parametros_manuales!$H$34="Todos",datos_base!$F$12,0))*parametros_manuales!$H$110+parametros_manuales!$G$34*(datos_base!$F$21+IF(parametros_manuales!$H$34="Todos",datos_base!$F$26,0))*parametros_manuales!$H$15)*parametros_manuales!$I$34*parametros_manuales!$J$34</f>
        <v>6741.388078682</v>
      </c>
      <c r="I125" s="9" t="n">
        <f aca="false">(parametros_manuales!$D$34*(datos_base!$F$2+IF(parametros_manuales!$H$34="Todos",datos_base!$F$9,0))*parametros_manuales!$I$95+parametros_manuales!$D$34*(datos_base!$F$18+IF(parametros_manuales!$H$34="Todos",datos_base!$F$23,0))*parametros_manuales!$I$12+parametros_manuales!$E$34*(datos_base!$F$3+IF(parametros_manuales!$H$34="Todos",datos_base!$F$10,0))*parametros_manuales!$I$100+parametros_manuales!$E$34*(datos_base!$F$19+IF(parametros_manuales!$H$34="Todos",datos_base!$F$24,0))*parametros_manuales!$I$13+parametros_manuales!$F$34*(datos_base!$F$4+IF(parametros_manuales!$H$34="Todos",datos_base!$F$11,0))*parametros_manuales!$I$105+parametros_manuales!$F$34*(datos_base!$F$20+IF(parametros_manuales!$H$34="Todos",datos_base!$F$25,0))*parametros_manuales!$I$14+parametros_manuales!$G$34*(datos_base!$F$5+IF(parametros_manuales!$H$34="Todos",datos_base!$F$12,0))*parametros_manuales!$I$110+parametros_manuales!$G$34*(datos_base!$F$21+IF(parametros_manuales!$H$34="Todos",datos_base!$F$26,0))*parametros_manuales!$I$15)*parametros_manuales!$I$34*parametros_manuales!$J$34</f>
        <v>7673.11956933199</v>
      </c>
      <c r="J125" s="9" t="n">
        <f aca="false">(parametros_manuales!$D$34*(datos_base!$F$2+IF(parametros_manuales!$H$34="Todos",datos_base!$F$9,0))*parametros_manuales!$J$95+parametros_manuales!$D$34*(datos_base!$F$18+IF(parametros_manuales!$H$34="Todos",datos_base!$F$23,0))*parametros_manuales!$J$12+parametros_manuales!$E$34*(datos_base!$F$3+IF(parametros_manuales!$H$34="Todos",datos_base!$F$10,0))*parametros_manuales!$J$100+parametros_manuales!$E$34*(datos_base!$F$19+IF(parametros_manuales!$H$34="Todos",datos_base!$F$24,0))*parametros_manuales!$J$13+parametros_manuales!$F$34*(datos_base!$F$4+IF(parametros_manuales!$H$34="Todos",datos_base!$F$11,0))*parametros_manuales!$J$105+parametros_manuales!$F$34*(datos_base!$F$20+IF(parametros_manuales!$H$34="Todos",datos_base!$F$25,0))*parametros_manuales!$J$14+parametros_manuales!$G$34*(datos_base!$F$5+IF(parametros_manuales!$H$34="Todos",datos_base!$F$12,0))*parametros_manuales!$J$110+parametros_manuales!$G$34*(datos_base!$F$21+IF(parametros_manuales!$H$34="Todos",datos_base!$F$26,0))*parametros_manuales!$J$15)*parametros_manuales!$I$34*parametros_manuales!$J$34</f>
        <v>7673.119569332</v>
      </c>
      <c r="K125" s="9" t="n">
        <f aca="false">(parametros_manuales!$D$34*(datos_base!$F$2+IF(parametros_manuales!$H$34="Todos",datos_base!$F$9,0))*parametros_manuales!$K$95+parametros_manuales!$D$34*(datos_base!$F$18+IF(parametros_manuales!$H$34="Todos",datos_base!$F$23,0))*parametros_manuales!$K$12+parametros_manuales!$E$34*(datos_base!$F$3+IF(parametros_manuales!$H$34="Todos",datos_base!$F$10,0))*parametros_manuales!$K$100+parametros_manuales!$E$34*(datos_base!$F$19+IF(parametros_manuales!$H$34="Todos",datos_base!$F$24,0))*parametros_manuales!$K$13+parametros_manuales!$F$34*(datos_base!$F$4+IF(parametros_manuales!$H$34="Todos",datos_base!$F$11,0))*parametros_manuales!$K$105+parametros_manuales!$F$34*(datos_base!$F$20+IF(parametros_manuales!$H$34="Todos",datos_base!$F$25,0))*parametros_manuales!$K$14+parametros_manuales!$G$34*(datos_base!$F$5+IF(parametros_manuales!$H$34="Todos",datos_base!$F$12,0))*parametros_manuales!$K$110+parametros_manuales!$G$34*(datos_base!$F$21+IF(parametros_manuales!$H$34="Todos",datos_base!$F$26,0))*parametros_manuales!$K$15)*parametros_manuales!$I$34*parametros_manuales!$J$34</f>
        <v>7800.8674334215</v>
      </c>
      <c r="L125" s="9" t="n">
        <f aca="false">(parametros_manuales!$D$34*(datos_base!$F$2+IF(parametros_manuales!$H$34="Todos",datos_base!$F$9,0))*parametros_manuales!$L$95+parametros_manuales!$D$34*(datos_base!$F$18+IF(parametros_manuales!$H$34="Todos",datos_base!$F$23,0))*parametros_manuales!$L$12+parametros_manuales!$E$34*(datos_base!$F$3+IF(parametros_manuales!$H$34="Todos",datos_base!$F$10,0))*parametros_manuales!$L$100+parametros_manuales!$E$34*(datos_base!$F$19+IF(parametros_manuales!$H$34="Todos",datos_base!$F$24,0))*parametros_manuales!$L$13+parametros_manuales!$F$34*(datos_base!$F$4+IF(parametros_manuales!$H$34="Todos",datos_base!$F$11,0))*parametros_manuales!$L$105+parametros_manuales!$F$34*(datos_base!$F$20+IF(parametros_manuales!$H$34="Todos",datos_base!$F$25,0))*parametros_manuales!$L$14+parametros_manuales!$G$34*(datos_base!$F$5+IF(parametros_manuales!$H$34="Todos",datos_base!$F$12,0))*parametros_manuales!$L$110+parametros_manuales!$G$34*(datos_base!$F$21+IF(parametros_manuales!$H$34="Todos",datos_base!$F$26,0))*parametros_manuales!$L$15)*parametros_manuales!$I$34*parametros_manuales!$J$34</f>
        <v>7928.615297511</v>
      </c>
      <c r="M125" s="9" t="n">
        <f aca="false">(parametros_manuales!$D$34*(datos_base!$F$2+IF(parametros_manuales!$H$34="Todos",datos_base!$F$9,0))*parametros_manuales!$M$95+parametros_manuales!$D$34*(datos_base!$F$18+IF(parametros_manuales!$H$34="Todos",datos_base!$F$23,0))*parametros_manuales!$M$12+parametros_manuales!$E$34*(datos_base!$F$3+IF(parametros_manuales!$H$34="Todos",datos_base!$F$10,0))*parametros_manuales!$M$100+parametros_manuales!$E$34*(datos_base!$F$19+IF(parametros_manuales!$H$34="Todos",datos_base!$F$24,0))*parametros_manuales!$M$13+parametros_manuales!$F$34*(datos_base!$F$4+IF(parametros_manuales!$H$34="Todos",datos_base!$F$11,0))*parametros_manuales!$M$105+parametros_manuales!$F$34*(datos_base!$F$20+IF(parametros_manuales!$H$34="Todos",datos_base!$F$25,0))*parametros_manuales!$M$14+parametros_manuales!$G$34*(datos_base!$F$5+IF(parametros_manuales!$H$34="Todos",datos_base!$F$12,0))*parametros_manuales!$M$110+parametros_manuales!$G$34*(datos_base!$F$21+IF(parametros_manuales!$H$34="Todos",datos_base!$F$26,0))*parametros_manuales!$M$15)*parametros_manuales!$I$34*parametros_manuales!$J$34</f>
        <v>7938.306497511</v>
      </c>
      <c r="N125" s="9" t="n">
        <f aca="false">SUM(B125:M125)</f>
        <v>88149.5655279</v>
      </c>
      <c r="O125" s="9" t="n">
        <f aca="false">MAX(B125:M125)</f>
        <v>7938.306497511</v>
      </c>
      <c r="P125" s="44" t="n">
        <f aca="false">O125/(parametros_manuales!$B$7)</f>
        <v>52.92204331674</v>
      </c>
      <c r="Q125" s="8" t="str">
        <f aca="false">IF(O125=0,"-",INDEX($B$109:$M$109,MATCH(O125,B125:M125,0)))</f>
        <v>Dic</v>
      </c>
    </row>
    <row r="126" customFormat="false" ht="14.25" hidden="false" customHeight="true" outlineLevel="0" collapsed="false">
      <c r="A126" s="8" t="str">
        <f aca="false">parametros_manuales!$B$35</f>
        <v>Detección de defectos</v>
      </c>
      <c r="B126" s="9" t="n">
        <f aca="false">(parametros_manuales!$D$35*(datos_base!$F$2+IF(parametros_manuales!$H$35="Todos",datos_base!$F$9,0))*parametros_manuales!$B$95+parametros_manuales!$D$35*(datos_base!$F$18+IF(parametros_manuales!$H$35="Todos",datos_base!$F$23,0))*parametros_manuales!$B$12+parametros_manuales!$E$35*(datos_base!$F$3+IF(parametros_manuales!$H$35="Todos",datos_base!$F$10,0))*parametros_manuales!$B$100+parametros_manuales!$E$35*(datos_base!$F$19+IF(parametros_manuales!$H$35="Todos",datos_base!$F$24,0))*parametros_manuales!$B$13+parametros_manuales!$F$35*(datos_base!$F$4+IF(parametros_manuales!$H$35="Todos",datos_base!$F$11,0))*parametros_manuales!$B$105+parametros_manuales!$F$35*(datos_base!$F$20+IF(parametros_manuales!$H$35="Todos",datos_base!$F$25,0))*parametros_manuales!$B$14+parametros_manuales!$G$35*(datos_base!$F$5+IF(parametros_manuales!$H$35="Todos",datos_base!$F$12,0))*parametros_manuales!$B$110+parametros_manuales!$G$35*(datos_base!$F$21+IF(parametros_manuales!$H$35="Todos",datos_base!$F$26,0))*parametros_manuales!$B$15)*parametros_manuales!$I$35*parametros_manuales!$J$35</f>
        <v>7935.883697511</v>
      </c>
      <c r="C126" s="9" t="n">
        <f aca="false">(parametros_manuales!$D$35*(datos_base!$F$2+IF(parametros_manuales!$H$35="Todos",datos_base!$F$9,0))*parametros_manuales!$C$95+parametros_manuales!$D$35*(datos_base!$F$18+IF(parametros_manuales!$H$35="Todos",datos_base!$F$23,0))*parametros_manuales!$C$12+parametros_manuales!$E$35*(datos_base!$F$3+IF(parametros_manuales!$H$35="Todos",datos_base!$F$10,0))*parametros_manuales!$C$100+parametros_manuales!$E$35*(datos_base!$F$19+IF(parametros_manuales!$H$35="Todos",datos_base!$F$24,0))*parametros_manuales!$C$13+parametros_manuales!$F$35*(datos_base!$F$4+IF(parametros_manuales!$H$35="Todos",datos_base!$F$11,0))*parametros_manuales!$C$105+parametros_manuales!$F$35*(datos_base!$F$20+IF(parametros_manuales!$H$35="Todos",datos_base!$F$25,0))*parametros_manuales!$C$14+parametros_manuales!$G$35*(datos_base!$F$5+IF(parametros_manuales!$H$35="Todos",datos_base!$F$12,0))*parametros_manuales!$C$110+parametros_manuales!$G$35*(datos_base!$F$21+IF(parametros_manuales!$H$35="Todos",datos_base!$F$26,0))*parametros_manuales!$C$15)*parametros_manuales!$I$35*parametros_manuales!$J$35</f>
        <v>7673.119569332</v>
      </c>
      <c r="D126" s="9" t="n">
        <f aca="false">(parametros_manuales!$D$35*(datos_base!$F$2+IF(parametros_manuales!$H$35="Todos",datos_base!$F$9,0))*parametros_manuales!$D$95+parametros_manuales!$D$35*(datos_base!$F$18+IF(parametros_manuales!$H$35="Todos",datos_base!$F$23,0))*parametros_manuales!$D$12+parametros_manuales!$E$35*(datos_base!$F$3+IF(parametros_manuales!$H$35="Todos",datos_base!$F$10,0))*parametros_manuales!$D$100+parametros_manuales!$E$35*(datos_base!$F$19+IF(parametros_manuales!$H$35="Todos",datos_base!$F$24,0))*parametros_manuales!$D$13+parametros_manuales!$F$35*(datos_base!$F$4+IF(parametros_manuales!$H$35="Todos",datos_base!$F$11,0))*parametros_manuales!$D$105+parametros_manuales!$F$35*(datos_base!$F$20+IF(parametros_manuales!$H$35="Todos",datos_base!$F$25,0))*parametros_manuales!$D$14+parametros_manuales!$G$35*(datos_base!$F$5+IF(parametros_manuales!$H$35="Todos",datos_base!$F$12,0))*parametros_manuales!$D$110+parametros_manuales!$G$35*(datos_base!$F$21+IF(parametros_manuales!$H$35="Todos",datos_base!$F$26,0))*parametros_manuales!$D$15)*parametros_manuales!$I$35*parametros_manuales!$J$35</f>
        <v>7182.1359063215</v>
      </c>
      <c r="E126" s="9" t="n">
        <f aca="false">(parametros_manuales!$D$35*(datos_base!$F$2+IF(parametros_manuales!$H$35="Todos",datos_base!$F$9,0))*parametros_manuales!$E$95+parametros_manuales!$D$35*(datos_base!$F$18+IF(parametros_manuales!$H$35="Todos",datos_base!$F$23,0))*parametros_manuales!$E$12+parametros_manuales!$E$35*(datos_base!$F$3+IF(parametros_manuales!$H$35="Todos",datos_base!$F$10,0))*parametros_manuales!$E$100+parametros_manuales!$E$35*(datos_base!$F$19+IF(parametros_manuales!$H$35="Todos",datos_base!$F$24,0))*parametros_manuales!$E$13+parametros_manuales!$F$35*(datos_base!$F$4+IF(parametros_manuales!$H$35="Todos",datos_base!$F$11,0))*parametros_manuales!$E$105+parametros_manuales!$F$35*(datos_base!$F$20+IF(parametros_manuales!$H$35="Todos",datos_base!$F$25,0))*parametros_manuales!$E$14+parametros_manuales!$G$35*(datos_base!$F$5+IF(parametros_manuales!$H$35="Todos",datos_base!$F$12,0))*parametros_manuales!$E$110+parametros_manuales!$G$35*(datos_base!$F$21+IF(parametros_manuales!$H$35="Todos",datos_base!$F$26,0))*parametros_manuales!$E$15)*parametros_manuales!$I$35*parametros_manuales!$J$35</f>
        <v>6871.5587427715</v>
      </c>
      <c r="F126" s="9" t="n">
        <f aca="false">(parametros_manuales!$D$35*(datos_base!$F$2+IF(parametros_manuales!$H$35="Todos",datos_base!$F$9,0))*parametros_manuales!$F$95+parametros_manuales!$D$35*(datos_base!$F$18+IF(parametros_manuales!$H$35="Todos",datos_base!$F$23,0))*parametros_manuales!$F$12+parametros_manuales!$E$35*(datos_base!$F$3+IF(parametros_manuales!$H$35="Todos",datos_base!$F$10,0))*parametros_manuales!$F$100+parametros_manuales!$E$35*(datos_base!$F$19+IF(parametros_manuales!$H$35="Todos",datos_base!$F$24,0))*parametros_manuales!$F$13+parametros_manuales!$F$35*(datos_base!$F$4+IF(parametros_manuales!$H$35="Todos",datos_base!$F$11,0))*parametros_manuales!$F$105+parametros_manuales!$F$35*(datos_base!$F$20+IF(parametros_manuales!$H$35="Todos",datos_base!$F$25,0))*parametros_manuales!$F$14+parametros_manuales!$G$35*(datos_base!$F$5+IF(parametros_manuales!$H$35="Todos",datos_base!$F$12,0))*parametros_manuales!$F$110+parametros_manuales!$G$35*(datos_base!$F$21+IF(parametros_manuales!$H$35="Todos",datos_base!$F$26,0))*parametros_manuales!$F$15)*parametros_manuales!$I$35*parametros_manuales!$J$35</f>
        <v>6430.810915132</v>
      </c>
      <c r="G126" s="9" t="n">
        <f aca="false">(parametros_manuales!$D$35*(datos_base!$F$2+IF(parametros_manuales!$H$35="Todos",datos_base!$F$9,0))*parametros_manuales!$G$95+parametros_manuales!$D$35*(datos_base!$F$18+IF(parametros_manuales!$H$35="Todos",datos_base!$F$23,0))*parametros_manuales!$G$12+parametros_manuales!$E$35*(datos_base!$F$3+IF(parametros_manuales!$H$35="Todos",datos_base!$F$10,0))*parametros_manuales!$G$100+parametros_manuales!$E$35*(datos_base!$F$19+IF(parametros_manuales!$H$35="Todos",datos_base!$F$24,0))*parametros_manuales!$G$13+parametros_manuales!$F$35*(datos_base!$F$4+IF(parametros_manuales!$H$35="Todos",datos_base!$F$11,0))*parametros_manuales!$G$105+parametros_manuales!$F$35*(datos_base!$F$20+IF(parametros_manuales!$H$35="Todos",datos_base!$F$25,0))*parametros_manuales!$G$14+parametros_manuales!$G$35*(datos_base!$F$5+IF(parametros_manuales!$H$35="Todos",datos_base!$F$12,0))*parametros_manuales!$G$110+parametros_manuales!$G$35*(datos_base!$F$21+IF(parametros_manuales!$H$35="Todos",datos_base!$F$26,0))*parametros_manuales!$G$15)*parametros_manuales!$I$35*parametros_manuales!$J$35</f>
        <v>6300.6402510425</v>
      </c>
      <c r="H126" s="9" t="n">
        <f aca="false">(parametros_manuales!$D$35*(datos_base!$F$2+IF(parametros_manuales!$H$35="Todos",datos_base!$F$9,0))*parametros_manuales!$H$95+parametros_manuales!$D$35*(datos_base!$F$18+IF(parametros_manuales!$H$35="Todos",datos_base!$F$23,0))*parametros_manuales!$H$12+parametros_manuales!$E$35*(datos_base!$F$3+IF(parametros_manuales!$H$35="Todos",datos_base!$F$10,0))*parametros_manuales!$H$100+parametros_manuales!$E$35*(datos_base!$F$19+IF(parametros_manuales!$H$35="Todos",datos_base!$F$24,0))*parametros_manuales!$H$13+parametros_manuales!$F$35*(datos_base!$F$4+IF(parametros_manuales!$H$35="Todos",datos_base!$F$11,0))*parametros_manuales!$H$105+parametros_manuales!$F$35*(datos_base!$F$20+IF(parametros_manuales!$H$35="Todos",datos_base!$F$25,0))*parametros_manuales!$H$14+parametros_manuales!$G$35*(datos_base!$F$5+IF(parametros_manuales!$H$35="Todos",datos_base!$F$12,0))*parametros_manuales!$H$110+parametros_manuales!$G$35*(datos_base!$F$21+IF(parametros_manuales!$H$35="Todos",datos_base!$F$26,0))*parametros_manuales!$H$15)*parametros_manuales!$I$35*parametros_manuales!$J$35</f>
        <v>6741.388078682</v>
      </c>
      <c r="I126" s="9" t="n">
        <f aca="false">(parametros_manuales!$D$35*(datos_base!$F$2+IF(parametros_manuales!$H$35="Todos",datos_base!$F$9,0))*parametros_manuales!$I$95+parametros_manuales!$D$35*(datos_base!$F$18+IF(parametros_manuales!$H$35="Todos",datos_base!$F$23,0))*parametros_manuales!$I$12+parametros_manuales!$E$35*(datos_base!$F$3+IF(parametros_manuales!$H$35="Todos",datos_base!$F$10,0))*parametros_manuales!$I$100+parametros_manuales!$E$35*(datos_base!$F$19+IF(parametros_manuales!$H$35="Todos",datos_base!$F$24,0))*parametros_manuales!$I$13+parametros_manuales!$F$35*(datos_base!$F$4+IF(parametros_manuales!$H$35="Todos",datos_base!$F$11,0))*parametros_manuales!$I$105+parametros_manuales!$F$35*(datos_base!$F$20+IF(parametros_manuales!$H$35="Todos",datos_base!$F$25,0))*parametros_manuales!$I$14+parametros_manuales!$G$35*(datos_base!$F$5+IF(parametros_manuales!$H$35="Todos",datos_base!$F$12,0))*parametros_manuales!$I$110+parametros_manuales!$G$35*(datos_base!$F$21+IF(parametros_manuales!$H$35="Todos",datos_base!$F$26,0))*parametros_manuales!$I$15)*parametros_manuales!$I$35*parametros_manuales!$J$35</f>
        <v>7673.11956933199</v>
      </c>
      <c r="J126" s="9" t="n">
        <f aca="false">(parametros_manuales!$D$35*(datos_base!$F$2+IF(parametros_manuales!$H$35="Todos",datos_base!$F$9,0))*parametros_manuales!$J$95+parametros_manuales!$D$35*(datos_base!$F$18+IF(parametros_manuales!$H$35="Todos",datos_base!$F$23,0))*parametros_manuales!$J$12+parametros_manuales!$E$35*(datos_base!$F$3+IF(parametros_manuales!$H$35="Todos",datos_base!$F$10,0))*parametros_manuales!$J$100+parametros_manuales!$E$35*(datos_base!$F$19+IF(parametros_manuales!$H$35="Todos",datos_base!$F$24,0))*parametros_manuales!$J$13+parametros_manuales!$F$35*(datos_base!$F$4+IF(parametros_manuales!$H$35="Todos",datos_base!$F$11,0))*parametros_manuales!$J$105+parametros_manuales!$F$35*(datos_base!$F$20+IF(parametros_manuales!$H$35="Todos",datos_base!$F$25,0))*parametros_manuales!$J$14+parametros_manuales!$G$35*(datos_base!$F$5+IF(parametros_manuales!$H$35="Todos",datos_base!$F$12,0))*parametros_manuales!$J$110+parametros_manuales!$G$35*(datos_base!$F$21+IF(parametros_manuales!$H$35="Todos",datos_base!$F$26,0))*parametros_manuales!$J$15)*parametros_manuales!$I$35*parametros_manuales!$J$35</f>
        <v>7673.119569332</v>
      </c>
      <c r="K126" s="9" t="n">
        <f aca="false">(parametros_manuales!$D$35*(datos_base!$F$2+IF(parametros_manuales!$H$35="Todos",datos_base!$F$9,0))*parametros_manuales!$K$95+parametros_manuales!$D$35*(datos_base!$F$18+IF(parametros_manuales!$H$35="Todos",datos_base!$F$23,0))*parametros_manuales!$K$12+parametros_manuales!$E$35*(datos_base!$F$3+IF(parametros_manuales!$H$35="Todos",datos_base!$F$10,0))*parametros_manuales!$K$100+parametros_manuales!$E$35*(datos_base!$F$19+IF(parametros_manuales!$H$35="Todos",datos_base!$F$24,0))*parametros_manuales!$K$13+parametros_manuales!$F$35*(datos_base!$F$4+IF(parametros_manuales!$H$35="Todos",datos_base!$F$11,0))*parametros_manuales!$K$105+parametros_manuales!$F$35*(datos_base!$F$20+IF(parametros_manuales!$H$35="Todos",datos_base!$F$25,0))*parametros_manuales!$K$14+parametros_manuales!$G$35*(datos_base!$F$5+IF(parametros_manuales!$H$35="Todos",datos_base!$F$12,0))*parametros_manuales!$K$110+parametros_manuales!$G$35*(datos_base!$F$21+IF(parametros_manuales!$H$35="Todos",datos_base!$F$26,0))*parametros_manuales!$K$15)*parametros_manuales!$I$35*parametros_manuales!$J$35</f>
        <v>7800.8674334215</v>
      </c>
      <c r="L126" s="9" t="n">
        <f aca="false">(parametros_manuales!$D$35*(datos_base!$F$2+IF(parametros_manuales!$H$35="Todos",datos_base!$F$9,0))*parametros_manuales!$L$95+parametros_manuales!$D$35*(datos_base!$F$18+IF(parametros_manuales!$H$35="Todos",datos_base!$F$23,0))*parametros_manuales!$L$12+parametros_manuales!$E$35*(datos_base!$F$3+IF(parametros_manuales!$H$35="Todos",datos_base!$F$10,0))*parametros_manuales!$L$100+parametros_manuales!$E$35*(datos_base!$F$19+IF(parametros_manuales!$H$35="Todos",datos_base!$F$24,0))*parametros_manuales!$L$13+parametros_manuales!$F$35*(datos_base!$F$4+IF(parametros_manuales!$H$35="Todos",datos_base!$F$11,0))*parametros_manuales!$L$105+parametros_manuales!$F$35*(datos_base!$F$20+IF(parametros_manuales!$H$35="Todos",datos_base!$F$25,0))*parametros_manuales!$L$14+parametros_manuales!$G$35*(datos_base!$F$5+IF(parametros_manuales!$H$35="Todos",datos_base!$F$12,0))*parametros_manuales!$L$110+parametros_manuales!$G$35*(datos_base!$F$21+IF(parametros_manuales!$H$35="Todos",datos_base!$F$26,0))*parametros_manuales!$L$15)*parametros_manuales!$I$35*parametros_manuales!$J$35</f>
        <v>7928.615297511</v>
      </c>
      <c r="M126" s="9" t="n">
        <f aca="false">(parametros_manuales!$D$35*(datos_base!$F$2+IF(parametros_manuales!$H$35="Todos",datos_base!$F$9,0))*parametros_manuales!$M$95+parametros_manuales!$D$35*(datos_base!$F$18+IF(parametros_manuales!$H$35="Todos",datos_base!$F$23,0))*parametros_manuales!$M$12+parametros_manuales!$E$35*(datos_base!$F$3+IF(parametros_manuales!$H$35="Todos",datos_base!$F$10,0))*parametros_manuales!$M$100+parametros_manuales!$E$35*(datos_base!$F$19+IF(parametros_manuales!$H$35="Todos",datos_base!$F$24,0))*parametros_manuales!$M$13+parametros_manuales!$F$35*(datos_base!$F$4+IF(parametros_manuales!$H$35="Todos",datos_base!$F$11,0))*parametros_manuales!$M$105+parametros_manuales!$F$35*(datos_base!$F$20+IF(parametros_manuales!$H$35="Todos",datos_base!$F$25,0))*parametros_manuales!$M$14+parametros_manuales!$G$35*(datos_base!$F$5+IF(parametros_manuales!$H$35="Todos",datos_base!$F$12,0))*parametros_manuales!$M$110+parametros_manuales!$G$35*(datos_base!$F$21+IF(parametros_manuales!$H$35="Todos",datos_base!$F$26,0))*parametros_manuales!$M$15)*parametros_manuales!$I$35*parametros_manuales!$J$35</f>
        <v>7938.306497511</v>
      </c>
      <c r="N126" s="9" t="n">
        <f aca="false">SUM(B126:M126)</f>
        <v>88149.5655279</v>
      </c>
      <c r="O126" s="9" t="n">
        <f aca="false">MAX(B126:M126)</f>
        <v>7938.306497511</v>
      </c>
      <c r="P126" s="44" t="n">
        <f aca="false">O126/(parametros_manuales!$B$7)</f>
        <v>52.92204331674</v>
      </c>
      <c r="Q126" s="8" t="str">
        <f aca="false">IF(O126=0,"-",INDEX($B$109:$M$109,MATCH(O126,B126:M126,0)))</f>
        <v>Dic</v>
      </c>
    </row>
    <row r="127" customFormat="false" ht="14.25" hidden="false" customHeight="true" outlineLevel="0" collapsed="false">
      <c r="A127" s="8" t="str">
        <f aca="false">parametros_manuales!$B$36</f>
        <v>Corrección de defectos</v>
      </c>
      <c r="B127" s="9" t="n">
        <f aca="false">(parametros_manuales!$D$36*(datos_base!$F$2+IF(parametros_manuales!$H$36="Todos",datos_base!$F$9,0))*parametros_manuales!$B$95+parametros_manuales!$D$36*(datos_base!$F$18+IF(parametros_manuales!$H$36="Todos",datos_base!$F$23,0))*parametros_manuales!$B$12+parametros_manuales!$E$36*(datos_base!$F$3+IF(parametros_manuales!$H$36="Todos",datos_base!$F$10,0))*parametros_manuales!$B$100+parametros_manuales!$E$36*(datos_base!$F$19+IF(parametros_manuales!$H$36="Todos",datos_base!$F$24,0))*parametros_manuales!$B$13+parametros_manuales!$F$36*(datos_base!$F$4+IF(parametros_manuales!$H$36="Todos",datos_base!$F$11,0))*parametros_manuales!$B$105+parametros_manuales!$F$36*(datos_base!$F$20+IF(parametros_manuales!$H$36="Todos",datos_base!$F$25,0))*parametros_manuales!$B$14+parametros_manuales!$G$36*(datos_base!$F$5+IF(parametros_manuales!$H$36="Todos",datos_base!$F$12,0))*parametros_manuales!$B$110+parametros_manuales!$G$36*(datos_base!$F$21+IF(parametros_manuales!$H$36="Todos",datos_base!$F$26,0))*parametros_manuales!$B$15)*parametros_manuales!$I$36*parametros_manuales!$J$36</f>
        <v>396.79418487555</v>
      </c>
      <c r="C127" s="9" t="n">
        <f aca="false">(parametros_manuales!$D$36*(datos_base!$F$2+IF(parametros_manuales!$H$36="Todos",datos_base!$F$9,0))*parametros_manuales!$C$95+parametros_manuales!$D$36*(datos_base!$F$18+IF(parametros_manuales!$H$36="Todos",datos_base!$F$23,0))*parametros_manuales!$C$12+parametros_manuales!$E$36*(datos_base!$F$3+IF(parametros_manuales!$H$36="Todos",datos_base!$F$10,0))*parametros_manuales!$C$100+parametros_manuales!$E$36*(datos_base!$F$19+IF(parametros_manuales!$H$36="Todos",datos_base!$F$24,0))*parametros_manuales!$C$13+parametros_manuales!$F$36*(datos_base!$F$4+IF(parametros_manuales!$H$36="Todos",datos_base!$F$11,0))*parametros_manuales!$C$105+parametros_manuales!$F$36*(datos_base!$F$20+IF(parametros_manuales!$H$36="Todos",datos_base!$F$25,0))*parametros_manuales!$C$14+parametros_manuales!$G$36*(datos_base!$F$5+IF(parametros_manuales!$H$36="Todos",datos_base!$F$12,0))*parametros_manuales!$C$110+parametros_manuales!$G$36*(datos_base!$F$21+IF(parametros_manuales!$H$36="Todos",datos_base!$F$26,0))*parametros_manuales!$C$15)*parametros_manuales!$I$36*parametros_manuales!$J$36</f>
        <v>383.6559784666</v>
      </c>
      <c r="D127" s="9" t="n">
        <f aca="false">(parametros_manuales!$D$36*(datos_base!$F$2+IF(parametros_manuales!$H$36="Todos",datos_base!$F$9,0))*parametros_manuales!$D$95+parametros_manuales!$D$36*(datos_base!$F$18+IF(parametros_manuales!$H$36="Todos",datos_base!$F$23,0))*parametros_manuales!$D$12+parametros_manuales!$E$36*(datos_base!$F$3+IF(parametros_manuales!$H$36="Todos",datos_base!$F$10,0))*parametros_manuales!$D$100+parametros_manuales!$E$36*(datos_base!$F$19+IF(parametros_manuales!$H$36="Todos",datos_base!$F$24,0))*parametros_manuales!$D$13+parametros_manuales!$F$36*(datos_base!$F$4+IF(parametros_manuales!$H$36="Todos",datos_base!$F$11,0))*parametros_manuales!$D$105+parametros_manuales!$F$36*(datos_base!$F$20+IF(parametros_manuales!$H$36="Todos",datos_base!$F$25,0))*parametros_manuales!$D$14+parametros_manuales!$G$36*(datos_base!$F$5+IF(parametros_manuales!$H$36="Todos",datos_base!$F$12,0))*parametros_manuales!$D$110+parametros_manuales!$G$36*(datos_base!$F$21+IF(parametros_manuales!$H$36="Todos",datos_base!$F$26,0))*parametros_manuales!$D$15)*parametros_manuales!$I$36*parametros_manuales!$J$36</f>
        <v>359.106795316075</v>
      </c>
      <c r="E127" s="9" t="n">
        <f aca="false">(parametros_manuales!$D$36*(datos_base!$F$2+IF(parametros_manuales!$H$36="Todos",datos_base!$F$9,0))*parametros_manuales!$E$95+parametros_manuales!$D$36*(datos_base!$F$18+IF(parametros_manuales!$H$36="Todos",datos_base!$F$23,0))*parametros_manuales!$E$12+parametros_manuales!$E$36*(datos_base!$F$3+IF(parametros_manuales!$H$36="Todos",datos_base!$F$10,0))*parametros_manuales!$E$100+parametros_manuales!$E$36*(datos_base!$F$19+IF(parametros_manuales!$H$36="Todos",datos_base!$F$24,0))*parametros_manuales!$E$13+parametros_manuales!$F$36*(datos_base!$F$4+IF(parametros_manuales!$H$36="Todos",datos_base!$F$11,0))*parametros_manuales!$E$105+parametros_manuales!$F$36*(datos_base!$F$20+IF(parametros_manuales!$H$36="Todos",datos_base!$F$25,0))*parametros_manuales!$E$14+parametros_manuales!$G$36*(datos_base!$F$5+IF(parametros_manuales!$H$36="Todos",datos_base!$F$12,0))*parametros_manuales!$E$110+parametros_manuales!$G$36*(datos_base!$F$21+IF(parametros_manuales!$H$36="Todos",datos_base!$F$26,0))*parametros_manuales!$E$15)*parametros_manuales!$I$36*parametros_manuales!$J$36</f>
        <v>343.577937138575</v>
      </c>
      <c r="F127" s="9" t="n">
        <f aca="false">(parametros_manuales!$D$36*(datos_base!$F$2+IF(parametros_manuales!$H$36="Todos",datos_base!$F$9,0))*parametros_manuales!$F$95+parametros_manuales!$D$36*(datos_base!$F$18+IF(parametros_manuales!$H$36="Todos",datos_base!$F$23,0))*parametros_manuales!$F$12+parametros_manuales!$E$36*(datos_base!$F$3+IF(parametros_manuales!$H$36="Todos",datos_base!$F$10,0))*parametros_manuales!$F$100+parametros_manuales!$E$36*(datos_base!$F$19+IF(parametros_manuales!$H$36="Todos",datos_base!$F$24,0))*parametros_manuales!$F$13+parametros_manuales!$F$36*(datos_base!$F$4+IF(parametros_manuales!$H$36="Todos",datos_base!$F$11,0))*parametros_manuales!$F$105+parametros_manuales!$F$36*(datos_base!$F$20+IF(parametros_manuales!$H$36="Todos",datos_base!$F$25,0))*parametros_manuales!$F$14+parametros_manuales!$G$36*(datos_base!$F$5+IF(parametros_manuales!$H$36="Todos",datos_base!$F$12,0))*parametros_manuales!$F$110+parametros_manuales!$G$36*(datos_base!$F$21+IF(parametros_manuales!$H$36="Todos",datos_base!$F$26,0))*parametros_manuales!$F$15)*parametros_manuales!$I$36*parametros_manuales!$J$36</f>
        <v>321.5405457566</v>
      </c>
      <c r="G127" s="9" t="n">
        <f aca="false">(parametros_manuales!$D$36*(datos_base!$F$2+IF(parametros_manuales!$H$36="Todos",datos_base!$F$9,0))*parametros_manuales!$G$95+parametros_manuales!$D$36*(datos_base!$F$18+IF(parametros_manuales!$H$36="Todos",datos_base!$F$23,0))*parametros_manuales!$G$12+parametros_manuales!$E$36*(datos_base!$F$3+IF(parametros_manuales!$H$36="Todos",datos_base!$F$10,0))*parametros_manuales!$G$100+parametros_manuales!$E$36*(datos_base!$F$19+IF(parametros_manuales!$H$36="Todos",datos_base!$F$24,0))*parametros_manuales!$G$13+parametros_manuales!$F$36*(datos_base!$F$4+IF(parametros_manuales!$H$36="Todos",datos_base!$F$11,0))*parametros_manuales!$G$105+parametros_manuales!$F$36*(datos_base!$F$20+IF(parametros_manuales!$H$36="Todos",datos_base!$F$25,0))*parametros_manuales!$G$14+parametros_manuales!$G$36*(datos_base!$F$5+IF(parametros_manuales!$H$36="Todos",datos_base!$F$12,0))*parametros_manuales!$G$110+parametros_manuales!$G$36*(datos_base!$F$21+IF(parametros_manuales!$H$36="Todos",datos_base!$F$26,0))*parametros_manuales!$G$15)*parametros_manuales!$I$36*parametros_manuales!$J$36</f>
        <v>315.032012552125</v>
      </c>
      <c r="H127" s="9" t="n">
        <f aca="false">(parametros_manuales!$D$36*(datos_base!$F$2+IF(parametros_manuales!$H$36="Todos",datos_base!$F$9,0))*parametros_manuales!$H$95+parametros_manuales!$D$36*(datos_base!$F$18+IF(parametros_manuales!$H$36="Todos",datos_base!$F$23,0))*parametros_manuales!$H$12+parametros_manuales!$E$36*(datos_base!$F$3+IF(parametros_manuales!$H$36="Todos",datos_base!$F$10,0))*parametros_manuales!$H$100+parametros_manuales!$E$36*(datos_base!$F$19+IF(parametros_manuales!$H$36="Todos",datos_base!$F$24,0))*parametros_manuales!$H$13+parametros_manuales!$F$36*(datos_base!$F$4+IF(parametros_manuales!$H$36="Todos",datos_base!$F$11,0))*parametros_manuales!$H$105+parametros_manuales!$F$36*(datos_base!$F$20+IF(parametros_manuales!$H$36="Todos",datos_base!$F$25,0))*parametros_manuales!$H$14+parametros_manuales!$G$36*(datos_base!$F$5+IF(parametros_manuales!$H$36="Todos",datos_base!$F$12,0))*parametros_manuales!$H$110+parametros_manuales!$G$36*(datos_base!$F$21+IF(parametros_manuales!$H$36="Todos",datos_base!$F$26,0))*parametros_manuales!$H$15)*parametros_manuales!$I$36*parametros_manuales!$J$36</f>
        <v>337.0694039341</v>
      </c>
      <c r="I127" s="9" t="n">
        <f aca="false">(parametros_manuales!$D$36*(datos_base!$F$2+IF(parametros_manuales!$H$36="Todos",datos_base!$F$9,0))*parametros_manuales!$I$95+parametros_manuales!$D$36*(datos_base!$F$18+IF(parametros_manuales!$H$36="Todos",datos_base!$F$23,0))*parametros_manuales!$I$12+parametros_manuales!$E$36*(datos_base!$F$3+IF(parametros_manuales!$H$36="Todos",datos_base!$F$10,0))*parametros_manuales!$I$100+parametros_manuales!$E$36*(datos_base!$F$19+IF(parametros_manuales!$H$36="Todos",datos_base!$F$24,0))*parametros_manuales!$I$13+parametros_manuales!$F$36*(datos_base!$F$4+IF(parametros_manuales!$H$36="Todos",datos_base!$F$11,0))*parametros_manuales!$I$105+parametros_manuales!$F$36*(datos_base!$F$20+IF(parametros_manuales!$H$36="Todos",datos_base!$F$25,0))*parametros_manuales!$I$14+parametros_manuales!$G$36*(datos_base!$F$5+IF(parametros_manuales!$H$36="Todos",datos_base!$F$12,0))*parametros_manuales!$I$110+parametros_manuales!$G$36*(datos_base!$F$21+IF(parametros_manuales!$H$36="Todos",datos_base!$F$26,0))*parametros_manuales!$I$15)*parametros_manuales!$I$36*parametros_manuales!$J$36</f>
        <v>383.6559784666</v>
      </c>
      <c r="J127" s="9" t="n">
        <f aca="false">(parametros_manuales!$D$36*(datos_base!$F$2+IF(parametros_manuales!$H$36="Todos",datos_base!$F$9,0))*parametros_manuales!$J$95+parametros_manuales!$D$36*(datos_base!$F$18+IF(parametros_manuales!$H$36="Todos",datos_base!$F$23,0))*parametros_manuales!$J$12+parametros_manuales!$E$36*(datos_base!$F$3+IF(parametros_manuales!$H$36="Todos",datos_base!$F$10,0))*parametros_manuales!$J$100+parametros_manuales!$E$36*(datos_base!$F$19+IF(parametros_manuales!$H$36="Todos",datos_base!$F$24,0))*parametros_manuales!$J$13+parametros_manuales!$F$36*(datos_base!$F$4+IF(parametros_manuales!$H$36="Todos",datos_base!$F$11,0))*parametros_manuales!$J$105+parametros_manuales!$F$36*(datos_base!$F$20+IF(parametros_manuales!$H$36="Todos",datos_base!$F$25,0))*parametros_manuales!$J$14+parametros_manuales!$G$36*(datos_base!$F$5+IF(parametros_manuales!$H$36="Todos",datos_base!$F$12,0))*parametros_manuales!$J$110+parametros_manuales!$G$36*(datos_base!$F$21+IF(parametros_manuales!$H$36="Todos",datos_base!$F$26,0))*parametros_manuales!$J$15)*parametros_manuales!$I$36*parametros_manuales!$J$36</f>
        <v>383.6559784666</v>
      </c>
      <c r="K127" s="9" t="n">
        <f aca="false">(parametros_manuales!$D$36*(datos_base!$F$2+IF(parametros_manuales!$H$36="Todos",datos_base!$F$9,0))*parametros_manuales!$K$95+parametros_manuales!$D$36*(datos_base!$F$18+IF(parametros_manuales!$H$36="Todos",datos_base!$F$23,0))*parametros_manuales!$K$12+parametros_manuales!$E$36*(datos_base!$F$3+IF(parametros_manuales!$H$36="Todos",datos_base!$F$10,0))*parametros_manuales!$K$100+parametros_manuales!$E$36*(datos_base!$F$19+IF(parametros_manuales!$H$36="Todos",datos_base!$F$24,0))*parametros_manuales!$K$13+parametros_manuales!$F$36*(datos_base!$F$4+IF(parametros_manuales!$H$36="Todos",datos_base!$F$11,0))*parametros_manuales!$K$105+parametros_manuales!$F$36*(datos_base!$F$20+IF(parametros_manuales!$H$36="Todos",datos_base!$F$25,0))*parametros_manuales!$K$14+parametros_manuales!$G$36*(datos_base!$F$5+IF(parametros_manuales!$H$36="Todos",datos_base!$F$12,0))*parametros_manuales!$K$110+parametros_manuales!$G$36*(datos_base!$F$21+IF(parametros_manuales!$H$36="Todos",datos_base!$F$26,0))*parametros_manuales!$K$15)*parametros_manuales!$I$36*parametros_manuales!$J$36</f>
        <v>390.043371671075</v>
      </c>
      <c r="L127" s="9" t="n">
        <f aca="false">(parametros_manuales!$D$36*(datos_base!$F$2+IF(parametros_manuales!$H$36="Todos",datos_base!$F$9,0))*parametros_manuales!$L$95+parametros_manuales!$D$36*(datos_base!$F$18+IF(parametros_manuales!$H$36="Todos",datos_base!$F$23,0))*parametros_manuales!$L$12+parametros_manuales!$E$36*(datos_base!$F$3+IF(parametros_manuales!$H$36="Todos",datos_base!$F$10,0))*parametros_manuales!$L$100+parametros_manuales!$E$36*(datos_base!$F$19+IF(parametros_manuales!$H$36="Todos",datos_base!$F$24,0))*parametros_manuales!$L$13+parametros_manuales!$F$36*(datos_base!$F$4+IF(parametros_manuales!$H$36="Todos",datos_base!$F$11,0))*parametros_manuales!$L$105+parametros_manuales!$F$36*(datos_base!$F$20+IF(parametros_manuales!$H$36="Todos",datos_base!$F$25,0))*parametros_manuales!$L$14+parametros_manuales!$G$36*(datos_base!$F$5+IF(parametros_manuales!$H$36="Todos",datos_base!$F$12,0))*parametros_manuales!$L$110+parametros_manuales!$G$36*(datos_base!$F$21+IF(parametros_manuales!$H$36="Todos",datos_base!$F$26,0))*parametros_manuales!$L$15)*parametros_manuales!$I$36*parametros_manuales!$J$36</f>
        <v>396.43076487555</v>
      </c>
      <c r="M127" s="9" t="n">
        <f aca="false">(parametros_manuales!$D$36*(datos_base!$F$2+IF(parametros_manuales!$H$36="Todos",datos_base!$F$9,0))*parametros_manuales!$M$95+parametros_manuales!$D$36*(datos_base!$F$18+IF(parametros_manuales!$H$36="Todos",datos_base!$F$23,0))*parametros_manuales!$M$12+parametros_manuales!$E$36*(datos_base!$F$3+IF(parametros_manuales!$H$36="Todos",datos_base!$F$10,0))*parametros_manuales!$M$100+parametros_manuales!$E$36*(datos_base!$F$19+IF(parametros_manuales!$H$36="Todos",datos_base!$F$24,0))*parametros_manuales!$M$13+parametros_manuales!$F$36*(datos_base!$F$4+IF(parametros_manuales!$H$36="Todos",datos_base!$F$11,0))*parametros_manuales!$M$105+parametros_manuales!$F$36*(datos_base!$F$20+IF(parametros_manuales!$H$36="Todos",datos_base!$F$25,0))*parametros_manuales!$M$14+parametros_manuales!$G$36*(datos_base!$F$5+IF(parametros_manuales!$H$36="Todos",datos_base!$F$12,0))*parametros_manuales!$M$110+parametros_manuales!$G$36*(datos_base!$F$21+IF(parametros_manuales!$H$36="Todos",datos_base!$F$26,0))*parametros_manuales!$M$15)*parametros_manuales!$I$36*parametros_manuales!$J$36</f>
        <v>396.91532487555</v>
      </c>
      <c r="N127" s="9" t="n">
        <f aca="false">SUM(B127:M127)</f>
        <v>4407.478276395</v>
      </c>
      <c r="O127" s="9" t="n">
        <f aca="false">MAX(B127:M127)</f>
        <v>396.91532487555</v>
      </c>
      <c r="P127" s="44" t="n">
        <f aca="false">O127/(parametros_manuales!$B$7)</f>
        <v>2.646102165837</v>
      </c>
      <c r="Q127" s="8" t="str">
        <f aca="false">IF(O127=0,"-",INDEX($B$109:$M$109,MATCH(O127,B127:M127,0)))</f>
        <v>Dic</v>
      </c>
    </row>
    <row r="128" customFormat="false" ht="14.25" hidden="false" customHeight="true" outlineLevel="0" collapsed="false">
      <c r="A128" s="8" t="str">
        <f aca="false">parametros_manuales!$B$37</f>
        <v>Pintura en polvo + horno</v>
      </c>
      <c r="B128" s="9" t="n">
        <f aca="false">(parametros_manuales!$D$37*(datos_base!$F$2+IF(parametros_manuales!$H$37="Todos",datos_base!$F$9,0))*parametros_manuales!$B$95+parametros_manuales!$D$37*(datos_base!$F$18+IF(parametros_manuales!$H$37="Todos",datos_base!$F$23,0))*parametros_manuales!$B$12+parametros_manuales!$E$37*(datos_base!$F$3+IF(parametros_manuales!$H$37="Todos",datos_base!$F$10,0))*parametros_manuales!$B$100+parametros_manuales!$E$37*(datos_base!$F$19+IF(parametros_manuales!$H$37="Todos",datos_base!$F$24,0))*parametros_manuales!$B$13+parametros_manuales!$F$37*(datos_base!$F$4+IF(parametros_manuales!$H$37="Todos",datos_base!$F$11,0))*parametros_manuales!$B$105+parametros_manuales!$F$37*(datos_base!$F$20+IF(parametros_manuales!$H$37="Todos",datos_base!$F$25,0))*parametros_manuales!$B$14+parametros_manuales!$G$37*(datos_base!$F$5+IF(parametros_manuales!$H$37="Todos",datos_base!$F$12,0))*parametros_manuales!$B$110+parametros_manuales!$G$37*(datos_base!$F$21+IF(parametros_manuales!$H$37="Todos",datos_base!$F$26,0))*parametros_manuales!$B$15)*parametros_manuales!$I$37*parametros_manuales!$J$37</f>
        <v>7935.883697511</v>
      </c>
      <c r="C128" s="9" t="n">
        <f aca="false">(parametros_manuales!$D$37*(datos_base!$F$2+IF(parametros_manuales!$H$37="Todos",datos_base!$F$9,0))*parametros_manuales!$C$95+parametros_manuales!$D$37*(datos_base!$F$18+IF(parametros_manuales!$H$37="Todos",datos_base!$F$23,0))*parametros_manuales!$C$12+parametros_manuales!$E$37*(datos_base!$F$3+IF(parametros_manuales!$H$37="Todos",datos_base!$F$10,0))*parametros_manuales!$C$100+parametros_manuales!$E$37*(datos_base!$F$19+IF(parametros_manuales!$H$37="Todos",datos_base!$F$24,0))*parametros_manuales!$C$13+parametros_manuales!$F$37*(datos_base!$F$4+IF(parametros_manuales!$H$37="Todos",datos_base!$F$11,0))*parametros_manuales!$C$105+parametros_manuales!$F$37*(datos_base!$F$20+IF(parametros_manuales!$H$37="Todos",datos_base!$F$25,0))*parametros_manuales!$C$14+parametros_manuales!$G$37*(datos_base!$F$5+IF(parametros_manuales!$H$37="Todos",datos_base!$F$12,0))*parametros_manuales!$C$110+parametros_manuales!$G$37*(datos_base!$F$21+IF(parametros_manuales!$H$37="Todos",datos_base!$F$26,0))*parametros_manuales!$C$15)*parametros_manuales!$I$37*parametros_manuales!$J$37</f>
        <v>7673.119569332</v>
      </c>
      <c r="D128" s="9" t="n">
        <f aca="false">(parametros_manuales!$D$37*(datos_base!$F$2+IF(parametros_manuales!$H$37="Todos",datos_base!$F$9,0))*parametros_manuales!$D$95+parametros_manuales!$D$37*(datos_base!$F$18+IF(parametros_manuales!$H$37="Todos",datos_base!$F$23,0))*parametros_manuales!$D$12+parametros_manuales!$E$37*(datos_base!$F$3+IF(parametros_manuales!$H$37="Todos",datos_base!$F$10,0))*parametros_manuales!$D$100+parametros_manuales!$E$37*(datos_base!$F$19+IF(parametros_manuales!$H$37="Todos",datos_base!$F$24,0))*parametros_manuales!$D$13+parametros_manuales!$F$37*(datos_base!$F$4+IF(parametros_manuales!$H$37="Todos",datos_base!$F$11,0))*parametros_manuales!$D$105+parametros_manuales!$F$37*(datos_base!$F$20+IF(parametros_manuales!$H$37="Todos",datos_base!$F$25,0))*parametros_manuales!$D$14+parametros_manuales!$G$37*(datos_base!$F$5+IF(parametros_manuales!$H$37="Todos",datos_base!$F$12,0))*parametros_manuales!$D$110+parametros_manuales!$G$37*(datos_base!$F$21+IF(parametros_manuales!$H$37="Todos",datos_base!$F$26,0))*parametros_manuales!$D$15)*parametros_manuales!$I$37*parametros_manuales!$J$37</f>
        <v>7182.1359063215</v>
      </c>
      <c r="E128" s="9" t="n">
        <f aca="false">(parametros_manuales!$D$37*(datos_base!$F$2+IF(parametros_manuales!$H$37="Todos",datos_base!$F$9,0))*parametros_manuales!$E$95+parametros_manuales!$D$37*(datos_base!$F$18+IF(parametros_manuales!$H$37="Todos",datos_base!$F$23,0))*parametros_manuales!$E$12+parametros_manuales!$E$37*(datos_base!$F$3+IF(parametros_manuales!$H$37="Todos",datos_base!$F$10,0))*parametros_manuales!$E$100+parametros_manuales!$E$37*(datos_base!$F$19+IF(parametros_manuales!$H$37="Todos",datos_base!$F$24,0))*parametros_manuales!$E$13+parametros_manuales!$F$37*(datos_base!$F$4+IF(parametros_manuales!$H$37="Todos",datos_base!$F$11,0))*parametros_manuales!$E$105+parametros_manuales!$F$37*(datos_base!$F$20+IF(parametros_manuales!$H$37="Todos",datos_base!$F$25,0))*parametros_manuales!$E$14+parametros_manuales!$G$37*(datos_base!$F$5+IF(parametros_manuales!$H$37="Todos",datos_base!$F$12,0))*parametros_manuales!$E$110+parametros_manuales!$G$37*(datos_base!$F$21+IF(parametros_manuales!$H$37="Todos",datos_base!$F$26,0))*parametros_manuales!$E$15)*parametros_manuales!$I$37*parametros_manuales!$J$37</f>
        <v>6871.5587427715</v>
      </c>
      <c r="F128" s="9" t="n">
        <f aca="false">(parametros_manuales!$D$37*(datos_base!$F$2+IF(parametros_manuales!$H$37="Todos",datos_base!$F$9,0))*parametros_manuales!$F$95+parametros_manuales!$D$37*(datos_base!$F$18+IF(parametros_manuales!$H$37="Todos",datos_base!$F$23,0))*parametros_manuales!$F$12+parametros_manuales!$E$37*(datos_base!$F$3+IF(parametros_manuales!$H$37="Todos",datos_base!$F$10,0))*parametros_manuales!$F$100+parametros_manuales!$E$37*(datos_base!$F$19+IF(parametros_manuales!$H$37="Todos",datos_base!$F$24,0))*parametros_manuales!$F$13+parametros_manuales!$F$37*(datos_base!$F$4+IF(parametros_manuales!$H$37="Todos",datos_base!$F$11,0))*parametros_manuales!$F$105+parametros_manuales!$F$37*(datos_base!$F$20+IF(parametros_manuales!$H$37="Todos",datos_base!$F$25,0))*parametros_manuales!$F$14+parametros_manuales!$G$37*(datos_base!$F$5+IF(parametros_manuales!$H$37="Todos",datos_base!$F$12,0))*parametros_manuales!$F$110+parametros_manuales!$G$37*(datos_base!$F$21+IF(parametros_manuales!$H$37="Todos",datos_base!$F$26,0))*parametros_manuales!$F$15)*parametros_manuales!$I$37*parametros_manuales!$J$37</f>
        <v>6430.810915132</v>
      </c>
      <c r="G128" s="9" t="n">
        <f aca="false">(parametros_manuales!$D$37*(datos_base!$F$2+IF(parametros_manuales!$H$37="Todos",datos_base!$F$9,0))*parametros_manuales!$G$95+parametros_manuales!$D$37*(datos_base!$F$18+IF(parametros_manuales!$H$37="Todos",datos_base!$F$23,0))*parametros_manuales!$G$12+parametros_manuales!$E$37*(datos_base!$F$3+IF(parametros_manuales!$H$37="Todos",datos_base!$F$10,0))*parametros_manuales!$G$100+parametros_manuales!$E$37*(datos_base!$F$19+IF(parametros_manuales!$H$37="Todos",datos_base!$F$24,0))*parametros_manuales!$G$13+parametros_manuales!$F$37*(datos_base!$F$4+IF(parametros_manuales!$H$37="Todos",datos_base!$F$11,0))*parametros_manuales!$G$105+parametros_manuales!$F$37*(datos_base!$F$20+IF(parametros_manuales!$H$37="Todos",datos_base!$F$25,0))*parametros_manuales!$G$14+parametros_manuales!$G$37*(datos_base!$F$5+IF(parametros_manuales!$H$37="Todos",datos_base!$F$12,0))*parametros_manuales!$G$110+parametros_manuales!$G$37*(datos_base!$F$21+IF(parametros_manuales!$H$37="Todos",datos_base!$F$26,0))*parametros_manuales!$G$15)*parametros_manuales!$I$37*parametros_manuales!$J$37</f>
        <v>6300.6402510425</v>
      </c>
      <c r="H128" s="9" t="n">
        <f aca="false">(parametros_manuales!$D$37*(datos_base!$F$2+IF(parametros_manuales!$H$37="Todos",datos_base!$F$9,0))*parametros_manuales!$H$95+parametros_manuales!$D$37*(datos_base!$F$18+IF(parametros_manuales!$H$37="Todos",datos_base!$F$23,0))*parametros_manuales!$H$12+parametros_manuales!$E$37*(datos_base!$F$3+IF(parametros_manuales!$H$37="Todos",datos_base!$F$10,0))*parametros_manuales!$H$100+parametros_manuales!$E$37*(datos_base!$F$19+IF(parametros_manuales!$H$37="Todos",datos_base!$F$24,0))*parametros_manuales!$H$13+parametros_manuales!$F$37*(datos_base!$F$4+IF(parametros_manuales!$H$37="Todos",datos_base!$F$11,0))*parametros_manuales!$H$105+parametros_manuales!$F$37*(datos_base!$F$20+IF(parametros_manuales!$H$37="Todos",datos_base!$F$25,0))*parametros_manuales!$H$14+parametros_manuales!$G$37*(datos_base!$F$5+IF(parametros_manuales!$H$37="Todos",datos_base!$F$12,0))*parametros_manuales!$H$110+parametros_manuales!$G$37*(datos_base!$F$21+IF(parametros_manuales!$H$37="Todos",datos_base!$F$26,0))*parametros_manuales!$H$15)*parametros_manuales!$I$37*parametros_manuales!$J$37</f>
        <v>6741.388078682</v>
      </c>
      <c r="I128" s="9" t="n">
        <f aca="false">(parametros_manuales!$D$37*(datos_base!$F$2+IF(parametros_manuales!$H$37="Todos",datos_base!$F$9,0))*parametros_manuales!$I$95+parametros_manuales!$D$37*(datos_base!$F$18+IF(parametros_manuales!$H$37="Todos",datos_base!$F$23,0))*parametros_manuales!$I$12+parametros_manuales!$E$37*(datos_base!$F$3+IF(parametros_manuales!$H$37="Todos",datos_base!$F$10,0))*parametros_manuales!$I$100+parametros_manuales!$E$37*(datos_base!$F$19+IF(parametros_manuales!$H$37="Todos",datos_base!$F$24,0))*parametros_manuales!$I$13+parametros_manuales!$F$37*(datos_base!$F$4+IF(parametros_manuales!$H$37="Todos",datos_base!$F$11,0))*parametros_manuales!$I$105+parametros_manuales!$F$37*(datos_base!$F$20+IF(parametros_manuales!$H$37="Todos",datos_base!$F$25,0))*parametros_manuales!$I$14+parametros_manuales!$G$37*(datos_base!$F$5+IF(parametros_manuales!$H$37="Todos",datos_base!$F$12,0))*parametros_manuales!$I$110+parametros_manuales!$G$37*(datos_base!$F$21+IF(parametros_manuales!$H$37="Todos",datos_base!$F$26,0))*parametros_manuales!$I$15)*parametros_manuales!$I$37*parametros_manuales!$J$37</f>
        <v>7673.11956933199</v>
      </c>
      <c r="J128" s="9" t="n">
        <f aca="false">(parametros_manuales!$D$37*(datos_base!$F$2+IF(parametros_manuales!$H$37="Todos",datos_base!$F$9,0))*parametros_manuales!$J$95+parametros_manuales!$D$37*(datos_base!$F$18+IF(parametros_manuales!$H$37="Todos",datos_base!$F$23,0))*parametros_manuales!$J$12+parametros_manuales!$E$37*(datos_base!$F$3+IF(parametros_manuales!$H$37="Todos",datos_base!$F$10,0))*parametros_manuales!$J$100+parametros_manuales!$E$37*(datos_base!$F$19+IF(parametros_manuales!$H$37="Todos",datos_base!$F$24,0))*parametros_manuales!$J$13+parametros_manuales!$F$37*(datos_base!$F$4+IF(parametros_manuales!$H$37="Todos",datos_base!$F$11,0))*parametros_manuales!$J$105+parametros_manuales!$F$37*(datos_base!$F$20+IF(parametros_manuales!$H$37="Todos",datos_base!$F$25,0))*parametros_manuales!$J$14+parametros_manuales!$G$37*(datos_base!$F$5+IF(parametros_manuales!$H$37="Todos",datos_base!$F$12,0))*parametros_manuales!$J$110+parametros_manuales!$G$37*(datos_base!$F$21+IF(parametros_manuales!$H$37="Todos",datos_base!$F$26,0))*parametros_manuales!$J$15)*parametros_manuales!$I$37*parametros_manuales!$J$37</f>
        <v>7673.119569332</v>
      </c>
      <c r="K128" s="9" t="n">
        <f aca="false">(parametros_manuales!$D$37*(datos_base!$F$2+IF(parametros_manuales!$H$37="Todos",datos_base!$F$9,0))*parametros_manuales!$K$95+parametros_manuales!$D$37*(datos_base!$F$18+IF(parametros_manuales!$H$37="Todos",datos_base!$F$23,0))*parametros_manuales!$K$12+parametros_manuales!$E$37*(datos_base!$F$3+IF(parametros_manuales!$H$37="Todos",datos_base!$F$10,0))*parametros_manuales!$K$100+parametros_manuales!$E$37*(datos_base!$F$19+IF(parametros_manuales!$H$37="Todos",datos_base!$F$24,0))*parametros_manuales!$K$13+parametros_manuales!$F$37*(datos_base!$F$4+IF(parametros_manuales!$H$37="Todos",datos_base!$F$11,0))*parametros_manuales!$K$105+parametros_manuales!$F$37*(datos_base!$F$20+IF(parametros_manuales!$H$37="Todos",datos_base!$F$25,0))*parametros_manuales!$K$14+parametros_manuales!$G$37*(datos_base!$F$5+IF(parametros_manuales!$H$37="Todos",datos_base!$F$12,0))*parametros_manuales!$K$110+parametros_manuales!$G$37*(datos_base!$F$21+IF(parametros_manuales!$H$37="Todos",datos_base!$F$26,0))*parametros_manuales!$K$15)*parametros_manuales!$I$37*parametros_manuales!$J$37</f>
        <v>7800.8674334215</v>
      </c>
      <c r="L128" s="9" t="n">
        <f aca="false">(parametros_manuales!$D$37*(datos_base!$F$2+IF(parametros_manuales!$H$37="Todos",datos_base!$F$9,0))*parametros_manuales!$L$95+parametros_manuales!$D$37*(datos_base!$F$18+IF(parametros_manuales!$H$37="Todos",datos_base!$F$23,0))*parametros_manuales!$L$12+parametros_manuales!$E$37*(datos_base!$F$3+IF(parametros_manuales!$H$37="Todos",datos_base!$F$10,0))*parametros_manuales!$L$100+parametros_manuales!$E$37*(datos_base!$F$19+IF(parametros_manuales!$H$37="Todos",datos_base!$F$24,0))*parametros_manuales!$L$13+parametros_manuales!$F$37*(datos_base!$F$4+IF(parametros_manuales!$H$37="Todos",datos_base!$F$11,0))*parametros_manuales!$L$105+parametros_manuales!$F$37*(datos_base!$F$20+IF(parametros_manuales!$H$37="Todos",datos_base!$F$25,0))*parametros_manuales!$L$14+parametros_manuales!$G$37*(datos_base!$F$5+IF(parametros_manuales!$H$37="Todos",datos_base!$F$12,0))*parametros_manuales!$L$110+parametros_manuales!$G$37*(datos_base!$F$21+IF(parametros_manuales!$H$37="Todos",datos_base!$F$26,0))*parametros_manuales!$L$15)*parametros_manuales!$I$37*parametros_manuales!$J$37</f>
        <v>7928.615297511</v>
      </c>
      <c r="M128" s="9" t="n">
        <f aca="false">(parametros_manuales!$D$37*(datos_base!$F$2+IF(parametros_manuales!$H$37="Todos",datos_base!$F$9,0))*parametros_manuales!$M$95+parametros_manuales!$D$37*(datos_base!$F$18+IF(parametros_manuales!$H$37="Todos",datos_base!$F$23,0))*parametros_manuales!$M$12+parametros_manuales!$E$37*(datos_base!$F$3+IF(parametros_manuales!$H$37="Todos",datos_base!$F$10,0))*parametros_manuales!$M$100+parametros_manuales!$E$37*(datos_base!$F$19+IF(parametros_manuales!$H$37="Todos",datos_base!$F$24,0))*parametros_manuales!$M$13+parametros_manuales!$F$37*(datos_base!$F$4+IF(parametros_manuales!$H$37="Todos",datos_base!$F$11,0))*parametros_manuales!$M$105+parametros_manuales!$F$37*(datos_base!$F$20+IF(parametros_manuales!$H$37="Todos",datos_base!$F$25,0))*parametros_manuales!$M$14+parametros_manuales!$G$37*(datos_base!$F$5+IF(parametros_manuales!$H$37="Todos",datos_base!$F$12,0))*parametros_manuales!$M$110+parametros_manuales!$G$37*(datos_base!$F$21+IF(parametros_manuales!$H$37="Todos",datos_base!$F$26,0))*parametros_manuales!$M$15)*parametros_manuales!$I$37*parametros_manuales!$J$37</f>
        <v>7938.306497511</v>
      </c>
      <c r="N128" s="9" t="n">
        <f aca="false">SUM(B128:M128)</f>
        <v>88149.5655279</v>
      </c>
      <c r="O128" s="9" t="n">
        <f aca="false">MAX(B128:M128)</f>
        <v>7938.306497511</v>
      </c>
      <c r="P128" s="44" t="n">
        <f aca="false">O128/(parametros_manuales!$B$7)</f>
        <v>52.92204331674</v>
      </c>
      <c r="Q128" s="8" t="str">
        <f aca="false">IF(O128=0,"-",INDEX($B$109:$M$109,MATCH(O128,B128:M128,0)))</f>
        <v>Dic</v>
      </c>
    </row>
    <row r="129" customFormat="false" ht="14.25" hidden="false" customHeight="true" outlineLevel="0" collapsed="false">
      <c r="A129" s="8" t="str">
        <f aca="false">parametros_manuales!$B$38</f>
        <v>Carga de polvo</v>
      </c>
      <c r="B129" s="9" t="n">
        <f aca="false">(parametros_manuales!$D$38*(datos_base!$F$2+IF(parametros_manuales!$H$38="Todos",datos_base!$F$9,0))*parametros_manuales!$B$95+parametros_manuales!$D$38*(datos_base!$F$18+IF(parametros_manuales!$H$38="Todos",datos_base!$F$23,0))*parametros_manuales!$B$12+parametros_manuales!$E$38*(datos_base!$F$3+IF(parametros_manuales!$H$38="Todos",datos_base!$F$10,0))*parametros_manuales!$B$100+parametros_manuales!$E$38*(datos_base!$F$19+IF(parametros_manuales!$H$38="Todos",datos_base!$F$24,0))*parametros_manuales!$B$13+parametros_manuales!$F$38*(datos_base!$F$4+IF(parametros_manuales!$H$38="Todos",datos_base!$F$11,0))*parametros_manuales!$B$105+parametros_manuales!$F$38*(datos_base!$F$20+IF(parametros_manuales!$H$38="Todos",datos_base!$F$25,0))*parametros_manuales!$B$14+parametros_manuales!$G$38*(datos_base!$F$5+IF(parametros_manuales!$H$38="Todos",datos_base!$F$12,0))*parametros_manuales!$B$110+parametros_manuales!$G$38*(datos_base!$F$21+IF(parametros_manuales!$H$38="Todos",datos_base!$F$26,0))*parametros_manuales!$B$15)*parametros_manuales!$I$38*parametros_manuales!$J$38</f>
        <v>2385.639697511</v>
      </c>
      <c r="C129" s="9" t="n">
        <f aca="false">(parametros_manuales!$D$38*(datos_base!$F$2+IF(parametros_manuales!$H$38="Todos",datos_base!$F$9,0))*parametros_manuales!$C$95+parametros_manuales!$D$38*(datos_base!$F$18+IF(parametros_manuales!$H$38="Todos",datos_base!$F$23,0))*parametros_manuales!$C$12+parametros_manuales!$E$38*(datos_base!$F$3+IF(parametros_manuales!$H$38="Todos",datos_base!$F$10,0))*parametros_manuales!$C$100+parametros_manuales!$E$38*(datos_base!$F$19+IF(parametros_manuales!$H$38="Todos",datos_base!$F$24,0))*parametros_manuales!$C$13+parametros_manuales!$F$38*(datos_base!$F$4+IF(parametros_manuales!$H$38="Todos",datos_base!$F$11,0))*parametros_manuales!$C$105+parametros_manuales!$F$38*(datos_base!$F$20+IF(parametros_manuales!$H$38="Todos",datos_base!$F$25,0))*parametros_manuales!$C$14+parametros_manuales!$G$38*(datos_base!$F$5+IF(parametros_manuales!$H$38="Todos",datos_base!$F$12,0))*parametros_manuales!$C$110+parametros_manuales!$G$38*(datos_base!$F$21+IF(parametros_manuales!$H$38="Todos",datos_base!$F$26,0))*parametros_manuales!$C$15)*parametros_manuales!$I$38*parametros_manuales!$J$38</f>
        <v>2246.640369332</v>
      </c>
      <c r="D129" s="9" t="n">
        <f aca="false">(parametros_manuales!$D$38*(datos_base!$F$2+IF(parametros_manuales!$H$38="Todos",datos_base!$F$9,0))*parametros_manuales!$D$95+parametros_manuales!$D$38*(datos_base!$F$18+IF(parametros_manuales!$H$38="Todos",datos_base!$F$23,0))*parametros_manuales!$D$12+parametros_manuales!$E$38*(datos_base!$F$3+IF(parametros_manuales!$H$38="Todos",datos_base!$F$10,0))*parametros_manuales!$D$100+parametros_manuales!$E$38*(datos_base!$F$19+IF(parametros_manuales!$H$38="Todos",datos_base!$F$24,0))*parametros_manuales!$D$13+parametros_manuales!$F$38*(datos_base!$F$4+IF(parametros_manuales!$H$38="Todos",datos_base!$F$11,0))*parametros_manuales!$D$105+parametros_manuales!$F$38*(datos_base!$F$20+IF(parametros_manuales!$H$38="Todos",datos_base!$F$25,0))*parametros_manuales!$D$14+parametros_manuales!$G$38*(datos_base!$F$5+IF(parametros_manuales!$H$38="Todos",datos_base!$F$12,0))*parametros_manuales!$D$110+parametros_manuales!$G$38*(datos_base!$F$21+IF(parametros_manuales!$H$38="Todos",datos_base!$F$26,0))*parametros_manuales!$D$15)*parametros_manuales!$I$38*parametros_manuales!$J$38</f>
        <v>2188.9205063215</v>
      </c>
      <c r="E129" s="9" t="n">
        <f aca="false">(parametros_manuales!$D$38*(datos_base!$F$2+IF(parametros_manuales!$H$38="Todos",datos_base!$F$9,0))*parametros_manuales!$E$95+parametros_manuales!$D$38*(datos_base!$F$18+IF(parametros_manuales!$H$38="Todos",datos_base!$F$23,0))*parametros_manuales!$E$12+parametros_manuales!$E$38*(datos_base!$F$3+IF(parametros_manuales!$H$38="Todos",datos_base!$F$10,0))*parametros_manuales!$E$100+parametros_manuales!$E$38*(datos_base!$F$19+IF(parametros_manuales!$H$38="Todos",datos_base!$F$24,0))*parametros_manuales!$E$13+parametros_manuales!$F$38*(datos_base!$F$4+IF(parametros_manuales!$H$38="Todos",datos_base!$F$11,0))*parametros_manuales!$E$105+parametros_manuales!$F$38*(datos_base!$F$20+IF(parametros_manuales!$H$38="Todos",datos_base!$F$25,0))*parametros_manuales!$E$14+parametros_manuales!$G$38*(datos_base!$F$5+IF(parametros_manuales!$H$38="Todos",datos_base!$F$12,0))*parametros_manuales!$E$110+parametros_manuales!$G$38*(datos_base!$F$21+IF(parametros_manuales!$H$38="Todos",datos_base!$F$26,0))*parametros_manuales!$E$15)*parametros_manuales!$I$38*parametros_manuales!$J$38</f>
        <v>2125.5173427715</v>
      </c>
      <c r="F129" s="9" t="n">
        <f aca="false">(parametros_manuales!$D$38*(datos_base!$F$2+IF(parametros_manuales!$H$38="Todos",datos_base!$F$9,0))*parametros_manuales!$F$95+parametros_manuales!$D$38*(datos_base!$F$18+IF(parametros_manuales!$H$38="Todos",datos_base!$F$23,0))*parametros_manuales!$F$12+parametros_manuales!$E$38*(datos_base!$F$3+IF(parametros_manuales!$H$38="Todos",datos_base!$F$10,0))*parametros_manuales!$F$100+parametros_manuales!$E$38*(datos_base!$F$19+IF(parametros_manuales!$H$38="Todos",datos_base!$F$24,0))*parametros_manuales!$F$13+parametros_manuales!$F$38*(datos_base!$F$4+IF(parametros_manuales!$H$38="Todos",datos_base!$F$11,0))*parametros_manuales!$F$105+parametros_manuales!$F$38*(datos_base!$F$20+IF(parametros_manuales!$H$38="Todos",datos_base!$F$25,0))*parametros_manuales!$F$14+parametros_manuales!$G$38*(datos_base!$F$5+IF(parametros_manuales!$H$38="Todos",datos_base!$F$12,0))*parametros_manuales!$F$110+parametros_manuales!$G$38*(datos_base!$F$21+IF(parametros_manuales!$H$38="Todos",datos_base!$F$26,0))*parametros_manuales!$F$15)*parametros_manuales!$I$38*parametros_manuales!$J$38</f>
        <v>1993.027715132</v>
      </c>
      <c r="G129" s="9" t="n">
        <f aca="false">(parametros_manuales!$D$38*(datos_base!$F$2+IF(parametros_manuales!$H$38="Todos",datos_base!$F$9,0))*parametros_manuales!$G$95+parametros_manuales!$D$38*(datos_base!$F$18+IF(parametros_manuales!$H$38="Todos",datos_base!$F$23,0))*parametros_manuales!$G$12+parametros_manuales!$E$38*(datos_base!$F$3+IF(parametros_manuales!$H$38="Todos",datos_base!$F$10,0))*parametros_manuales!$G$100+parametros_manuales!$E$38*(datos_base!$F$19+IF(parametros_manuales!$H$38="Todos",datos_base!$F$24,0))*parametros_manuales!$G$13+parametros_manuales!$F$38*(datos_base!$F$4+IF(parametros_manuales!$H$38="Todos",datos_base!$F$11,0))*parametros_manuales!$G$105+parametros_manuales!$F$38*(datos_base!$F$20+IF(parametros_manuales!$H$38="Todos",datos_base!$F$25,0))*parametros_manuales!$G$14+parametros_manuales!$G$38*(datos_base!$F$5+IF(parametros_manuales!$H$38="Todos",datos_base!$F$12,0))*parametros_manuales!$G$110+parametros_manuales!$G$38*(datos_base!$F$21+IF(parametros_manuales!$H$38="Todos",datos_base!$F$26,0))*parametros_manuales!$G$15)*parametros_manuales!$I$38*parametros_manuales!$J$38</f>
        <v>1923.9412510425</v>
      </c>
      <c r="H129" s="9" t="n">
        <f aca="false">(parametros_manuales!$D$38*(datos_base!$F$2+IF(parametros_manuales!$H$38="Todos",datos_base!$F$9,0))*parametros_manuales!$H$95+parametros_manuales!$D$38*(datos_base!$F$18+IF(parametros_manuales!$H$38="Todos",datos_base!$F$23,0))*parametros_manuales!$H$12+parametros_manuales!$E$38*(datos_base!$F$3+IF(parametros_manuales!$H$38="Todos",datos_base!$F$10,0))*parametros_manuales!$H$100+parametros_manuales!$E$38*(datos_base!$F$19+IF(parametros_manuales!$H$38="Todos",datos_base!$F$24,0))*parametros_manuales!$H$13+parametros_manuales!$F$38*(datos_base!$F$4+IF(parametros_manuales!$H$38="Todos",datos_base!$F$11,0))*parametros_manuales!$H$105+parametros_manuales!$F$38*(datos_base!$F$20+IF(parametros_manuales!$H$38="Todos",datos_base!$F$25,0))*parametros_manuales!$H$14+parametros_manuales!$G$38*(datos_base!$F$5+IF(parametros_manuales!$H$38="Todos",datos_base!$F$12,0))*parametros_manuales!$H$110+parametros_manuales!$G$38*(datos_base!$F$21+IF(parametros_manuales!$H$38="Todos",datos_base!$F$26,0))*parametros_manuales!$H$15)*parametros_manuales!$I$38*parametros_manuales!$J$38</f>
        <v>2056.430878682</v>
      </c>
      <c r="I129" s="9" t="n">
        <f aca="false">(parametros_manuales!$D$38*(datos_base!$F$2+IF(parametros_manuales!$H$38="Todos",datos_base!$F$9,0))*parametros_manuales!$I$95+parametros_manuales!$D$38*(datos_base!$F$18+IF(parametros_manuales!$H$38="Todos",datos_base!$F$23,0))*parametros_manuales!$I$12+parametros_manuales!$E$38*(datos_base!$F$3+IF(parametros_manuales!$H$38="Todos",datos_base!$F$10,0))*parametros_manuales!$I$100+parametros_manuales!$E$38*(datos_base!$F$19+IF(parametros_manuales!$H$38="Todos",datos_base!$F$24,0))*parametros_manuales!$I$13+parametros_manuales!$F$38*(datos_base!$F$4+IF(parametros_manuales!$H$38="Todos",datos_base!$F$11,0))*parametros_manuales!$I$105+parametros_manuales!$F$38*(datos_base!$F$20+IF(parametros_manuales!$H$38="Todos",datos_base!$F$25,0))*parametros_manuales!$I$14+parametros_manuales!$G$38*(datos_base!$F$5+IF(parametros_manuales!$H$38="Todos",datos_base!$F$12,0))*parametros_manuales!$I$110+parametros_manuales!$G$38*(datos_base!$F$21+IF(parametros_manuales!$H$38="Todos",datos_base!$F$26,0))*parametros_manuales!$I$15)*parametros_manuales!$I$38*parametros_manuales!$J$38</f>
        <v>2246.640369332</v>
      </c>
      <c r="J129" s="9" t="n">
        <f aca="false">(parametros_manuales!$D$38*(datos_base!$F$2+IF(parametros_manuales!$H$38="Todos",datos_base!$F$9,0))*parametros_manuales!$J$95+parametros_manuales!$D$38*(datos_base!$F$18+IF(parametros_manuales!$H$38="Todos",datos_base!$F$23,0))*parametros_manuales!$J$12+parametros_manuales!$E$38*(datos_base!$F$3+IF(parametros_manuales!$H$38="Todos",datos_base!$F$10,0))*parametros_manuales!$J$100+parametros_manuales!$E$38*(datos_base!$F$19+IF(parametros_manuales!$H$38="Todos",datos_base!$F$24,0))*parametros_manuales!$J$13+parametros_manuales!$F$38*(datos_base!$F$4+IF(parametros_manuales!$H$38="Todos",datos_base!$F$11,0))*parametros_manuales!$J$105+parametros_manuales!$F$38*(datos_base!$F$20+IF(parametros_manuales!$H$38="Todos",datos_base!$F$25,0))*parametros_manuales!$J$14+parametros_manuales!$G$38*(datos_base!$F$5+IF(parametros_manuales!$H$38="Todos",datos_base!$F$12,0))*parametros_manuales!$J$110+parametros_manuales!$G$38*(datos_base!$F$21+IF(parametros_manuales!$H$38="Todos",datos_base!$F$26,0))*parametros_manuales!$J$15)*parametros_manuales!$I$38*parametros_manuales!$J$38</f>
        <v>2246.640369332</v>
      </c>
      <c r="K129" s="9" t="n">
        <f aca="false">(parametros_manuales!$D$38*(datos_base!$F$2+IF(parametros_manuales!$H$38="Todos",datos_base!$F$9,0))*parametros_manuales!$K$95+parametros_manuales!$D$38*(datos_base!$F$18+IF(parametros_manuales!$H$38="Todos",datos_base!$F$23,0))*parametros_manuales!$K$12+parametros_manuales!$E$38*(datos_base!$F$3+IF(parametros_manuales!$H$38="Todos",datos_base!$F$10,0))*parametros_manuales!$K$100+parametros_manuales!$E$38*(datos_base!$F$19+IF(parametros_manuales!$H$38="Todos",datos_base!$F$24,0))*parametros_manuales!$K$13+parametros_manuales!$F$38*(datos_base!$F$4+IF(parametros_manuales!$H$38="Todos",datos_base!$F$11,0))*parametros_manuales!$K$105+parametros_manuales!$F$38*(datos_base!$F$20+IF(parametros_manuales!$H$38="Todos",datos_base!$F$25,0))*parametros_manuales!$K$14+parametros_manuales!$G$38*(datos_base!$F$5+IF(parametros_manuales!$H$38="Todos",datos_base!$F$12,0))*parametros_manuales!$K$110+parametros_manuales!$G$38*(datos_base!$F$21+IF(parametros_manuales!$H$38="Todos",datos_base!$F$26,0))*parametros_manuales!$K$15)*parametros_manuales!$I$38*parametros_manuales!$J$38</f>
        <v>2314.9004334215</v>
      </c>
      <c r="L129" s="9" t="n">
        <f aca="false">(parametros_manuales!$D$38*(datos_base!$F$2+IF(parametros_manuales!$H$38="Todos",datos_base!$F$9,0))*parametros_manuales!$L$95+parametros_manuales!$D$38*(datos_base!$F$18+IF(parametros_manuales!$H$38="Todos",datos_base!$F$23,0))*parametros_manuales!$L$12+parametros_manuales!$E$38*(datos_base!$F$3+IF(parametros_manuales!$H$38="Todos",datos_base!$F$10,0))*parametros_manuales!$L$100+parametros_manuales!$E$38*(datos_base!$F$19+IF(parametros_manuales!$H$38="Todos",datos_base!$F$24,0))*parametros_manuales!$L$13+parametros_manuales!$F$38*(datos_base!$F$4+IF(parametros_manuales!$H$38="Todos",datos_base!$F$11,0))*parametros_manuales!$L$105+parametros_manuales!$F$38*(datos_base!$F$20+IF(parametros_manuales!$H$38="Todos",datos_base!$F$25,0))*parametros_manuales!$L$14+parametros_manuales!$G$38*(datos_base!$F$5+IF(parametros_manuales!$H$38="Todos",datos_base!$F$12,0))*parametros_manuales!$L$110+parametros_manuales!$G$38*(datos_base!$F$21+IF(parametros_manuales!$H$38="Todos",datos_base!$F$26,0))*parametros_manuales!$L$15)*parametros_manuales!$I$38*parametros_manuales!$J$38</f>
        <v>2383.160497511</v>
      </c>
      <c r="M129" s="9" t="n">
        <f aca="false">(parametros_manuales!$D$38*(datos_base!$F$2+IF(parametros_manuales!$H$38="Todos",datos_base!$F$9,0))*parametros_manuales!$M$95+parametros_manuales!$D$38*(datos_base!$F$18+IF(parametros_manuales!$H$38="Todos",datos_base!$F$23,0))*parametros_manuales!$M$12+parametros_manuales!$E$38*(datos_base!$F$3+IF(parametros_manuales!$H$38="Todos",datos_base!$F$10,0))*parametros_manuales!$M$100+parametros_manuales!$E$38*(datos_base!$F$19+IF(parametros_manuales!$H$38="Todos",datos_base!$F$24,0))*parametros_manuales!$M$13+parametros_manuales!$F$38*(datos_base!$F$4+IF(parametros_manuales!$H$38="Todos",datos_base!$F$11,0))*parametros_manuales!$M$105+parametros_manuales!$F$38*(datos_base!$F$20+IF(parametros_manuales!$H$38="Todos",datos_base!$F$25,0))*parametros_manuales!$M$14+parametros_manuales!$G$38*(datos_base!$F$5+IF(parametros_manuales!$H$38="Todos",datos_base!$F$12,0))*parametros_manuales!$M$110+parametros_manuales!$G$38*(datos_base!$F$21+IF(parametros_manuales!$H$38="Todos",datos_base!$F$26,0))*parametros_manuales!$M$15)*parametros_manuales!$I$38*parametros_manuales!$J$38</f>
        <v>2386.466097511</v>
      </c>
      <c r="N129" s="9" t="n">
        <f aca="false">SUM(B129:M129)</f>
        <v>26497.9255279</v>
      </c>
      <c r="O129" s="9" t="n">
        <f aca="false">MAX(B129:M129)</f>
        <v>2386.466097511</v>
      </c>
      <c r="P129" s="44" t="n">
        <f aca="false">O129/(parametros_manuales!$B$7)</f>
        <v>15.9097739834067</v>
      </c>
      <c r="Q129" s="8" t="str">
        <f aca="false">IF(O129=0,"-",INDEX($B$109:$M$109,MATCH(O129,B129:M129,0)))</f>
        <v>Dic</v>
      </c>
    </row>
    <row r="130" customFormat="false" ht="14.25" hidden="false" customHeight="true" outlineLevel="0" collapsed="false">
      <c r="A130" s="8" t="str">
        <f aca="false">parametros_manuales!$B$39</f>
        <v>Ensamblaje</v>
      </c>
      <c r="B130" s="9" t="n">
        <f aca="false">(parametros_manuales!$D$39*(datos_base!$F$2+IF(parametros_manuales!$H$39="Todos",datos_base!$F$9,0))*parametros_manuales!$B$95+parametros_manuales!$D$39*(datos_base!$F$18+IF(parametros_manuales!$H$39="Todos",datos_base!$F$23,0))*parametros_manuales!$B$12+parametros_manuales!$E$39*(datos_base!$F$3+IF(parametros_manuales!$H$39="Todos",datos_base!$F$10,0))*parametros_manuales!$B$100+parametros_manuales!$E$39*(datos_base!$F$19+IF(parametros_manuales!$H$39="Todos",datos_base!$F$24,0))*parametros_manuales!$B$13+parametros_manuales!$F$39*(datos_base!$F$4+IF(parametros_manuales!$H$39="Todos",datos_base!$F$11,0))*parametros_manuales!$B$105+parametros_manuales!$F$39*(datos_base!$F$20+IF(parametros_manuales!$H$39="Todos",datos_base!$F$25,0))*parametros_manuales!$B$14+parametros_manuales!$G$39*(datos_base!$F$5+IF(parametros_manuales!$H$39="Todos",datos_base!$F$12,0))*parametros_manuales!$B$110+parametros_manuales!$G$39*(datos_base!$F$21+IF(parametros_manuales!$H$39="Todos",datos_base!$F$26,0))*parametros_manuales!$B$15)*parametros_manuales!$I$39*parametros_manuales!$J$39</f>
        <v>2385.639697511</v>
      </c>
      <c r="C130" s="9" t="n">
        <f aca="false">(parametros_manuales!$D$39*(datos_base!$F$2+IF(parametros_manuales!$H$39="Todos",datos_base!$F$9,0))*parametros_manuales!$C$95+parametros_manuales!$D$39*(datos_base!$F$18+IF(parametros_manuales!$H$39="Todos",datos_base!$F$23,0))*parametros_manuales!$C$12+parametros_manuales!$E$39*(datos_base!$F$3+IF(parametros_manuales!$H$39="Todos",datos_base!$F$10,0))*parametros_manuales!$C$100+parametros_manuales!$E$39*(datos_base!$F$19+IF(parametros_manuales!$H$39="Todos",datos_base!$F$24,0))*parametros_manuales!$C$13+parametros_manuales!$F$39*(datos_base!$F$4+IF(parametros_manuales!$H$39="Todos",datos_base!$F$11,0))*parametros_manuales!$C$105+parametros_manuales!$F$39*(datos_base!$F$20+IF(parametros_manuales!$H$39="Todos",datos_base!$F$25,0))*parametros_manuales!$C$14+parametros_manuales!$G$39*(datos_base!$F$5+IF(parametros_manuales!$H$39="Todos",datos_base!$F$12,0))*parametros_manuales!$C$110+parametros_manuales!$G$39*(datos_base!$F$21+IF(parametros_manuales!$H$39="Todos",datos_base!$F$26,0))*parametros_manuales!$C$15)*parametros_manuales!$I$39*parametros_manuales!$J$39</f>
        <v>2246.640369332</v>
      </c>
      <c r="D130" s="9" t="n">
        <f aca="false">(parametros_manuales!$D$39*(datos_base!$F$2+IF(parametros_manuales!$H$39="Todos",datos_base!$F$9,0))*parametros_manuales!$D$95+parametros_manuales!$D$39*(datos_base!$F$18+IF(parametros_manuales!$H$39="Todos",datos_base!$F$23,0))*parametros_manuales!$D$12+parametros_manuales!$E$39*(datos_base!$F$3+IF(parametros_manuales!$H$39="Todos",datos_base!$F$10,0))*parametros_manuales!$D$100+parametros_manuales!$E$39*(datos_base!$F$19+IF(parametros_manuales!$H$39="Todos",datos_base!$F$24,0))*parametros_manuales!$D$13+parametros_manuales!$F$39*(datos_base!$F$4+IF(parametros_manuales!$H$39="Todos",datos_base!$F$11,0))*parametros_manuales!$D$105+parametros_manuales!$F$39*(datos_base!$F$20+IF(parametros_manuales!$H$39="Todos",datos_base!$F$25,0))*parametros_manuales!$D$14+parametros_manuales!$G$39*(datos_base!$F$5+IF(parametros_manuales!$H$39="Todos",datos_base!$F$12,0))*parametros_manuales!$D$110+parametros_manuales!$G$39*(datos_base!$F$21+IF(parametros_manuales!$H$39="Todos",datos_base!$F$26,0))*parametros_manuales!$D$15)*parametros_manuales!$I$39*parametros_manuales!$J$39</f>
        <v>2188.9205063215</v>
      </c>
      <c r="E130" s="9" t="n">
        <f aca="false">(parametros_manuales!$D$39*(datos_base!$F$2+IF(parametros_manuales!$H$39="Todos",datos_base!$F$9,0))*parametros_manuales!$E$95+parametros_manuales!$D$39*(datos_base!$F$18+IF(parametros_manuales!$H$39="Todos",datos_base!$F$23,0))*parametros_manuales!$E$12+parametros_manuales!$E$39*(datos_base!$F$3+IF(parametros_manuales!$H$39="Todos",datos_base!$F$10,0))*parametros_manuales!$E$100+parametros_manuales!$E$39*(datos_base!$F$19+IF(parametros_manuales!$H$39="Todos",datos_base!$F$24,0))*parametros_manuales!$E$13+parametros_manuales!$F$39*(datos_base!$F$4+IF(parametros_manuales!$H$39="Todos",datos_base!$F$11,0))*parametros_manuales!$E$105+parametros_manuales!$F$39*(datos_base!$F$20+IF(parametros_manuales!$H$39="Todos",datos_base!$F$25,0))*parametros_manuales!$E$14+parametros_manuales!$G$39*(datos_base!$F$5+IF(parametros_manuales!$H$39="Todos",datos_base!$F$12,0))*parametros_manuales!$E$110+parametros_manuales!$G$39*(datos_base!$F$21+IF(parametros_manuales!$H$39="Todos",datos_base!$F$26,0))*parametros_manuales!$E$15)*parametros_manuales!$I$39*parametros_manuales!$J$39</f>
        <v>2125.5173427715</v>
      </c>
      <c r="F130" s="9" t="n">
        <f aca="false">(parametros_manuales!$D$39*(datos_base!$F$2+IF(parametros_manuales!$H$39="Todos",datos_base!$F$9,0))*parametros_manuales!$F$95+parametros_manuales!$D$39*(datos_base!$F$18+IF(parametros_manuales!$H$39="Todos",datos_base!$F$23,0))*parametros_manuales!$F$12+parametros_manuales!$E$39*(datos_base!$F$3+IF(parametros_manuales!$H$39="Todos",datos_base!$F$10,0))*parametros_manuales!$F$100+parametros_manuales!$E$39*(datos_base!$F$19+IF(parametros_manuales!$H$39="Todos",datos_base!$F$24,0))*parametros_manuales!$F$13+parametros_manuales!$F$39*(datos_base!$F$4+IF(parametros_manuales!$H$39="Todos",datos_base!$F$11,0))*parametros_manuales!$F$105+parametros_manuales!$F$39*(datos_base!$F$20+IF(parametros_manuales!$H$39="Todos",datos_base!$F$25,0))*parametros_manuales!$F$14+parametros_manuales!$G$39*(datos_base!$F$5+IF(parametros_manuales!$H$39="Todos",datos_base!$F$12,0))*parametros_manuales!$F$110+parametros_manuales!$G$39*(datos_base!$F$21+IF(parametros_manuales!$H$39="Todos",datos_base!$F$26,0))*parametros_manuales!$F$15)*parametros_manuales!$I$39*parametros_manuales!$J$39</f>
        <v>1993.027715132</v>
      </c>
      <c r="G130" s="9" t="n">
        <f aca="false">(parametros_manuales!$D$39*(datos_base!$F$2+IF(parametros_manuales!$H$39="Todos",datos_base!$F$9,0))*parametros_manuales!$G$95+parametros_manuales!$D$39*(datos_base!$F$18+IF(parametros_manuales!$H$39="Todos",datos_base!$F$23,0))*parametros_manuales!$G$12+parametros_manuales!$E$39*(datos_base!$F$3+IF(parametros_manuales!$H$39="Todos",datos_base!$F$10,0))*parametros_manuales!$G$100+parametros_manuales!$E$39*(datos_base!$F$19+IF(parametros_manuales!$H$39="Todos",datos_base!$F$24,0))*parametros_manuales!$G$13+parametros_manuales!$F$39*(datos_base!$F$4+IF(parametros_manuales!$H$39="Todos",datos_base!$F$11,0))*parametros_manuales!$G$105+parametros_manuales!$F$39*(datos_base!$F$20+IF(parametros_manuales!$H$39="Todos",datos_base!$F$25,0))*parametros_manuales!$G$14+parametros_manuales!$G$39*(datos_base!$F$5+IF(parametros_manuales!$H$39="Todos",datos_base!$F$12,0))*parametros_manuales!$G$110+parametros_manuales!$G$39*(datos_base!$F$21+IF(parametros_manuales!$H$39="Todos",datos_base!$F$26,0))*parametros_manuales!$G$15)*parametros_manuales!$I$39*parametros_manuales!$J$39</f>
        <v>1923.9412510425</v>
      </c>
      <c r="H130" s="9" t="n">
        <f aca="false">(parametros_manuales!$D$39*(datos_base!$F$2+IF(parametros_manuales!$H$39="Todos",datos_base!$F$9,0))*parametros_manuales!$H$95+parametros_manuales!$D$39*(datos_base!$F$18+IF(parametros_manuales!$H$39="Todos",datos_base!$F$23,0))*parametros_manuales!$H$12+parametros_manuales!$E$39*(datos_base!$F$3+IF(parametros_manuales!$H$39="Todos",datos_base!$F$10,0))*parametros_manuales!$H$100+parametros_manuales!$E$39*(datos_base!$F$19+IF(parametros_manuales!$H$39="Todos",datos_base!$F$24,0))*parametros_manuales!$H$13+parametros_manuales!$F$39*(datos_base!$F$4+IF(parametros_manuales!$H$39="Todos",datos_base!$F$11,0))*parametros_manuales!$H$105+parametros_manuales!$F$39*(datos_base!$F$20+IF(parametros_manuales!$H$39="Todos",datos_base!$F$25,0))*parametros_manuales!$H$14+parametros_manuales!$G$39*(datos_base!$F$5+IF(parametros_manuales!$H$39="Todos",datos_base!$F$12,0))*parametros_manuales!$H$110+parametros_manuales!$G$39*(datos_base!$F$21+IF(parametros_manuales!$H$39="Todos",datos_base!$F$26,0))*parametros_manuales!$H$15)*parametros_manuales!$I$39*parametros_manuales!$J$39</f>
        <v>2056.430878682</v>
      </c>
      <c r="I130" s="9" t="n">
        <f aca="false">(parametros_manuales!$D$39*(datos_base!$F$2+IF(parametros_manuales!$H$39="Todos",datos_base!$F$9,0))*parametros_manuales!$I$95+parametros_manuales!$D$39*(datos_base!$F$18+IF(parametros_manuales!$H$39="Todos",datos_base!$F$23,0))*parametros_manuales!$I$12+parametros_manuales!$E$39*(datos_base!$F$3+IF(parametros_manuales!$H$39="Todos",datos_base!$F$10,0))*parametros_manuales!$I$100+parametros_manuales!$E$39*(datos_base!$F$19+IF(parametros_manuales!$H$39="Todos",datos_base!$F$24,0))*parametros_manuales!$I$13+parametros_manuales!$F$39*(datos_base!$F$4+IF(parametros_manuales!$H$39="Todos",datos_base!$F$11,0))*parametros_manuales!$I$105+parametros_manuales!$F$39*(datos_base!$F$20+IF(parametros_manuales!$H$39="Todos",datos_base!$F$25,0))*parametros_manuales!$I$14+parametros_manuales!$G$39*(datos_base!$F$5+IF(parametros_manuales!$H$39="Todos",datos_base!$F$12,0))*parametros_manuales!$I$110+parametros_manuales!$G$39*(datos_base!$F$21+IF(parametros_manuales!$H$39="Todos",datos_base!$F$26,0))*parametros_manuales!$I$15)*parametros_manuales!$I$39*parametros_manuales!$J$39</f>
        <v>2246.640369332</v>
      </c>
      <c r="J130" s="9" t="n">
        <f aca="false">(parametros_manuales!$D$39*(datos_base!$F$2+IF(parametros_manuales!$H$39="Todos",datos_base!$F$9,0))*parametros_manuales!$J$95+parametros_manuales!$D$39*(datos_base!$F$18+IF(parametros_manuales!$H$39="Todos",datos_base!$F$23,0))*parametros_manuales!$J$12+parametros_manuales!$E$39*(datos_base!$F$3+IF(parametros_manuales!$H$39="Todos",datos_base!$F$10,0))*parametros_manuales!$J$100+parametros_manuales!$E$39*(datos_base!$F$19+IF(parametros_manuales!$H$39="Todos",datos_base!$F$24,0))*parametros_manuales!$J$13+parametros_manuales!$F$39*(datos_base!$F$4+IF(parametros_manuales!$H$39="Todos",datos_base!$F$11,0))*parametros_manuales!$J$105+parametros_manuales!$F$39*(datos_base!$F$20+IF(parametros_manuales!$H$39="Todos",datos_base!$F$25,0))*parametros_manuales!$J$14+parametros_manuales!$G$39*(datos_base!$F$5+IF(parametros_manuales!$H$39="Todos",datos_base!$F$12,0))*parametros_manuales!$J$110+parametros_manuales!$G$39*(datos_base!$F$21+IF(parametros_manuales!$H$39="Todos",datos_base!$F$26,0))*parametros_manuales!$J$15)*parametros_manuales!$I$39*parametros_manuales!$J$39</f>
        <v>2246.640369332</v>
      </c>
      <c r="K130" s="9" t="n">
        <f aca="false">(parametros_manuales!$D$39*(datos_base!$F$2+IF(parametros_manuales!$H$39="Todos",datos_base!$F$9,0))*parametros_manuales!$K$95+parametros_manuales!$D$39*(datos_base!$F$18+IF(parametros_manuales!$H$39="Todos",datos_base!$F$23,0))*parametros_manuales!$K$12+parametros_manuales!$E$39*(datos_base!$F$3+IF(parametros_manuales!$H$39="Todos",datos_base!$F$10,0))*parametros_manuales!$K$100+parametros_manuales!$E$39*(datos_base!$F$19+IF(parametros_manuales!$H$39="Todos",datos_base!$F$24,0))*parametros_manuales!$K$13+parametros_manuales!$F$39*(datos_base!$F$4+IF(parametros_manuales!$H$39="Todos",datos_base!$F$11,0))*parametros_manuales!$K$105+parametros_manuales!$F$39*(datos_base!$F$20+IF(parametros_manuales!$H$39="Todos",datos_base!$F$25,0))*parametros_manuales!$K$14+parametros_manuales!$G$39*(datos_base!$F$5+IF(parametros_manuales!$H$39="Todos",datos_base!$F$12,0))*parametros_manuales!$K$110+parametros_manuales!$G$39*(datos_base!$F$21+IF(parametros_manuales!$H$39="Todos",datos_base!$F$26,0))*parametros_manuales!$K$15)*parametros_manuales!$I$39*parametros_manuales!$J$39</f>
        <v>2314.9004334215</v>
      </c>
      <c r="L130" s="9" t="n">
        <f aca="false">(parametros_manuales!$D$39*(datos_base!$F$2+IF(parametros_manuales!$H$39="Todos",datos_base!$F$9,0))*parametros_manuales!$L$95+parametros_manuales!$D$39*(datos_base!$F$18+IF(parametros_manuales!$H$39="Todos",datos_base!$F$23,0))*parametros_manuales!$L$12+parametros_manuales!$E$39*(datos_base!$F$3+IF(parametros_manuales!$H$39="Todos",datos_base!$F$10,0))*parametros_manuales!$L$100+parametros_manuales!$E$39*(datos_base!$F$19+IF(parametros_manuales!$H$39="Todos",datos_base!$F$24,0))*parametros_manuales!$L$13+parametros_manuales!$F$39*(datos_base!$F$4+IF(parametros_manuales!$H$39="Todos",datos_base!$F$11,0))*parametros_manuales!$L$105+parametros_manuales!$F$39*(datos_base!$F$20+IF(parametros_manuales!$H$39="Todos",datos_base!$F$25,0))*parametros_manuales!$L$14+parametros_manuales!$G$39*(datos_base!$F$5+IF(parametros_manuales!$H$39="Todos",datos_base!$F$12,0))*parametros_manuales!$L$110+parametros_manuales!$G$39*(datos_base!$F$21+IF(parametros_manuales!$H$39="Todos",datos_base!$F$26,0))*parametros_manuales!$L$15)*parametros_manuales!$I$39*parametros_manuales!$J$39</f>
        <v>2383.160497511</v>
      </c>
      <c r="M130" s="9" t="n">
        <f aca="false">(parametros_manuales!$D$39*(datos_base!$F$2+IF(parametros_manuales!$H$39="Todos",datos_base!$F$9,0))*parametros_manuales!$M$95+parametros_manuales!$D$39*(datos_base!$F$18+IF(parametros_manuales!$H$39="Todos",datos_base!$F$23,0))*parametros_manuales!$M$12+parametros_manuales!$E$39*(datos_base!$F$3+IF(parametros_manuales!$H$39="Todos",datos_base!$F$10,0))*parametros_manuales!$M$100+parametros_manuales!$E$39*(datos_base!$F$19+IF(parametros_manuales!$H$39="Todos",datos_base!$F$24,0))*parametros_manuales!$M$13+parametros_manuales!$F$39*(datos_base!$F$4+IF(parametros_manuales!$H$39="Todos",datos_base!$F$11,0))*parametros_manuales!$M$105+parametros_manuales!$F$39*(datos_base!$F$20+IF(parametros_manuales!$H$39="Todos",datos_base!$F$25,0))*parametros_manuales!$M$14+parametros_manuales!$G$39*(datos_base!$F$5+IF(parametros_manuales!$H$39="Todos",datos_base!$F$12,0))*parametros_manuales!$M$110+parametros_manuales!$G$39*(datos_base!$F$21+IF(parametros_manuales!$H$39="Todos",datos_base!$F$26,0))*parametros_manuales!$M$15)*parametros_manuales!$I$39*parametros_manuales!$J$39</f>
        <v>2386.466097511</v>
      </c>
      <c r="N130" s="9" t="n">
        <f aca="false">SUM(B130:M130)</f>
        <v>26497.9255279</v>
      </c>
      <c r="O130" s="9" t="n">
        <f aca="false">MAX(B130:M130)</f>
        <v>2386.466097511</v>
      </c>
      <c r="P130" s="44" t="n">
        <f aca="false">O130/(parametros_manuales!$B$7)</f>
        <v>15.9097739834067</v>
      </c>
      <c r="Q130" s="8" t="str">
        <f aca="false">IF(O130=0,"-",INDEX($B$109:$M$109,MATCH(O130,B130:M130,0)))</f>
        <v>Dic</v>
      </c>
    </row>
    <row r="131" customFormat="false" ht="14.25" hidden="false" customHeight="true" outlineLevel="0" collapsed="false">
      <c r="A131" s="8" t="str">
        <f aca="false">parametros_manuales!$B$40</f>
        <v>Presurización</v>
      </c>
      <c r="B131" s="9" t="n">
        <f aca="false">(parametros_manuales!$D$40*(datos_base!$F$2+IF(parametros_manuales!$H$40="Todos",datos_base!$F$9,0))*parametros_manuales!$B$95+parametros_manuales!$D$40*(datos_base!$F$18+IF(parametros_manuales!$H$40="Todos",datos_base!$F$23,0))*parametros_manuales!$B$12+parametros_manuales!$E$40*(datos_base!$F$3+IF(parametros_manuales!$H$40="Todos",datos_base!$F$10,0))*parametros_manuales!$B$100+parametros_manuales!$E$40*(datos_base!$F$19+IF(parametros_manuales!$H$40="Todos",datos_base!$F$24,0))*parametros_manuales!$B$13+parametros_manuales!$F$40*(datos_base!$F$4+IF(parametros_manuales!$H$40="Todos",datos_base!$F$11,0))*parametros_manuales!$B$105+parametros_manuales!$F$40*(datos_base!$F$20+IF(parametros_manuales!$H$40="Todos",datos_base!$F$25,0))*parametros_manuales!$B$14+parametros_manuales!$G$40*(datos_base!$F$5+IF(parametros_manuales!$H$40="Todos",datos_base!$F$12,0))*parametros_manuales!$B$110+parametros_manuales!$G$40*(datos_base!$F$21+IF(parametros_manuales!$H$40="Todos",datos_base!$F$26,0))*parametros_manuales!$B$15)*parametros_manuales!$I$40*parametros_manuales!$J$40</f>
        <v>2385.639697511</v>
      </c>
      <c r="C131" s="9" t="n">
        <f aca="false">(parametros_manuales!$D$40*(datos_base!$F$2+IF(parametros_manuales!$H$40="Todos",datos_base!$F$9,0))*parametros_manuales!$C$95+parametros_manuales!$D$40*(datos_base!$F$18+IF(parametros_manuales!$H$40="Todos",datos_base!$F$23,0))*parametros_manuales!$C$12+parametros_manuales!$E$40*(datos_base!$F$3+IF(parametros_manuales!$H$40="Todos",datos_base!$F$10,0))*parametros_manuales!$C$100+parametros_manuales!$E$40*(datos_base!$F$19+IF(parametros_manuales!$H$40="Todos",datos_base!$F$24,0))*parametros_manuales!$C$13+parametros_manuales!$F$40*(datos_base!$F$4+IF(parametros_manuales!$H$40="Todos",datos_base!$F$11,0))*parametros_manuales!$C$105+parametros_manuales!$F$40*(datos_base!$F$20+IF(parametros_manuales!$H$40="Todos",datos_base!$F$25,0))*parametros_manuales!$C$14+parametros_manuales!$G$40*(datos_base!$F$5+IF(parametros_manuales!$H$40="Todos",datos_base!$F$12,0))*parametros_manuales!$C$110+parametros_manuales!$G$40*(datos_base!$F$21+IF(parametros_manuales!$H$40="Todos",datos_base!$F$26,0))*parametros_manuales!$C$15)*parametros_manuales!$I$40*parametros_manuales!$J$40</f>
        <v>2246.640369332</v>
      </c>
      <c r="D131" s="9" t="n">
        <f aca="false">(parametros_manuales!$D$40*(datos_base!$F$2+IF(parametros_manuales!$H$40="Todos",datos_base!$F$9,0))*parametros_manuales!$D$95+parametros_manuales!$D$40*(datos_base!$F$18+IF(parametros_manuales!$H$40="Todos",datos_base!$F$23,0))*parametros_manuales!$D$12+parametros_manuales!$E$40*(datos_base!$F$3+IF(parametros_manuales!$H$40="Todos",datos_base!$F$10,0))*parametros_manuales!$D$100+parametros_manuales!$E$40*(datos_base!$F$19+IF(parametros_manuales!$H$40="Todos",datos_base!$F$24,0))*parametros_manuales!$D$13+parametros_manuales!$F$40*(datos_base!$F$4+IF(parametros_manuales!$H$40="Todos",datos_base!$F$11,0))*parametros_manuales!$D$105+parametros_manuales!$F$40*(datos_base!$F$20+IF(parametros_manuales!$H$40="Todos",datos_base!$F$25,0))*parametros_manuales!$D$14+parametros_manuales!$G$40*(datos_base!$F$5+IF(parametros_manuales!$H$40="Todos",datos_base!$F$12,0))*parametros_manuales!$D$110+parametros_manuales!$G$40*(datos_base!$F$21+IF(parametros_manuales!$H$40="Todos",datos_base!$F$26,0))*parametros_manuales!$D$15)*parametros_manuales!$I$40*parametros_manuales!$J$40</f>
        <v>2188.9205063215</v>
      </c>
      <c r="E131" s="9" t="n">
        <f aca="false">(parametros_manuales!$D$40*(datos_base!$F$2+IF(parametros_manuales!$H$40="Todos",datos_base!$F$9,0))*parametros_manuales!$E$95+parametros_manuales!$D$40*(datos_base!$F$18+IF(parametros_manuales!$H$40="Todos",datos_base!$F$23,0))*parametros_manuales!$E$12+parametros_manuales!$E$40*(datos_base!$F$3+IF(parametros_manuales!$H$40="Todos",datos_base!$F$10,0))*parametros_manuales!$E$100+parametros_manuales!$E$40*(datos_base!$F$19+IF(parametros_manuales!$H$40="Todos",datos_base!$F$24,0))*parametros_manuales!$E$13+parametros_manuales!$F$40*(datos_base!$F$4+IF(parametros_manuales!$H$40="Todos",datos_base!$F$11,0))*parametros_manuales!$E$105+parametros_manuales!$F$40*(datos_base!$F$20+IF(parametros_manuales!$H$40="Todos",datos_base!$F$25,0))*parametros_manuales!$E$14+parametros_manuales!$G$40*(datos_base!$F$5+IF(parametros_manuales!$H$40="Todos",datos_base!$F$12,0))*parametros_manuales!$E$110+parametros_manuales!$G$40*(datos_base!$F$21+IF(parametros_manuales!$H$40="Todos",datos_base!$F$26,0))*parametros_manuales!$E$15)*parametros_manuales!$I$40*parametros_manuales!$J$40</f>
        <v>2125.5173427715</v>
      </c>
      <c r="F131" s="9" t="n">
        <f aca="false">(parametros_manuales!$D$40*(datos_base!$F$2+IF(parametros_manuales!$H$40="Todos",datos_base!$F$9,0))*parametros_manuales!$F$95+parametros_manuales!$D$40*(datos_base!$F$18+IF(parametros_manuales!$H$40="Todos",datos_base!$F$23,0))*parametros_manuales!$F$12+parametros_manuales!$E$40*(datos_base!$F$3+IF(parametros_manuales!$H$40="Todos",datos_base!$F$10,0))*parametros_manuales!$F$100+parametros_manuales!$E$40*(datos_base!$F$19+IF(parametros_manuales!$H$40="Todos",datos_base!$F$24,0))*parametros_manuales!$F$13+parametros_manuales!$F$40*(datos_base!$F$4+IF(parametros_manuales!$H$40="Todos",datos_base!$F$11,0))*parametros_manuales!$F$105+parametros_manuales!$F$40*(datos_base!$F$20+IF(parametros_manuales!$H$40="Todos",datos_base!$F$25,0))*parametros_manuales!$F$14+parametros_manuales!$G$40*(datos_base!$F$5+IF(parametros_manuales!$H$40="Todos",datos_base!$F$12,0))*parametros_manuales!$F$110+parametros_manuales!$G$40*(datos_base!$F$21+IF(parametros_manuales!$H$40="Todos",datos_base!$F$26,0))*parametros_manuales!$F$15)*parametros_manuales!$I$40*parametros_manuales!$J$40</f>
        <v>1993.027715132</v>
      </c>
      <c r="G131" s="9" t="n">
        <f aca="false">(parametros_manuales!$D$40*(datos_base!$F$2+IF(parametros_manuales!$H$40="Todos",datos_base!$F$9,0))*parametros_manuales!$G$95+parametros_manuales!$D$40*(datos_base!$F$18+IF(parametros_manuales!$H$40="Todos",datos_base!$F$23,0))*parametros_manuales!$G$12+parametros_manuales!$E$40*(datos_base!$F$3+IF(parametros_manuales!$H$40="Todos",datos_base!$F$10,0))*parametros_manuales!$G$100+parametros_manuales!$E$40*(datos_base!$F$19+IF(parametros_manuales!$H$40="Todos",datos_base!$F$24,0))*parametros_manuales!$G$13+parametros_manuales!$F$40*(datos_base!$F$4+IF(parametros_manuales!$H$40="Todos",datos_base!$F$11,0))*parametros_manuales!$G$105+parametros_manuales!$F$40*(datos_base!$F$20+IF(parametros_manuales!$H$40="Todos",datos_base!$F$25,0))*parametros_manuales!$G$14+parametros_manuales!$G$40*(datos_base!$F$5+IF(parametros_manuales!$H$40="Todos",datos_base!$F$12,0))*parametros_manuales!$G$110+parametros_manuales!$G$40*(datos_base!$F$21+IF(parametros_manuales!$H$40="Todos",datos_base!$F$26,0))*parametros_manuales!$G$15)*parametros_manuales!$I$40*parametros_manuales!$J$40</f>
        <v>1923.9412510425</v>
      </c>
      <c r="H131" s="9" t="n">
        <f aca="false">(parametros_manuales!$D$40*(datos_base!$F$2+IF(parametros_manuales!$H$40="Todos",datos_base!$F$9,0))*parametros_manuales!$H$95+parametros_manuales!$D$40*(datos_base!$F$18+IF(parametros_manuales!$H$40="Todos",datos_base!$F$23,0))*parametros_manuales!$H$12+parametros_manuales!$E$40*(datos_base!$F$3+IF(parametros_manuales!$H$40="Todos",datos_base!$F$10,0))*parametros_manuales!$H$100+parametros_manuales!$E$40*(datos_base!$F$19+IF(parametros_manuales!$H$40="Todos",datos_base!$F$24,0))*parametros_manuales!$H$13+parametros_manuales!$F$40*(datos_base!$F$4+IF(parametros_manuales!$H$40="Todos",datos_base!$F$11,0))*parametros_manuales!$H$105+parametros_manuales!$F$40*(datos_base!$F$20+IF(parametros_manuales!$H$40="Todos",datos_base!$F$25,0))*parametros_manuales!$H$14+parametros_manuales!$G$40*(datos_base!$F$5+IF(parametros_manuales!$H$40="Todos",datos_base!$F$12,0))*parametros_manuales!$H$110+parametros_manuales!$G$40*(datos_base!$F$21+IF(parametros_manuales!$H$40="Todos",datos_base!$F$26,0))*parametros_manuales!$H$15)*parametros_manuales!$I$40*parametros_manuales!$J$40</f>
        <v>2056.430878682</v>
      </c>
      <c r="I131" s="9" t="n">
        <f aca="false">(parametros_manuales!$D$40*(datos_base!$F$2+IF(parametros_manuales!$H$40="Todos",datos_base!$F$9,0))*parametros_manuales!$I$95+parametros_manuales!$D$40*(datos_base!$F$18+IF(parametros_manuales!$H$40="Todos",datos_base!$F$23,0))*parametros_manuales!$I$12+parametros_manuales!$E$40*(datos_base!$F$3+IF(parametros_manuales!$H$40="Todos",datos_base!$F$10,0))*parametros_manuales!$I$100+parametros_manuales!$E$40*(datos_base!$F$19+IF(parametros_manuales!$H$40="Todos",datos_base!$F$24,0))*parametros_manuales!$I$13+parametros_manuales!$F$40*(datos_base!$F$4+IF(parametros_manuales!$H$40="Todos",datos_base!$F$11,0))*parametros_manuales!$I$105+parametros_manuales!$F$40*(datos_base!$F$20+IF(parametros_manuales!$H$40="Todos",datos_base!$F$25,0))*parametros_manuales!$I$14+parametros_manuales!$G$40*(datos_base!$F$5+IF(parametros_manuales!$H$40="Todos",datos_base!$F$12,0))*parametros_manuales!$I$110+parametros_manuales!$G$40*(datos_base!$F$21+IF(parametros_manuales!$H$40="Todos",datos_base!$F$26,0))*parametros_manuales!$I$15)*parametros_manuales!$I$40*parametros_manuales!$J$40</f>
        <v>2246.640369332</v>
      </c>
      <c r="J131" s="9" t="n">
        <f aca="false">(parametros_manuales!$D$40*(datos_base!$F$2+IF(parametros_manuales!$H$40="Todos",datos_base!$F$9,0))*parametros_manuales!$J$95+parametros_manuales!$D$40*(datos_base!$F$18+IF(parametros_manuales!$H$40="Todos",datos_base!$F$23,0))*parametros_manuales!$J$12+parametros_manuales!$E$40*(datos_base!$F$3+IF(parametros_manuales!$H$40="Todos",datos_base!$F$10,0))*parametros_manuales!$J$100+parametros_manuales!$E$40*(datos_base!$F$19+IF(parametros_manuales!$H$40="Todos",datos_base!$F$24,0))*parametros_manuales!$J$13+parametros_manuales!$F$40*(datos_base!$F$4+IF(parametros_manuales!$H$40="Todos",datos_base!$F$11,0))*parametros_manuales!$J$105+parametros_manuales!$F$40*(datos_base!$F$20+IF(parametros_manuales!$H$40="Todos",datos_base!$F$25,0))*parametros_manuales!$J$14+parametros_manuales!$G$40*(datos_base!$F$5+IF(parametros_manuales!$H$40="Todos",datos_base!$F$12,0))*parametros_manuales!$J$110+parametros_manuales!$G$40*(datos_base!$F$21+IF(parametros_manuales!$H$40="Todos",datos_base!$F$26,0))*parametros_manuales!$J$15)*parametros_manuales!$I$40*parametros_manuales!$J$40</f>
        <v>2246.640369332</v>
      </c>
      <c r="K131" s="9" t="n">
        <f aca="false">(parametros_manuales!$D$40*(datos_base!$F$2+IF(parametros_manuales!$H$40="Todos",datos_base!$F$9,0))*parametros_manuales!$K$95+parametros_manuales!$D$40*(datos_base!$F$18+IF(parametros_manuales!$H$40="Todos",datos_base!$F$23,0))*parametros_manuales!$K$12+parametros_manuales!$E$40*(datos_base!$F$3+IF(parametros_manuales!$H$40="Todos",datos_base!$F$10,0))*parametros_manuales!$K$100+parametros_manuales!$E$40*(datos_base!$F$19+IF(parametros_manuales!$H$40="Todos",datos_base!$F$24,0))*parametros_manuales!$K$13+parametros_manuales!$F$40*(datos_base!$F$4+IF(parametros_manuales!$H$40="Todos",datos_base!$F$11,0))*parametros_manuales!$K$105+parametros_manuales!$F$40*(datos_base!$F$20+IF(parametros_manuales!$H$40="Todos",datos_base!$F$25,0))*parametros_manuales!$K$14+parametros_manuales!$G$40*(datos_base!$F$5+IF(parametros_manuales!$H$40="Todos",datos_base!$F$12,0))*parametros_manuales!$K$110+parametros_manuales!$G$40*(datos_base!$F$21+IF(parametros_manuales!$H$40="Todos",datos_base!$F$26,0))*parametros_manuales!$K$15)*parametros_manuales!$I$40*parametros_manuales!$J$40</f>
        <v>2314.9004334215</v>
      </c>
      <c r="L131" s="9" t="n">
        <f aca="false">(parametros_manuales!$D$40*(datos_base!$F$2+IF(parametros_manuales!$H$40="Todos",datos_base!$F$9,0))*parametros_manuales!$L$95+parametros_manuales!$D$40*(datos_base!$F$18+IF(parametros_manuales!$H$40="Todos",datos_base!$F$23,0))*parametros_manuales!$L$12+parametros_manuales!$E$40*(datos_base!$F$3+IF(parametros_manuales!$H$40="Todos",datos_base!$F$10,0))*parametros_manuales!$L$100+parametros_manuales!$E$40*(datos_base!$F$19+IF(parametros_manuales!$H$40="Todos",datos_base!$F$24,0))*parametros_manuales!$L$13+parametros_manuales!$F$40*(datos_base!$F$4+IF(parametros_manuales!$H$40="Todos",datos_base!$F$11,0))*parametros_manuales!$L$105+parametros_manuales!$F$40*(datos_base!$F$20+IF(parametros_manuales!$H$40="Todos",datos_base!$F$25,0))*parametros_manuales!$L$14+parametros_manuales!$G$40*(datos_base!$F$5+IF(parametros_manuales!$H$40="Todos",datos_base!$F$12,0))*parametros_manuales!$L$110+parametros_manuales!$G$40*(datos_base!$F$21+IF(parametros_manuales!$H$40="Todos",datos_base!$F$26,0))*parametros_manuales!$L$15)*parametros_manuales!$I$40*parametros_manuales!$J$40</f>
        <v>2383.160497511</v>
      </c>
      <c r="M131" s="9" t="n">
        <f aca="false">(parametros_manuales!$D$40*(datos_base!$F$2+IF(parametros_manuales!$H$40="Todos",datos_base!$F$9,0))*parametros_manuales!$M$95+parametros_manuales!$D$40*(datos_base!$F$18+IF(parametros_manuales!$H$40="Todos",datos_base!$F$23,0))*parametros_manuales!$M$12+parametros_manuales!$E$40*(datos_base!$F$3+IF(parametros_manuales!$H$40="Todos",datos_base!$F$10,0))*parametros_manuales!$M$100+parametros_manuales!$E$40*(datos_base!$F$19+IF(parametros_manuales!$H$40="Todos",datos_base!$F$24,0))*parametros_manuales!$M$13+parametros_manuales!$F$40*(datos_base!$F$4+IF(parametros_manuales!$H$40="Todos",datos_base!$F$11,0))*parametros_manuales!$M$105+parametros_manuales!$F$40*(datos_base!$F$20+IF(parametros_manuales!$H$40="Todos",datos_base!$F$25,0))*parametros_manuales!$M$14+parametros_manuales!$G$40*(datos_base!$F$5+IF(parametros_manuales!$H$40="Todos",datos_base!$F$12,0))*parametros_manuales!$M$110+parametros_manuales!$G$40*(datos_base!$F$21+IF(parametros_manuales!$H$40="Todos",datos_base!$F$26,0))*parametros_manuales!$M$15)*parametros_manuales!$I$40*parametros_manuales!$J$40</f>
        <v>2386.466097511</v>
      </c>
      <c r="N131" s="9" t="n">
        <f aca="false">SUM(B131:M131)</f>
        <v>26497.9255279</v>
      </c>
      <c r="O131" s="9" t="n">
        <f aca="false">MAX(B131:M131)</f>
        <v>2386.466097511</v>
      </c>
      <c r="P131" s="44" t="n">
        <f aca="false">O131/(parametros_manuales!$B$7)</f>
        <v>15.9097739834067</v>
      </c>
      <c r="Q131" s="8" t="str">
        <f aca="false">IF(O131=0,"-",INDEX($B$109:$M$109,MATCH(O131,B131:M131,0)))</f>
        <v>Dic</v>
      </c>
    </row>
    <row r="132" customFormat="false" ht="14.25" hidden="false" customHeight="true" outlineLevel="0" collapsed="false">
      <c r="A132" s="8" t="str">
        <f aca="false">parametros_manuales!$B$41</f>
        <v>Control de calidad — Ensayo de pérdidas</v>
      </c>
      <c r="B132" s="9" t="n">
        <f aca="false">(parametros_manuales!$D$41*(datos_base!$F$2+IF(parametros_manuales!$H$41="Todos",datos_base!$F$9,0))*parametros_manuales!$B$95+parametros_manuales!$D$41*(datos_base!$F$18+IF(parametros_manuales!$H$41="Todos",datos_base!$F$23,0))*parametros_manuales!$B$12+parametros_manuales!$E$41*(datos_base!$F$3+IF(parametros_manuales!$H$41="Todos",datos_base!$F$10,0))*parametros_manuales!$B$100+parametros_manuales!$E$41*(datos_base!$F$19+IF(parametros_manuales!$H$41="Todos",datos_base!$F$24,0))*parametros_manuales!$B$13+parametros_manuales!$F$41*(datos_base!$F$4+IF(parametros_manuales!$H$41="Todos",datos_base!$F$11,0))*parametros_manuales!$B$105+parametros_manuales!$F$41*(datos_base!$F$20+IF(parametros_manuales!$H$41="Todos",datos_base!$F$25,0))*parametros_manuales!$B$14+parametros_manuales!$G$41*(datos_base!$F$5+IF(parametros_manuales!$H$41="Todos",datos_base!$F$12,0))*parametros_manuales!$B$110+parametros_manuales!$G$41*(datos_base!$F$21+IF(parametros_manuales!$H$41="Todos",datos_base!$F$26,0))*parametros_manuales!$B$15)*parametros_manuales!$I$41*parametros_manuales!$J$41</f>
        <v>2385.639697511</v>
      </c>
      <c r="C132" s="9" t="n">
        <f aca="false">(parametros_manuales!$D$41*(datos_base!$F$2+IF(parametros_manuales!$H$41="Todos",datos_base!$F$9,0))*parametros_manuales!$C$95+parametros_manuales!$D$41*(datos_base!$F$18+IF(parametros_manuales!$H$41="Todos",datos_base!$F$23,0))*parametros_manuales!$C$12+parametros_manuales!$E$41*(datos_base!$F$3+IF(parametros_manuales!$H$41="Todos",datos_base!$F$10,0))*parametros_manuales!$C$100+parametros_manuales!$E$41*(datos_base!$F$19+IF(parametros_manuales!$H$41="Todos",datos_base!$F$24,0))*parametros_manuales!$C$13+parametros_manuales!$F$41*(datos_base!$F$4+IF(parametros_manuales!$H$41="Todos",datos_base!$F$11,0))*parametros_manuales!$C$105+parametros_manuales!$F$41*(datos_base!$F$20+IF(parametros_manuales!$H$41="Todos",datos_base!$F$25,0))*parametros_manuales!$C$14+parametros_manuales!$G$41*(datos_base!$F$5+IF(parametros_manuales!$H$41="Todos",datos_base!$F$12,0))*parametros_manuales!$C$110+parametros_manuales!$G$41*(datos_base!$F$21+IF(parametros_manuales!$H$41="Todos",datos_base!$F$26,0))*parametros_manuales!$C$15)*parametros_manuales!$I$41*parametros_manuales!$J$41</f>
        <v>2246.640369332</v>
      </c>
      <c r="D132" s="9" t="n">
        <f aca="false">(parametros_manuales!$D$41*(datos_base!$F$2+IF(parametros_manuales!$H$41="Todos",datos_base!$F$9,0))*parametros_manuales!$D$95+parametros_manuales!$D$41*(datos_base!$F$18+IF(parametros_manuales!$H$41="Todos",datos_base!$F$23,0))*parametros_manuales!$D$12+parametros_manuales!$E$41*(datos_base!$F$3+IF(parametros_manuales!$H$41="Todos",datos_base!$F$10,0))*parametros_manuales!$D$100+parametros_manuales!$E$41*(datos_base!$F$19+IF(parametros_manuales!$H$41="Todos",datos_base!$F$24,0))*parametros_manuales!$D$13+parametros_manuales!$F$41*(datos_base!$F$4+IF(parametros_manuales!$H$41="Todos",datos_base!$F$11,0))*parametros_manuales!$D$105+parametros_manuales!$F$41*(datos_base!$F$20+IF(parametros_manuales!$H$41="Todos",datos_base!$F$25,0))*parametros_manuales!$D$14+parametros_manuales!$G$41*(datos_base!$F$5+IF(parametros_manuales!$H$41="Todos",datos_base!$F$12,0))*parametros_manuales!$D$110+parametros_manuales!$G$41*(datos_base!$F$21+IF(parametros_manuales!$H$41="Todos",datos_base!$F$26,0))*parametros_manuales!$D$15)*parametros_manuales!$I$41*parametros_manuales!$J$41</f>
        <v>2188.9205063215</v>
      </c>
      <c r="E132" s="9" t="n">
        <f aca="false">(parametros_manuales!$D$41*(datos_base!$F$2+IF(parametros_manuales!$H$41="Todos",datos_base!$F$9,0))*parametros_manuales!$E$95+parametros_manuales!$D$41*(datos_base!$F$18+IF(parametros_manuales!$H$41="Todos",datos_base!$F$23,0))*parametros_manuales!$E$12+parametros_manuales!$E$41*(datos_base!$F$3+IF(parametros_manuales!$H$41="Todos",datos_base!$F$10,0))*parametros_manuales!$E$100+parametros_manuales!$E$41*(datos_base!$F$19+IF(parametros_manuales!$H$41="Todos",datos_base!$F$24,0))*parametros_manuales!$E$13+parametros_manuales!$F$41*(datos_base!$F$4+IF(parametros_manuales!$H$41="Todos",datos_base!$F$11,0))*parametros_manuales!$E$105+parametros_manuales!$F$41*(datos_base!$F$20+IF(parametros_manuales!$H$41="Todos",datos_base!$F$25,0))*parametros_manuales!$E$14+parametros_manuales!$G$41*(datos_base!$F$5+IF(parametros_manuales!$H$41="Todos",datos_base!$F$12,0))*parametros_manuales!$E$110+parametros_manuales!$G$41*(datos_base!$F$21+IF(parametros_manuales!$H$41="Todos",datos_base!$F$26,0))*parametros_manuales!$E$15)*parametros_manuales!$I$41*parametros_manuales!$J$41</f>
        <v>2125.5173427715</v>
      </c>
      <c r="F132" s="9" t="n">
        <f aca="false">(parametros_manuales!$D$41*(datos_base!$F$2+IF(parametros_manuales!$H$41="Todos",datos_base!$F$9,0))*parametros_manuales!$F$95+parametros_manuales!$D$41*(datos_base!$F$18+IF(parametros_manuales!$H$41="Todos",datos_base!$F$23,0))*parametros_manuales!$F$12+parametros_manuales!$E$41*(datos_base!$F$3+IF(parametros_manuales!$H$41="Todos",datos_base!$F$10,0))*parametros_manuales!$F$100+parametros_manuales!$E$41*(datos_base!$F$19+IF(parametros_manuales!$H$41="Todos",datos_base!$F$24,0))*parametros_manuales!$F$13+parametros_manuales!$F$41*(datos_base!$F$4+IF(parametros_manuales!$H$41="Todos",datos_base!$F$11,0))*parametros_manuales!$F$105+parametros_manuales!$F$41*(datos_base!$F$20+IF(parametros_manuales!$H$41="Todos",datos_base!$F$25,0))*parametros_manuales!$F$14+parametros_manuales!$G$41*(datos_base!$F$5+IF(parametros_manuales!$H$41="Todos",datos_base!$F$12,0))*parametros_manuales!$F$110+parametros_manuales!$G$41*(datos_base!$F$21+IF(parametros_manuales!$H$41="Todos",datos_base!$F$26,0))*parametros_manuales!$F$15)*parametros_manuales!$I$41*parametros_manuales!$J$41</f>
        <v>1993.027715132</v>
      </c>
      <c r="G132" s="9" t="n">
        <f aca="false">(parametros_manuales!$D$41*(datos_base!$F$2+IF(parametros_manuales!$H$41="Todos",datos_base!$F$9,0))*parametros_manuales!$G$95+parametros_manuales!$D$41*(datos_base!$F$18+IF(parametros_manuales!$H$41="Todos",datos_base!$F$23,0))*parametros_manuales!$G$12+parametros_manuales!$E$41*(datos_base!$F$3+IF(parametros_manuales!$H$41="Todos",datos_base!$F$10,0))*parametros_manuales!$G$100+parametros_manuales!$E$41*(datos_base!$F$19+IF(parametros_manuales!$H$41="Todos",datos_base!$F$24,0))*parametros_manuales!$G$13+parametros_manuales!$F$41*(datos_base!$F$4+IF(parametros_manuales!$H$41="Todos",datos_base!$F$11,0))*parametros_manuales!$G$105+parametros_manuales!$F$41*(datos_base!$F$20+IF(parametros_manuales!$H$41="Todos",datos_base!$F$25,0))*parametros_manuales!$G$14+parametros_manuales!$G$41*(datos_base!$F$5+IF(parametros_manuales!$H$41="Todos",datos_base!$F$12,0))*parametros_manuales!$G$110+parametros_manuales!$G$41*(datos_base!$F$21+IF(parametros_manuales!$H$41="Todos",datos_base!$F$26,0))*parametros_manuales!$G$15)*parametros_manuales!$I$41*parametros_manuales!$J$41</f>
        <v>1923.9412510425</v>
      </c>
      <c r="H132" s="9" t="n">
        <f aca="false">(parametros_manuales!$D$41*(datos_base!$F$2+IF(parametros_manuales!$H$41="Todos",datos_base!$F$9,0))*parametros_manuales!$H$95+parametros_manuales!$D$41*(datos_base!$F$18+IF(parametros_manuales!$H$41="Todos",datos_base!$F$23,0))*parametros_manuales!$H$12+parametros_manuales!$E$41*(datos_base!$F$3+IF(parametros_manuales!$H$41="Todos",datos_base!$F$10,0))*parametros_manuales!$H$100+parametros_manuales!$E$41*(datos_base!$F$19+IF(parametros_manuales!$H$41="Todos",datos_base!$F$24,0))*parametros_manuales!$H$13+parametros_manuales!$F$41*(datos_base!$F$4+IF(parametros_manuales!$H$41="Todos",datos_base!$F$11,0))*parametros_manuales!$H$105+parametros_manuales!$F$41*(datos_base!$F$20+IF(parametros_manuales!$H$41="Todos",datos_base!$F$25,0))*parametros_manuales!$H$14+parametros_manuales!$G$41*(datos_base!$F$5+IF(parametros_manuales!$H$41="Todos",datos_base!$F$12,0))*parametros_manuales!$H$110+parametros_manuales!$G$41*(datos_base!$F$21+IF(parametros_manuales!$H$41="Todos",datos_base!$F$26,0))*parametros_manuales!$H$15)*parametros_manuales!$I$41*parametros_manuales!$J$41</f>
        <v>2056.430878682</v>
      </c>
      <c r="I132" s="9" t="n">
        <f aca="false">(parametros_manuales!$D$41*(datos_base!$F$2+IF(parametros_manuales!$H$41="Todos",datos_base!$F$9,0))*parametros_manuales!$I$95+parametros_manuales!$D$41*(datos_base!$F$18+IF(parametros_manuales!$H$41="Todos",datos_base!$F$23,0))*parametros_manuales!$I$12+parametros_manuales!$E$41*(datos_base!$F$3+IF(parametros_manuales!$H$41="Todos",datos_base!$F$10,0))*parametros_manuales!$I$100+parametros_manuales!$E$41*(datos_base!$F$19+IF(parametros_manuales!$H$41="Todos",datos_base!$F$24,0))*parametros_manuales!$I$13+parametros_manuales!$F$41*(datos_base!$F$4+IF(parametros_manuales!$H$41="Todos",datos_base!$F$11,0))*parametros_manuales!$I$105+parametros_manuales!$F$41*(datos_base!$F$20+IF(parametros_manuales!$H$41="Todos",datos_base!$F$25,0))*parametros_manuales!$I$14+parametros_manuales!$G$41*(datos_base!$F$5+IF(parametros_manuales!$H$41="Todos",datos_base!$F$12,0))*parametros_manuales!$I$110+parametros_manuales!$G$41*(datos_base!$F$21+IF(parametros_manuales!$H$41="Todos",datos_base!$F$26,0))*parametros_manuales!$I$15)*parametros_manuales!$I$41*parametros_manuales!$J$41</f>
        <v>2246.640369332</v>
      </c>
      <c r="J132" s="9" t="n">
        <f aca="false">(parametros_manuales!$D$41*(datos_base!$F$2+IF(parametros_manuales!$H$41="Todos",datos_base!$F$9,0))*parametros_manuales!$J$95+parametros_manuales!$D$41*(datos_base!$F$18+IF(parametros_manuales!$H$41="Todos",datos_base!$F$23,0))*parametros_manuales!$J$12+parametros_manuales!$E$41*(datos_base!$F$3+IF(parametros_manuales!$H$41="Todos",datos_base!$F$10,0))*parametros_manuales!$J$100+parametros_manuales!$E$41*(datos_base!$F$19+IF(parametros_manuales!$H$41="Todos",datos_base!$F$24,0))*parametros_manuales!$J$13+parametros_manuales!$F$41*(datos_base!$F$4+IF(parametros_manuales!$H$41="Todos",datos_base!$F$11,0))*parametros_manuales!$J$105+parametros_manuales!$F$41*(datos_base!$F$20+IF(parametros_manuales!$H$41="Todos",datos_base!$F$25,0))*parametros_manuales!$J$14+parametros_manuales!$G$41*(datos_base!$F$5+IF(parametros_manuales!$H$41="Todos",datos_base!$F$12,0))*parametros_manuales!$J$110+parametros_manuales!$G$41*(datos_base!$F$21+IF(parametros_manuales!$H$41="Todos",datos_base!$F$26,0))*parametros_manuales!$J$15)*parametros_manuales!$I$41*parametros_manuales!$J$41</f>
        <v>2246.640369332</v>
      </c>
      <c r="K132" s="9" t="n">
        <f aca="false">(parametros_manuales!$D$41*(datos_base!$F$2+IF(parametros_manuales!$H$41="Todos",datos_base!$F$9,0))*parametros_manuales!$K$95+parametros_manuales!$D$41*(datos_base!$F$18+IF(parametros_manuales!$H$41="Todos",datos_base!$F$23,0))*parametros_manuales!$K$12+parametros_manuales!$E$41*(datos_base!$F$3+IF(parametros_manuales!$H$41="Todos",datos_base!$F$10,0))*parametros_manuales!$K$100+parametros_manuales!$E$41*(datos_base!$F$19+IF(parametros_manuales!$H$41="Todos",datos_base!$F$24,0))*parametros_manuales!$K$13+parametros_manuales!$F$41*(datos_base!$F$4+IF(parametros_manuales!$H$41="Todos",datos_base!$F$11,0))*parametros_manuales!$K$105+parametros_manuales!$F$41*(datos_base!$F$20+IF(parametros_manuales!$H$41="Todos",datos_base!$F$25,0))*parametros_manuales!$K$14+parametros_manuales!$G$41*(datos_base!$F$5+IF(parametros_manuales!$H$41="Todos",datos_base!$F$12,0))*parametros_manuales!$K$110+parametros_manuales!$G$41*(datos_base!$F$21+IF(parametros_manuales!$H$41="Todos",datos_base!$F$26,0))*parametros_manuales!$K$15)*parametros_manuales!$I$41*parametros_manuales!$J$41</f>
        <v>2314.9004334215</v>
      </c>
      <c r="L132" s="9" t="n">
        <f aca="false">(parametros_manuales!$D$41*(datos_base!$F$2+IF(parametros_manuales!$H$41="Todos",datos_base!$F$9,0))*parametros_manuales!$L$95+parametros_manuales!$D$41*(datos_base!$F$18+IF(parametros_manuales!$H$41="Todos",datos_base!$F$23,0))*parametros_manuales!$L$12+parametros_manuales!$E$41*(datos_base!$F$3+IF(parametros_manuales!$H$41="Todos",datos_base!$F$10,0))*parametros_manuales!$L$100+parametros_manuales!$E$41*(datos_base!$F$19+IF(parametros_manuales!$H$41="Todos",datos_base!$F$24,0))*parametros_manuales!$L$13+parametros_manuales!$F$41*(datos_base!$F$4+IF(parametros_manuales!$H$41="Todos",datos_base!$F$11,0))*parametros_manuales!$L$105+parametros_manuales!$F$41*(datos_base!$F$20+IF(parametros_manuales!$H$41="Todos",datos_base!$F$25,0))*parametros_manuales!$L$14+parametros_manuales!$G$41*(datos_base!$F$5+IF(parametros_manuales!$H$41="Todos",datos_base!$F$12,0))*parametros_manuales!$L$110+parametros_manuales!$G$41*(datos_base!$F$21+IF(parametros_manuales!$H$41="Todos",datos_base!$F$26,0))*parametros_manuales!$L$15)*parametros_manuales!$I$41*parametros_manuales!$J$41</f>
        <v>2383.160497511</v>
      </c>
      <c r="M132" s="9" t="n">
        <f aca="false">(parametros_manuales!$D$41*(datos_base!$F$2+IF(parametros_manuales!$H$41="Todos",datos_base!$F$9,0))*parametros_manuales!$M$95+parametros_manuales!$D$41*(datos_base!$F$18+IF(parametros_manuales!$H$41="Todos",datos_base!$F$23,0))*parametros_manuales!$M$12+parametros_manuales!$E$41*(datos_base!$F$3+IF(parametros_manuales!$H$41="Todos",datos_base!$F$10,0))*parametros_manuales!$M$100+parametros_manuales!$E$41*(datos_base!$F$19+IF(parametros_manuales!$H$41="Todos",datos_base!$F$24,0))*parametros_manuales!$M$13+parametros_manuales!$F$41*(datos_base!$F$4+IF(parametros_manuales!$H$41="Todos",datos_base!$F$11,0))*parametros_manuales!$M$105+parametros_manuales!$F$41*(datos_base!$F$20+IF(parametros_manuales!$H$41="Todos",datos_base!$F$25,0))*parametros_manuales!$M$14+parametros_manuales!$G$41*(datos_base!$F$5+IF(parametros_manuales!$H$41="Todos",datos_base!$F$12,0))*parametros_manuales!$M$110+parametros_manuales!$G$41*(datos_base!$F$21+IF(parametros_manuales!$H$41="Todos",datos_base!$F$26,0))*parametros_manuales!$M$15)*parametros_manuales!$I$41*parametros_manuales!$J$41</f>
        <v>2386.466097511</v>
      </c>
      <c r="N132" s="9" t="n">
        <f aca="false">SUM(B132:M132)</f>
        <v>26497.9255279</v>
      </c>
      <c r="O132" s="9" t="n">
        <f aca="false">MAX(B132:M132)</f>
        <v>2386.466097511</v>
      </c>
      <c r="P132" s="44" t="n">
        <f aca="false">O132/(parametros_manuales!$B$7)</f>
        <v>15.9097739834067</v>
      </c>
      <c r="Q132" s="8" t="str">
        <f aca="false">IF(O132=0,"-",INDEX($B$109:$M$109,MATCH(O132,B132:M132,0)))</f>
        <v>Dic</v>
      </c>
    </row>
    <row r="133" customFormat="false" ht="14.25" hidden="false" customHeight="true" outlineLevel="0" collapsed="false">
      <c r="A133" s="8" t="str">
        <f aca="false">parametros_manuales!$B$42</f>
        <v>Etiquetado</v>
      </c>
      <c r="B133" s="9" t="n">
        <f aca="false">(parametros_manuales!$D$42*(datos_base!$F$2+IF(parametros_manuales!$H$42="Todos",datos_base!$F$9,0))*parametros_manuales!$B$95+parametros_manuales!$D$42*(datos_base!$F$18+IF(parametros_manuales!$H$42="Todos",datos_base!$F$23,0))*parametros_manuales!$B$12+parametros_manuales!$E$42*(datos_base!$F$3+IF(parametros_manuales!$H$42="Todos",datos_base!$F$10,0))*parametros_manuales!$B$100+parametros_manuales!$E$42*(datos_base!$F$19+IF(parametros_manuales!$H$42="Todos",datos_base!$F$24,0))*parametros_manuales!$B$13+parametros_manuales!$F$42*(datos_base!$F$4+IF(parametros_manuales!$H$42="Todos",datos_base!$F$11,0))*parametros_manuales!$B$105+parametros_manuales!$F$42*(datos_base!$F$20+IF(parametros_manuales!$H$42="Todos",datos_base!$F$25,0))*parametros_manuales!$B$14+parametros_manuales!$G$42*(datos_base!$F$5+IF(parametros_manuales!$H$42="Todos",datos_base!$F$12,0))*parametros_manuales!$B$110+parametros_manuales!$G$42*(datos_base!$F$21+IF(parametros_manuales!$H$42="Todos",datos_base!$F$26,0))*parametros_manuales!$B$15)*parametros_manuales!$I$42*parametros_manuales!$J$42</f>
        <v>2385.639697511</v>
      </c>
      <c r="C133" s="9" t="n">
        <f aca="false">(parametros_manuales!$D$42*(datos_base!$F$2+IF(parametros_manuales!$H$42="Todos",datos_base!$F$9,0))*parametros_manuales!$C$95+parametros_manuales!$D$42*(datos_base!$F$18+IF(parametros_manuales!$H$42="Todos",datos_base!$F$23,0))*parametros_manuales!$C$12+parametros_manuales!$E$42*(datos_base!$F$3+IF(parametros_manuales!$H$42="Todos",datos_base!$F$10,0))*parametros_manuales!$C$100+parametros_manuales!$E$42*(datos_base!$F$19+IF(parametros_manuales!$H$42="Todos",datos_base!$F$24,0))*parametros_manuales!$C$13+parametros_manuales!$F$42*(datos_base!$F$4+IF(parametros_manuales!$H$42="Todos",datos_base!$F$11,0))*parametros_manuales!$C$105+parametros_manuales!$F$42*(datos_base!$F$20+IF(parametros_manuales!$H$42="Todos",datos_base!$F$25,0))*parametros_manuales!$C$14+parametros_manuales!$G$42*(datos_base!$F$5+IF(parametros_manuales!$H$42="Todos",datos_base!$F$12,0))*parametros_manuales!$C$110+parametros_manuales!$G$42*(datos_base!$F$21+IF(parametros_manuales!$H$42="Todos",datos_base!$F$26,0))*parametros_manuales!$C$15)*parametros_manuales!$I$42*parametros_manuales!$J$42</f>
        <v>2246.640369332</v>
      </c>
      <c r="D133" s="9" t="n">
        <f aca="false">(parametros_manuales!$D$42*(datos_base!$F$2+IF(parametros_manuales!$H$42="Todos",datos_base!$F$9,0))*parametros_manuales!$D$95+parametros_manuales!$D$42*(datos_base!$F$18+IF(parametros_manuales!$H$42="Todos",datos_base!$F$23,0))*parametros_manuales!$D$12+parametros_manuales!$E$42*(datos_base!$F$3+IF(parametros_manuales!$H$42="Todos",datos_base!$F$10,0))*parametros_manuales!$D$100+parametros_manuales!$E$42*(datos_base!$F$19+IF(parametros_manuales!$H$42="Todos",datos_base!$F$24,0))*parametros_manuales!$D$13+parametros_manuales!$F$42*(datos_base!$F$4+IF(parametros_manuales!$H$42="Todos",datos_base!$F$11,0))*parametros_manuales!$D$105+parametros_manuales!$F$42*(datos_base!$F$20+IF(parametros_manuales!$H$42="Todos",datos_base!$F$25,0))*parametros_manuales!$D$14+parametros_manuales!$G$42*(datos_base!$F$5+IF(parametros_manuales!$H$42="Todos",datos_base!$F$12,0))*parametros_manuales!$D$110+parametros_manuales!$G$42*(datos_base!$F$21+IF(parametros_manuales!$H$42="Todos",datos_base!$F$26,0))*parametros_manuales!$D$15)*parametros_manuales!$I$42*parametros_manuales!$J$42</f>
        <v>2188.9205063215</v>
      </c>
      <c r="E133" s="9" t="n">
        <f aca="false">(parametros_manuales!$D$42*(datos_base!$F$2+IF(parametros_manuales!$H$42="Todos",datos_base!$F$9,0))*parametros_manuales!$E$95+parametros_manuales!$D$42*(datos_base!$F$18+IF(parametros_manuales!$H$42="Todos",datos_base!$F$23,0))*parametros_manuales!$E$12+parametros_manuales!$E$42*(datos_base!$F$3+IF(parametros_manuales!$H$42="Todos",datos_base!$F$10,0))*parametros_manuales!$E$100+parametros_manuales!$E$42*(datos_base!$F$19+IF(parametros_manuales!$H$42="Todos",datos_base!$F$24,0))*parametros_manuales!$E$13+parametros_manuales!$F$42*(datos_base!$F$4+IF(parametros_manuales!$H$42="Todos",datos_base!$F$11,0))*parametros_manuales!$E$105+parametros_manuales!$F$42*(datos_base!$F$20+IF(parametros_manuales!$H$42="Todos",datos_base!$F$25,0))*parametros_manuales!$E$14+parametros_manuales!$G$42*(datos_base!$F$5+IF(parametros_manuales!$H$42="Todos",datos_base!$F$12,0))*parametros_manuales!$E$110+parametros_manuales!$G$42*(datos_base!$F$21+IF(parametros_manuales!$H$42="Todos",datos_base!$F$26,0))*parametros_manuales!$E$15)*parametros_manuales!$I$42*parametros_manuales!$J$42</f>
        <v>2125.5173427715</v>
      </c>
      <c r="F133" s="9" t="n">
        <f aca="false">(parametros_manuales!$D$42*(datos_base!$F$2+IF(parametros_manuales!$H$42="Todos",datos_base!$F$9,0))*parametros_manuales!$F$95+parametros_manuales!$D$42*(datos_base!$F$18+IF(parametros_manuales!$H$42="Todos",datos_base!$F$23,0))*parametros_manuales!$F$12+parametros_manuales!$E$42*(datos_base!$F$3+IF(parametros_manuales!$H$42="Todos",datos_base!$F$10,0))*parametros_manuales!$F$100+parametros_manuales!$E$42*(datos_base!$F$19+IF(parametros_manuales!$H$42="Todos",datos_base!$F$24,0))*parametros_manuales!$F$13+parametros_manuales!$F$42*(datos_base!$F$4+IF(parametros_manuales!$H$42="Todos",datos_base!$F$11,0))*parametros_manuales!$F$105+parametros_manuales!$F$42*(datos_base!$F$20+IF(parametros_manuales!$H$42="Todos",datos_base!$F$25,0))*parametros_manuales!$F$14+parametros_manuales!$G$42*(datos_base!$F$5+IF(parametros_manuales!$H$42="Todos",datos_base!$F$12,0))*parametros_manuales!$F$110+parametros_manuales!$G$42*(datos_base!$F$21+IF(parametros_manuales!$H$42="Todos",datos_base!$F$26,0))*parametros_manuales!$F$15)*parametros_manuales!$I$42*parametros_manuales!$J$42</f>
        <v>1993.027715132</v>
      </c>
      <c r="G133" s="9" t="n">
        <f aca="false">(parametros_manuales!$D$42*(datos_base!$F$2+IF(parametros_manuales!$H$42="Todos",datos_base!$F$9,0))*parametros_manuales!$G$95+parametros_manuales!$D$42*(datos_base!$F$18+IF(parametros_manuales!$H$42="Todos",datos_base!$F$23,0))*parametros_manuales!$G$12+parametros_manuales!$E$42*(datos_base!$F$3+IF(parametros_manuales!$H$42="Todos",datos_base!$F$10,0))*parametros_manuales!$G$100+parametros_manuales!$E$42*(datos_base!$F$19+IF(parametros_manuales!$H$42="Todos",datos_base!$F$24,0))*parametros_manuales!$G$13+parametros_manuales!$F$42*(datos_base!$F$4+IF(parametros_manuales!$H$42="Todos",datos_base!$F$11,0))*parametros_manuales!$G$105+parametros_manuales!$F$42*(datos_base!$F$20+IF(parametros_manuales!$H$42="Todos",datos_base!$F$25,0))*parametros_manuales!$G$14+parametros_manuales!$G$42*(datos_base!$F$5+IF(parametros_manuales!$H$42="Todos",datos_base!$F$12,0))*parametros_manuales!$G$110+parametros_manuales!$G$42*(datos_base!$F$21+IF(parametros_manuales!$H$42="Todos",datos_base!$F$26,0))*parametros_manuales!$G$15)*parametros_manuales!$I$42*parametros_manuales!$J$42</f>
        <v>1923.9412510425</v>
      </c>
      <c r="H133" s="9" t="n">
        <f aca="false">(parametros_manuales!$D$42*(datos_base!$F$2+IF(parametros_manuales!$H$42="Todos",datos_base!$F$9,0))*parametros_manuales!$H$95+parametros_manuales!$D$42*(datos_base!$F$18+IF(parametros_manuales!$H$42="Todos",datos_base!$F$23,0))*parametros_manuales!$H$12+parametros_manuales!$E$42*(datos_base!$F$3+IF(parametros_manuales!$H$42="Todos",datos_base!$F$10,0))*parametros_manuales!$H$100+parametros_manuales!$E$42*(datos_base!$F$19+IF(parametros_manuales!$H$42="Todos",datos_base!$F$24,0))*parametros_manuales!$H$13+parametros_manuales!$F$42*(datos_base!$F$4+IF(parametros_manuales!$H$42="Todos",datos_base!$F$11,0))*parametros_manuales!$H$105+parametros_manuales!$F$42*(datos_base!$F$20+IF(parametros_manuales!$H$42="Todos",datos_base!$F$25,0))*parametros_manuales!$H$14+parametros_manuales!$G$42*(datos_base!$F$5+IF(parametros_manuales!$H$42="Todos",datos_base!$F$12,0))*parametros_manuales!$H$110+parametros_manuales!$G$42*(datos_base!$F$21+IF(parametros_manuales!$H$42="Todos",datos_base!$F$26,0))*parametros_manuales!$H$15)*parametros_manuales!$I$42*parametros_manuales!$J$42</f>
        <v>2056.430878682</v>
      </c>
      <c r="I133" s="9" t="n">
        <f aca="false">(parametros_manuales!$D$42*(datos_base!$F$2+IF(parametros_manuales!$H$42="Todos",datos_base!$F$9,0))*parametros_manuales!$I$95+parametros_manuales!$D$42*(datos_base!$F$18+IF(parametros_manuales!$H$42="Todos",datos_base!$F$23,0))*parametros_manuales!$I$12+parametros_manuales!$E$42*(datos_base!$F$3+IF(parametros_manuales!$H$42="Todos",datos_base!$F$10,0))*parametros_manuales!$I$100+parametros_manuales!$E$42*(datos_base!$F$19+IF(parametros_manuales!$H$42="Todos",datos_base!$F$24,0))*parametros_manuales!$I$13+parametros_manuales!$F$42*(datos_base!$F$4+IF(parametros_manuales!$H$42="Todos",datos_base!$F$11,0))*parametros_manuales!$I$105+parametros_manuales!$F$42*(datos_base!$F$20+IF(parametros_manuales!$H$42="Todos",datos_base!$F$25,0))*parametros_manuales!$I$14+parametros_manuales!$G$42*(datos_base!$F$5+IF(parametros_manuales!$H$42="Todos",datos_base!$F$12,0))*parametros_manuales!$I$110+parametros_manuales!$G$42*(datos_base!$F$21+IF(parametros_manuales!$H$42="Todos",datos_base!$F$26,0))*parametros_manuales!$I$15)*parametros_manuales!$I$42*parametros_manuales!$J$42</f>
        <v>2246.640369332</v>
      </c>
      <c r="J133" s="9" t="n">
        <f aca="false">(parametros_manuales!$D$42*(datos_base!$F$2+IF(parametros_manuales!$H$42="Todos",datos_base!$F$9,0))*parametros_manuales!$J$95+parametros_manuales!$D$42*(datos_base!$F$18+IF(parametros_manuales!$H$42="Todos",datos_base!$F$23,0))*parametros_manuales!$J$12+parametros_manuales!$E$42*(datos_base!$F$3+IF(parametros_manuales!$H$42="Todos",datos_base!$F$10,0))*parametros_manuales!$J$100+parametros_manuales!$E$42*(datos_base!$F$19+IF(parametros_manuales!$H$42="Todos",datos_base!$F$24,0))*parametros_manuales!$J$13+parametros_manuales!$F$42*(datos_base!$F$4+IF(parametros_manuales!$H$42="Todos",datos_base!$F$11,0))*parametros_manuales!$J$105+parametros_manuales!$F$42*(datos_base!$F$20+IF(parametros_manuales!$H$42="Todos",datos_base!$F$25,0))*parametros_manuales!$J$14+parametros_manuales!$G$42*(datos_base!$F$5+IF(parametros_manuales!$H$42="Todos",datos_base!$F$12,0))*parametros_manuales!$J$110+parametros_manuales!$G$42*(datos_base!$F$21+IF(parametros_manuales!$H$42="Todos",datos_base!$F$26,0))*parametros_manuales!$J$15)*parametros_manuales!$I$42*parametros_manuales!$J$42</f>
        <v>2246.640369332</v>
      </c>
      <c r="K133" s="9" t="n">
        <f aca="false">(parametros_manuales!$D$42*(datos_base!$F$2+IF(parametros_manuales!$H$42="Todos",datos_base!$F$9,0))*parametros_manuales!$K$95+parametros_manuales!$D$42*(datos_base!$F$18+IF(parametros_manuales!$H$42="Todos",datos_base!$F$23,0))*parametros_manuales!$K$12+parametros_manuales!$E$42*(datos_base!$F$3+IF(parametros_manuales!$H$42="Todos",datos_base!$F$10,0))*parametros_manuales!$K$100+parametros_manuales!$E$42*(datos_base!$F$19+IF(parametros_manuales!$H$42="Todos",datos_base!$F$24,0))*parametros_manuales!$K$13+parametros_manuales!$F$42*(datos_base!$F$4+IF(parametros_manuales!$H$42="Todos",datos_base!$F$11,0))*parametros_manuales!$K$105+parametros_manuales!$F$42*(datos_base!$F$20+IF(parametros_manuales!$H$42="Todos",datos_base!$F$25,0))*parametros_manuales!$K$14+parametros_manuales!$G$42*(datos_base!$F$5+IF(parametros_manuales!$H$42="Todos",datos_base!$F$12,0))*parametros_manuales!$K$110+parametros_manuales!$G$42*(datos_base!$F$21+IF(parametros_manuales!$H$42="Todos",datos_base!$F$26,0))*parametros_manuales!$K$15)*parametros_manuales!$I$42*parametros_manuales!$J$42</f>
        <v>2314.9004334215</v>
      </c>
      <c r="L133" s="9" t="n">
        <f aca="false">(parametros_manuales!$D$42*(datos_base!$F$2+IF(parametros_manuales!$H$42="Todos",datos_base!$F$9,0))*parametros_manuales!$L$95+parametros_manuales!$D$42*(datos_base!$F$18+IF(parametros_manuales!$H$42="Todos",datos_base!$F$23,0))*parametros_manuales!$L$12+parametros_manuales!$E$42*(datos_base!$F$3+IF(parametros_manuales!$H$42="Todos",datos_base!$F$10,0))*parametros_manuales!$L$100+parametros_manuales!$E$42*(datos_base!$F$19+IF(parametros_manuales!$H$42="Todos",datos_base!$F$24,0))*parametros_manuales!$L$13+parametros_manuales!$F$42*(datos_base!$F$4+IF(parametros_manuales!$H$42="Todos",datos_base!$F$11,0))*parametros_manuales!$L$105+parametros_manuales!$F$42*(datos_base!$F$20+IF(parametros_manuales!$H$42="Todos",datos_base!$F$25,0))*parametros_manuales!$L$14+parametros_manuales!$G$42*(datos_base!$F$5+IF(parametros_manuales!$H$42="Todos",datos_base!$F$12,0))*parametros_manuales!$L$110+parametros_manuales!$G$42*(datos_base!$F$21+IF(parametros_manuales!$H$42="Todos",datos_base!$F$26,0))*parametros_manuales!$L$15)*parametros_manuales!$I$42*parametros_manuales!$J$42</f>
        <v>2383.160497511</v>
      </c>
      <c r="M133" s="9" t="n">
        <f aca="false">(parametros_manuales!$D$42*(datos_base!$F$2+IF(parametros_manuales!$H$42="Todos",datos_base!$F$9,0))*parametros_manuales!$M$95+parametros_manuales!$D$42*(datos_base!$F$18+IF(parametros_manuales!$H$42="Todos",datos_base!$F$23,0))*parametros_manuales!$M$12+parametros_manuales!$E$42*(datos_base!$F$3+IF(parametros_manuales!$H$42="Todos",datos_base!$F$10,0))*parametros_manuales!$M$100+parametros_manuales!$E$42*(datos_base!$F$19+IF(parametros_manuales!$H$42="Todos",datos_base!$F$24,0))*parametros_manuales!$M$13+parametros_manuales!$F$42*(datos_base!$F$4+IF(parametros_manuales!$H$42="Todos",datos_base!$F$11,0))*parametros_manuales!$M$105+parametros_manuales!$F$42*(datos_base!$F$20+IF(parametros_manuales!$H$42="Todos",datos_base!$F$25,0))*parametros_manuales!$M$14+parametros_manuales!$G$42*(datos_base!$F$5+IF(parametros_manuales!$H$42="Todos",datos_base!$F$12,0))*parametros_manuales!$M$110+parametros_manuales!$G$42*(datos_base!$F$21+IF(parametros_manuales!$H$42="Todos",datos_base!$F$26,0))*parametros_manuales!$M$15)*parametros_manuales!$I$42*parametros_manuales!$J$42</f>
        <v>2386.466097511</v>
      </c>
      <c r="N133" s="9" t="n">
        <f aca="false">SUM(B133:M133)</f>
        <v>26497.9255279</v>
      </c>
      <c r="O133" s="9" t="n">
        <f aca="false">MAX(B133:M133)</f>
        <v>2386.466097511</v>
      </c>
      <c r="P133" s="44" t="n">
        <f aca="false">O133/(parametros_manuales!$B$7)</f>
        <v>15.9097739834067</v>
      </c>
      <c r="Q133" s="8" t="str">
        <f aca="false">IF(O133=0,"-",INDEX($B$109:$M$109,MATCH(O133,B133:M133,0)))</f>
        <v>Dic</v>
      </c>
    </row>
    <row r="134" customFormat="false" ht="14.25" hidden="false" customHeight="true" outlineLevel="0" collapsed="false">
      <c r="A134" s="8" t="str">
        <f aca="false">parametros_manuales!$B$43</f>
        <v>Embalaje y paletizado</v>
      </c>
      <c r="B134" s="9" t="n">
        <f aca="false">(parametros_manuales!$D$43*(datos_base!$F$2+IF(parametros_manuales!$H$43="Todos",datos_base!$F$9,0))*parametros_manuales!$B$95+parametros_manuales!$D$43*(datos_base!$F$18+IF(parametros_manuales!$H$43="Todos",datos_base!$F$23,0))*parametros_manuales!$B$12+parametros_manuales!$E$43*(datos_base!$F$3+IF(parametros_manuales!$H$43="Todos",datos_base!$F$10,0))*parametros_manuales!$B$100+parametros_manuales!$E$43*(datos_base!$F$19+IF(parametros_manuales!$H$43="Todos",datos_base!$F$24,0))*parametros_manuales!$B$13+parametros_manuales!$F$43*(datos_base!$F$4+IF(parametros_manuales!$H$43="Todos",datos_base!$F$11,0))*parametros_manuales!$B$105+parametros_manuales!$F$43*(datos_base!$F$20+IF(parametros_manuales!$H$43="Todos",datos_base!$F$25,0))*parametros_manuales!$B$14+parametros_manuales!$G$43*(datos_base!$F$5+IF(parametros_manuales!$H$43="Todos",datos_base!$F$12,0))*parametros_manuales!$B$110+parametros_manuales!$G$43*(datos_base!$F$21+IF(parametros_manuales!$H$43="Todos",datos_base!$F$26,0))*parametros_manuales!$B$15)*parametros_manuales!$I$43*parametros_manuales!$J$43</f>
        <v>7935.883697511</v>
      </c>
      <c r="C134" s="9" t="n">
        <f aca="false">(parametros_manuales!$D$43*(datos_base!$F$2+IF(parametros_manuales!$H$43="Todos",datos_base!$F$9,0))*parametros_manuales!$C$95+parametros_manuales!$D$43*(datos_base!$F$18+IF(parametros_manuales!$H$43="Todos",datos_base!$F$23,0))*parametros_manuales!$C$12+parametros_manuales!$E$43*(datos_base!$F$3+IF(parametros_manuales!$H$43="Todos",datos_base!$F$10,0))*parametros_manuales!$C$100+parametros_manuales!$E$43*(datos_base!$F$19+IF(parametros_manuales!$H$43="Todos",datos_base!$F$24,0))*parametros_manuales!$C$13+parametros_manuales!$F$43*(datos_base!$F$4+IF(parametros_manuales!$H$43="Todos",datos_base!$F$11,0))*parametros_manuales!$C$105+parametros_manuales!$F$43*(datos_base!$F$20+IF(parametros_manuales!$H$43="Todos",datos_base!$F$25,0))*parametros_manuales!$C$14+parametros_manuales!$G$43*(datos_base!$F$5+IF(parametros_manuales!$H$43="Todos",datos_base!$F$12,0))*parametros_manuales!$C$110+parametros_manuales!$G$43*(datos_base!$F$21+IF(parametros_manuales!$H$43="Todos",datos_base!$F$26,0))*parametros_manuales!$C$15)*parametros_manuales!$I$43*parametros_manuales!$J$43</f>
        <v>7673.119569332</v>
      </c>
      <c r="D134" s="9" t="n">
        <f aca="false">(parametros_manuales!$D$43*(datos_base!$F$2+IF(parametros_manuales!$H$43="Todos",datos_base!$F$9,0))*parametros_manuales!$D$95+parametros_manuales!$D$43*(datos_base!$F$18+IF(parametros_manuales!$H$43="Todos",datos_base!$F$23,0))*parametros_manuales!$D$12+parametros_manuales!$E$43*(datos_base!$F$3+IF(parametros_manuales!$H$43="Todos",datos_base!$F$10,0))*parametros_manuales!$D$100+parametros_manuales!$E$43*(datos_base!$F$19+IF(parametros_manuales!$H$43="Todos",datos_base!$F$24,0))*parametros_manuales!$D$13+parametros_manuales!$F$43*(datos_base!$F$4+IF(parametros_manuales!$H$43="Todos",datos_base!$F$11,0))*parametros_manuales!$D$105+parametros_manuales!$F$43*(datos_base!$F$20+IF(parametros_manuales!$H$43="Todos",datos_base!$F$25,0))*parametros_manuales!$D$14+parametros_manuales!$G$43*(datos_base!$F$5+IF(parametros_manuales!$H$43="Todos",datos_base!$F$12,0))*parametros_manuales!$D$110+parametros_manuales!$G$43*(datos_base!$F$21+IF(parametros_manuales!$H$43="Todos",datos_base!$F$26,0))*parametros_manuales!$D$15)*parametros_manuales!$I$43*parametros_manuales!$J$43</f>
        <v>7182.1359063215</v>
      </c>
      <c r="E134" s="9" t="n">
        <f aca="false">(parametros_manuales!$D$43*(datos_base!$F$2+IF(parametros_manuales!$H$43="Todos",datos_base!$F$9,0))*parametros_manuales!$E$95+parametros_manuales!$D$43*(datos_base!$F$18+IF(parametros_manuales!$H$43="Todos",datos_base!$F$23,0))*parametros_manuales!$E$12+parametros_manuales!$E$43*(datos_base!$F$3+IF(parametros_manuales!$H$43="Todos",datos_base!$F$10,0))*parametros_manuales!$E$100+parametros_manuales!$E$43*(datos_base!$F$19+IF(parametros_manuales!$H$43="Todos",datos_base!$F$24,0))*parametros_manuales!$E$13+parametros_manuales!$F$43*(datos_base!$F$4+IF(parametros_manuales!$H$43="Todos",datos_base!$F$11,0))*parametros_manuales!$E$105+parametros_manuales!$F$43*(datos_base!$F$20+IF(parametros_manuales!$H$43="Todos",datos_base!$F$25,0))*parametros_manuales!$E$14+parametros_manuales!$G$43*(datos_base!$F$5+IF(parametros_manuales!$H$43="Todos",datos_base!$F$12,0))*parametros_manuales!$E$110+parametros_manuales!$G$43*(datos_base!$F$21+IF(parametros_manuales!$H$43="Todos",datos_base!$F$26,0))*parametros_manuales!$E$15)*parametros_manuales!$I$43*parametros_manuales!$J$43</f>
        <v>6871.5587427715</v>
      </c>
      <c r="F134" s="9" t="n">
        <f aca="false">(parametros_manuales!$D$43*(datos_base!$F$2+IF(parametros_manuales!$H$43="Todos",datos_base!$F$9,0))*parametros_manuales!$F$95+parametros_manuales!$D$43*(datos_base!$F$18+IF(parametros_manuales!$H$43="Todos",datos_base!$F$23,0))*parametros_manuales!$F$12+parametros_manuales!$E$43*(datos_base!$F$3+IF(parametros_manuales!$H$43="Todos",datos_base!$F$10,0))*parametros_manuales!$F$100+parametros_manuales!$E$43*(datos_base!$F$19+IF(parametros_manuales!$H$43="Todos",datos_base!$F$24,0))*parametros_manuales!$F$13+parametros_manuales!$F$43*(datos_base!$F$4+IF(parametros_manuales!$H$43="Todos",datos_base!$F$11,0))*parametros_manuales!$F$105+parametros_manuales!$F$43*(datos_base!$F$20+IF(parametros_manuales!$H$43="Todos",datos_base!$F$25,0))*parametros_manuales!$F$14+parametros_manuales!$G$43*(datos_base!$F$5+IF(parametros_manuales!$H$43="Todos",datos_base!$F$12,0))*parametros_manuales!$F$110+parametros_manuales!$G$43*(datos_base!$F$21+IF(parametros_manuales!$H$43="Todos",datos_base!$F$26,0))*parametros_manuales!$F$15)*parametros_manuales!$I$43*parametros_manuales!$J$43</f>
        <v>6430.810915132</v>
      </c>
      <c r="G134" s="9" t="n">
        <f aca="false">(parametros_manuales!$D$43*(datos_base!$F$2+IF(parametros_manuales!$H$43="Todos",datos_base!$F$9,0))*parametros_manuales!$G$95+parametros_manuales!$D$43*(datos_base!$F$18+IF(parametros_manuales!$H$43="Todos",datos_base!$F$23,0))*parametros_manuales!$G$12+parametros_manuales!$E$43*(datos_base!$F$3+IF(parametros_manuales!$H$43="Todos",datos_base!$F$10,0))*parametros_manuales!$G$100+parametros_manuales!$E$43*(datos_base!$F$19+IF(parametros_manuales!$H$43="Todos",datos_base!$F$24,0))*parametros_manuales!$G$13+parametros_manuales!$F$43*(datos_base!$F$4+IF(parametros_manuales!$H$43="Todos",datos_base!$F$11,0))*parametros_manuales!$G$105+parametros_manuales!$F$43*(datos_base!$F$20+IF(parametros_manuales!$H$43="Todos",datos_base!$F$25,0))*parametros_manuales!$G$14+parametros_manuales!$G$43*(datos_base!$F$5+IF(parametros_manuales!$H$43="Todos",datos_base!$F$12,0))*parametros_manuales!$G$110+parametros_manuales!$G$43*(datos_base!$F$21+IF(parametros_manuales!$H$43="Todos",datos_base!$F$26,0))*parametros_manuales!$G$15)*parametros_manuales!$I$43*parametros_manuales!$J$43</f>
        <v>6300.6402510425</v>
      </c>
      <c r="H134" s="9" t="n">
        <f aca="false">(parametros_manuales!$D$43*(datos_base!$F$2+IF(parametros_manuales!$H$43="Todos",datos_base!$F$9,0))*parametros_manuales!$H$95+parametros_manuales!$D$43*(datos_base!$F$18+IF(parametros_manuales!$H$43="Todos",datos_base!$F$23,0))*parametros_manuales!$H$12+parametros_manuales!$E$43*(datos_base!$F$3+IF(parametros_manuales!$H$43="Todos",datos_base!$F$10,0))*parametros_manuales!$H$100+parametros_manuales!$E$43*(datos_base!$F$19+IF(parametros_manuales!$H$43="Todos",datos_base!$F$24,0))*parametros_manuales!$H$13+parametros_manuales!$F$43*(datos_base!$F$4+IF(parametros_manuales!$H$43="Todos",datos_base!$F$11,0))*parametros_manuales!$H$105+parametros_manuales!$F$43*(datos_base!$F$20+IF(parametros_manuales!$H$43="Todos",datos_base!$F$25,0))*parametros_manuales!$H$14+parametros_manuales!$G$43*(datos_base!$F$5+IF(parametros_manuales!$H$43="Todos",datos_base!$F$12,0))*parametros_manuales!$H$110+parametros_manuales!$G$43*(datos_base!$F$21+IF(parametros_manuales!$H$43="Todos",datos_base!$F$26,0))*parametros_manuales!$H$15)*parametros_manuales!$I$43*parametros_manuales!$J$43</f>
        <v>6741.388078682</v>
      </c>
      <c r="I134" s="9" t="n">
        <f aca="false">(parametros_manuales!$D$43*(datos_base!$F$2+IF(parametros_manuales!$H$43="Todos",datos_base!$F$9,0))*parametros_manuales!$I$95+parametros_manuales!$D$43*(datos_base!$F$18+IF(parametros_manuales!$H$43="Todos",datos_base!$F$23,0))*parametros_manuales!$I$12+parametros_manuales!$E$43*(datos_base!$F$3+IF(parametros_manuales!$H$43="Todos",datos_base!$F$10,0))*parametros_manuales!$I$100+parametros_manuales!$E$43*(datos_base!$F$19+IF(parametros_manuales!$H$43="Todos",datos_base!$F$24,0))*parametros_manuales!$I$13+parametros_manuales!$F$43*(datos_base!$F$4+IF(parametros_manuales!$H$43="Todos",datos_base!$F$11,0))*parametros_manuales!$I$105+parametros_manuales!$F$43*(datos_base!$F$20+IF(parametros_manuales!$H$43="Todos",datos_base!$F$25,0))*parametros_manuales!$I$14+parametros_manuales!$G$43*(datos_base!$F$5+IF(parametros_manuales!$H$43="Todos",datos_base!$F$12,0))*parametros_manuales!$I$110+parametros_manuales!$G$43*(datos_base!$F$21+IF(parametros_manuales!$H$43="Todos",datos_base!$F$26,0))*parametros_manuales!$I$15)*parametros_manuales!$I$43*parametros_manuales!$J$43</f>
        <v>7673.11956933199</v>
      </c>
      <c r="J134" s="9" t="n">
        <f aca="false">(parametros_manuales!$D$43*(datos_base!$F$2+IF(parametros_manuales!$H$43="Todos",datos_base!$F$9,0))*parametros_manuales!$J$95+parametros_manuales!$D$43*(datos_base!$F$18+IF(parametros_manuales!$H$43="Todos",datos_base!$F$23,0))*parametros_manuales!$J$12+parametros_manuales!$E$43*(datos_base!$F$3+IF(parametros_manuales!$H$43="Todos",datos_base!$F$10,0))*parametros_manuales!$J$100+parametros_manuales!$E$43*(datos_base!$F$19+IF(parametros_manuales!$H$43="Todos",datos_base!$F$24,0))*parametros_manuales!$J$13+parametros_manuales!$F$43*(datos_base!$F$4+IF(parametros_manuales!$H$43="Todos",datos_base!$F$11,0))*parametros_manuales!$J$105+parametros_manuales!$F$43*(datos_base!$F$20+IF(parametros_manuales!$H$43="Todos",datos_base!$F$25,0))*parametros_manuales!$J$14+parametros_manuales!$G$43*(datos_base!$F$5+IF(parametros_manuales!$H$43="Todos",datos_base!$F$12,0))*parametros_manuales!$J$110+parametros_manuales!$G$43*(datos_base!$F$21+IF(parametros_manuales!$H$43="Todos",datos_base!$F$26,0))*parametros_manuales!$J$15)*parametros_manuales!$I$43*parametros_manuales!$J$43</f>
        <v>7673.119569332</v>
      </c>
      <c r="K134" s="9" t="n">
        <f aca="false">(parametros_manuales!$D$43*(datos_base!$F$2+IF(parametros_manuales!$H$43="Todos",datos_base!$F$9,0))*parametros_manuales!$K$95+parametros_manuales!$D$43*(datos_base!$F$18+IF(parametros_manuales!$H$43="Todos",datos_base!$F$23,0))*parametros_manuales!$K$12+parametros_manuales!$E$43*(datos_base!$F$3+IF(parametros_manuales!$H$43="Todos",datos_base!$F$10,0))*parametros_manuales!$K$100+parametros_manuales!$E$43*(datos_base!$F$19+IF(parametros_manuales!$H$43="Todos",datos_base!$F$24,0))*parametros_manuales!$K$13+parametros_manuales!$F$43*(datos_base!$F$4+IF(parametros_manuales!$H$43="Todos",datos_base!$F$11,0))*parametros_manuales!$K$105+parametros_manuales!$F$43*(datos_base!$F$20+IF(parametros_manuales!$H$43="Todos",datos_base!$F$25,0))*parametros_manuales!$K$14+parametros_manuales!$G$43*(datos_base!$F$5+IF(parametros_manuales!$H$43="Todos",datos_base!$F$12,0))*parametros_manuales!$K$110+parametros_manuales!$G$43*(datos_base!$F$21+IF(parametros_manuales!$H$43="Todos",datos_base!$F$26,0))*parametros_manuales!$K$15)*parametros_manuales!$I$43*parametros_manuales!$J$43</f>
        <v>7800.8674334215</v>
      </c>
      <c r="L134" s="9" t="n">
        <f aca="false">(parametros_manuales!$D$43*(datos_base!$F$2+IF(parametros_manuales!$H$43="Todos",datos_base!$F$9,0))*parametros_manuales!$L$95+parametros_manuales!$D$43*(datos_base!$F$18+IF(parametros_manuales!$H$43="Todos",datos_base!$F$23,0))*parametros_manuales!$L$12+parametros_manuales!$E$43*(datos_base!$F$3+IF(parametros_manuales!$H$43="Todos",datos_base!$F$10,0))*parametros_manuales!$L$100+parametros_manuales!$E$43*(datos_base!$F$19+IF(parametros_manuales!$H$43="Todos",datos_base!$F$24,0))*parametros_manuales!$L$13+parametros_manuales!$F$43*(datos_base!$F$4+IF(parametros_manuales!$H$43="Todos",datos_base!$F$11,0))*parametros_manuales!$L$105+parametros_manuales!$F$43*(datos_base!$F$20+IF(parametros_manuales!$H$43="Todos",datos_base!$F$25,0))*parametros_manuales!$L$14+parametros_manuales!$G$43*(datos_base!$F$5+IF(parametros_manuales!$H$43="Todos",datos_base!$F$12,0))*parametros_manuales!$L$110+parametros_manuales!$G$43*(datos_base!$F$21+IF(parametros_manuales!$H$43="Todos",datos_base!$F$26,0))*parametros_manuales!$L$15)*parametros_manuales!$I$43*parametros_manuales!$J$43</f>
        <v>7928.615297511</v>
      </c>
      <c r="M134" s="9" t="n">
        <f aca="false">(parametros_manuales!$D$43*(datos_base!$F$2+IF(parametros_manuales!$H$43="Todos",datos_base!$F$9,0))*parametros_manuales!$M$95+parametros_manuales!$D$43*(datos_base!$F$18+IF(parametros_manuales!$H$43="Todos",datos_base!$F$23,0))*parametros_manuales!$M$12+parametros_manuales!$E$43*(datos_base!$F$3+IF(parametros_manuales!$H$43="Todos",datos_base!$F$10,0))*parametros_manuales!$M$100+parametros_manuales!$E$43*(datos_base!$F$19+IF(parametros_manuales!$H$43="Todos",datos_base!$F$24,0))*parametros_manuales!$M$13+parametros_manuales!$F$43*(datos_base!$F$4+IF(parametros_manuales!$H$43="Todos",datos_base!$F$11,0))*parametros_manuales!$M$105+parametros_manuales!$F$43*(datos_base!$F$20+IF(parametros_manuales!$H$43="Todos",datos_base!$F$25,0))*parametros_manuales!$M$14+parametros_manuales!$G$43*(datos_base!$F$5+IF(parametros_manuales!$H$43="Todos",datos_base!$F$12,0))*parametros_manuales!$M$110+parametros_manuales!$G$43*(datos_base!$F$21+IF(parametros_manuales!$H$43="Todos",datos_base!$F$26,0))*parametros_manuales!$M$15)*parametros_manuales!$I$43*parametros_manuales!$J$43</f>
        <v>7938.306497511</v>
      </c>
      <c r="N134" s="9" t="n">
        <f aca="false">SUM(B134:M134)</f>
        <v>88149.5655279</v>
      </c>
      <c r="O134" s="9" t="n">
        <f aca="false">MAX(B134:M134)</f>
        <v>7938.306497511</v>
      </c>
      <c r="P134" s="44" t="n">
        <f aca="false">O134/(parametros_manuales!$B$7)</f>
        <v>52.92204331674</v>
      </c>
      <c r="Q134" s="8" t="str">
        <f aca="false">IF(O134=0,"-",INDEX($B$109:$M$109,MATCH(O134,B134:M134,0)))</f>
        <v>Dic</v>
      </c>
    </row>
    <row r="135" customFormat="false" ht="14.25" hidden="false" customHeight="true" outlineLevel="0" collapsed="false"/>
    <row r="136" customFormat="false" ht="14.25" hidden="false" customHeight="true" outlineLevel="0" collapsed="false">
      <c r="A136" s="7" t="s">
        <v>205</v>
      </c>
      <c r="B136" s="7" t="s">
        <v>59</v>
      </c>
      <c r="C136" s="7" t="s">
        <v>60</v>
      </c>
      <c r="D136" s="7" t="s">
        <v>61</v>
      </c>
      <c r="E136" s="7" t="s">
        <v>62</v>
      </c>
      <c r="F136" s="7" t="s">
        <v>63</v>
      </c>
      <c r="G136" s="7" t="s">
        <v>64</v>
      </c>
      <c r="H136" s="7" t="s">
        <v>65</v>
      </c>
      <c r="I136" s="7" t="s">
        <v>66</v>
      </c>
      <c r="J136" s="7" t="s">
        <v>67</v>
      </c>
      <c r="K136" s="7" t="s">
        <v>68</v>
      </c>
      <c r="L136" s="7" t="s">
        <v>69</v>
      </c>
      <c r="M136" s="7" t="s">
        <v>70</v>
      </c>
      <c r="N136" s="7" t="s">
        <v>181</v>
      </c>
      <c r="O136" s="7" t="s">
        <v>198</v>
      </c>
      <c r="P136" s="7" t="s">
        <v>199</v>
      </c>
      <c r="Q136" s="7" t="s">
        <v>200</v>
      </c>
    </row>
    <row r="137" customFormat="false" ht="14.25" hidden="false" customHeight="true" outlineLevel="0" collapsed="false">
      <c r="A137" s="8" t="str">
        <f aca="false">parametros_manuales!$B$19</f>
        <v>Recepción de materia prima</v>
      </c>
      <c r="B137" s="9" t="n">
        <f aca="false">(parametros_manuales!$D$19*(datos_base!$G$2+IF(parametros_manuales!$H$19="Todos",datos_base!$G$9,0))*parametros_manuales!$B$95+parametros_manuales!$D$19*(datos_base!$G$18+IF(parametros_manuales!$H$19="Todos",datos_base!$G$23,0))*parametros_manuales!$B$12+parametros_manuales!$E$19*(datos_base!$G$3+IF(parametros_manuales!$H$19="Todos",datos_base!$G$10,0))*parametros_manuales!$B$100+parametros_manuales!$E$19*(datos_base!$G$19+IF(parametros_manuales!$H$19="Todos",datos_base!$G$24,0))*parametros_manuales!$B$13+parametros_manuales!$F$19*(datos_base!$G$4+IF(parametros_manuales!$H$19="Todos",datos_base!$G$11,0))*parametros_manuales!$B$105+parametros_manuales!$F$19*(datos_base!$G$20+IF(parametros_manuales!$H$19="Todos",datos_base!$G$25,0))*parametros_manuales!$B$14+parametros_manuales!$G$19*(datos_base!$G$5+IF(parametros_manuales!$H$19="Todos",datos_base!$G$12,0))*parametros_manuales!$B$110+parametros_manuales!$G$19*(datos_base!$G$21+IF(parametros_manuales!$H$19="Todos",datos_base!$G$26,0))*parametros_manuales!$B$15)*parametros_manuales!$I$19*parametros_manuales!$J$19</f>
        <v>11143.70828891</v>
      </c>
      <c r="C137" s="9" t="n">
        <f aca="false">(parametros_manuales!$D$19*(datos_base!$G$2+IF(parametros_manuales!$H$19="Todos",datos_base!$G$9,0))*parametros_manuales!$C$95+parametros_manuales!$D$19*(datos_base!$G$18+IF(parametros_manuales!$H$19="Todos",datos_base!$G$23,0))*parametros_manuales!$C$12+parametros_manuales!$E$19*(datos_base!$G$3+IF(parametros_manuales!$H$19="Todos",datos_base!$G$10,0))*parametros_manuales!$C$100+parametros_manuales!$E$19*(datos_base!$G$19+IF(parametros_manuales!$H$19="Todos",datos_base!$G$24,0))*parametros_manuales!$C$13+parametros_manuales!$F$19*(datos_base!$G$4+IF(parametros_manuales!$H$19="Todos",datos_base!$G$11,0))*parametros_manuales!$C$105+parametros_manuales!$F$19*(datos_base!$G$20+IF(parametros_manuales!$H$19="Todos",datos_base!$G$25,0))*parametros_manuales!$C$14+parametros_manuales!$G$19*(datos_base!$G$5+IF(parametros_manuales!$H$19="Todos",datos_base!$G$12,0))*parametros_manuales!$C$110+parametros_manuales!$G$19*(datos_base!$G$21+IF(parametros_manuales!$H$19="Todos",datos_base!$G$26,0))*parametros_manuales!$C$15)*parametros_manuales!$I$19*parametros_manuales!$J$19</f>
        <v>10776.09029862</v>
      </c>
      <c r="D137" s="9" t="n">
        <f aca="false">(parametros_manuales!$D$19*(datos_base!$G$2+IF(parametros_manuales!$H$19="Todos",datos_base!$G$9,0))*parametros_manuales!$D$95+parametros_manuales!$D$19*(datos_base!$G$18+IF(parametros_manuales!$H$19="Todos",datos_base!$G$23,0))*parametros_manuales!$D$12+parametros_manuales!$E$19*(datos_base!$G$3+IF(parametros_manuales!$H$19="Todos",datos_base!$G$10,0))*parametros_manuales!$D$100+parametros_manuales!$E$19*(datos_base!$G$19+IF(parametros_manuales!$H$19="Todos",datos_base!$G$24,0))*parametros_manuales!$D$13+parametros_manuales!$F$19*(datos_base!$G$4+IF(parametros_manuales!$H$19="Todos",datos_base!$G$11,0))*parametros_manuales!$D$105+parametros_manuales!$F$19*(datos_base!$G$20+IF(parametros_manuales!$H$19="Todos",datos_base!$G$25,0))*parametros_manuales!$D$14+parametros_manuales!$G$19*(datos_base!$G$5+IF(parametros_manuales!$H$19="Todos",datos_base!$G$12,0))*parametros_manuales!$D$110+parametros_manuales!$G$19*(datos_base!$G$21+IF(parametros_manuales!$H$19="Todos",datos_base!$G$26,0))*parametros_manuales!$D$15)*parametros_manuales!$I$19*parametros_manuales!$J$19</f>
        <v>10085.526363065</v>
      </c>
      <c r="E137" s="9" t="n">
        <f aca="false">(parametros_manuales!$D$19*(datos_base!$G$2+IF(parametros_manuales!$H$19="Todos",datos_base!$G$9,0))*parametros_manuales!$E$95+parametros_manuales!$D$19*(datos_base!$G$18+IF(parametros_manuales!$H$19="Todos",datos_base!$G$23,0))*parametros_manuales!$E$12+parametros_manuales!$E$19*(datos_base!$G$3+IF(parametros_manuales!$H$19="Todos",datos_base!$G$10,0))*parametros_manuales!$E$100+parametros_manuales!$E$19*(datos_base!$G$19+IF(parametros_manuales!$H$19="Todos",datos_base!$G$24,0))*parametros_manuales!$E$13+parametros_manuales!$F$19*(datos_base!$G$4+IF(parametros_manuales!$H$19="Todos",datos_base!$G$11,0))*parametros_manuales!$E$105+parametros_manuales!$F$19*(datos_base!$G$20+IF(parametros_manuales!$H$19="Todos",datos_base!$G$25,0))*parametros_manuales!$E$14+parametros_manuales!$G$19*(datos_base!$G$5+IF(parametros_manuales!$H$19="Todos",datos_base!$G$12,0))*parametros_manuales!$E$110+parametros_manuales!$G$19*(datos_base!$G$21+IF(parametros_manuales!$H$19="Todos",datos_base!$G$26,0))*parametros_manuales!$E$15)*parametros_manuales!$I$19*parametros_manuales!$J$19</f>
        <v>9649.024097715</v>
      </c>
      <c r="F137" s="9" t="n">
        <f aca="false">(parametros_manuales!$D$19*(datos_base!$G$2+IF(parametros_manuales!$H$19="Todos",datos_base!$G$9,0))*parametros_manuales!$F$95+parametros_manuales!$D$19*(datos_base!$G$18+IF(parametros_manuales!$H$19="Todos",datos_base!$G$23,0))*parametros_manuales!$F$12+parametros_manuales!$E$19*(datos_base!$G$3+IF(parametros_manuales!$H$19="Todos",datos_base!$G$10,0))*parametros_manuales!$F$100+parametros_manuales!$E$19*(datos_base!$G$19+IF(parametros_manuales!$H$19="Todos",datos_base!$G$24,0))*parametros_manuales!$F$13+parametros_manuales!$F$19*(datos_base!$G$4+IF(parametros_manuales!$H$19="Todos",datos_base!$G$11,0))*parametros_manuales!$F$105+parametros_manuales!$F$19*(datos_base!$G$20+IF(parametros_manuales!$H$19="Todos",datos_base!$G$25,0))*parametros_manuales!$F$14+parametros_manuales!$G$19*(datos_base!$G$5+IF(parametros_manuales!$H$19="Todos",datos_base!$G$12,0))*parametros_manuales!$F$110+parametros_manuales!$G$19*(datos_base!$G$21+IF(parametros_manuales!$H$19="Todos",datos_base!$G$26,0))*parametros_manuales!$F$15)*parametros_manuales!$I$19*parametros_manuales!$J$19</f>
        <v>9030.08123722</v>
      </c>
      <c r="G137" s="9" t="n">
        <f aca="false">(parametros_manuales!$D$19*(datos_base!$G$2+IF(parametros_manuales!$H$19="Todos",datos_base!$G$9,0))*parametros_manuales!$G$95+parametros_manuales!$D$19*(datos_base!$G$18+IF(parametros_manuales!$H$19="Todos",datos_base!$G$23,0))*parametros_manuales!$G$12+parametros_manuales!$E$19*(datos_base!$G$3+IF(parametros_manuales!$H$19="Todos",datos_base!$G$10,0))*parametros_manuales!$G$100+parametros_manuales!$E$19*(datos_base!$G$19+IF(parametros_manuales!$H$19="Todos",datos_base!$G$24,0))*parametros_manuales!$G$13+parametros_manuales!$F$19*(datos_base!$G$4+IF(parametros_manuales!$H$19="Todos",datos_base!$G$11,0))*parametros_manuales!$G$105+parametros_manuales!$F$19*(datos_base!$G$20+IF(parametros_manuales!$H$19="Todos",datos_base!$G$25,0))*parametros_manuales!$G$14+parametros_manuales!$G$19*(datos_base!$G$5+IF(parametros_manuales!$H$19="Todos",datos_base!$G$12,0))*parametros_manuales!$G$110+parametros_manuales!$G$19*(datos_base!$G$21+IF(parametros_manuales!$H$19="Todos",datos_base!$G$26,0))*parametros_manuales!$G$15)*parametros_manuales!$I$19*parametros_manuales!$J$19</f>
        <v>8847.640642075</v>
      </c>
      <c r="H137" s="9" t="n">
        <f aca="false">(parametros_manuales!$D$19*(datos_base!$G$2+IF(parametros_manuales!$H$19="Todos",datos_base!$G$9,0))*parametros_manuales!$H$95+parametros_manuales!$D$19*(datos_base!$G$18+IF(parametros_manuales!$H$19="Todos",datos_base!$G$23,0))*parametros_manuales!$H$12+parametros_manuales!$E$19*(datos_base!$G$3+IF(parametros_manuales!$H$19="Todos",datos_base!$G$10,0))*parametros_manuales!$H$100+parametros_manuales!$E$19*(datos_base!$G$19+IF(parametros_manuales!$H$19="Todos",datos_base!$G$24,0))*parametros_manuales!$H$13+parametros_manuales!$F$19*(datos_base!$G$4+IF(parametros_manuales!$H$19="Todos",datos_base!$G$11,0))*parametros_manuales!$H$105+parametros_manuales!$F$19*(datos_base!$G$20+IF(parametros_manuales!$H$19="Todos",datos_base!$G$25,0))*parametros_manuales!$H$14+parametros_manuales!$G$19*(datos_base!$G$5+IF(parametros_manuales!$H$19="Todos",datos_base!$G$12,0))*parametros_manuales!$H$110+parametros_manuales!$G$19*(datos_base!$G$21+IF(parametros_manuales!$H$19="Todos",datos_base!$G$26,0))*parametros_manuales!$H$15)*parametros_manuales!$I$19*parametros_manuales!$J$19</f>
        <v>9466.58350257</v>
      </c>
      <c r="I137" s="9" t="n">
        <f aca="false">(parametros_manuales!$D$19*(datos_base!$G$2+IF(parametros_manuales!$H$19="Todos",datos_base!$G$9,0))*parametros_manuales!$I$95+parametros_manuales!$D$19*(datos_base!$G$18+IF(parametros_manuales!$H$19="Todos",datos_base!$G$23,0))*parametros_manuales!$I$12+parametros_manuales!$E$19*(datos_base!$G$3+IF(parametros_manuales!$H$19="Todos",datos_base!$G$10,0))*parametros_manuales!$I$100+parametros_manuales!$E$19*(datos_base!$G$19+IF(parametros_manuales!$H$19="Todos",datos_base!$G$24,0))*parametros_manuales!$I$13+parametros_manuales!$F$19*(datos_base!$G$4+IF(parametros_manuales!$H$19="Todos",datos_base!$G$11,0))*parametros_manuales!$I$105+parametros_manuales!$F$19*(datos_base!$G$20+IF(parametros_manuales!$H$19="Todos",datos_base!$G$25,0))*parametros_manuales!$I$14+parametros_manuales!$G$19*(datos_base!$G$5+IF(parametros_manuales!$H$19="Todos",datos_base!$G$12,0))*parametros_manuales!$I$110+parametros_manuales!$G$19*(datos_base!$G$21+IF(parametros_manuales!$H$19="Todos",datos_base!$G$26,0))*parametros_manuales!$I$15)*parametros_manuales!$I$19*parametros_manuales!$J$19</f>
        <v>10776.09029862</v>
      </c>
      <c r="J137" s="9" t="n">
        <f aca="false">(parametros_manuales!$D$19*(datos_base!$G$2+IF(parametros_manuales!$H$19="Todos",datos_base!$G$9,0))*parametros_manuales!$J$95+parametros_manuales!$D$19*(datos_base!$G$18+IF(parametros_manuales!$H$19="Todos",datos_base!$G$23,0))*parametros_manuales!$J$12+parametros_manuales!$E$19*(datos_base!$G$3+IF(parametros_manuales!$H$19="Todos",datos_base!$G$10,0))*parametros_manuales!$J$100+parametros_manuales!$E$19*(datos_base!$G$19+IF(parametros_manuales!$H$19="Todos",datos_base!$G$24,0))*parametros_manuales!$J$13+parametros_manuales!$F$19*(datos_base!$G$4+IF(parametros_manuales!$H$19="Todos",datos_base!$G$11,0))*parametros_manuales!$J$105+parametros_manuales!$F$19*(datos_base!$G$20+IF(parametros_manuales!$H$19="Todos",datos_base!$G$25,0))*parametros_manuales!$J$14+parametros_manuales!$G$19*(datos_base!$G$5+IF(parametros_manuales!$H$19="Todos",datos_base!$G$12,0))*parametros_manuales!$J$110+parametros_manuales!$G$19*(datos_base!$G$21+IF(parametros_manuales!$H$19="Todos",datos_base!$G$26,0))*parametros_manuales!$J$15)*parametros_manuales!$I$19*parametros_manuales!$J$19</f>
        <v>10776.09029862</v>
      </c>
      <c r="K137" s="9" t="n">
        <f aca="false">(parametros_manuales!$D$19*(datos_base!$G$2+IF(parametros_manuales!$H$19="Todos",datos_base!$G$9,0))*parametros_manuales!$K$95+parametros_manuales!$D$19*(datos_base!$G$18+IF(parametros_manuales!$H$19="Todos",datos_base!$G$23,0))*parametros_manuales!$K$12+parametros_manuales!$E$19*(datos_base!$G$3+IF(parametros_manuales!$H$19="Todos",datos_base!$G$10,0))*parametros_manuales!$K$100+parametros_manuales!$E$19*(datos_base!$G$19+IF(parametros_manuales!$H$19="Todos",datos_base!$G$24,0))*parametros_manuales!$K$13+parametros_manuales!$F$19*(datos_base!$G$4+IF(parametros_manuales!$H$19="Todos",datos_base!$G$11,0))*parametros_manuales!$K$105+parametros_manuales!$F$19*(datos_base!$G$20+IF(parametros_manuales!$H$19="Todos",datos_base!$G$25,0))*parametros_manuales!$K$14+parametros_manuales!$G$19*(datos_base!$G$5+IF(parametros_manuales!$H$19="Todos",datos_base!$G$12,0))*parametros_manuales!$K$110+parametros_manuales!$G$19*(datos_base!$G$21+IF(parametros_manuales!$H$19="Todos",datos_base!$G$26,0))*parametros_manuales!$K$15)*parametros_manuales!$I$19*parametros_manuales!$J$19</f>
        <v>10955.794093765</v>
      </c>
      <c r="L137" s="9" t="n">
        <f aca="false">(parametros_manuales!$D$19*(datos_base!$G$2+IF(parametros_manuales!$H$19="Todos",datos_base!$G$9,0))*parametros_manuales!$L$95+parametros_manuales!$D$19*(datos_base!$G$18+IF(parametros_manuales!$H$19="Todos",datos_base!$G$23,0))*parametros_manuales!$L$12+parametros_manuales!$E$19*(datos_base!$G$3+IF(parametros_manuales!$H$19="Todos",datos_base!$G$10,0))*parametros_manuales!$L$100+parametros_manuales!$E$19*(datos_base!$G$19+IF(parametros_manuales!$H$19="Todos",datos_base!$G$24,0))*parametros_manuales!$L$13+parametros_manuales!$F$19*(datos_base!$G$4+IF(parametros_manuales!$H$19="Todos",datos_base!$G$11,0))*parametros_manuales!$L$105+parametros_manuales!$F$19*(datos_base!$G$20+IF(parametros_manuales!$H$19="Todos",datos_base!$G$25,0))*parametros_manuales!$L$14+parametros_manuales!$G$19*(datos_base!$G$5+IF(parametros_manuales!$H$19="Todos",datos_base!$G$12,0))*parametros_manuales!$L$110+parametros_manuales!$G$19*(datos_base!$G$21+IF(parametros_manuales!$H$19="Todos",datos_base!$G$26,0))*parametros_manuales!$L$15)*parametros_manuales!$I$19*parametros_manuales!$J$19</f>
        <v>11135.49788891</v>
      </c>
      <c r="M137" s="9" t="n">
        <f aca="false">(parametros_manuales!$D$19*(datos_base!$G$2+IF(parametros_manuales!$H$19="Todos",datos_base!$G$9,0))*parametros_manuales!$M$95+parametros_manuales!$D$19*(datos_base!$G$18+IF(parametros_manuales!$H$19="Todos",datos_base!$G$23,0))*parametros_manuales!$M$12+parametros_manuales!$E$19*(datos_base!$G$3+IF(parametros_manuales!$H$19="Todos",datos_base!$G$10,0))*parametros_manuales!$M$100+parametros_manuales!$E$19*(datos_base!$G$19+IF(parametros_manuales!$H$19="Todos",datos_base!$G$24,0))*parametros_manuales!$M$13+parametros_manuales!$F$19*(datos_base!$G$4+IF(parametros_manuales!$H$19="Todos",datos_base!$G$11,0))*parametros_manuales!$M$105+parametros_manuales!$F$19*(datos_base!$G$20+IF(parametros_manuales!$H$19="Todos",datos_base!$G$25,0))*parametros_manuales!$M$14+parametros_manuales!$G$19*(datos_base!$G$5+IF(parametros_manuales!$H$19="Todos",datos_base!$G$12,0))*parametros_manuales!$M$110+parametros_manuales!$G$19*(datos_base!$G$21+IF(parametros_manuales!$H$19="Todos",datos_base!$G$26,0))*parametros_manuales!$M$15)*parametros_manuales!$I$19*parametros_manuales!$J$19</f>
        <v>11146.44508891</v>
      </c>
      <c r="N137" s="9" t="n">
        <f aca="false">SUM(B137:M137)</f>
        <v>123788.572099</v>
      </c>
      <c r="O137" s="9" t="n">
        <f aca="false">MAX(B137:M137)</f>
        <v>11146.44508891</v>
      </c>
      <c r="P137" s="44" t="n">
        <f aca="false">O137/(parametros_manuales!$B$7)</f>
        <v>74.3096339260667</v>
      </c>
      <c r="Q137" s="8" t="str">
        <f aca="false">IF(O137=0,"-",INDEX($B$136:$M$136,MATCH(O137,B137:M137,0)))</f>
        <v>Dic</v>
      </c>
    </row>
    <row r="138" customFormat="false" ht="14.25" hidden="false" customHeight="true" outlineLevel="0" collapsed="false">
      <c r="A138" s="8" t="str">
        <f aca="false">parametros_manuales!$B$20</f>
        <v>Corte de chapa (guillotina) — 2,5 a 10 kg</v>
      </c>
      <c r="B138" s="9" t="n">
        <f aca="false">(parametros_manuales!$D$20*(datos_base!$G$2+IF(parametros_manuales!$H$20="Todos",datos_base!$G$9,0))*parametros_manuales!$B$95+parametros_manuales!$D$20*(datos_base!$G$18+IF(parametros_manuales!$H$20="Todos",datos_base!$G$23,0))*parametros_manuales!$B$12+parametros_manuales!$E$20*(datos_base!$G$3+IF(parametros_manuales!$H$20="Todos",datos_base!$G$10,0))*parametros_manuales!$B$100+parametros_manuales!$E$20*(datos_base!$G$19+IF(parametros_manuales!$H$20="Todos",datos_base!$G$24,0))*parametros_manuales!$B$13+parametros_manuales!$F$20*(datos_base!$G$4+IF(parametros_manuales!$H$20="Todos",datos_base!$G$11,0))*parametros_manuales!$B$105+parametros_manuales!$F$20*(datos_base!$G$20+IF(parametros_manuales!$H$20="Todos",datos_base!$G$25,0))*parametros_manuales!$B$14+parametros_manuales!$G$20*(datos_base!$G$5+IF(parametros_manuales!$H$20="Todos",datos_base!$G$12,0))*parametros_manuales!$B$110+parametros_manuales!$G$20*(datos_base!$G$21+IF(parametros_manuales!$H$20="Todos",datos_base!$G$26,0))*parametros_manuales!$B$15)*parametros_manuales!$I$20*parametros_manuales!$J$20</f>
        <v>3286.66751261</v>
      </c>
      <c r="C138" s="9" t="n">
        <f aca="false">(parametros_manuales!$D$20*(datos_base!$G$2+IF(parametros_manuales!$H$20="Todos",datos_base!$G$9,0))*parametros_manuales!$C$95+parametros_manuales!$D$20*(datos_base!$G$18+IF(parametros_manuales!$H$20="Todos",datos_base!$G$23,0))*parametros_manuales!$C$12+parametros_manuales!$E$20*(datos_base!$G$3+IF(parametros_manuales!$H$20="Todos",datos_base!$G$10,0))*parametros_manuales!$C$100+parametros_manuales!$E$20*(datos_base!$G$19+IF(parametros_manuales!$H$20="Todos",datos_base!$G$24,0))*parametros_manuales!$C$13+parametros_manuales!$F$20*(datos_base!$G$4+IF(parametros_manuales!$H$20="Todos",datos_base!$G$11,0))*parametros_manuales!$C$105+parametros_manuales!$F$20*(datos_base!$G$20+IF(parametros_manuales!$H$20="Todos",datos_base!$G$25,0))*parametros_manuales!$C$14+parametros_manuales!$G$20*(datos_base!$G$5+IF(parametros_manuales!$H$20="Todos",datos_base!$G$12,0))*parametros_manuales!$C$110+parametros_manuales!$G$20*(datos_base!$G$21+IF(parametros_manuales!$H$20="Todos",datos_base!$G$26,0))*parametros_manuales!$C$15)*parametros_manuales!$I$20*parametros_manuales!$J$20</f>
        <v>2919.04952232</v>
      </c>
      <c r="D138" s="9" t="n">
        <f aca="false">(parametros_manuales!$D$20*(datos_base!$G$2+IF(parametros_manuales!$H$20="Todos",datos_base!$G$9,0))*parametros_manuales!$D$95+parametros_manuales!$D$20*(datos_base!$G$18+IF(parametros_manuales!$H$20="Todos",datos_base!$G$23,0))*parametros_manuales!$D$12+parametros_manuales!$E$20*(datos_base!$G$3+IF(parametros_manuales!$H$20="Todos",datos_base!$G$10,0))*parametros_manuales!$D$100+parametros_manuales!$E$20*(datos_base!$G$19+IF(parametros_manuales!$H$20="Todos",datos_base!$G$24,0))*parametros_manuales!$D$13+parametros_manuales!$F$20*(datos_base!$G$4+IF(parametros_manuales!$H$20="Todos",datos_base!$G$11,0))*parametros_manuales!$D$105+parametros_manuales!$F$20*(datos_base!$G$20+IF(parametros_manuales!$H$20="Todos",datos_base!$G$25,0))*parametros_manuales!$D$14+parametros_manuales!$G$20*(datos_base!$G$5+IF(parametros_manuales!$H$20="Todos",datos_base!$G$12,0))*parametros_manuales!$D$110+parametros_manuales!$G$20*(datos_base!$G$21+IF(parametros_manuales!$H$20="Todos",datos_base!$G$26,0))*parametros_manuales!$D$15)*parametros_manuales!$I$20*parametros_manuales!$J$20</f>
        <v>3101.490117465</v>
      </c>
      <c r="E138" s="9" t="n">
        <f aca="false">(parametros_manuales!$D$20*(datos_base!$G$2+IF(parametros_manuales!$H$20="Todos",datos_base!$G$9,0))*parametros_manuales!$E$95+parametros_manuales!$D$20*(datos_base!$G$18+IF(parametros_manuales!$H$20="Todos",datos_base!$G$23,0))*parametros_manuales!$E$12+parametros_manuales!$E$20*(datos_base!$G$3+IF(parametros_manuales!$H$20="Todos",datos_base!$G$10,0))*parametros_manuales!$E$100+parametros_manuales!$E$20*(datos_base!$G$19+IF(parametros_manuales!$H$20="Todos",datos_base!$G$24,0))*parametros_manuales!$E$13+parametros_manuales!$F$20*(datos_base!$G$4+IF(parametros_manuales!$H$20="Todos",datos_base!$G$11,0))*parametros_manuales!$E$105+parametros_manuales!$F$20*(datos_base!$G$20+IF(parametros_manuales!$H$20="Todos",datos_base!$G$25,0))*parametros_manuales!$E$14+parametros_manuales!$G$20*(datos_base!$G$5+IF(parametros_manuales!$H$20="Todos",datos_base!$G$12,0))*parametros_manuales!$E$110+parametros_manuales!$G$20*(datos_base!$G$21+IF(parametros_manuales!$H$20="Todos",datos_base!$G$26,0))*parametros_manuales!$E$15)*parametros_manuales!$I$20*parametros_manuales!$J$20</f>
        <v>3101.490117465</v>
      </c>
      <c r="F138" s="9" t="n">
        <f aca="false">(parametros_manuales!$D$20*(datos_base!$G$2+IF(parametros_manuales!$H$20="Todos",datos_base!$G$9,0))*parametros_manuales!$F$95+parametros_manuales!$D$20*(datos_base!$G$18+IF(parametros_manuales!$H$20="Todos",datos_base!$G$23,0))*parametros_manuales!$F$12+parametros_manuales!$E$20*(datos_base!$G$3+IF(parametros_manuales!$H$20="Todos",datos_base!$G$10,0))*parametros_manuales!$F$100+parametros_manuales!$E$20*(datos_base!$G$19+IF(parametros_manuales!$H$20="Todos",datos_base!$G$24,0))*parametros_manuales!$F$13+parametros_manuales!$F$20*(datos_base!$G$4+IF(parametros_manuales!$H$20="Todos",datos_base!$G$11,0))*parametros_manuales!$F$105+parametros_manuales!$F$20*(datos_base!$G$20+IF(parametros_manuales!$H$20="Todos",datos_base!$G$25,0))*parametros_manuales!$F$14+parametros_manuales!$G$20*(datos_base!$G$5+IF(parametros_manuales!$H$20="Todos",datos_base!$G$12,0))*parametros_manuales!$F$110+parametros_manuales!$G$20*(datos_base!$G$21+IF(parametros_manuales!$H$20="Todos",datos_base!$G$26,0))*parametros_manuales!$F$15)*parametros_manuales!$I$20*parametros_manuales!$J$20</f>
        <v>2919.04952232</v>
      </c>
      <c r="G138" s="9" t="n">
        <f aca="false">(parametros_manuales!$D$20*(datos_base!$G$2+IF(parametros_manuales!$H$20="Todos",datos_base!$G$9,0))*parametros_manuales!$G$95+parametros_manuales!$D$20*(datos_base!$G$18+IF(parametros_manuales!$H$20="Todos",datos_base!$G$23,0))*parametros_manuales!$G$12+parametros_manuales!$E$20*(datos_base!$G$3+IF(parametros_manuales!$H$20="Todos",datos_base!$G$10,0))*parametros_manuales!$G$100+parametros_manuales!$E$20*(datos_base!$G$19+IF(parametros_manuales!$H$20="Todos",datos_base!$G$24,0))*parametros_manuales!$G$13+parametros_manuales!$F$20*(datos_base!$G$4+IF(parametros_manuales!$H$20="Todos",datos_base!$G$11,0))*parametros_manuales!$G$105+parametros_manuales!$F$20*(datos_base!$G$20+IF(parametros_manuales!$H$20="Todos",datos_base!$G$25,0))*parametros_manuales!$G$14+parametros_manuales!$G$20*(datos_base!$G$5+IF(parametros_manuales!$H$20="Todos",datos_base!$G$12,0))*parametros_manuales!$G$110+parametros_manuales!$G$20*(datos_base!$G$21+IF(parametros_manuales!$H$20="Todos",datos_base!$G$26,0))*parametros_manuales!$G$15)*parametros_manuales!$I$20*parametros_manuales!$J$20</f>
        <v>2736.608927175</v>
      </c>
      <c r="H138" s="9" t="n">
        <f aca="false">(parametros_manuales!$D$20*(datos_base!$G$2+IF(parametros_manuales!$H$20="Todos",datos_base!$G$9,0))*parametros_manuales!$H$95+parametros_manuales!$D$20*(datos_base!$G$18+IF(parametros_manuales!$H$20="Todos",datos_base!$G$23,0))*parametros_manuales!$H$12+parametros_manuales!$E$20*(datos_base!$G$3+IF(parametros_manuales!$H$20="Todos",datos_base!$G$10,0))*parametros_manuales!$H$100+parametros_manuales!$E$20*(datos_base!$G$19+IF(parametros_manuales!$H$20="Todos",datos_base!$G$24,0))*parametros_manuales!$H$13+parametros_manuales!$F$20*(datos_base!$G$4+IF(parametros_manuales!$H$20="Todos",datos_base!$G$11,0))*parametros_manuales!$H$105+parametros_manuales!$F$20*(datos_base!$G$20+IF(parametros_manuales!$H$20="Todos",datos_base!$G$25,0))*parametros_manuales!$H$14+parametros_manuales!$G$20*(datos_base!$G$5+IF(parametros_manuales!$H$20="Todos",datos_base!$G$12,0))*parametros_manuales!$H$110+parametros_manuales!$G$20*(datos_base!$G$21+IF(parametros_manuales!$H$20="Todos",datos_base!$G$26,0))*parametros_manuales!$H$15)*parametros_manuales!$I$20*parametros_manuales!$J$20</f>
        <v>2919.04952232</v>
      </c>
      <c r="I138" s="9" t="n">
        <f aca="false">(parametros_manuales!$D$20*(datos_base!$G$2+IF(parametros_manuales!$H$20="Todos",datos_base!$G$9,0))*parametros_manuales!$I$95+parametros_manuales!$D$20*(datos_base!$G$18+IF(parametros_manuales!$H$20="Todos",datos_base!$G$23,0))*parametros_manuales!$I$12+parametros_manuales!$E$20*(datos_base!$G$3+IF(parametros_manuales!$H$20="Todos",datos_base!$G$10,0))*parametros_manuales!$I$100+parametros_manuales!$E$20*(datos_base!$G$19+IF(parametros_manuales!$H$20="Todos",datos_base!$G$24,0))*parametros_manuales!$I$13+parametros_manuales!$F$20*(datos_base!$G$4+IF(parametros_manuales!$H$20="Todos",datos_base!$G$11,0))*parametros_manuales!$I$105+parametros_manuales!$F$20*(datos_base!$G$20+IF(parametros_manuales!$H$20="Todos",datos_base!$G$25,0))*parametros_manuales!$I$14+parametros_manuales!$G$20*(datos_base!$G$5+IF(parametros_manuales!$H$20="Todos",datos_base!$G$12,0))*parametros_manuales!$I$110+parametros_manuales!$G$20*(datos_base!$G$21+IF(parametros_manuales!$H$20="Todos",datos_base!$G$26,0))*parametros_manuales!$I$15)*parametros_manuales!$I$20*parametros_manuales!$J$20</f>
        <v>2919.04952232</v>
      </c>
      <c r="J138" s="9" t="n">
        <f aca="false">(parametros_manuales!$D$20*(datos_base!$G$2+IF(parametros_manuales!$H$20="Todos",datos_base!$G$9,0))*parametros_manuales!$J$95+parametros_manuales!$D$20*(datos_base!$G$18+IF(parametros_manuales!$H$20="Todos",datos_base!$G$23,0))*parametros_manuales!$J$12+parametros_manuales!$E$20*(datos_base!$G$3+IF(parametros_manuales!$H$20="Todos",datos_base!$G$10,0))*parametros_manuales!$J$100+parametros_manuales!$E$20*(datos_base!$G$19+IF(parametros_manuales!$H$20="Todos",datos_base!$G$24,0))*parametros_manuales!$J$13+parametros_manuales!$F$20*(datos_base!$G$4+IF(parametros_manuales!$H$20="Todos",datos_base!$G$11,0))*parametros_manuales!$J$105+parametros_manuales!$F$20*(datos_base!$G$20+IF(parametros_manuales!$H$20="Todos",datos_base!$G$25,0))*parametros_manuales!$J$14+parametros_manuales!$G$20*(datos_base!$G$5+IF(parametros_manuales!$H$20="Todos",datos_base!$G$12,0))*parametros_manuales!$J$110+parametros_manuales!$G$20*(datos_base!$G$21+IF(parametros_manuales!$H$20="Todos",datos_base!$G$26,0))*parametros_manuales!$J$15)*parametros_manuales!$I$20*parametros_manuales!$J$20</f>
        <v>2919.04952232</v>
      </c>
      <c r="K138" s="9" t="n">
        <f aca="false">(parametros_manuales!$D$20*(datos_base!$G$2+IF(parametros_manuales!$H$20="Todos",datos_base!$G$9,0))*parametros_manuales!$K$95+parametros_manuales!$D$20*(datos_base!$G$18+IF(parametros_manuales!$H$20="Todos",datos_base!$G$23,0))*parametros_manuales!$K$12+parametros_manuales!$E$20*(datos_base!$G$3+IF(parametros_manuales!$H$20="Todos",datos_base!$G$10,0))*parametros_manuales!$K$100+parametros_manuales!$E$20*(datos_base!$G$19+IF(parametros_manuales!$H$20="Todos",datos_base!$G$24,0))*parametros_manuales!$K$13+parametros_manuales!$F$20*(datos_base!$G$4+IF(parametros_manuales!$H$20="Todos",datos_base!$G$11,0))*parametros_manuales!$K$105+parametros_manuales!$F$20*(datos_base!$G$20+IF(parametros_manuales!$H$20="Todos",datos_base!$G$25,0))*parametros_manuales!$K$14+parametros_manuales!$G$20*(datos_base!$G$5+IF(parametros_manuales!$H$20="Todos",datos_base!$G$12,0))*parametros_manuales!$K$110+parametros_manuales!$G$20*(datos_base!$G$21+IF(parametros_manuales!$H$20="Todos",datos_base!$G$26,0))*parametros_manuales!$K$15)*parametros_manuales!$I$20*parametros_manuales!$J$20</f>
        <v>3098.753317465</v>
      </c>
      <c r="L138" s="9" t="n">
        <f aca="false">(parametros_manuales!$D$20*(datos_base!$G$2+IF(parametros_manuales!$H$20="Todos",datos_base!$G$9,0))*parametros_manuales!$L$95+parametros_manuales!$D$20*(datos_base!$G$18+IF(parametros_manuales!$H$20="Todos",datos_base!$G$23,0))*parametros_manuales!$L$12+parametros_manuales!$E$20*(datos_base!$G$3+IF(parametros_manuales!$H$20="Todos",datos_base!$G$10,0))*parametros_manuales!$L$100+parametros_manuales!$E$20*(datos_base!$G$19+IF(parametros_manuales!$H$20="Todos",datos_base!$G$24,0))*parametros_manuales!$L$13+parametros_manuales!$F$20*(datos_base!$G$4+IF(parametros_manuales!$H$20="Todos",datos_base!$G$11,0))*parametros_manuales!$L$105+parametros_manuales!$F$20*(datos_base!$G$20+IF(parametros_manuales!$H$20="Todos",datos_base!$G$25,0))*parametros_manuales!$L$14+parametros_manuales!$G$20*(datos_base!$G$5+IF(parametros_manuales!$H$20="Todos",datos_base!$G$12,0))*parametros_manuales!$L$110+parametros_manuales!$G$20*(datos_base!$G$21+IF(parametros_manuales!$H$20="Todos",datos_base!$G$26,0))*parametros_manuales!$L$15)*parametros_manuales!$I$20*parametros_manuales!$J$20</f>
        <v>3278.45711261</v>
      </c>
      <c r="M138" s="9" t="n">
        <f aca="false">(parametros_manuales!$D$20*(datos_base!$G$2+IF(parametros_manuales!$H$20="Todos",datos_base!$G$9,0))*parametros_manuales!$M$95+parametros_manuales!$D$20*(datos_base!$G$18+IF(parametros_manuales!$H$20="Todos",datos_base!$G$23,0))*parametros_manuales!$M$12+parametros_manuales!$E$20*(datos_base!$G$3+IF(parametros_manuales!$H$20="Todos",datos_base!$G$10,0))*parametros_manuales!$M$100+parametros_manuales!$E$20*(datos_base!$G$19+IF(parametros_manuales!$H$20="Todos",datos_base!$G$24,0))*parametros_manuales!$M$13+parametros_manuales!$F$20*(datos_base!$G$4+IF(parametros_manuales!$H$20="Todos",datos_base!$G$11,0))*parametros_manuales!$M$105+parametros_manuales!$F$20*(datos_base!$G$20+IF(parametros_manuales!$H$20="Todos",datos_base!$G$25,0))*parametros_manuales!$M$14+parametros_manuales!$G$20*(datos_base!$G$5+IF(parametros_manuales!$H$20="Todos",datos_base!$G$12,0))*parametros_manuales!$M$110+parametros_manuales!$G$20*(datos_base!$G$21+IF(parametros_manuales!$H$20="Todos",datos_base!$G$26,0))*parametros_manuales!$M$15)*parametros_manuales!$I$20*parametros_manuales!$J$20</f>
        <v>3289.40431261</v>
      </c>
      <c r="N138" s="9" t="n">
        <f aca="false">SUM(B138:M138)</f>
        <v>36488.119029</v>
      </c>
      <c r="O138" s="9" t="n">
        <f aca="false">MAX(B138:M138)</f>
        <v>3289.40431261</v>
      </c>
      <c r="P138" s="44" t="n">
        <f aca="false">O138/(parametros_manuales!$B$7)</f>
        <v>21.9293620840667</v>
      </c>
      <c r="Q138" s="8" t="str">
        <f aca="false">IF(O138=0,"-",INDEX($B$136:$M$136,MATCH(O138,B138:M138,0)))</f>
        <v>Dic</v>
      </c>
    </row>
    <row r="139" customFormat="false" ht="14.25" hidden="false" customHeight="true" outlineLevel="0" collapsed="false">
      <c r="A139" s="8" t="str">
        <f aca="false">parametros_manuales!$B$21</f>
        <v>Corte de tubo — 1 kg</v>
      </c>
      <c r="B139" s="9" t="n">
        <f aca="false">(parametros_manuales!$D$21*(datos_base!$G$2+IF(parametros_manuales!$H$21="Todos",datos_base!$G$9,0))*parametros_manuales!$B$95+parametros_manuales!$D$21*(datos_base!$G$18+IF(parametros_manuales!$H$21="Todos",datos_base!$G$23,0))*parametros_manuales!$B$12+parametros_manuales!$E$21*(datos_base!$G$3+IF(parametros_manuales!$H$21="Todos",datos_base!$G$10,0))*parametros_manuales!$B$100+parametros_manuales!$E$21*(datos_base!$G$19+IF(parametros_manuales!$H$21="Todos",datos_base!$G$24,0))*parametros_manuales!$B$13+parametros_manuales!$F$21*(datos_base!$G$4+IF(parametros_manuales!$H$21="Todos",datos_base!$G$11,0))*parametros_manuales!$B$105+parametros_manuales!$F$21*(datos_base!$G$20+IF(parametros_manuales!$H$21="Todos",datos_base!$G$25,0))*parametros_manuales!$B$14+parametros_manuales!$G$21*(datos_base!$G$5+IF(parametros_manuales!$H$21="Todos",datos_base!$G$12,0))*parametros_manuales!$B$110+parametros_manuales!$G$21*(datos_base!$G$21+IF(parametros_manuales!$H$21="Todos",datos_base!$G$26,0))*parametros_manuales!$B$15)*parametros_manuales!$I$21*parametros_manuales!$J$21</f>
        <v>7857.0407763</v>
      </c>
      <c r="C139" s="9" t="n">
        <f aca="false">(parametros_manuales!$D$21*(datos_base!$G$2+IF(parametros_manuales!$H$21="Todos",datos_base!$G$9,0))*parametros_manuales!$C$95+parametros_manuales!$D$21*(datos_base!$G$18+IF(parametros_manuales!$H$21="Todos",datos_base!$G$23,0))*parametros_manuales!$C$12+parametros_manuales!$E$21*(datos_base!$G$3+IF(parametros_manuales!$H$21="Todos",datos_base!$G$10,0))*parametros_manuales!$C$100+parametros_manuales!$E$21*(datos_base!$G$19+IF(parametros_manuales!$H$21="Todos",datos_base!$G$24,0))*parametros_manuales!$C$13+parametros_manuales!$F$21*(datos_base!$G$4+IF(parametros_manuales!$H$21="Todos",datos_base!$G$11,0))*parametros_manuales!$C$105+parametros_manuales!$F$21*(datos_base!$G$20+IF(parametros_manuales!$H$21="Todos",datos_base!$G$25,0))*parametros_manuales!$C$14+parametros_manuales!$G$21*(datos_base!$G$5+IF(parametros_manuales!$H$21="Todos",datos_base!$G$12,0))*parametros_manuales!$C$110+parametros_manuales!$G$21*(datos_base!$G$21+IF(parametros_manuales!$H$21="Todos",datos_base!$G$26,0))*parametros_manuales!$C$15)*parametros_manuales!$I$21*parametros_manuales!$J$21</f>
        <v>7857.0407763</v>
      </c>
      <c r="D139" s="9" t="n">
        <f aca="false">(parametros_manuales!$D$21*(datos_base!$G$2+IF(parametros_manuales!$H$21="Todos",datos_base!$G$9,0))*parametros_manuales!$D$95+parametros_manuales!$D$21*(datos_base!$G$18+IF(parametros_manuales!$H$21="Todos",datos_base!$G$23,0))*parametros_manuales!$D$12+parametros_manuales!$E$21*(datos_base!$G$3+IF(parametros_manuales!$H$21="Todos",datos_base!$G$10,0))*parametros_manuales!$D$100+parametros_manuales!$E$21*(datos_base!$G$19+IF(parametros_manuales!$H$21="Todos",datos_base!$G$24,0))*parametros_manuales!$D$13+parametros_manuales!$F$21*(datos_base!$G$4+IF(parametros_manuales!$H$21="Todos",datos_base!$G$11,0))*parametros_manuales!$D$105+parametros_manuales!$F$21*(datos_base!$G$20+IF(parametros_manuales!$H$21="Todos",datos_base!$G$25,0))*parametros_manuales!$D$14+parametros_manuales!$G$21*(datos_base!$G$5+IF(parametros_manuales!$H$21="Todos",datos_base!$G$12,0))*parametros_manuales!$D$110+parametros_manuales!$G$21*(datos_base!$G$21+IF(parametros_manuales!$H$21="Todos",datos_base!$G$26,0))*parametros_manuales!$D$15)*parametros_manuales!$I$21*parametros_manuales!$J$21</f>
        <v>6984.0362456</v>
      </c>
      <c r="E139" s="9" t="n">
        <f aca="false">(parametros_manuales!$D$21*(datos_base!$G$2+IF(parametros_manuales!$H$21="Todos",datos_base!$G$9,0))*parametros_manuales!$E$95+parametros_manuales!$D$21*(datos_base!$G$18+IF(parametros_manuales!$H$21="Todos",datos_base!$G$23,0))*parametros_manuales!$E$12+parametros_manuales!$E$21*(datos_base!$G$3+IF(parametros_manuales!$H$21="Todos",datos_base!$G$10,0))*parametros_manuales!$E$100+parametros_manuales!$E$21*(datos_base!$G$19+IF(parametros_manuales!$H$21="Todos",datos_base!$G$24,0))*parametros_manuales!$E$13+parametros_manuales!$F$21*(datos_base!$G$4+IF(parametros_manuales!$H$21="Todos",datos_base!$G$11,0))*parametros_manuales!$E$105+parametros_manuales!$F$21*(datos_base!$G$20+IF(parametros_manuales!$H$21="Todos",datos_base!$G$25,0))*parametros_manuales!$E$14+parametros_manuales!$G$21*(datos_base!$G$5+IF(parametros_manuales!$H$21="Todos",datos_base!$G$12,0))*parametros_manuales!$E$110+parametros_manuales!$G$21*(datos_base!$G$21+IF(parametros_manuales!$H$21="Todos",datos_base!$G$26,0))*parametros_manuales!$E$15)*parametros_manuales!$I$21*parametros_manuales!$J$21</f>
        <v>6547.53398025</v>
      </c>
      <c r="F139" s="9" t="n">
        <f aca="false">(parametros_manuales!$D$21*(datos_base!$G$2+IF(parametros_manuales!$H$21="Todos",datos_base!$G$9,0))*parametros_manuales!$F$95+parametros_manuales!$D$21*(datos_base!$G$18+IF(parametros_manuales!$H$21="Todos",datos_base!$G$23,0))*parametros_manuales!$F$12+parametros_manuales!$E$21*(datos_base!$G$3+IF(parametros_manuales!$H$21="Todos",datos_base!$G$10,0))*parametros_manuales!$F$100+parametros_manuales!$E$21*(datos_base!$G$19+IF(parametros_manuales!$H$21="Todos",datos_base!$G$24,0))*parametros_manuales!$F$13+parametros_manuales!$F$21*(datos_base!$G$4+IF(parametros_manuales!$H$21="Todos",datos_base!$G$11,0))*parametros_manuales!$F$105+parametros_manuales!$F$21*(datos_base!$G$20+IF(parametros_manuales!$H$21="Todos",datos_base!$G$25,0))*parametros_manuales!$F$14+parametros_manuales!$G$21*(datos_base!$G$5+IF(parametros_manuales!$H$21="Todos",datos_base!$G$12,0))*parametros_manuales!$F$110+parametros_manuales!$G$21*(datos_base!$G$21+IF(parametros_manuales!$H$21="Todos",datos_base!$G$26,0))*parametros_manuales!$F$15)*parametros_manuales!$I$21*parametros_manuales!$J$21</f>
        <v>6111.0317149</v>
      </c>
      <c r="G139" s="9" t="n">
        <f aca="false">(parametros_manuales!$D$21*(datos_base!$G$2+IF(parametros_manuales!$H$21="Todos",datos_base!$G$9,0))*parametros_manuales!$G$95+parametros_manuales!$D$21*(datos_base!$G$18+IF(parametros_manuales!$H$21="Todos",datos_base!$G$23,0))*parametros_manuales!$G$12+parametros_manuales!$E$21*(datos_base!$G$3+IF(parametros_manuales!$H$21="Todos",datos_base!$G$10,0))*parametros_manuales!$G$100+parametros_manuales!$E$21*(datos_base!$G$19+IF(parametros_manuales!$H$21="Todos",datos_base!$G$24,0))*parametros_manuales!$G$13+parametros_manuales!$F$21*(datos_base!$G$4+IF(parametros_manuales!$H$21="Todos",datos_base!$G$11,0))*parametros_manuales!$G$105+parametros_manuales!$F$21*(datos_base!$G$20+IF(parametros_manuales!$H$21="Todos",datos_base!$G$25,0))*parametros_manuales!$G$14+parametros_manuales!$G$21*(datos_base!$G$5+IF(parametros_manuales!$H$21="Todos",datos_base!$G$12,0))*parametros_manuales!$G$110+parametros_manuales!$G$21*(datos_base!$G$21+IF(parametros_manuales!$H$21="Todos",datos_base!$G$26,0))*parametros_manuales!$G$15)*parametros_manuales!$I$21*parametros_manuales!$J$21</f>
        <v>6111.0317149</v>
      </c>
      <c r="H139" s="9" t="n">
        <f aca="false">(parametros_manuales!$D$21*(datos_base!$G$2+IF(parametros_manuales!$H$21="Todos",datos_base!$G$9,0))*parametros_manuales!$H$95+parametros_manuales!$D$21*(datos_base!$G$18+IF(parametros_manuales!$H$21="Todos",datos_base!$G$23,0))*parametros_manuales!$H$12+parametros_manuales!$E$21*(datos_base!$G$3+IF(parametros_manuales!$H$21="Todos",datos_base!$G$10,0))*parametros_manuales!$H$100+parametros_manuales!$E$21*(datos_base!$G$19+IF(parametros_manuales!$H$21="Todos",datos_base!$G$24,0))*parametros_manuales!$H$13+parametros_manuales!$F$21*(datos_base!$G$4+IF(parametros_manuales!$H$21="Todos",datos_base!$G$11,0))*parametros_manuales!$H$105+parametros_manuales!$F$21*(datos_base!$G$20+IF(parametros_manuales!$H$21="Todos",datos_base!$G$25,0))*parametros_manuales!$H$14+parametros_manuales!$G$21*(datos_base!$G$5+IF(parametros_manuales!$H$21="Todos",datos_base!$G$12,0))*parametros_manuales!$H$110+parametros_manuales!$G$21*(datos_base!$G$21+IF(parametros_manuales!$H$21="Todos",datos_base!$G$26,0))*parametros_manuales!$H$15)*parametros_manuales!$I$21*parametros_manuales!$J$21</f>
        <v>6547.53398025</v>
      </c>
      <c r="I139" s="9" t="n">
        <f aca="false">(parametros_manuales!$D$21*(datos_base!$G$2+IF(parametros_manuales!$H$21="Todos",datos_base!$G$9,0))*parametros_manuales!$I$95+parametros_manuales!$D$21*(datos_base!$G$18+IF(parametros_manuales!$H$21="Todos",datos_base!$G$23,0))*parametros_manuales!$I$12+parametros_manuales!$E$21*(datos_base!$G$3+IF(parametros_manuales!$H$21="Todos",datos_base!$G$10,0))*parametros_manuales!$I$100+parametros_manuales!$E$21*(datos_base!$G$19+IF(parametros_manuales!$H$21="Todos",datos_base!$G$24,0))*parametros_manuales!$I$13+parametros_manuales!$F$21*(datos_base!$G$4+IF(parametros_manuales!$H$21="Todos",datos_base!$G$11,0))*parametros_manuales!$I$105+parametros_manuales!$F$21*(datos_base!$G$20+IF(parametros_manuales!$H$21="Todos",datos_base!$G$25,0))*parametros_manuales!$I$14+parametros_manuales!$G$21*(datos_base!$G$5+IF(parametros_manuales!$H$21="Todos",datos_base!$G$12,0))*parametros_manuales!$I$110+parametros_manuales!$G$21*(datos_base!$G$21+IF(parametros_manuales!$H$21="Todos",datos_base!$G$26,0))*parametros_manuales!$I$15)*parametros_manuales!$I$21*parametros_manuales!$J$21</f>
        <v>7857.04077629999</v>
      </c>
      <c r="J139" s="9" t="n">
        <f aca="false">(parametros_manuales!$D$21*(datos_base!$G$2+IF(parametros_manuales!$H$21="Todos",datos_base!$G$9,0))*parametros_manuales!$J$95+parametros_manuales!$D$21*(datos_base!$G$18+IF(parametros_manuales!$H$21="Todos",datos_base!$G$23,0))*parametros_manuales!$J$12+parametros_manuales!$E$21*(datos_base!$G$3+IF(parametros_manuales!$H$21="Todos",datos_base!$G$10,0))*parametros_manuales!$J$100+parametros_manuales!$E$21*(datos_base!$G$19+IF(parametros_manuales!$H$21="Todos",datos_base!$G$24,0))*parametros_manuales!$J$13+parametros_manuales!$F$21*(datos_base!$G$4+IF(parametros_manuales!$H$21="Todos",datos_base!$G$11,0))*parametros_manuales!$J$105+parametros_manuales!$F$21*(datos_base!$G$20+IF(parametros_manuales!$H$21="Todos",datos_base!$G$25,0))*parametros_manuales!$J$14+parametros_manuales!$G$21*(datos_base!$G$5+IF(parametros_manuales!$H$21="Todos",datos_base!$G$12,0))*parametros_manuales!$J$110+parametros_manuales!$G$21*(datos_base!$G$21+IF(parametros_manuales!$H$21="Todos",datos_base!$G$26,0))*parametros_manuales!$J$15)*parametros_manuales!$I$21*parametros_manuales!$J$21</f>
        <v>7857.0407763</v>
      </c>
      <c r="K139" s="9" t="n">
        <f aca="false">(parametros_manuales!$D$21*(datos_base!$G$2+IF(parametros_manuales!$H$21="Todos",datos_base!$G$9,0))*parametros_manuales!$K$95+parametros_manuales!$D$21*(datos_base!$G$18+IF(parametros_manuales!$H$21="Todos",datos_base!$G$23,0))*parametros_manuales!$K$12+parametros_manuales!$E$21*(datos_base!$G$3+IF(parametros_manuales!$H$21="Todos",datos_base!$G$10,0))*parametros_manuales!$K$100+parametros_manuales!$E$21*(datos_base!$G$19+IF(parametros_manuales!$H$21="Todos",datos_base!$G$24,0))*parametros_manuales!$K$13+parametros_manuales!$F$21*(datos_base!$G$4+IF(parametros_manuales!$H$21="Todos",datos_base!$G$11,0))*parametros_manuales!$K$105+parametros_manuales!$F$21*(datos_base!$G$20+IF(parametros_manuales!$H$21="Todos",datos_base!$G$25,0))*parametros_manuales!$K$14+parametros_manuales!$G$21*(datos_base!$G$5+IF(parametros_manuales!$H$21="Todos",datos_base!$G$12,0))*parametros_manuales!$K$110+parametros_manuales!$G$21*(datos_base!$G$21+IF(parametros_manuales!$H$21="Todos",datos_base!$G$26,0))*parametros_manuales!$K$15)*parametros_manuales!$I$21*parametros_manuales!$J$21</f>
        <v>7857.0407763</v>
      </c>
      <c r="L139" s="9" t="n">
        <f aca="false">(parametros_manuales!$D$21*(datos_base!$G$2+IF(parametros_manuales!$H$21="Todos",datos_base!$G$9,0))*parametros_manuales!$L$95+parametros_manuales!$D$21*(datos_base!$G$18+IF(parametros_manuales!$H$21="Todos",datos_base!$G$23,0))*parametros_manuales!$L$12+parametros_manuales!$E$21*(datos_base!$G$3+IF(parametros_manuales!$H$21="Todos",datos_base!$G$10,0))*parametros_manuales!$L$100+parametros_manuales!$E$21*(datos_base!$G$19+IF(parametros_manuales!$H$21="Todos",datos_base!$G$24,0))*parametros_manuales!$L$13+parametros_manuales!$F$21*(datos_base!$G$4+IF(parametros_manuales!$H$21="Todos",datos_base!$G$11,0))*parametros_manuales!$L$105+parametros_manuales!$F$21*(datos_base!$G$20+IF(parametros_manuales!$H$21="Todos",datos_base!$G$25,0))*parametros_manuales!$L$14+parametros_manuales!$G$21*(datos_base!$G$5+IF(parametros_manuales!$H$21="Todos",datos_base!$G$12,0))*parametros_manuales!$L$110+parametros_manuales!$G$21*(datos_base!$G$21+IF(parametros_manuales!$H$21="Todos",datos_base!$G$26,0))*parametros_manuales!$L$15)*parametros_manuales!$I$21*parametros_manuales!$J$21</f>
        <v>7857.0407763</v>
      </c>
      <c r="M139" s="9" t="n">
        <f aca="false">(parametros_manuales!$D$21*(datos_base!$G$2+IF(parametros_manuales!$H$21="Todos",datos_base!$G$9,0))*parametros_manuales!$M$95+parametros_manuales!$D$21*(datos_base!$G$18+IF(parametros_manuales!$H$21="Todos",datos_base!$G$23,0))*parametros_manuales!$M$12+parametros_manuales!$E$21*(datos_base!$G$3+IF(parametros_manuales!$H$21="Todos",datos_base!$G$10,0))*parametros_manuales!$M$100+parametros_manuales!$E$21*(datos_base!$G$19+IF(parametros_manuales!$H$21="Todos",datos_base!$G$24,0))*parametros_manuales!$M$13+parametros_manuales!$F$21*(datos_base!$G$4+IF(parametros_manuales!$H$21="Todos",datos_base!$G$11,0))*parametros_manuales!$M$105+parametros_manuales!$F$21*(datos_base!$G$20+IF(parametros_manuales!$H$21="Todos",datos_base!$G$25,0))*parametros_manuales!$M$14+parametros_manuales!$G$21*(datos_base!$G$5+IF(parametros_manuales!$H$21="Todos",datos_base!$G$12,0))*parametros_manuales!$M$110+parametros_manuales!$G$21*(datos_base!$G$21+IF(parametros_manuales!$H$21="Todos",datos_base!$G$26,0))*parametros_manuales!$M$15)*parametros_manuales!$I$21*parametros_manuales!$J$21</f>
        <v>7857.0407763</v>
      </c>
      <c r="N139" s="9" t="n">
        <f aca="false">SUM(B139:M139)</f>
        <v>87300.45307</v>
      </c>
      <c r="O139" s="9" t="n">
        <f aca="false">MAX(B139:M139)</f>
        <v>7857.0407763</v>
      </c>
      <c r="P139" s="44" t="n">
        <f aca="false">O139/(parametros_manuales!$B$7)</f>
        <v>52.380271842</v>
      </c>
      <c r="Q139" s="8" t="str">
        <f aca="false">IF(O139=0,"-",INDEX($B$136:$M$136,MATCH(O139,B139:M139,0)))</f>
        <v>Ene</v>
      </c>
    </row>
    <row r="140" customFormat="false" ht="14.25" hidden="false" customHeight="true" outlineLevel="0" collapsed="false">
      <c r="A140" s="8" t="str">
        <f aca="false">parametros_manuales!$B$22</f>
        <v>Corte de disco y embutido (cúpula y fondo)</v>
      </c>
      <c r="B140" s="9" t="n">
        <f aca="false">(parametros_manuales!$D$22*(datos_base!$G$2+IF(parametros_manuales!$H$22="Todos",datos_base!$G$9,0))*parametros_manuales!$B$95+parametros_manuales!$D$22*(datos_base!$G$18+IF(parametros_manuales!$H$22="Todos",datos_base!$G$23,0))*parametros_manuales!$B$12+parametros_manuales!$E$22*(datos_base!$G$3+IF(parametros_manuales!$H$22="Todos",datos_base!$G$10,0))*parametros_manuales!$B$100+parametros_manuales!$E$22*(datos_base!$G$19+IF(parametros_manuales!$H$22="Todos",datos_base!$G$24,0))*parametros_manuales!$B$13+parametros_manuales!$F$22*(datos_base!$G$4+IF(parametros_manuales!$H$22="Todos",datos_base!$G$11,0))*parametros_manuales!$B$105+parametros_manuales!$F$22*(datos_base!$G$20+IF(parametros_manuales!$H$22="Todos",datos_base!$G$25,0))*parametros_manuales!$B$14+parametros_manuales!$G$22*(datos_base!$G$5+IF(parametros_manuales!$H$22="Todos",datos_base!$G$12,0))*parametros_manuales!$B$110+parametros_manuales!$G$22*(datos_base!$G$21+IF(parametros_manuales!$H$22="Todos",datos_base!$G$26,0))*parametros_manuales!$B$15)*parametros_manuales!$I$22*parametros_manuales!$J$22</f>
        <v>22287.41657782</v>
      </c>
      <c r="C140" s="9" t="n">
        <f aca="false">(parametros_manuales!$D$22*(datos_base!$G$2+IF(parametros_manuales!$H$22="Todos",datos_base!$G$9,0))*parametros_manuales!$C$95+parametros_manuales!$D$22*(datos_base!$G$18+IF(parametros_manuales!$H$22="Todos",datos_base!$G$23,0))*parametros_manuales!$C$12+parametros_manuales!$E$22*(datos_base!$G$3+IF(parametros_manuales!$H$22="Todos",datos_base!$G$10,0))*parametros_manuales!$C$100+parametros_manuales!$E$22*(datos_base!$G$19+IF(parametros_manuales!$H$22="Todos",datos_base!$G$24,0))*parametros_manuales!$C$13+parametros_manuales!$F$22*(datos_base!$G$4+IF(parametros_manuales!$H$22="Todos",datos_base!$G$11,0))*parametros_manuales!$C$105+parametros_manuales!$F$22*(datos_base!$G$20+IF(parametros_manuales!$H$22="Todos",datos_base!$G$25,0))*parametros_manuales!$C$14+parametros_manuales!$G$22*(datos_base!$G$5+IF(parametros_manuales!$H$22="Todos",datos_base!$G$12,0))*parametros_manuales!$C$110+parametros_manuales!$G$22*(datos_base!$G$21+IF(parametros_manuales!$H$22="Todos",datos_base!$G$26,0))*parametros_manuales!$C$15)*parametros_manuales!$I$22*parametros_manuales!$J$22</f>
        <v>21552.18059724</v>
      </c>
      <c r="D140" s="9" t="n">
        <f aca="false">(parametros_manuales!$D$22*(datos_base!$G$2+IF(parametros_manuales!$H$22="Todos",datos_base!$G$9,0))*parametros_manuales!$D$95+parametros_manuales!$D$22*(datos_base!$G$18+IF(parametros_manuales!$H$22="Todos",datos_base!$G$23,0))*parametros_manuales!$D$12+parametros_manuales!$E$22*(datos_base!$G$3+IF(parametros_manuales!$H$22="Todos",datos_base!$G$10,0))*parametros_manuales!$D$100+parametros_manuales!$E$22*(datos_base!$G$19+IF(parametros_manuales!$H$22="Todos",datos_base!$G$24,0))*parametros_manuales!$D$13+parametros_manuales!$F$22*(datos_base!$G$4+IF(parametros_manuales!$H$22="Todos",datos_base!$G$11,0))*parametros_manuales!$D$105+parametros_manuales!$F$22*(datos_base!$G$20+IF(parametros_manuales!$H$22="Todos",datos_base!$G$25,0))*parametros_manuales!$D$14+parametros_manuales!$G$22*(datos_base!$G$5+IF(parametros_manuales!$H$22="Todos",datos_base!$G$12,0))*parametros_manuales!$D$110+parametros_manuales!$G$22*(datos_base!$G$21+IF(parametros_manuales!$H$22="Todos",datos_base!$G$26,0))*parametros_manuales!$D$15)*parametros_manuales!$I$22*parametros_manuales!$J$22</f>
        <v>20171.05272613</v>
      </c>
      <c r="E140" s="9" t="n">
        <f aca="false">(parametros_manuales!$D$22*(datos_base!$G$2+IF(parametros_manuales!$H$22="Todos",datos_base!$G$9,0))*parametros_manuales!$E$95+parametros_manuales!$D$22*(datos_base!$G$18+IF(parametros_manuales!$H$22="Todos",datos_base!$G$23,0))*parametros_manuales!$E$12+parametros_manuales!$E$22*(datos_base!$G$3+IF(parametros_manuales!$H$22="Todos",datos_base!$G$10,0))*parametros_manuales!$E$100+parametros_manuales!$E$22*(datos_base!$G$19+IF(parametros_manuales!$H$22="Todos",datos_base!$G$24,0))*parametros_manuales!$E$13+parametros_manuales!$F$22*(datos_base!$G$4+IF(parametros_manuales!$H$22="Todos",datos_base!$G$11,0))*parametros_manuales!$E$105+parametros_manuales!$F$22*(datos_base!$G$20+IF(parametros_manuales!$H$22="Todos",datos_base!$G$25,0))*parametros_manuales!$E$14+parametros_manuales!$G$22*(datos_base!$G$5+IF(parametros_manuales!$H$22="Todos",datos_base!$G$12,0))*parametros_manuales!$E$110+parametros_manuales!$G$22*(datos_base!$G$21+IF(parametros_manuales!$H$22="Todos",datos_base!$G$26,0))*parametros_manuales!$E$15)*parametros_manuales!$I$22*parametros_manuales!$J$22</f>
        <v>19298.04819543</v>
      </c>
      <c r="F140" s="9" t="n">
        <f aca="false">(parametros_manuales!$D$22*(datos_base!$G$2+IF(parametros_manuales!$H$22="Todos",datos_base!$G$9,0))*parametros_manuales!$F$95+parametros_manuales!$D$22*(datos_base!$G$18+IF(parametros_manuales!$H$22="Todos",datos_base!$G$23,0))*parametros_manuales!$F$12+parametros_manuales!$E$22*(datos_base!$G$3+IF(parametros_manuales!$H$22="Todos",datos_base!$G$10,0))*parametros_manuales!$F$100+parametros_manuales!$E$22*(datos_base!$G$19+IF(parametros_manuales!$H$22="Todos",datos_base!$G$24,0))*parametros_manuales!$F$13+parametros_manuales!$F$22*(datos_base!$G$4+IF(parametros_manuales!$H$22="Todos",datos_base!$G$11,0))*parametros_manuales!$F$105+parametros_manuales!$F$22*(datos_base!$G$20+IF(parametros_manuales!$H$22="Todos",datos_base!$G$25,0))*parametros_manuales!$F$14+parametros_manuales!$G$22*(datos_base!$G$5+IF(parametros_manuales!$H$22="Todos",datos_base!$G$12,0))*parametros_manuales!$F$110+parametros_manuales!$G$22*(datos_base!$G$21+IF(parametros_manuales!$H$22="Todos",datos_base!$G$26,0))*parametros_manuales!$F$15)*parametros_manuales!$I$22*parametros_manuales!$J$22</f>
        <v>18060.16247444</v>
      </c>
      <c r="G140" s="9" t="n">
        <f aca="false">(parametros_manuales!$D$22*(datos_base!$G$2+IF(parametros_manuales!$H$22="Todos",datos_base!$G$9,0))*parametros_manuales!$G$95+parametros_manuales!$D$22*(datos_base!$G$18+IF(parametros_manuales!$H$22="Todos",datos_base!$G$23,0))*parametros_manuales!$G$12+parametros_manuales!$E$22*(datos_base!$G$3+IF(parametros_manuales!$H$22="Todos",datos_base!$G$10,0))*parametros_manuales!$G$100+parametros_manuales!$E$22*(datos_base!$G$19+IF(parametros_manuales!$H$22="Todos",datos_base!$G$24,0))*parametros_manuales!$G$13+parametros_manuales!$F$22*(datos_base!$G$4+IF(parametros_manuales!$H$22="Todos",datos_base!$G$11,0))*parametros_manuales!$G$105+parametros_manuales!$F$22*(datos_base!$G$20+IF(parametros_manuales!$H$22="Todos",datos_base!$G$25,0))*parametros_manuales!$G$14+parametros_manuales!$G$22*(datos_base!$G$5+IF(parametros_manuales!$H$22="Todos",datos_base!$G$12,0))*parametros_manuales!$G$110+parametros_manuales!$G$22*(datos_base!$G$21+IF(parametros_manuales!$H$22="Todos",datos_base!$G$26,0))*parametros_manuales!$G$15)*parametros_manuales!$I$22*parametros_manuales!$J$22</f>
        <v>17695.28128415</v>
      </c>
      <c r="H140" s="9" t="n">
        <f aca="false">(parametros_manuales!$D$22*(datos_base!$G$2+IF(parametros_manuales!$H$22="Todos",datos_base!$G$9,0))*parametros_manuales!$H$95+parametros_manuales!$D$22*(datos_base!$G$18+IF(parametros_manuales!$H$22="Todos",datos_base!$G$23,0))*parametros_manuales!$H$12+parametros_manuales!$E$22*(datos_base!$G$3+IF(parametros_manuales!$H$22="Todos",datos_base!$G$10,0))*parametros_manuales!$H$100+parametros_manuales!$E$22*(datos_base!$G$19+IF(parametros_manuales!$H$22="Todos",datos_base!$G$24,0))*parametros_manuales!$H$13+parametros_manuales!$F$22*(datos_base!$G$4+IF(parametros_manuales!$H$22="Todos",datos_base!$G$11,0))*parametros_manuales!$H$105+parametros_manuales!$F$22*(datos_base!$G$20+IF(parametros_manuales!$H$22="Todos",datos_base!$G$25,0))*parametros_manuales!$H$14+parametros_manuales!$G$22*(datos_base!$G$5+IF(parametros_manuales!$H$22="Todos",datos_base!$G$12,0))*parametros_manuales!$H$110+parametros_manuales!$G$22*(datos_base!$G$21+IF(parametros_manuales!$H$22="Todos",datos_base!$G$26,0))*parametros_manuales!$H$15)*parametros_manuales!$I$22*parametros_manuales!$J$22</f>
        <v>18933.16700514</v>
      </c>
      <c r="I140" s="9" t="n">
        <f aca="false">(parametros_manuales!$D$22*(datos_base!$G$2+IF(parametros_manuales!$H$22="Todos",datos_base!$G$9,0))*parametros_manuales!$I$95+parametros_manuales!$D$22*(datos_base!$G$18+IF(parametros_manuales!$H$22="Todos",datos_base!$G$23,0))*parametros_manuales!$I$12+parametros_manuales!$E$22*(datos_base!$G$3+IF(parametros_manuales!$H$22="Todos",datos_base!$G$10,0))*parametros_manuales!$I$100+parametros_manuales!$E$22*(datos_base!$G$19+IF(parametros_manuales!$H$22="Todos",datos_base!$G$24,0))*parametros_manuales!$I$13+parametros_manuales!$F$22*(datos_base!$G$4+IF(parametros_manuales!$H$22="Todos",datos_base!$G$11,0))*parametros_manuales!$I$105+parametros_manuales!$F$22*(datos_base!$G$20+IF(parametros_manuales!$H$22="Todos",datos_base!$G$25,0))*parametros_manuales!$I$14+parametros_manuales!$G$22*(datos_base!$G$5+IF(parametros_manuales!$H$22="Todos",datos_base!$G$12,0))*parametros_manuales!$I$110+parametros_manuales!$G$22*(datos_base!$G$21+IF(parametros_manuales!$H$22="Todos",datos_base!$G$26,0))*parametros_manuales!$I$15)*parametros_manuales!$I$22*parametros_manuales!$J$22</f>
        <v>21552.18059724</v>
      </c>
      <c r="J140" s="9" t="n">
        <f aca="false">(parametros_manuales!$D$22*(datos_base!$G$2+IF(parametros_manuales!$H$22="Todos",datos_base!$G$9,0))*parametros_manuales!$J$95+parametros_manuales!$D$22*(datos_base!$G$18+IF(parametros_manuales!$H$22="Todos",datos_base!$G$23,0))*parametros_manuales!$J$12+parametros_manuales!$E$22*(datos_base!$G$3+IF(parametros_manuales!$H$22="Todos",datos_base!$G$10,0))*parametros_manuales!$J$100+parametros_manuales!$E$22*(datos_base!$G$19+IF(parametros_manuales!$H$22="Todos",datos_base!$G$24,0))*parametros_manuales!$J$13+parametros_manuales!$F$22*(datos_base!$G$4+IF(parametros_manuales!$H$22="Todos",datos_base!$G$11,0))*parametros_manuales!$J$105+parametros_manuales!$F$22*(datos_base!$G$20+IF(parametros_manuales!$H$22="Todos",datos_base!$G$25,0))*parametros_manuales!$J$14+parametros_manuales!$G$22*(datos_base!$G$5+IF(parametros_manuales!$H$22="Todos",datos_base!$G$12,0))*parametros_manuales!$J$110+parametros_manuales!$G$22*(datos_base!$G$21+IF(parametros_manuales!$H$22="Todos",datos_base!$G$26,0))*parametros_manuales!$J$15)*parametros_manuales!$I$22*parametros_manuales!$J$22</f>
        <v>21552.18059724</v>
      </c>
      <c r="K140" s="9" t="n">
        <f aca="false">(parametros_manuales!$D$22*(datos_base!$G$2+IF(parametros_manuales!$H$22="Todos",datos_base!$G$9,0))*parametros_manuales!$K$95+parametros_manuales!$D$22*(datos_base!$G$18+IF(parametros_manuales!$H$22="Todos",datos_base!$G$23,0))*parametros_manuales!$K$12+parametros_manuales!$E$22*(datos_base!$G$3+IF(parametros_manuales!$H$22="Todos",datos_base!$G$10,0))*parametros_manuales!$K$100+parametros_manuales!$E$22*(datos_base!$G$19+IF(parametros_manuales!$H$22="Todos",datos_base!$G$24,0))*parametros_manuales!$K$13+parametros_manuales!$F$22*(datos_base!$G$4+IF(parametros_manuales!$H$22="Todos",datos_base!$G$11,0))*parametros_manuales!$K$105+parametros_manuales!$F$22*(datos_base!$G$20+IF(parametros_manuales!$H$22="Todos",datos_base!$G$25,0))*parametros_manuales!$K$14+parametros_manuales!$G$22*(datos_base!$G$5+IF(parametros_manuales!$H$22="Todos",datos_base!$G$12,0))*parametros_manuales!$K$110+parametros_manuales!$G$22*(datos_base!$G$21+IF(parametros_manuales!$H$22="Todos",datos_base!$G$26,0))*parametros_manuales!$K$15)*parametros_manuales!$I$22*parametros_manuales!$J$22</f>
        <v>21911.58818753</v>
      </c>
      <c r="L140" s="9" t="n">
        <f aca="false">(parametros_manuales!$D$22*(datos_base!$G$2+IF(parametros_manuales!$H$22="Todos",datos_base!$G$9,0))*parametros_manuales!$L$95+parametros_manuales!$D$22*(datos_base!$G$18+IF(parametros_manuales!$H$22="Todos",datos_base!$G$23,0))*parametros_manuales!$L$12+parametros_manuales!$E$22*(datos_base!$G$3+IF(parametros_manuales!$H$22="Todos",datos_base!$G$10,0))*parametros_manuales!$L$100+parametros_manuales!$E$22*(datos_base!$G$19+IF(parametros_manuales!$H$22="Todos",datos_base!$G$24,0))*parametros_manuales!$L$13+parametros_manuales!$F$22*(datos_base!$G$4+IF(parametros_manuales!$H$22="Todos",datos_base!$G$11,0))*parametros_manuales!$L$105+parametros_manuales!$F$22*(datos_base!$G$20+IF(parametros_manuales!$H$22="Todos",datos_base!$G$25,0))*parametros_manuales!$L$14+parametros_manuales!$G$22*(datos_base!$G$5+IF(parametros_manuales!$H$22="Todos",datos_base!$G$12,0))*parametros_manuales!$L$110+parametros_manuales!$G$22*(datos_base!$G$21+IF(parametros_manuales!$H$22="Todos",datos_base!$G$26,0))*parametros_manuales!$L$15)*parametros_manuales!$I$22*parametros_manuales!$J$22</f>
        <v>22270.99577782</v>
      </c>
      <c r="M140" s="9" t="n">
        <f aca="false">(parametros_manuales!$D$22*(datos_base!$G$2+IF(parametros_manuales!$H$22="Todos",datos_base!$G$9,0))*parametros_manuales!$M$95+parametros_manuales!$D$22*(datos_base!$G$18+IF(parametros_manuales!$H$22="Todos",datos_base!$G$23,0))*parametros_manuales!$M$12+parametros_manuales!$E$22*(datos_base!$G$3+IF(parametros_manuales!$H$22="Todos",datos_base!$G$10,0))*parametros_manuales!$M$100+parametros_manuales!$E$22*(datos_base!$G$19+IF(parametros_manuales!$H$22="Todos",datos_base!$G$24,0))*parametros_manuales!$M$13+parametros_manuales!$F$22*(datos_base!$G$4+IF(parametros_manuales!$H$22="Todos",datos_base!$G$11,0))*parametros_manuales!$M$105+parametros_manuales!$F$22*(datos_base!$G$20+IF(parametros_manuales!$H$22="Todos",datos_base!$G$25,0))*parametros_manuales!$M$14+parametros_manuales!$G$22*(datos_base!$G$5+IF(parametros_manuales!$H$22="Todos",datos_base!$G$12,0))*parametros_manuales!$M$110+parametros_manuales!$G$22*(datos_base!$G$21+IF(parametros_manuales!$H$22="Todos",datos_base!$G$26,0))*parametros_manuales!$M$15)*parametros_manuales!$I$22*parametros_manuales!$J$22</f>
        <v>22292.89017782</v>
      </c>
      <c r="N140" s="9" t="n">
        <f aca="false">SUM(B140:M140)</f>
        <v>247577.144198</v>
      </c>
      <c r="O140" s="9" t="n">
        <f aca="false">MAX(B140:M140)</f>
        <v>22292.89017782</v>
      </c>
      <c r="P140" s="44" t="n">
        <f aca="false">O140/(parametros_manuales!$B$7)</f>
        <v>148.619267852133</v>
      </c>
      <c r="Q140" s="8" t="str">
        <f aca="false">IF(O140=0,"-",INDEX($B$136:$M$136,MATCH(O140,B140:M140,0)))</f>
        <v>Dic</v>
      </c>
    </row>
    <row r="141" customFormat="false" ht="14.25" hidden="false" customHeight="true" outlineLevel="0" collapsed="false">
      <c r="A141" s="8" t="str">
        <f aca="false">parametros_manuales!$B$23</f>
        <v>Preparación de cuello</v>
      </c>
      <c r="B141" s="9" t="n">
        <f aca="false">(parametros_manuales!$D$23*(datos_base!$G$2+IF(parametros_manuales!$H$23="Todos",datos_base!$G$9,0))*parametros_manuales!$B$95+parametros_manuales!$D$23*(datos_base!$G$18+IF(parametros_manuales!$H$23="Todos",datos_base!$G$23,0))*parametros_manuales!$B$12+parametros_manuales!$E$23*(datos_base!$G$3+IF(parametros_manuales!$H$23="Todos",datos_base!$G$10,0))*parametros_manuales!$B$100+parametros_manuales!$E$23*(datos_base!$G$19+IF(parametros_manuales!$H$23="Todos",datos_base!$G$24,0))*parametros_manuales!$B$13+parametros_manuales!$F$23*(datos_base!$G$4+IF(parametros_manuales!$H$23="Todos",datos_base!$G$11,0))*parametros_manuales!$B$105+parametros_manuales!$F$23*(datos_base!$G$20+IF(parametros_manuales!$H$23="Todos",datos_base!$G$25,0))*parametros_manuales!$B$14+parametros_manuales!$G$23*(datos_base!$G$5+IF(parametros_manuales!$H$23="Todos",datos_base!$G$12,0))*parametros_manuales!$B$110+parametros_manuales!$G$23*(datos_base!$G$21+IF(parametros_manuales!$H$23="Todos",datos_base!$G$26,0))*parametros_manuales!$B$15)*parametros_manuales!$I$23*parametros_manuales!$J$23</f>
        <v>11143.70828891</v>
      </c>
      <c r="C141" s="9" t="n">
        <f aca="false">(parametros_manuales!$D$23*(datos_base!$G$2+IF(parametros_manuales!$H$23="Todos",datos_base!$G$9,0))*parametros_manuales!$C$95+parametros_manuales!$D$23*(datos_base!$G$18+IF(parametros_manuales!$H$23="Todos",datos_base!$G$23,0))*parametros_manuales!$C$12+parametros_manuales!$E$23*(datos_base!$G$3+IF(parametros_manuales!$H$23="Todos",datos_base!$G$10,0))*parametros_manuales!$C$100+parametros_manuales!$E$23*(datos_base!$G$19+IF(parametros_manuales!$H$23="Todos",datos_base!$G$24,0))*parametros_manuales!$C$13+parametros_manuales!$F$23*(datos_base!$G$4+IF(parametros_manuales!$H$23="Todos",datos_base!$G$11,0))*parametros_manuales!$C$105+parametros_manuales!$F$23*(datos_base!$G$20+IF(parametros_manuales!$H$23="Todos",datos_base!$G$25,0))*parametros_manuales!$C$14+parametros_manuales!$G$23*(datos_base!$G$5+IF(parametros_manuales!$H$23="Todos",datos_base!$G$12,0))*parametros_manuales!$C$110+parametros_manuales!$G$23*(datos_base!$G$21+IF(parametros_manuales!$H$23="Todos",datos_base!$G$26,0))*parametros_manuales!$C$15)*parametros_manuales!$I$23*parametros_manuales!$J$23</f>
        <v>10776.09029862</v>
      </c>
      <c r="D141" s="9" t="n">
        <f aca="false">(parametros_manuales!$D$23*(datos_base!$G$2+IF(parametros_manuales!$H$23="Todos",datos_base!$G$9,0))*parametros_manuales!$D$95+parametros_manuales!$D$23*(datos_base!$G$18+IF(parametros_manuales!$H$23="Todos",datos_base!$G$23,0))*parametros_manuales!$D$12+parametros_manuales!$E$23*(datos_base!$G$3+IF(parametros_manuales!$H$23="Todos",datos_base!$G$10,0))*parametros_manuales!$D$100+parametros_manuales!$E$23*(datos_base!$G$19+IF(parametros_manuales!$H$23="Todos",datos_base!$G$24,0))*parametros_manuales!$D$13+parametros_manuales!$F$23*(datos_base!$G$4+IF(parametros_manuales!$H$23="Todos",datos_base!$G$11,0))*parametros_manuales!$D$105+parametros_manuales!$F$23*(datos_base!$G$20+IF(parametros_manuales!$H$23="Todos",datos_base!$G$25,0))*parametros_manuales!$D$14+parametros_manuales!$G$23*(datos_base!$G$5+IF(parametros_manuales!$H$23="Todos",datos_base!$G$12,0))*parametros_manuales!$D$110+parametros_manuales!$G$23*(datos_base!$G$21+IF(parametros_manuales!$H$23="Todos",datos_base!$G$26,0))*parametros_manuales!$D$15)*parametros_manuales!$I$23*parametros_manuales!$J$23</f>
        <v>10085.526363065</v>
      </c>
      <c r="E141" s="9" t="n">
        <f aca="false">(parametros_manuales!$D$23*(datos_base!$G$2+IF(parametros_manuales!$H$23="Todos",datos_base!$G$9,0))*parametros_manuales!$E$95+parametros_manuales!$D$23*(datos_base!$G$18+IF(parametros_manuales!$H$23="Todos",datos_base!$G$23,0))*parametros_manuales!$E$12+parametros_manuales!$E$23*(datos_base!$G$3+IF(parametros_manuales!$H$23="Todos",datos_base!$G$10,0))*parametros_manuales!$E$100+parametros_manuales!$E$23*(datos_base!$G$19+IF(parametros_manuales!$H$23="Todos",datos_base!$G$24,0))*parametros_manuales!$E$13+parametros_manuales!$F$23*(datos_base!$G$4+IF(parametros_manuales!$H$23="Todos",datos_base!$G$11,0))*parametros_manuales!$E$105+parametros_manuales!$F$23*(datos_base!$G$20+IF(parametros_manuales!$H$23="Todos",datos_base!$G$25,0))*parametros_manuales!$E$14+parametros_manuales!$G$23*(datos_base!$G$5+IF(parametros_manuales!$H$23="Todos",datos_base!$G$12,0))*parametros_manuales!$E$110+parametros_manuales!$G$23*(datos_base!$G$21+IF(parametros_manuales!$H$23="Todos",datos_base!$G$26,0))*parametros_manuales!$E$15)*parametros_manuales!$I$23*parametros_manuales!$J$23</f>
        <v>9649.024097715</v>
      </c>
      <c r="F141" s="9" t="n">
        <f aca="false">(parametros_manuales!$D$23*(datos_base!$G$2+IF(parametros_manuales!$H$23="Todos",datos_base!$G$9,0))*parametros_manuales!$F$95+parametros_manuales!$D$23*(datos_base!$G$18+IF(parametros_manuales!$H$23="Todos",datos_base!$G$23,0))*parametros_manuales!$F$12+parametros_manuales!$E$23*(datos_base!$G$3+IF(parametros_manuales!$H$23="Todos",datos_base!$G$10,0))*parametros_manuales!$F$100+parametros_manuales!$E$23*(datos_base!$G$19+IF(parametros_manuales!$H$23="Todos",datos_base!$G$24,0))*parametros_manuales!$F$13+parametros_manuales!$F$23*(datos_base!$G$4+IF(parametros_manuales!$H$23="Todos",datos_base!$G$11,0))*parametros_manuales!$F$105+parametros_manuales!$F$23*(datos_base!$G$20+IF(parametros_manuales!$H$23="Todos",datos_base!$G$25,0))*parametros_manuales!$F$14+parametros_manuales!$G$23*(datos_base!$G$5+IF(parametros_manuales!$H$23="Todos",datos_base!$G$12,0))*parametros_manuales!$F$110+parametros_manuales!$G$23*(datos_base!$G$21+IF(parametros_manuales!$H$23="Todos",datos_base!$G$26,0))*parametros_manuales!$F$15)*parametros_manuales!$I$23*parametros_manuales!$J$23</f>
        <v>9030.08123722</v>
      </c>
      <c r="G141" s="9" t="n">
        <f aca="false">(parametros_manuales!$D$23*(datos_base!$G$2+IF(parametros_manuales!$H$23="Todos",datos_base!$G$9,0))*parametros_manuales!$G$95+parametros_manuales!$D$23*(datos_base!$G$18+IF(parametros_manuales!$H$23="Todos",datos_base!$G$23,0))*parametros_manuales!$G$12+parametros_manuales!$E$23*(datos_base!$G$3+IF(parametros_manuales!$H$23="Todos",datos_base!$G$10,0))*parametros_manuales!$G$100+parametros_manuales!$E$23*(datos_base!$G$19+IF(parametros_manuales!$H$23="Todos",datos_base!$G$24,0))*parametros_manuales!$G$13+parametros_manuales!$F$23*(datos_base!$G$4+IF(parametros_manuales!$H$23="Todos",datos_base!$G$11,0))*parametros_manuales!$G$105+parametros_manuales!$F$23*(datos_base!$G$20+IF(parametros_manuales!$H$23="Todos",datos_base!$G$25,0))*parametros_manuales!$G$14+parametros_manuales!$G$23*(datos_base!$G$5+IF(parametros_manuales!$H$23="Todos",datos_base!$G$12,0))*parametros_manuales!$G$110+parametros_manuales!$G$23*(datos_base!$G$21+IF(parametros_manuales!$H$23="Todos",datos_base!$G$26,0))*parametros_manuales!$G$15)*parametros_manuales!$I$23*parametros_manuales!$J$23</f>
        <v>8847.640642075</v>
      </c>
      <c r="H141" s="9" t="n">
        <f aca="false">(parametros_manuales!$D$23*(datos_base!$G$2+IF(parametros_manuales!$H$23="Todos",datos_base!$G$9,0))*parametros_manuales!$H$95+parametros_manuales!$D$23*(datos_base!$G$18+IF(parametros_manuales!$H$23="Todos",datos_base!$G$23,0))*parametros_manuales!$H$12+parametros_manuales!$E$23*(datos_base!$G$3+IF(parametros_manuales!$H$23="Todos",datos_base!$G$10,0))*parametros_manuales!$H$100+parametros_manuales!$E$23*(datos_base!$G$19+IF(parametros_manuales!$H$23="Todos",datos_base!$G$24,0))*parametros_manuales!$H$13+parametros_manuales!$F$23*(datos_base!$G$4+IF(parametros_manuales!$H$23="Todos",datos_base!$G$11,0))*parametros_manuales!$H$105+parametros_manuales!$F$23*(datos_base!$G$20+IF(parametros_manuales!$H$23="Todos",datos_base!$G$25,0))*parametros_manuales!$H$14+parametros_manuales!$G$23*(datos_base!$G$5+IF(parametros_manuales!$H$23="Todos",datos_base!$G$12,0))*parametros_manuales!$H$110+parametros_manuales!$G$23*(datos_base!$G$21+IF(parametros_manuales!$H$23="Todos",datos_base!$G$26,0))*parametros_manuales!$H$15)*parametros_manuales!$I$23*parametros_manuales!$J$23</f>
        <v>9466.58350257</v>
      </c>
      <c r="I141" s="9" t="n">
        <f aca="false">(parametros_manuales!$D$23*(datos_base!$G$2+IF(parametros_manuales!$H$23="Todos",datos_base!$G$9,0))*parametros_manuales!$I$95+parametros_manuales!$D$23*(datos_base!$G$18+IF(parametros_manuales!$H$23="Todos",datos_base!$G$23,0))*parametros_manuales!$I$12+parametros_manuales!$E$23*(datos_base!$G$3+IF(parametros_manuales!$H$23="Todos",datos_base!$G$10,0))*parametros_manuales!$I$100+parametros_manuales!$E$23*(datos_base!$G$19+IF(parametros_manuales!$H$23="Todos",datos_base!$G$24,0))*parametros_manuales!$I$13+parametros_manuales!$F$23*(datos_base!$G$4+IF(parametros_manuales!$H$23="Todos",datos_base!$G$11,0))*parametros_manuales!$I$105+parametros_manuales!$F$23*(datos_base!$G$20+IF(parametros_manuales!$H$23="Todos",datos_base!$G$25,0))*parametros_manuales!$I$14+parametros_manuales!$G$23*(datos_base!$G$5+IF(parametros_manuales!$H$23="Todos",datos_base!$G$12,0))*parametros_manuales!$I$110+parametros_manuales!$G$23*(datos_base!$G$21+IF(parametros_manuales!$H$23="Todos",datos_base!$G$26,0))*parametros_manuales!$I$15)*parametros_manuales!$I$23*parametros_manuales!$J$23</f>
        <v>10776.09029862</v>
      </c>
      <c r="J141" s="9" t="n">
        <f aca="false">(parametros_manuales!$D$23*(datos_base!$G$2+IF(parametros_manuales!$H$23="Todos",datos_base!$G$9,0))*parametros_manuales!$J$95+parametros_manuales!$D$23*(datos_base!$G$18+IF(parametros_manuales!$H$23="Todos",datos_base!$G$23,0))*parametros_manuales!$J$12+parametros_manuales!$E$23*(datos_base!$G$3+IF(parametros_manuales!$H$23="Todos",datos_base!$G$10,0))*parametros_manuales!$J$100+parametros_manuales!$E$23*(datos_base!$G$19+IF(parametros_manuales!$H$23="Todos",datos_base!$G$24,0))*parametros_manuales!$J$13+parametros_manuales!$F$23*(datos_base!$G$4+IF(parametros_manuales!$H$23="Todos",datos_base!$G$11,0))*parametros_manuales!$J$105+parametros_manuales!$F$23*(datos_base!$G$20+IF(parametros_manuales!$H$23="Todos",datos_base!$G$25,0))*parametros_manuales!$J$14+parametros_manuales!$G$23*(datos_base!$G$5+IF(parametros_manuales!$H$23="Todos",datos_base!$G$12,0))*parametros_manuales!$J$110+parametros_manuales!$G$23*(datos_base!$G$21+IF(parametros_manuales!$H$23="Todos",datos_base!$G$26,0))*parametros_manuales!$J$15)*parametros_manuales!$I$23*parametros_manuales!$J$23</f>
        <v>10776.09029862</v>
      </c>
      <c r="K141" s="9" t="n">
        <f aca="false">(parametros_manuales!$D$23*(datos_base!$G$2+IF(parametros_manuales!$H$23="Todos",datos_base!$G$9,0))*parametros_manuales!$K$95+parametros_manuales!$D$23*(datos_base!$G$18+IF(parametros_manuales!$H$23="Todos",datos_base!$G$23,0))*parametros_manuales!$K$12+parametros_manuales!$E$23*(datos_base!$G$3+IF(parametros_manuales!$H$23="Todos",datos_base!$G$10,0))*parametros_manuales!$K$100+parametros_manuales!$E$23*(datos_base!$G$19+IF(parametros_manuales!$H$23="Todos",datos_base!$G$24,0))*parametros_manuales!$K$13+parametros_manuales!$F$23*(datos_base!$G$4+IF(parametros_manuales!$H$23="Todos",datos_base!$G$11,0))*parametros_manuales!$K$105+parametros_manuales!$F$23*(datos_base!$G$20+IF(parametros_manuales!$H$23="Todos",datos_base!$G$25,0))*parametros_manuales!$K$14+parametros_manuales!$G$23*(datos_base!$G$5+IF(parametros_manuales!$H$23="Todos",datos_base!$G$12,0))*parametros_manuales!$K$110+parametros_manuales!$G$23*(datos_base!$G$21+IF(parametros_manuales!$H$23="Todos",datos_base!$G$26,0))*parametros_manuales!$K$15)*parametros_manuales!$I$23*parametros_manuales!$J$23</f>
        <v>10955.794093765</v>
      </c>
      <c r="L141" s="9" t="n">
        <f aca="false">(parametros_manuales!$D$23*(datos_base!$G$2+IF(parametros_manuales!$H$23="Todos",datos_base!$G$9,0))*parametros_manuales!$L$95+parametros_manuales!$D$23*(datos_base!$G$18+IF(parametros_manuales!$H$23="Todos",datos_base!$G$23,0))*parametros_manuales!$L$12+parametros_manuales!$E$23*(datos_base!$G$3+IF(parametros_manuales!$H$23="Todos",datos_base!$G$10,0))*parametros_manuales!$L$100+parametros_manuales!$E$23*(datos_base!$G$19+IF(parametros_manuales!$H$23="Todos",datos_base!$G$24,0))*parametros_manuales!$L$13+parametros_manuales!$F$23*(datos_base!$G$4+IF(parametros_manuales!$H$23="Todos",datos_base!$G$11,0))*parametros_manuales!$L$105+parametros_manuales!$F$23*(datos_base!$G$20+IF(parametros_manuales!$H$23="Todos",datos_base!$G$25,0))*parametros_manuales!$L$14+parametros_manuales!$G$23*(datos_base!$G$5+IF(parametros_manuales!$H$23="Todos",datos_base!$G$12,0))*parametros_manuales!$L$110+parametros_manuales!$G$23*(datos_base!$G$21+IF(parametros_manuales!$H$23="Todos",datos_base!$G$26,0))*parametros_manuales!$L$15)*parametros_manuales!$I$23*parametros_manuales!$J$23</f>
        <v>11135.49788891</v>
      </c>
      <c r="M141" s="9" t="n">
        <f aca="false">(parametros_manuales!$D$23*(datos_base!$G$2+IF(parametros_manuales!$H$23="Todos",datos_base!$G$9,0))*parametros_manuales!$M$95+parametros_manuales!$D$23*(datos_base!$G$18+IF(parametros_manuales!$H$23="Todos",datos_base!$G$23,0))*parametros_manuales!$M$12+parametros_manuales!$E$23*(datos_base!$G$3+IF(parametros_manuales!$H$23="Todos",datos_base!$G$10,0))*parametros_manuales!$M$100+parametros_manuales!$E$23*(datos_base!$G$19+IF(parametros_manuales!$H$23="Todos",datos_base!$G$24,0))*parametros_manuales!$M$13+parametros_manuales!$F$23*(datos_base!$G$4+IF(parametros_manuales!$H$23="Todos",datos_base!$G$11,0))*parametros_manuales!$M$105+parametros_manuales!$F$23*(datos_base!$G$20+IF(parametros_manuales!$H$23="Todos",datos_base!$G$25,0))*parametros_manuales!$M$14+parametros_manuales!$G$23*(datos_base!$G$5+IF(parametros_manuales!$H$23="Todos",datos_base!$G$12,0))*parametros_manuales!$M$110+parametros_manuales!$G$23*(datos_base!$G$21+IF(parametros_manuales!$H$23="Todos",datos_base!$G$26,0))*parametros_manuales!$M$15)*parametros_manuales!$I$23*parametros_manuales!$J$23</f>
        <v>11146.44508891</v>
      </c>
      <c r="N141" s="9" t="n">
        <f aca="false">SUM(B141:M141)</f>
        <v>123788.572099</v>
      </c>
      <c r="O141" s="9" t="n">
        <f aca="false">MAX(B141:M141)</f>
        <v>11146.44508891</v>
      </c>
      <c r="P141" s="44" t="n">
        <f aca="false">O141/(parametros_manuales!$B$7)</f>
        <v>74.3096339260667</v>
      </c>
      <c r="Q141" s="8" t="str">
        <f aca="false">IF(O141=0,"-",INDEX($B$136:$M$136,MATCH(O141,B141:M141,0)))</f>
        <v>Dic</v>
      </c>
    </row>
    <row r="142" customFormat="false" ht="14.25" hidden="false" customHeight="true" outlineLevel="0" collapsed="false">
      <c r="A142" s="8" t="str">
        <f aca="false">parametros_manuales!$B$24</f>
        <v>Numerado de cúpula</v>
      </c>
      <c r="B142" s="9" t="n">
        <f aca="false">(parametros_manuales!$D$24*(datos_base!$G$2+IF(parametros_manuales!$H$24="Todos",datos_base!$G$9,0))*parametros_manuales!$B$95+parametros_manuales!$D$24*(datos_base!$G$18+IF(parametros_manuales!$H$24="Todos",datos_base!$G$23,0))*parametros_manuales!$B$12+parametros_manuales!$E$24*(datos_base!$G$3+IF(parametros_manuales!$H$24="Todos",datos_base!$G$10,0))*parametros_manuales!$B$100+parametros_manuales!$E$24*(datos_base!$G$19+IF(parametros_manuales!$H$24="Todos",datos_base!$G$24,0))*parametros_manuales!$B$13+parametros_manuales!$F$24*(datos_base!$G$4+IF(parametros_manuales!$H$24="Todos",datos_base!$G$11,0))*parametros_manuales!$B$105+parametros_manuales!$F$24*(datos_base!$G$20+IF(parametros_manuales!$H$24="Todos",datos_base!$G$25,0))*parametros_manuales!$B$14+parametros_manuales!$G$24*(datos_base!$G$5+IF(parametros_manuales!$H$24="Todos",datos_base!$G$12,0))*parametros_manuales!$B$110+parametros_manuales!$G$24*(datos_base!$G$21+IF(parametros_manuales!$H$24="Todos",datos_base!$G$26,0))*parametros_manuales!$B$15)*parametros_manuales!$I$24*parametros_manuales!$J$24</f>
        <v>11143.70828891</v>
      </c>
      <c r="C142" s="9" t="n">
        <f aca="false">(parametros_manuales!$D$24*(datos_base!$G$2+IF(parametros_manuales!$H$24="Todos",datos_base!$G$9,0))*parametros_manuales!$C$95+parametros_manuales!$D$24*(datos_base!$G$18+IF(parametros_manuales!$H$24="Todos",datos_base!$G$23,0))*parametros_manuales!$C$12+parametros_manuales!$E$24*(datos_base!$G$3+IF(parametros_manuales!$H$24="Todos",datos_base!$G$10,0))*parametros_manuales!$C$100+parametros_manuales!$E$24*(datos_base!$G$19+IF(parametros_manuales!$H$24="Todos",datos_base!$G$24,0))*parametros_manuales!$C$13+parametros_manuales!$F$24*(datos_base!$G$4+IF(parametros_manuales!$H$24="Todos",datos_base!$G$11,0))*parametros_manuales!$C$105+parametros_manuales!$F$24*(datos_base!$G$20+IF(parametros_manuales!$H$24="Todos",datos_base!$G$25,0))*parametros_manuales!$C$14+parametros_manuales!$G$24*(datos_base!$G$5+IF(parametros_manuales!$H$24="Todos",datos_base!$G$12,0))*parametros_manuales!$C$110+parametros_manuales!$G$24*(datos_base!$G$21+IF(parametros_manuales!$H$24="Todos",datos_base!$G$26,0))*parametros_manuales!$C$15)*parametros_manuales!$I$24*parametros_manuales!$J$24</f>
        <v>10776.09029862</v>
      </c>
      <c r="D142" s="9" t="n">
        <f aca="false">(parametros_manuales!$D$24*(datos_base!$G$2+IF(parametros_manuales!$H$24="Todos",datos_base!$G$9,0))*parametros_manuales!$D$95+parametros_manuales!$D$24*(datos_base!$G$18+IF(parametros_manuales!$H$24="Todos",datos_base!$G$23,0))*parametros_manuales!$D$12+parametros_manuales!$E$24*(datos_base!$G$3+IF(parametros_manuales!$H$24="Todos",datos_base!$G$10,0))*parametros_manuales!$D$100+parametros_manuales!$E$24*(datos_base!$G$19+IF(parametros_manuales!$H$24="Todos",datos_base!$G$24,0))*parametros_manuales!$D$13+parametros_manuales!$F$24*(datos_base!$G$4+IF(parametros_manuales!$H$24="Todos",datos_base!$G$11,0))*parametros_manuales!$D$105+parametros_manuales!$F$24*(datos_base!$G$20+IF(parametros_manuales!$H$24="Todos",datos_base!$G$25,0))*parametros_manuales!$D$14+parametros_manuales!$G$24*(datos_base!$G$5+IF(parametros_manuales!$H$24="Todos",datos_base!$G$12,0))*parametros_manuales!$D$110+parametros_manuales!$G$24*(datos_base!$G$21+IF(parametros_manuales!$H$24="Todos",datos_base!$G$26,0))*parametros_manuales!$D$15)*parametros_manuales!$I$24*parametros_manuales!$J$24</f>
        <v>10085.526363065</v>
      </c>
      <c r="E142" s="9" t="n">
        <f aca="false">(parametros_manuales!$D$24*(datos_base!$G$2+IF(parametros_manuales!$H$24="Todos",datos_base!$G$9,0))*parametros_manuales!$E$95+parametros_manuales!$D$24*(datos_base!$G$18+IF(parametros_manuales!$H$24="Todos",datos_base!$G$23,0))*parametros_manuales!$E$12+parametros_manuales!$E$24*(datos_base!$G$3+IF(parametros_manuales!$H$24="Todos",datos_base!$G$10,0))*parametros_manuales!$E$100+parametros_manuales!$E$24*(datos_base!$G$19+IF(parametros_manuales!$H$24="Todos",datos_base!$G$24,0))*parametros_manuales!$E$13+parametros_manuales!$F$24*(datos_base!$G$4+IF(parametros_manuales!$H$24="Todos",datos_base!$G$11,0))*parametros_manuales!$E$105+parametros_manuales!$F$24*(datos_base!$G$20+IF(parametros_manuales!$H$24="Todos",datos_base!$G$25,0))*parametros_manuales!$E$14+parametros_manuales!$G$24*(datos_base!$G$5+IF(parametros_manuales!$H$24="Todos",datos_base!$G$12,0))*parametros_manuales!$E$110+parametros_manuales!$G$24*(datos_base!$G$21+IF(parametros_manuales!$H$24="Todos",datos_base!$G$26,0))*parametros_manuales!$E$15)*parametros_manuales!$I$24*parametros_manuales!$J$24</f>
        <v>9649.024097715</v>
      </c>
      <c r="F142" s="9" t="n">
        <f aca="false">(parametros_manuales!$D$24*(datos_base!$G$2+IF(parametros_manuales!$H$24="Todos",datos_base!$G$9,0))*parametros_manuales!$F$95+parametros_manuales!$D$24*(datos_base!$G$18+IF(parametros_manuales!$H$24="Todos",datos_base!$G$23,0))*parametros_manuales!$F$12+parametros_manuales!$E$24*(datos_base!$G$3+IF(parametros_manuales!$H$24="Todos",datos_base!$G$10,0))*parametros_manuales!$F$100+parametros_manuales!$E$24*(datos_base!$G$19+IF(parametros_manuales!$H$24="Todos",datos_base!$G$24,0))*parametros_manuales!$F$13+parametros_manuales!$F$24*(datos_base!$G$4+IF(parametros_manuales!$H$24="Todos",datos_base!$G$11,0))*parametros_manuales!$F$105+parametros_manuales!$F$24*(datos_base!$G$20+IF(parametros_manuales!$H$24="Todos",datos_base!$G$25,0))*parametros_manuales!$F$14+parametros_manuales!$G$24*(datos_base!$G$5+IF(parametros_manuales!$H$24="Todos",datos_base!$G$12,0))*parametros_manuales!$F$110+parametros_manuales!$G$24*(datos_base!$G$21+IF(parametros_manuales!$H$24="Todos",datos_base!$G$26,0))*parametros_manuales!$F$15)*parametros_manuales!$I$24*parametros_manuales!$J$24</f>
        <v>9030.08123722</v>
      </c>
      <c r="G142" s="9" t="n">
        <f aca="false">(parametros_manuales!$D$24*(datos_base!$G$2+IF(parametros_manuales!$H$24="Todos",datos_base!$G$9,0))*parametros_manuales!$G$95+parametros_manuales!$D$24*(datos_base!$G$18+IF(parametros_manuales!$H$24="Todos",datos_base!$G$23,0))*parametros_manuales!$G$12+parametros_manuales!$E$24*(datos_base!$G$3+IF(parametros_manuales!$H$24="Todos",datos_base!$G$10,0))*parametros_manuales!$G$100+parametros_manuales!$E$24*(datos_base!$G$19+IF(parametros_manuales!$H$24="Todos",datos_base!$G$24,0))*parametros_manuales!$G$13+parametros_manuales!$F$24*(datos_base!$G$4+IF(parametros_manuales!$H$24="Todos",datos_base!$G$11,0))*parametros_manuales!$G$105+parametros_manuales!$F$24*(datos_base!$G$20+IF(parametros_manuales!$H$24="Todos",datos_base!$G$25,0))*parametros_manuales!$G$14+parametros_manuales!$G$24*(datos_base!$G$5+IF(parametros_manuales!$H$24="Todos",datos_base!$G$12,0))*parametros_manuales!$G$110+parametros_manuales!$G$24*(datos_base!$G$21+IF(parametros_manuales!$H$24="Todos",datos_base!$G$26,0))*parametros_manuales!$G$15)*parametros_manuales!$I$24*parametros_manuales!$J$24</f>
        <v>8847.640642075</v>
      </c>
      <c r="H142" s="9" t="n">
        <f aca="false">(parametros_manuales!$D$24*(datos_base!$G$2+IF(parametros_manuales!$H$24="Todos",datos_base!$G$9,0))*parametros_manuales!$H$95+parametros_manuales!$D$24*(datos_base!$G$18+IF(parametros_manuales!$H$24="Todos",datos_base!$G$23,0))*parametros_manuales!$H$12+parametros_manuales!$E$24*(datos_base!$G$3+IF(parametros_manuales!$H$24="Todos",datos_base!$G$10,0))*parametros_manuales!$H$100+parametros_manuales!$E$24*(datos_base!$G$19+IF(parametros_manuales!$H$24="Todos",datos_base!$G$24,0))*parametros_manuales!$H$13+parametros_manuales!$F$24*(datos_base!$G$4+IF(parametros_manuales!$H$24="Todos",datos_base!$G$11,0))*parametros_manuales!$H$105+parametros_manuales!$F$24*(datos_base!$G$20+IF(parametros_manuales!$H$24="Todos",datos_base!$G$25,0))*parametros_manuales!$H$14+parametros_manuales!$G$24*(datos_base!$G$5+IF(parametros_manuales!$H$24="Todos",datos_base!$G$12,0))*parametros_manuales!$H$110+parametros_manuales!$G$24*(datos_base!$G$21+IF(parametros_manuales!$H$24="Todos",datos_base!$G$26,0))*parametros_manuales!$H$15)*parametros_manuales!$I$24*parametros_manuales!$J$24</f>
        <v>9466.58350257</v>
      </c>
      <c r="I142" s="9" t="n">
        <f aca="false">(parametros_manuales!$D$24*(datos_base!$G$2+IF(parametros_manuales!$H$24="Todos",datos_base!$G$9,0))*parametros_manuales!$I$95+parametros_manuales!$D$24*(datos_base!$G$18+IF(parametros_manuales!$H$24="Todos",datos_base!$G$23,0))*parametros_manuales!$I$12+parametros_manuales!$E$24*(datos_base!$G$3+IF(parametros_manuales!$H$24="Todos",datos_base!$G$10,0))*parametros_manuales!$I$100+parametros_manuales!$E$24*(datos_base!$G$19+IF(parametros_manuales!$H$24="Todos",datos_base!$G$24,0))*parametros_manuales!$I$13+parametros_manuales!$F$24*(datos_base!$G$4+IF(parametros_manuales!$H$24="Todos",datos_base!$G$11,0))*parametros_manuales!$I$105+parametros_manuales!$F$24*(datos_base!$G$20+IF(parametros_manuales!$H$24="Todos",datos_base!$G$25,0))*parametros_manuales!$I$14+parametros_manuales!$G$24*(datos_base!$G$5+IF(parametros_manuales!$H$24="Todos",datos_base!$G$12,0))*parametros_manuales!$I$110+parametros_manuales!$G$24*(datos_base!$G$21+IF(parametros_manuales!$H$24="Todos",datos_base!$G$26,0))*parametros_manuales!$I$15)*parametros_manuales!$I$24*parametros_manuales!$J$24</f>
        <v>10776.09029862</v>
      </c>
      <c r="J142" s="9" t="n">
        <f aca="false">(parametros_manuales!$D$24*(datos_base!$G$2+IF(parametros_manuales!$H$24="Todos",datos_base!$G$9,0))*parametros_manuales!$J$95+parametros_manuales!$D$24*(datos_base!$G$18+IF(parametros_manuales!$H$24="Todos",datos_base!$G$23,0))*parametros_manuales!$J$12+parametros_manuales!$E$24*(datos_base!$G$3+IF(parametros_manuales!$H$24="Todos",datos_base!$G$10,0))*parametros_manuales!$J$100+parametros_manuales!$E$24*(datos_base!$G$19+IF(parametros_manuales!$H$24="Todos",datos_base!$G$24,0))*parametros_manuales!$J$13+parametros_manuales!$F$24*(datos_base!$G$4+IF(parametros_manuales!$H$24="Todos",datos_base!$G$11,0))*parametros_manuales!$J$105+parametros_manuales!$F$24*(datos_base!$G$20+IF(parametros_manuales!$H$24="Todos",datos_base!$G$25,0))*parametros_manuales!$J$14+parametros_manuales!$G$24*(datos_base!$G$5+IF(parametros_manuales!$H$24="Todos",datos_base!$G$12,0))*parametros_manuales!$J$110+parametros_manuales!$G$24*(datos_base!$G$21+IF(parametros_manuales!$H$24="Todos",datos_base!$G$26,0))*parametros_manuales!$J$15)*parametros_manuales!$I$24*parametros_manuales!$J$24</f>
        <v>10776.09029862</v>
      </c>
      <c r="K142" s="9" t="n">
        <f aca="false">(parametros_manuales!$D$24*(datos_base!$G$2+IF(parametros_manuales!$H$24="Todos",datos_base!$G$9,0))*parametros_manuales!$K$95+parametros_manuales!$D$24*(datos_base!$G$18+IF(parametros_manuales!$H$24="Todos",datos_base!$G$23,0))*parametros_manuales!$K$12+parametros_manuales!$E$24*(datos_base!$G$3+IF(parametros_manuales!$H$24="Todos",datos_base!$G$10,0))*parametros_manuales!$K$100+parametros_manuales!$E$24*(datos_base!$G$19+IF(parametros_manuales!$H$24="Todos",datos_base!$G$24,0))*parametros_manuales!$K$13+parametros_manuales!$F$24*(datos_base!$G$4+IF(parametros_manuales!$H$24="Todos",datos_base!$G$11,0))*parametros_manuales!$K$105+parametros_manuales!$F$24*(datos_base!$G$20+IF(parametros_manuales!$H$24="Todos",datos_base!$G$25,0))*parametros_manuales!$K$14+parametros_manuales!$G$24*(datos_base!$G$5+IF(parametros_manuales!$H$24="Todos",datos_base!$G$12,0))*parametros_manuales!$K$110+parametros_manuales!$G$24*(datos_base!$G$21+IF(parametros_manuales!$H$24="Todos",datos_base!$G$26,0))*parametros_manuales!$K$15)*parametros_manuales!$I$24*parametros_manuales!$J$24</f>
        <v>10955.794093765</v>
      </c>
      <c r="L142" s="9" t="n">
        <f aca="false">(parametros_manuales!$D$24*(datos_base!$G$2+IF(parametros_manuales!$H$24="Todos",datos_base!$G$9,0))*parametros_manuales!$L$95+parametros_manuales!$D$24*(datos_base!$G$18+IF(parametros_manuales!$H$24="Todos",datos_base!$G$23,0))*parametros_manuales!$L$12+parametros_manuales!$E$24*(datos_base!$G$3+IF(parametros_manuales!$H$24="Todos",datos_base!$G$10,0))*parametros_manuales!$L$100+parametros_manuales!$E$24*(datos_base!$G$19+IF(parametros_manuales!$H$24="Todos",datos_base!$G$24,0))*parametros_manuales!$L$13+parametros_manuales!$F$24*(datos_base!$G$4+IF(parametros_manuales!$H$24="Todos",datos_base!$G$11,0))*parametros_manuales!$L$105+parametros_manuales!$F$24*(datos_base!$G$20+IF(parametros_manuales!$H$24="Todos",datos_base!$G$25,0))*parametros_manuales!$L$14+parametros_manuales!$G$24*(datos_base!$G$5+IF(parametros_manuales!$H$24="Todos",datos_base!$G$12,0))*parametros_manuales!$L$110+parametros_manuales!$G$24*(datos_base!$G$21+IF(parametros_manuales!$H$24="Todos",datos_base!$G$26,0))*parametros_manuales!$L$15)*parametros_manuales!$I$24*parametros_manuales!$J$24</f>
        <v>11135.49788891</v>
      </c>
      <c r="M142" s="9" t="n">
        <f aca="false">(parametros_manuales!$D$24*(datos_base!$G$2+IF(parametros_manuales!$H$24="Todos",datos_base!$G$9,0))*parametros_manuales!$M$95+parametros_manuales!$D$24*(datos_base!$G$18+IF(parametros_manuales!$H$24="Todos",datos_base!$G$23,0))*parametros_manuales!$M$12+parametros_manuales!$E$24*(datos_base!$G$3+IF(parametros_manuales!$H$24="Todos",datos_base!$G$10,0))*parametros_manuales!$M$100+parametros_manuales!$E$24*(datos_base!$G$19+IF(parametros_manuales!$H$24="Todos",datos_base!$G$24,0))*parametros_manuales!$M$13+parametros_manuales!$F$24*(datos_base!$G$4+IF(parametros_manuales!$H$24="Todos",datos_base!$G$11,0))*parametros_manuales!$M$105+parametros_manuales!$F$24*(datos_base!$G$20+IF(parametros_manuales!$H$24="Todos",datos_base!$G$25,0))*parametros_manuales!$M$14+parametros_manuales!$G$24*(datos_base!$G$5+IF(parametros_manuales!$H$24="Todos",datos_base!$G$12,0))*parametros_manuales!$M$110+parametros_manuales!$G$24*(datos_base!$G$21+IF(parametros_manuales!$H$24="Todos",datos_base!$G$26,0))*parametros_manuales!$M$15)*parametros_manuales!$I$24*parametros_manuales!$J$24</f>
        <v>11146.44508891</v>
      </c>
      <c r="N142" s="9" t="n">
        <f aca="false">SUM(B142:M142)</f>
        <v>123788.572099</v>
      </c>
      <c r="O142" s="9" t="n">
        <f aca="false">MAX(B142:M142)</f>
        <v>11146.44508891</v>
      </c>
      <c r="P142" s="44" t="n">
        <f aca="false">O142/(parametros_manuales!$B$7)</f>
        <v>74.3096339260667</v>
      </c>
      <c r="Q142" s="8" t="str">
        <f aca="false">IF(O142=0,"-",INDEX($B$136:$M$136,MATCH(O142,B142:M142,0)))</f>
        <v>Dic</v>
      </c>
    </row>
    <row r="143" customFormat="false" ht="14.25" hidden="false" customHeight="true" outlineLevel="0" collapsed="false">
      <c r="A143" s="8" t="str">
        <f aca="false">parametros_manuales!$B$25</f>
        <v>Soldadura del cuello a la cúpula</v>
      </c>
      <c r="B143" s="9" t="n">
        <f aca="false">(parametros_manuales!$D$25*(datos_base!$G$2+IF(parametros_manuales!$H$25="Todos",datos_base!$G$9,0))*parametros_manuales!$B$95+parametros_manuales!$D$25*(datos_base!$G$18+IF(parametros_manuales!$H$25="Todos",datos_base!$G$23,0))*parametros_manuales!$B$12+parametros_manuales!$E$25*(datos_base!$G$3+IF(parametros_manuales!$H$25="Todos",datos_base!$G$10,0))*parametros_manuales!$B$100+parametros_manuales!$E$25*(datos_base!$G$19+IF(parametros_manuales!$H$25="Todos",datos_base!$G$24,0))*parametros_manuales!$B$13+parametros_manuales!$F$25*(datos_base!$G$4+IF(parametros_manuales!$H$25="Todos",datos_base!$G$11,0))*parametros_manuales!$B$105+parametros_manuales!$F$25*(datos_base!$G$20+IF(parametros_manuales!$H$25="Todos",datos_base!$G$25,0))*parametros_manuales!$B$14+parametros_manuales!$G$25*(datos_base!$G$5+IF(parametros_manuales!$H$25="Todos",datos_base!$G$12,0))*parametros_manuales!$B$110+parametros_manuales!$G$25*(datos_base!$G$21+IF(parametros_manuales!$H$25="Todos",datos_base!$G$26,0))*parametros_manuales!$B$15)*parametros_manuales!$I$25*parametros_manuales!$J$25</f>
        <v>11143.70828891</v>
      </c>
      <c r="C143" s="9" t="n">
        <f aca="false">(parametros_manuales!$D$25*(datos_base!$G$2+IF(parametros_manuales!$H$25="Todos",datos_base!$G$9,0))*parametros_manuales!$C$95+parametros_manuales!$D$25*(datos_base!$G$18+IF(parametros_manuales!$H$25="Todos",datos_base!$G$23,0))*parametros_manuales!$C$12+parametros_manuales!$E$25*(datos_base!$G$3+IF(parametros_manuales!$H$25="Todos",datos_base!$G$10,0))*parametros_manuales!$C$100+parametros_manuales!$E$25*(datos_base!$G$19+IF(parametros_manuales!$H$25="Todos",datos_base!$G$24,0))*parametros_manuales!$C$13+parametros_manuales!$F$25*(datos_base!$G$4+IF(parametros_manuales!$H$25="Todos",datos_base!$G$11,0))*parametros_manuales!$C$105+parametros_manuales!$F$25*(datos_base!$G$20+IF(parametros_manuales!$H$25="Todos",datos_base!$G$25,0))*parametros_manuales!$C$14+parametros_manuales!$G$25*(datos_base!$G$5+IF(parametros_manuales!$H$25="Todos",datos_base!$G$12,0))*parametros_manuales!$C$110+parametros_manuales!$G$25*(datos_base!$G$21+IF(parametros_manuales!$H$25="Todos",datos_base!$G$26,0))*parametros_manuales!$C$15)*parametros_manuales!$I$25*parametros_manuales!$J$25</f>
        <v>10776.09029862</v>
      </c>
      <c r="D143" s="9" t="n">
        <f aca="false">(parametros_manuales!$D$25*(datos_base!$G$2+IF(parametros_manuales!$H$25="Todos",datos_base!$G$9,0))*parametros_manuales!$D$95+parametros_manuales!$D$25*(datos_base!$G$18+IF(parametros_manuales!$H$25="Todos",datos_base!$G$23,0))*parametros_manuales!$D$12+parametros_manuales!$E$25*(datos_base!$G$3+IF(parametros_manuales!$H$25="Todos",datos_base!$G$10,0))*parametros_manuales!$D$100+parametros_manuales!$E$25*(datos_base!$G$19+IF(parametros_manuales!$H$25="Todos",datos_base!$G$24,0))*parametros_manuales!$D$13+parametros_manuales!$F$25*(datos_base!$G$4+IF(parametros_manuales!$H$25="Todos",datos_base!$G$11,0))*parametros_manuales!$D$105+parametros_manuales!$F$25*(datos_base!$G$20+IF(parametros_manuales!$H$25="Todos",datos_base!$G$25,0))*parametros_manuales!$D$14+parametros_manuales!$G$25*(datos_base!$G$5+IF(parametros_manuales!$H$25="Todos",datos_base!$G$12,0))*parametros_manuales!$D$110+parametros_manuales!$G$25*(datos_base!$G$21+IF(parametros_manuales!$H$25="Todos",datos_base!$G$26,0))*parametros_manuales!$D$15)*parametros_manuales!$I$25*parametros_manuales!$J$25</f>
        <v>10085.526363065</v>
      </c>
      <c r="E143" s="9" t="n">
        <f aca="false">(parametros_manuales!$D$25*(datos_base!$G$2+IF(parametros_manuales!$H$25="Todos",datos_base!$G$9,0))*parametros_manuales!$E$95+parametros_manuales!$D$25*(datos_base!$G$18+IF(parametros_manuales!$H$25="Todos",datos_base!$G$23,0))*parametros_manuales!$E$12+parametros_manuales!$E$25*(datos_base!$G$3+IF(parametros_manuales!$H$25="Todos",datos_base!$G$10,0))*parametros_manuales!$E$100+parametros_manuales!$E$25*(datos_base!$G$19+IF(parametros_manuales!$H$25="Todos",datos_base!$G$24,0))*parametros_manuales!$E$13+parametros_manuales!$F$25*(datos_base!$G$4+IF(parametros_manuales!$H$25="Todos",datos_base!$G$11,0))*parametros_manuales!$E$105+parametros_manuales!$F$25*(datos_base!$G$20+IF(parametros_manuales!$H$25="Todos",datos_base!$G$25,0))*parametros_manuales!$E$14+parametros_manuales!$G$25*(datos_base!$G$5+IF(parametros_manuales!$H$25="Todos",datos_base!$G$12,0))*parametros_manuales!$E$110+parametros_manuales!$G$25*(datos_base!$G$21+IF(parametros_manuales!$H$25="Todos",datos_base!$G$26,0))*parametros_manuales!$E$15)*parametros_manuales!$I$25*parametros_manuales!$J$25</f>
        <v>9649.024097715</v>
      </c>
      <c r="F143" s="9" t="n">
        <f aca="false">(parametros_manuales!$D$25*(datos_base!$G$2+IF(parametros_manuales!$H$25="Todos",datos_base!$G$9,0))*parametros_manuales!$F$95+parametros_manuales!$D$25*(datos_base!$G$18+IF(parametros_manuales!$H$25="Todos",datos_base!$G$23,0))*parametros_manuales!$F$12+parametros_manuales!$E$25*(datos_base!$G$3+IF(parametros_manuales!$H$25="Todos",datos_base!$G$10,0))*parametros_manuales!$F$100+parametros_manuales!$E$25*(datos_base!$G$19+IF(parametros_manuales!$H$25="Todos",datos_base!$G$24,0))*parametros_manuales!$F$13+parametros_manuales!$F$25*(datos_base!$G$4+IF(parametros_manuales!$H$25="Todos",datos_base!$G$11,0))*parametros_manuales!$F$105+parametros_manuales!$F$25*(datos_base!$G$20+IF(parametros_manuales!$H$25="Todos",datos_base!$G$25,0))*parametros_manuales!$F$14+parametros_manuales!$G$25*(datos_base!$G$5+IF(parametros_manuales!$H$25="Todos",datos_base!$G$12,0))*parametros_manuales!$F$110+parametros_manuales!$G$25*(datos_base!$G$21+IF(parametros_manuales!$H$25="Todos",datos_base!$G$26,0))*parametros_manuales!$F$15)*parametros_manuales!$I$25*parametros_manuales!$J$25</f>
        <v>9030.08123722</v>
      </c>
      <c r="G143" s="9" t="n">
        <f aca="false">(parametros_manuales!$D$25*(datos_base!$G$2+IF(parametros_manuales!$H$25="Todos",datos_base!$G$9,0))*parametros_manuales!$G$95+parametros_manuales!$D$25*(datos_base!$G$18+IF(parametros_manuales!$H$25="Todos",datos_base!$G$23,0))*parametros_manuales!$G$12+parametros_manuales!$E$25*(datos_base!$G$3+IF(parametros_manuales!$H$25="Todos",datos_base!$G$10,0))*parametros_manuales!$G$100+parametros_manuales!$E$25*(datos_base!$G$19+IF(parametros_manuales!$H$25="Todos",datos_base!$G$24,0))*parametros_manuales!$G$13+parametros_manuales!$F$25*(datos_base!$G$4+IF(parametros_manuales!$H$25="Todos",datos_base!$G$11,0))*parametros_manuales!$G$105+parametros_manuales!$F$25*(datos_base!$G$20+IF(parametros_manuales!$H$25="Todos",datos_base!$G$25,0))*parametros_manuales!$G$14+parametros_manuales!$G$25*(datos_base!$G$5+IF(parametros_manuales!$H$25="Todos",datos_base!$G$12,0))*parametros_manuales!$G$110+parametros_manuales!$G$25*(datos_base!$G$21+IF(parametros_manuales!$H$25="Todos",datos_base!$G$26,0))*parametros_manuales!$G$15)*parametros_manuales!$I$25*parametros_manuales!$J$25</f>
        <v>8847.640642075</v>
      </c>
      <c r="H143" s="9" t="n">
        <f aca="false">(parametros_manuales!$D$25*(datos_base!$G$2+IF(parametros_manuales!$H$25="Todos",datos_base!$G$9,0))*parametros_manuales!$H$95+parametros_manuales!$D$25*(datos_base!$G$18+IF(parametros_manuales!$H$25="Todos",datos_base!$G$23,0))*parametros_manuales!$H$12+parametros_manuales!$E$25*(datos_base!$G$3+IF(parametros_manuales!$H$25="Todos",datos_base!$G$10,0))*parametros_manuales!$H$100+parametros_manuales!$E$25*(datos_base!$G$19+IF(parametros_manuales!$H$25="Todos",datos_base!$G$24,0))*parametros_manuales!$H$13+parametros_manuales!$F$25*(datos_base!$G$4+IF(parametros_manuales!$H$25="Todos",datos_base!$G$11,0))*parametros_manuales!$H$105+parametros_manuales!$F$25*(datos_base!$G$20+IF(parametros_manuales!$H$25="Todos",datos_base!$G$25,0))*parametros_manuales!$H$14+parametros_manuales!$G$25*(datos_base!$G$5+IF(parametros_manuales!$H$25="Todos",datos_base!$G$12,0))*parametros_manuales!$H$110+parametros_manuales!$G$25*(datos_base!$G$21+IF(parametros_manuales!$H$25="Todos",datos_base!$G$26,0))*parametros_manuales!$H$15)*parametros_manuales!$I$25*parametros_manuales!$J$25</f>
        <v>9466.58350257</v>
      </c>
      <c r="I143" s="9" t="n">
        <f aca="false">(parametros_manuales!$D$25*(datos_base!$G$2+IF(parametros_manuales!$H$25="Todos",datos_base!$G$9,0))*parametros_manuales!$I$95+parametros_manuales!$D$25*(datos_base!$G$18+IF(parametros_manuales!$H$25="Todos",datos_base!$G$23,0))*parametros_manuales!$I$12+parametros_manuales!$E$25*(datos_base!$G$3+IF(parametros_manuales!$H$25="Todos",datos_base!$G$10,0))*parametros_manuales!$I$100+parametros_manuales!$E$25*(datos_base!$G$19+IF(parametros_manuales!$H$25="Todos",datos_base!$G$24,0))*parametros_manuales!$I$13+parametros_manuales!$F$25*(datos_base!$G$4+IF(parametros_manuales!$H$25="Todos",datos_base!$G$11,0))*parametros_manuales!$I$105+parametros_manuales!$F$25*(datos_base!$G$20+IF(parametros_manuales!$H$25="Todos",datos_base!$G$25,0))*parametros_manuales!$I$14+parametros_manuales!$G$25*(datos_base!$G$5+IF(parametros_manuales!$H$25="Todos",datos_base!$G$12,0))*parametros_manuales!$I$110+parametros_manuales!$G$25*(datos_base!$G$21+IF(parametros_manuales!$H$25="Todos",datos_base!$G$26,0))*parametros_manuales!$I$15)*parametros_manuales!$I$25*parametros_manuales!$J$25</f>
        <v>10776.09029862</v>
      </c>
      <c r="J143" s="9" t="n">
        <f aca="false">(parametros_manuales!$D$25*(datos_base!$G$2+IF(parametros_manuales!$H$25="Todos",datos_base!$G$9,0))*parametros_manuales!$J$95+parametros_manuales!$D$25*(datos_base!$G$18+IF(parametros_manuales!$H$25="Todos",datos_base!$G$23,0))*parametros_manuales!$J$12+parametros_manuales!$E$25*(datos_base!$G$3+IF(parametros_manuales!$H$25="Todos",datos_base!$G$10,0))*parametros_manuales!$J$100+parametros_manuales!$E$25*(datos_base!$G$19+IF(parametros_manuales!$H$25="Todos",datos_base!$G$24,0))*parametros_manuales!$J$13+parametros_manuales!$F$25*(datos_base!$G$4+IF(parametros_manuales!$H$25="Todos",datos_base!$G$11,0))*parametros_manuales!$J$105+parametros_manuales!$F$25*(datos_base!$G$20+IF(parametros_manuales!$H$25="Todos",datos_base!$G$25,0))*parametros_manuales!$J$14+parametros_manuales!$G$25*(datos_base!$G$5+IF(parametros_manuales!$H$25="Todos",datos_base!$G$12,0))*parametros_manuales!$J$110+parametros_manuales!$G$25*(datos_base!$G$21+IF(parametros_manuales!$H$25="Todos",datos_base!$G$26,0))*parametros_manuales!$J$15)*parametros_manuales!$I$25*parametros_manuales!$J$25</f>
        <v>10776.09029862</v>
      </c>
      <c r="K143" s="9" t="n">
        <f aca="false">(parametros_manuales!$D$25*(datos_base!$G$2+IF(parametros_manuales!$H$25="Todos",datos_base!$G$9,0))*parametros_manuales!$K$95+parametros_manuales!$D$25*(datos_base!$G$18+IF(parametros_manuales!$H$25="Todos",datos_base!$G$23,0))*parametros_manuales!$K$12+parametros_manuales!$E$25*(datos_base!$G$3+IF(parametros_manuales!$H$25="Todos",datos_base!$G$10,0))*parametros_manuales!$K$100+parametros_manuales!$E$25*(datos_base!$G$19+IF(parametros_manuales!$H$25="Todos",datos_base!$G$24,0))*parametros_manuales!$K$13+parametros_manuales!$F$25*(datos_base!$G$4+IF(parametros_manuales!$H$25="Todos",datos_base!$G$11,0))*parametros_manuales!$K$105+parametros_manuales!$F$25*(datos_base!$G$20+IF(parametros_manuales!$H$25="Todos",datos_base!$G$25,0))*parametros_manuales!$K$14+parametros_manuales!$G$25*(datos_base!$G$5+IF(parametros_manuales!$H$25="Todos",datos_base!$G$12,0))*parametros_manuales!$K$110+parametros_manuales!$G$25*(datos_base!$G$21+IF(parametros_manuales!$H$25="Todos",datos_base!$G$26,0))*parametros_manuales!$K$15)*parametros_manuales!$I$25*parametros_manuales!$J$25</f>
        <v>10955.794093765</v>
      </c>
      <c r="L143" s="9" t="n">
        <f aca="false">(parametros_manuales!$D$25*(datos_base!$G$2+IF(parametros_manuales!$H$25="Todos",datos_base!$G$9,0))*parametros_manuales!$L$95+parametros_manuales!$D$25*(datos_base!$G$18+IF(parametros_manuales!$H$25="Todos",datos_base!$G$23,0))*parametros_manuales!$L$12+parametros_manuales!$E$25*(datos_base!$G$3+IF(parametros_manuales!$H$25="Todos",datos_base!$G$10,0))*parametros_manuales!$L$100+parametros_manuales!$E$25*(datos_base!$G$19+IF(parametros_manuales!$H$25="Todos",datos_base!$G$24,0))*parametros_manuales!$L$13+parametros_manuales!$F$25*(datos_base!$G$4+IF(parametros_manuales!$H$25="Todos",datos_base!$G$11,0))*parametros_manuales!$L$105+parametros_manuales!$F$25*(datos_base!$G$20+IF(parametros_manuales!$H$25="Todos",datos_base!$G$25,0))*parametros_manuales!$L$14+parametros_manuales!$G$25*(datos_base!$G$5+IF(parametros_manuales!$H$25="Todos",datos_base!$G$12,0))*parametros_manuales!$L$110+parametros_manuales!$G$25*(datos_base!$G$21+IF(parametros_manuales!$H$25="Todos",datos_base!$G$26,0))*parametros_manuales!$L$15)*parametros_manuales!$I$25*parametros_manuales!$J$25</f>
        <v>11135.49788891</v>
      </c>
      <c r="M143" s="9" t="n">
        <f aca="false">(parametros_manuales!$D$25*(datos_base!$G$2+IF(parametros_manuales!$H$25="Todos",datos_base!$G$9,0))*parametros_manuales!$M$95+parametros_manuales!$D$25*(datos_base!$G$18+IF(parametros_manuales!$H$25="Todos",datos_base!$G$23,0))*parametros_manuales!$M$12+parametros_manuales!$E$25*(datos_base!$G$3+IF(parametros_manuales!$H$25="Todos",datos_base!$G$10,0))*parametros_manuales!$M$100+parametros_manuales!$E$25*(datos_base!$G$19+IF(parametros_manuales!$H$25="Todos",datos_base!$G$24,0))*parametros_manuales!$M$13+parametros_manuales!$F$25*(datos_base!$G$4+IF(parametros_manuales!$H$25="Todos",datos_base!$G$11,0))*parametros_manuales!$M$105+parametros_manuales!$F$25*(datos_base!$G$20+IF(parametros_manuales!$H$25="Todos",datos_base!$G$25,0))*parametros_manuales!$M$14+parametros_manuales!$G$25*(datos_base!$G$5+IF(parametros_manuales!$H$25="Todos",datos_base!$G$12,0))*parametros_manuales!$M$110+parametros_manuales!$G$25*(datos_base!$G$21+IF(parametros_manuales!$H$25="Todos",datos_base!$G$26,0))*parametros_manuales!$M$15)*parametros_manuales!$I$25*parametros_manuales!$J$25</f>
        <v>11146.44508891</v>
      </c>
      <c r="N143" s="9" t="n">
        <f aca="false">SUM(B143:M143)</f>
        <v>123788.572099</v>
      </c>
      <c r="O143" s="9" t="n">
        <f aca="false">MAX(B143:M143)</f>
        <v>11146.44508891</v>
      </c>
      <c r="P143" s="44" t="n">
        <f aca="false">O143/(parametros_manuales!$B$7)</f>
        <v>74.3096339260667</v>
      </c>
      <c r="Q143" s="8" t="str">
        <f aca="false">IF(O143=0,"-",INDEX($B$136:$M$136,MATCH(O143,B143:M143,0)))</f>
        <v>Dic</v>
      </c>
    </row>
    <row r="144" customFormat="false" ht="14.25" hidden="false" customHeight="true" outlineLevel="0" collapsed="false">
      <c r="A144" s="8" t="str">
        <f aca="false">parametros_manuales!$B$26</f>
        <v>Cilindrado</v>
      </c>
      <c r="B144" s="9" t="n">
        <f aca="false">(parametros_manuales!$D$26*(datos_base!$G$2+IF(parametros_manuales!$H$26="Todos",datos_base!$G$9,0))*parametros_manuales!$B$95+parametros_manuales!$D$26*(datos_base!$G$18+IF(parametros_manuales!$H$26="Todos",datos_base!$G$23,0))*parametros_manuales!$B$12+parametros_manuales!$E$26*(datos_base!$G$3+IF(parametros_manuales!$H$26="Todos",datos_base!$G$10,0))*parametros_manuales!$B$100+parametros_manuales!$E$26*(datos_base!$G$19+IF(parametros_manuales!$H$26="Todos",datos_base!$G$24,0))*parametros_manuales!$B$13+parametros_manuales!$F$26*(datos_base!$G$4+IF(parametros_manuales!$H$26="Todos",datos_base!$G$11,0))*parametros_manuales!$B$105+parametros_manuales!$F$26*(datos_base!$G$20+IF(parametros_manuales!$H$26="Todos",datos_base!$G$25,0))*parametros_manuales!$B$14+parametros_manuales!$G$26*(datos_base!$G$5+IF(parametros_manuales!$H$26="Todos",datos_base!$G$12,0))*parametros_manuales!$B$110+parametros_manuales!$G$26*(datos_base!$G$21+IF(parametros_manuales!$H$26="Todos",datos_base!$G$26,0))*parametros_manuales!$B$15)*parametros_manuales!$I$26*parametros_manuales!$J$26</f>
        <v>3286.66751261</v>
      </c>
      <c r="C144" s="9" t="n">
        <f aca="false">(parametros_manuales!$D$26*(datos_base!$G$2+IF(parametros_manuales!$H$26="Todos",datos_base!$G$9,0))*parametros_manuales!$C$95+parametros_manuales!$D$26*(datos_base!$G$18+IF(parametros_manuales!$H$26="Todos",datos_base!$G$23,0))*parametros_manuales!$C$12+parametros_manuales!$E$26*(datos_base!$G$3+IF(parametros_manuales!$H$26="Todos",datos_base!$G$10,0))*parametros_manuales!$C$100+parametros_manuales!$E$26*(datos_base!$G$19+IF(parametros_manuales!$H$26="Todos",datos_base!$G$24,0))*parametros_manuales!$C$13+parametros_manuales!$F$26*(datos_base!$G$4+IF(parametros_manuales!$H$26="Todos",datos_base!$G$11,0))*parametros_manuales!$C$105+parametros_manuales!$F$26*(datos_base!$G$20+IF(parametros_manuales!$H$26="Todos",datos_base!$G$25,0))*parametros_manuales!$C$14+parametros_manuales!$G$26*(datos_base!$G$5+IF(parametros_manuales!$H$26="Todos",datos_base!$G$12,0))*parametros_manuales!$C$110+parametros_manuales!$G$26*(datos_base!$G$21+IF(parametros_manuales!$H$26="Todos",datos_base!$G$26,0))*parametros_manuales!$C$15)*parametros_manuales!$I$26*parametros_manuales!$J$26</f>
        <v>2919.04952232</v>
      </c>
      <c r="D144" s="9" t="n">
        <f aca="false">(parametros_manuales!$D$26*(datos_base!$G$2+IF(parametros_manuales!$H$26="Todos",datos_base!$G$9,0))*parametros_manuales!$D$95+parametros_manuales!$D$26*(datos_base!$G$18+IF(parametros_manuales!$H$26="Todos",datos_base!$G$23,0))*parametros_manuales!$D$12+parametros_manuales!$E$26*(datos_base!$G$3+IF(parametros_manuales!$H$26="Todos",datos_base!$G$10,0))*parametros_manuales!$D$100+parametros_manuales!$E$26*(datos_base!$G$19+IF(parametros_manuales!$H$26="Todos",datos_base!$G$24,0))*parametros_manuales!$D$13+parametros_manuales!$F$26*(datos_base!$G$4+IF(parametros_manuales!$H$26="Todos",datos_base!$G$11,0))*parametros_manuales!$D$105+parametros_manuales!$F$26*(datos_base!$G$20+IF(parametros_manuales!$H$26="Todos",datos_base!$G$25,0))*parametros_manuales!$D$14+parametros_manuales!$G$26*(datos_base!$G$5+IF(parametros_manuales!$H$26="Todos",datos_base!$G$12,0))*parametros_manuales!$D$110+parametros_manuales!$G$26*(datos_base!$G$21+IF(parametros_manuales!$H$26="Todos",datos_base!$G$26,0))*parametros_manuales!$D$15)*parametros_manuales!$I$26*parametros_manuales!$J$26</f>
        <v>3101.490117465</v>
      </c>
      <c r="E144" s="9" t="n">
        <f aca="false">(parametros_manuales!$D$26*(datos_base!$G$2+IF(parametros_manuales!$H$26="Todos",datos_base!$G$9,0))*parametros_manuales!$E$95+parametros_manuales!$D$26*(datos_base!$G$18+IF(parametros_manuales!$H$26="Todos",datos_base!$G$23,0))*parametros_manuales!$E$12+parametros_manuales!$E$26*(datos_base!$G$3+IF(parametros_manuales!$H$26="Todos",datos_base!$G$10,0))*parametros_manuales!$E$100+parametros_manuales!$E$26*(datos_base!$G$19+IF(parametros_manuales!$H$26="Todos",datos_base!$G$24,0))*parametros_manuales!$E$13+parametros_manuales!$F$26*(datos_base!$G$4+IF(parametros_manuales!$H$26="Todos",datos_base!$G$11,0))*parametros_manuales!$E$105+parametros_manuales!$F$26*(datos_base!$G$20+IF(parametros_manuales!$H$26="Todos",datos_base!$G$25,0))*parametros_manuales!$E$14+parametros_manuales!$G$26*(datos_base!$G$5+IF(parametros_manuales!$H$26="Todos",datos_base!$G$12,0))*parametros_manuales!$E$110+parametros_manuales!$G$26*(datos_base!$G$21+IF(parametros_manuales!$H$26="Todos",datos_base!$G$26,0))*parametros_manuales!$E$15)*parametros_manuales!$I$26*parametros_manuales!$J$26</f>
        <v>3101.490117465</v>
      </c>
      <c r="F144" s="9" t="n">
        <f aca="false">(parametros_manuales!$D$26*(datos_base!$G$2+IF(parametros_manuales!$H$26="Todos",datos_base!$G$9,0))*parametros_manuales!$F$95+parametros_manuales!$D$26*(datos_base!$G$18+IF(parametros_manuales!$H$26="Todos",datos_base!$G$23,0))*parametros_manuales!$F$12+parametros_manuales!$E$26*(datos_base!$G$3+IF(parametros_manuales!$H$26="Todos",datos_base!$G$10,0))*parametros_manuales!$F$100+parametros_manuales!$E$26*(datos_base!$G$19+IF(parametros_manuales!$H$26="Todos",datos_base!$G$24,0))*parametros_manuales!$F$13+parametros_manuales!$F$26*(datos_base!$G$4+IF(parametros_manuales!$H$26="Todos",datos_base!$G$11,0))*parametros_manuales!$F$105+parametros_manuales!$F$26*(datos_base!$G$20+IF(parametros_manuales!$H$26="Todos",datos_base!$G$25,0))*parametros_manuales!$F$14+parametros_manuales!$G$26*(datos_base!$G$5+IF(parametros_manuales!$H$26="Todos",datos_base!$G$12,0))*parametros_manuales!$F$110+parametros_manuales!$G$26*(datos_base!$G$21+IF(parametros_manuales!$H$26="Todos",datos_base!$G$26,0))*parametros_manuales!$F$15)*parametros_manuales!$I$26*parametros_manuales!$J$26</f>
        <v>2919.04952232</v>
      </c>
      <c r="G144" s="9" t="n">
        <f aca="false">(parametros_manuales!$D$26*(datos_base!$G$2+IF(parametros_manuales!$H$26="Todos",datos_base!$G$9,0))*parametros_manuales!$G$95+parametros_manuales!$D$26*(datos_base!$G$18+IF(parametros_manuales!$H$26="Todos",datos_base!$G$23,0))*parametros_manuales!$G$12+parametros_manuales!$E$26*(datos_base!$G$3+IF(parametros_manuales!$H$26="Todos",datos_base!$G$10,0))*parametros_manuales!$G$100+parametros_manuales!$E$26*(datos_base!$G$19+IF(parametros_manuales!$H$26="Todos",datos_base!$G$24,0))*parametros_manuales!$G$13+parametros_manuales!$F$26*(datos_base!$G$4+IF(parametros_manuales!$H$26="Todos",datos_base!$G$11,0))*parametros_manuales!$G$105+parametros_manuales!$F$26*(datos_base!$G$20+IF(parametros_manuales!$H$26="Todos",datos_base!$G$25,0))*parametros_manuales!$G$14+parametros_manuales!$G$26*(datos_base!$G$5+IF(parametros_manuales!$H$26="Todos",datos_base!$G$12,0))*parametros_manuales!$G$110+parametros_manuales!$G$26*(datos_base!$G$21+IF(parametros_manuales!$H$26="Todos",datos_base!$G$26,0))*parametros_manuales!$G$15)*parametros_manuales!$I$26*parametros_manuales!$J$26</f>
        <v>2736.608927175</v>
      </c>
      <c r="H144" s="9" t="n">
        <f aca="false">(parametros_manuales!$D$26*(datos_base!$G$2+IF(parametros_manuales!$H$26="Todos",datos_base!$G$9,0))*parametros_manuales!$H$95+parametros_manuales!$D$26*(datos_base!$G$18+IF(parametros_manuales!$H$26="Todos",datos_base!$G$23,0))*parametros_manuales!$H$12+parametros_manuales!$E$26*(datos_base!$G$3+IF(parametros_manuales!$H$26="Todos",datos_base!$G$10,0))*parametros_manuales!$H$100+parametros_manuales!$E$26*(datos_base!$G$19+IF(parametros_manuales!$H$26="Todos",datos_base!$G$24,0))*parametros_manuales!$H$13+parametros_manuales!$F$26*(datos_base!$G$4+IF(parametros_manuales!$H$26="Todos",datos_base!$G$11,0))*parametros_manuales!$H$105+parametros_manuales!$F$26*(datos_base!$G$20+IF(parametros_manuales!$H$26="Todos",datos_base!$G$25,0))*parametros_manuales!$H$14+parametros_manuales!$G$26*(datos_base!$G$5+IF(parametros_manuales!$H$26="Todos",datos_base!$G$12,0))*parametros_manuales!$H$110+parametros_manuales!$G$26*(datos_base!$G$21+IF(parametros_manuales!$H$26="Todos",datos_base!$G$26,0))*parametros_manuales!$H$15)*parametros_manuales!$I$26*parametros_manuales!$J$26</f>
        <v>2919.04952232</v>
      </c>
      <c r="I144" s="9" t="n">
        <f aca="false">(parametros_manuales!$D$26*(datos_base!$G$2+IF(parametros_manuales!$H$26="Todos",datos_base!$G$9,0))*parametros_manuales!$I$95+parametros_manuales!$D$26*(datos_base!$G$18+IF(parametros_manuales!$H$26="Todos",datos_base!$G$23,0))*parametros_manuales!$I$12+parametros_manuales!$E$26*(datos_base!$G$3+IF(parametros_manuales!$H$26="Todos",datos_base!$G$10,0))*parametros_manuales!$I$100+parametros_manuales!$E$26*(datos_base!$G$19+IF(parametros_manuales!$H$26="Todos",datos_base!$G$24,0))*parametros_manuales!$I$13+parametros_manuales!$F$26*(datos_base!$G$4+IF(parametros_manuales!$H$26="Todos",datos_base!$G$11,0))*parametros_manuales!$I$105+parametros_manuales!$F$26*(datos_base!$G$20+IF(parametros_manuales!$H$26="Todos",datos_base!$G$25,0))*parametros_manuales!$I$14+parametros_manuales!$G$26*(datos_base!$G$5+IF(parametros_manuales!$H$26="Todos",datos_base!$G$12,0))*parametros_manuales!$I$110+parametros_manuales!$G$26*(datos_base!$G$21+IF(parametros_manuales!$H$26="Todos",datos_base!$G$26,0))*parametros_manuales!$I$15)*parametros_manuales!$I$26*parametros_manuales!$J$26</f>
        <v>2919.04952232</v>
      </c>
      <c r="J144" s="9" t="n">
        <f aca="false">(parametros_manuales!$D$26*(datos_base!$G$2+IF(parametros_manuales!$H$26="Todos",datos_base!$G$9,0))*parametros_manuales!$J$95+parametros_manuales!$D$26*(datos_base!$G$18+IF(parametros_manuales!$H$26="Todos",datos_base!$G$23,0))*parametros_manuales!$J$12+parametros_manuales!$E$26*(datos_base!$G$3+IF(parametros_manuales!$H$26="Todos",datos_base!$G$10,0))*parametros_manuales!$J$100+parametros_manuales!$E$26*(datos_base!$G$19+IF(parametros_manuales!$H$26="Todos",datos_base!$G$24,0))*parametros_manuales!$J$13+parametros_manuales!$F$26*(datos_base!$G$4+IF(parametros_manuales!$H$26="Todos",datos_base!$G$11,0))*parametros_manuales!$J$105+parametros_manuales!$F$26*(datos_base!$G$20+IF(parametros_manuales!$H$26="Todos",datos_base!$G$25,0))*parametros_manuales!$J$14+parametros_manuales!$G$26*(datos_base!$G$5+IF(parametros_manuales!$H$26="Todos",datos_base!$G$12,0))*parametros_manuales!$J$110+parametros_manuales!$G$26*(datos_base!$G$21+IF(parametros_manuales!$H$26="Todos",datos_base!$G$26,0))*parametros_manuales!$J$15)*parametros_manuales!$I$26*parametros_manuales!$J$26</f>
        <v>2919.04952232</v>
      </c>
      <c r="K144" s="9" t="n">
        <f aca="false">(parametros_manuales!$D$26*(datos_base!$G$2+IF(parametros_manuales!$H$26="Todos",datos_base!$G$9,0))*parametros_manuales!$K$95+parametros_manuales!$D$26*(datos_base!$G$18+IF(parametros_manuales!$H$26="Todos",datos_base!$G$23,0))*parametros_manuales!$K$12+parametros_manuales!$E$26*(datos_base!$G$3+IF(parametros_manuales!$H$26="Todos",datos_base!$G$10,0))*parametros_manuales!$K$100+parametros_manuales!$E$26*(datos_base!$G$19+IF(parametros_manuales!$H$26="Todos",datos_base!$G$24,0))*parametros_manuales!$K$13+parametros_manuales!$F$26*(datos_base!$G$4+IF(parametros_manuales!$H$26="Todos",datos_base!$G$11,0))*parametros_manuales!$K$105+parametros_manuales!$F$26*(datos_base!$G$20+IF(parametros_manuales!$H$26="Todos",datos_base!$G$25,0))*parametros_manuales!$K$14+parametros_manuales!$G$26*(datos_base!$G$5+IF(parametros_manuales!$H$26="Todos",datos_base!$G$12,0))*parametros_manuales!$K$110+parametros_manuales!$G$26*(datos_base!$G$21+IF(parametros_manuales!$H$26="Todos",datos_base!$G$26,0))*parametros_manuales!$K$15)*parametros_manuales!$I$26*parametros_manuales!$J$26</f>
        <v>3098.753317465</v>
      </c>
      <c r="L144" s="9" t="n">
        <f aca="false">(parametros_manuales!$D$26*(datos_base!$G$2+IF(parametros_manuales!$H$26="Todos",datos_base!$G$9,0))*parametros_manuales!$L$95+parametros_manuales!$D$26*(datos_base!$G$18+IF(parametros_manuales!$H$26="Todos",datos_base!$G$23,0))*parametros_manuales!$L$12+parametros_manuales!$E$26*(datos_base!$G$3+IF(parametros_manuales!$H$26="Todos",datos_base!$G$10,0))*parametros_manuales!$L$100+parametros_manuales!$E$26*(datos_base!$G$19+IF(parametros_manuales!$H$26="Todos",datos_base!$G$24,0))*parametros_manuales!$L$13+parametros_manuales!$F$26*(datos_base!$G$4+IF(parametros_manuales!$H$26="Todos",datos_base!$G$11,0))*parametros_manuales!$L$105+parametros_manuales!$F$26*(datos_base!$G$20+IF(parametros_manuales!$H$26="Todos",datos_base!$G$25,0))*parametros_manuales!$L$14+parametros_manuales!$G$26*(datos_base!$G$5+IF(parametros_manuales!$H$26="Todos",datos_base!$G$12,0))*parametros_manuales!$L$110+parametros_manuales!$G$26*(datos_base!$G$21+IF(parametros_manuales!$H$26="Todos",datos_base!$G$26,0))*parametros_manuales!$L$15)*parametros_manuales!$I$26*parametros_manuales!$J$26</f>
        <v>3278.45711261</v>
      </c>
      <c r="M144" s="9" t="n">
        <f aca="false">(parametros_manuales!$D$26*(datos_base!$G$2+IF(parametros_manuales!$H$26="Todos",datos_base!$G$9,0))*parametros_manuales!$M$95+parametros_manuales!$D$26*(datos_base!$G$18+IF(parametros_manuales!$H$26="Todos",datos_base!$G$23,0))*parametros_manuales!$M$12+parametros_manuales!$E$26*(datos_base!$G$3+IF(parametros_manuales!$H$26="Todos",datos_base!$G$10,0))*parametros_manuales!$M$100+parametros_manuales!$E$26*(datos_base!$G$19+IF(parametros_manuales!$H$26="Todos",datos_base!$G$24,0))*parametros_manuales!$M$13+parametros_manuales!$F$26*(datos_base!$G$4+IF(parametros_manuales!$H$26="Todos",datos_base!$G$11,0))*parametros_manuales!$M$105+parametros_manuales!$F$26*(datos_base!$G$20+IF(parametros_manuales!$H$26="Todos",datos_base!$G$25,0))*parametros_manuales!$M$14+parametros_manuales!$G$26*(datos_base!$G$5+IF(parametros_manuales!$H$26="Todos",datos_base!$G$12,0))*parametros_manuales!$M$110+parametros_manuales!$G$26*(datos_base!$G$21+IF(parametros_manuales!$H$26="Todos",datos_base!$G$26,0))*parametros_manuales!$M$15)*parametros_manuales!$I$26*parametros_manuales!$J$26</f>
        <v>3289.40431261</v>
      </c>
      <c r="N144" s="9" t="n">
        <f aca="false">SUM(B144:M144)</f>
        <v>36488.119029</v>
      </c>
      <c r="O144" s="9" t="n">
        <f aca="false">MAX(B144:M144)</f>
        <v>3289.40431261</v>
      </c>
      <c r="P144" s="44" t="n">
        <f aca="false">O144/(parametros_manuales!$B$7)</f>
        <v>21.9293620840667</v>
      </c>
      <c r="Q144" s="8" t="str">
        <f aca="false">IF(O144=0,"-",INDEX($B$136:$M$136,MATCH(O144,B144:M144,0)))</f>
        <v>Dic</v>
      </c>
    </row>
    <row r="145" customFormat="false" ht="14.25" hidden="false" customHeight="true" outlineLevel="0" collapsed="false">
      <c r="A145" s="8" t="str">
        <f aca="false">parametros_manuales!$B$27</f>
        <v>Soldadura longitudinal</v>
      </c>
      <c r="B145" s="9" t="n">
        <f aca="false">(parametros_manuales!$D$27*(datos_base!$G$2+IF(parametros_manuales!$H$27="Todos",datos_base!$G$9,0))*parametros_manuales!$B$95+parametros_manuales!$D$27*(datos_base!$G$18+IF(parametros_manuales!$H$27="Todos",datos_base!$G$23,0))*parametros_manuales!$B$12+parametros_manuales!$E$27*(datos_base!$G$3+IF(parametros_manuales!$H$27="Todos",datos_base!$G$10,0))*parametros_manuales!$B$100+parametros_manuales!$E$27*(datos_base!$G$19+IF(parametros_manuales!$H$27="Todos",datos_base!$G$24,0))*parametros_manuales!$B$13+parametros_manuales!$F$27*(datos_base!$G$4+IF(parametros_manuales!$H$27="Todos",datos_base!$G$11,0))*parametros_manuales!$B$105+parametros_manuales!$F$27*(datos_base!$G$20+IF(parametros_manuales!$H$27="Todos",datos_base!$G$25,0))*parametros_manuales!$B$14+parametros_manuales!$G$27*(datos_base!$G$5+IF(parametros_manuales!$H$27="Todos",datos_base!$G$12,0))*parametros_manuales!$B$110+parametros_manuales!$G$27*(datos_base!$G$21+IF(parametros_manuales!$H$27="Todos",datos_base!$G$26,0))*parametros_manuales!$B$15)*parametros_manuales!$I$27*parametros_manuales!$J$27</f>
        <v>3286.66751261</v>
      </c>
      <c r="C145" s="9" t="n">
        <f aca="false">(parametros_manuales!$D$27*(datos_base!$G$2+IF(parametros_manuales!$H$27="Todos",datos_base!$G$9,0))*parametros_manuales!$C$95+parametros_manuales!$D$27*(datos_base!$G$18+IF(parametros_manuales!$H$27="Todos",datos_base!$G$23,0))*parametros_manuales!$C$12+parametros_manuales!$E$27*(datos_base!$G$3+IF(parametros_manuales!$H$27="Todos",datos_base!$G$10,0))*parametros_manuales!$C$100+parametros_manuales!$E$27*(datos_base!$G$19+IF(parametros_manuales!$H$27="Todos",datos_base!$G$24,0))*parametros_manuales!$C$13+parametros_manuales!$F$27*(datos_base!$G$4+IF(parametros_manuales!$H$27="Todos",datos_base!$G$11,0))*parametros_manuales!$C$105+parametros_manuales!$F$27*(datos_base!$G$20+IF(parametros_manuales!$H$27="Todos",datos_base!$G$25,0))*parametros_manuales!$C$14+parametros_manuales!$G$27*(datos_base!$G$5+IF(parametros_manuales!$H$27="Todos",datos_base!$G$12,0))*parametros_manuales!$C$110+parametros_manuales!$G$27*(datos_base!$G$21+IF(parametros_manuales!$H$27="Todos",datos_base!$G$26,0))*parametros_manuales!$C$15)*parametros_manuales!$I$27*parametros_manuales!$J$27</f>
        <v>2919.04952232</v>
      </c>
      <c r="D145" s="9" t="n">
        <f aca="false">(parametros_manuales!$D$27*(datos_base!$G$2+IF(parametros_manuales!$H$27="Todos",datos_base!$G$9,0))*parametros_manuales!$D$95+parametros_manuales!$D$27*(datos_base!$G$18+IF(parametros_manuales!$H$27="Todos",datos_base!$G$23,0))*parametros_manuales!$D$12+parametros_manuales!$E$27*(datos_base!$G$3+IF(parametros_manuales!$H$27="Todos",datos_base!$G$10,0))*parametros_manuales!$D$100+parametros_manuales!$E$27*(datos_base!$G$19+IF(parametros_manuales!$H$27="Todos",datos_base!$G$24,0))*parametros_manuales!$D$13+parametros_manuales!$F$27*(datos_base!$G$4+IF(parametros_manuales!$H$27="Todos",datos_base!$G$11,0))*parametros_manuales!$D$105+parametros_manuales!$F$27*(datos_base!$G$20+IF(parametros_manuales!$H$27="Todos",datos_base!$G$25,0))*parametros_manuales!$D$14+parametros_manuales!$G$27*(datos_base!$G$5+IF(parametros_manuales!$H$27="Todos",datos_base!$G$12,0))*parametros_manuales!$D$110+parametros_manuales!$G$27*(datos_base!$G$21+IF(parametros_manuales!$H$27="Todos",datos_base!$G$26,0))*parametros_manuales!$D$15)*parametros_manuales!$I$27*parametros_manuales!$J$27</f>
        <v>3101.490117465</v>
      </c>
      <c r="E145" s="9" t="n">
        <f aca="false">(parametros_manuales!$D$27*(datos_base!$G$2+IF(parametros_manuales!$H$27="Todos",datos_base!$G$9,0))*parametros_manuales!$E$95+parametros_manuales!$D$27*(datos_base!$G$18+IF(parametros_manuales!$H$27="Todos",datos_base!$G$23,0))*parametros_manuales!$E$12+parametros_manuales!$E$27*(datos_base!$G$3+IF(parametros_manuales!$H$27="Todos",datos_base!$G$10,0))*parametros_manuales!$E$100+parametros_manuales!$E$27*(datos_base!$G$19+IF(parametros_manuales!$H$27="Todos",datos_base!$G$24,0))*parametros_manuales!$E$13+parametros_manuales!$F$27*(datos_base!$G$4+IF(parametros_manuales!$H$27="Todos",datos_base!$G$11,0))*parametros_manuales!$E$105+parametros_manuales!$F$27*(datos_base!$G$20+IF(parametros_manuales!$H$27="Todos",datos_base!$G$25,0))*parametros_manuales!$E$14+parametros_manuales!$G$27*(datos_base!$G$5+IF(parametros_manuales!$H$27="Todos",datos_base!$G$12,0))*parametros_manuales!$E$110+parametros_manuales!$G$27*(datos_base!$G$21+IF(parametros_manuales!$H$27="Todos",datos_base!$G$26,0))*parametros_manuales!$E$15)*parametros_manuales!$I$27*parametros_manuales!$J$27</f>
        <v>3101.490117465</v>
      </c>
      <c r="F145" s="9" t="n">
        <f aca="false">(parametros_manuales!$D$27*(datos_base!$G$2+IF(parametros_manuales!$H$27="Todos",datos_base!$G$9,0))*parametros_manuales!$F$95+parametros_manuales!$D$27*(datos_base!$G$18+IF(parametros_manuales!$H$27="Todos",datos_base!$G$23,0))*parametros_manuales!$F$12+parametros_manuales!$E$27*(datos_base!$G$3+IF(parametros_manuales!$H$27="Todos",datos_base!$G$10,0))*parametros_manuales!$F$100+parametros_manuales!$E$27*(datos_base!$G$19+IF(parametros_manuales!$H$27="Todos",datos_base!$G$24,0))*parametros_manuales!$F$13+parametros_manuales!$F$27*(datos_base!$G$4+IF(parametros_manuales!$H$27="Todos",datos_base!$G$11,0))*parametros_manuales!$F$105+parametros_manuales!$F$27*(datos_base!$G$20+IF(parametros_manuales!$H$27="Todos",datos_base!$G$25,0))*parametros_manuales!$F$14+parametros_manuales!$G$27*(datos_base!$G$5+IF(parametros_manuales!$H$27="Todos",datos_base!$G$12,0))*parametros_manuales!$F$110+parametros_manuales!$G$27*(datos_base!$G$21+IF(parametros_manuales!$H$27="Todos",datos_base!$G$26,0))*parametros_manuales!$F$15)*parametros_manuales!$I$27*parametros_manuales!$J$27</f>
        <v>2919.04952232</v>
      </c>
      <c r="G145" s="9" t="n">
        <f aca="false">(parametros_manuales!$D$27*(datos_base!$G$2+IF(parametros_manuales!$H$27="Todos",datos_base!$G$9,0))*parametros_manuales!$G$95+parametros_manuales!$D$27*(datos_base!$G$18+IF(parametros_manuales!$H$27="Todos",datos_base!$G$23,0))*parametros_manuales!$G$12+parametros_manuales!$E$27*(datos_base!$G$3+IF(parametros_manuales!$H$27="Todos",datos_base!$G$10,0))*parametros_manuales!$G$100+parametros_manuales!$E$27*(datos_base!$G$19+IF(parametros_manuales!$H$27="Todos",datos_base!$G$24,0))*parametros_manuales!$G$13+parametros_manuales!$F$27*(datos_base!$G$4+IF(parametros_manuales!$H$27="Todos",datos_base!$G$11,0))*parametros_manuales!$G$105+parametros_manuales!$F$27*(datos_base!$G$20+IF(parametros_manuales!$H$27="Todos",datos_base!$G$25,0))*parametros_manuales!$G$14+parametros_manuales!$G$27*(datos_base!$G$5+IF(parametros_manuales!$H$27="Todos",datos_base!$G$12,0))*parametros_manuales!$G$110+parametros_manuales!$G$27*(datos_base!$G$21+IF(parametros_manuales!$H$27="Todos",datos_base!$G$26,0))*parametros_manuales!$G$15)*parametros_manuales!$I$27*parametros_manuales!$J$27</f>
        <v>2736.608927175</v>
      </c>
      <c r="H145" s="9" t="n">
        <f aca="false">(parametros_manuales!$D$27*(datos_base!$G$2+IF(parametros_manuales!$H$27="Todos",datos_base!$G$9,0))*parametros_manuales!$H$95+parametros_manuales!$D$27*(datos_base!$G$18+IF(parametros_manuales!$H$27="Todos",datos_base!$G$23,0))*parametros_manuales!$H$12+parametros_manuales!$E$27*(datos_base!$G$3+IF(parametros_manuales!$H$27="Todos",datos_base!$G$10,0))*parametros_manuales!$H$100+parametros_manuales!$E$27*(datos_base!$G$19+IF(parametros_manuales!$H$27="Todos",datos_base!$G$24,0))*parametros_manuales!$H$13+parametros_manuales!$F$27*(datos_base!$G$4+IF(parametros_manuales!$H$27="Todos",datos_base!$G$11,0))*parametros_manuales!$H$105+parametros_manuales!$F$27*(datos_base!$G$20+IF(parametros_manuales!$H$27="Todos",datos_base!$G$25,0))*parametros_manuales!$H$14+parametros_manuales!$G$27*(datos_base!$G$5+IF(parametros_manuales!$H$27="Todos",datos_base!$G$12,0))*parametros_manuales!$H$110+parametros_manuales!$G$27*(datos_base!$G$21+IF(parametros_manuales!$H$27="Todos",datos_base!$G$26,0))*parametros_manuales!$H$15)*parametros_manuales!$I$27*parametros_manuales!$J$27</f>
        <v>2919.04952232</v>
      </c>
      <c r="I145" s="9" t="n">
        <f aca="false">(parametros_manuales!$D$27*(datos_base!$G$2+IF(parametros_manuales!$H$27="Todos",datos_base!$G$9,0))*parametros_manuales!$I$95+parametros_manuales!$D$27*(datos_base!$G$18+IF(parametros_manuales!$H$27="Todos",datos_base!$G$23,0))*parametros_manuales!$I$12+parametros_manuales!$E$27*(datos_base!$G$3+IF(parametros_manuales!$H$27="Todos",datos_base!$G$10,0))*parametros_manuales!$I$100+parametros_manuales!$E$27*(datos_base!$G$19+IF(parametros_manuales!$H$27="Todos",datos_base!$G$24,0))*parametros_manuales!$I$13+parametros_manuales!$F$27*(datos_base!$G$4+IF(parametros_manuales!$H$27="Todos",datos_base!$G$11,0))*parametros_manuales!$I$105+parametros_manuales!$F$27*(datos_base!$G$20+IF(parametros_manuales!$H$27="Todos",datos_base!$G$25,0))*parametros_manuales!$I$14+parametros_manuales!$G$27*(datos_base!$G$5+IF(parametros_manuales!$H$27="Todos",datos_base!$G$12,0))*parametros_manuales!$I$110+parametros_manuales!$G$27*(datos_base!$G$21+IF(parametros_manuales!$H$27="Todos",datos_base!$G$26,0))*parametros_manuales!$I$15)*parametros_manuales!$I$27*parametros_manuales!$J$27</f>
        <v>2919.04952232</v>
      </c>
      <c r="J145" s="9" t="n">
        <f aca="false">(parametros_manuales!$D$27*(datos_base!$G$2+IF(parametros_manuales!$H$27="Todos",datos_base!$G$9,0))*parametros_manuales!$J$95+parametros_manuales!$D$27*(datos_base!$G$18+IF(parametros_manuales!$H$27="Todos",datos_base!$G$23,0))*parametros_manuales!$J$12+parametros_manuales!$E$27*(datos_base!$G$3+IF(parametros_manuales!$H$27="Todos",datos_base!$G$10,0))*parametros_manuales!$J$100+parametros_manuales!$E$27*(datos_base!$G$19+IF(parametros_manuales!$H$27="Todos",datos_base!$G$24,0))*parametros_manuales!$J$13+parametros_manuales!$F$27*(datos_base!$G$4+IF(parametros_manuales!$H$27="Todos",datos_base!$G$11,0))*parametros_manuales!$J$105+parametros_manuales!$F$27*(datos_base!$G$20+IF(parametros_manuales!$H$27="Todos",datos_base!$G$25,0))*parametros_manuales!$J$14+parametros_manuales!$G$27*(datos_base!$G$5+IF(parametros_manuales!$H$27="Todos",datos_base!$G$12,0))*parametros_manuales!$J$110+parametros_manuales!$G$27*(datos_base!$G$21+IF(parametros_manuales!$H$27="Todos",datos_base!$G$26,0))*parametros_manuales!$J$15)*parametros_manuales!$I$27*parametros_manuales!$J$27</f>
        <v>2919.04952232</v>
      </c>
      <c r="K145" s="9" t="n">
        <f aca="false">(parametros_manuales!$D$27*(datos_base!$G$2+IF(parametros_manuales!$H$27="Todos",datos_base!$G$9,0))*parametros_manuales!$K$95+parametros_manuales!$D$27*(datos_base!$G$18+IF(parametros_manuales!$H$27="Todos",datos_base!$G$23,0))*parametros_manuales!$K$12+parametros_manuales!$E$27*(datos_base!$G$3+IF(parametros_manuales!$H$27="Todos",datos_base!$G$10,0))*parametros_manuales!$K$100+parametros_manuales!$E$27*(datos_base!$G$19+IF(parametros_manuales!$H$27="Todos",datos_base!$G$24,0))*parametros_manuales!$K$13+parametros_manuales!$F$27*(datos_base!$G$4+IF(parametros_manuales!$H$27="Todos",datos_base!$G$11,0))*parametros_manuales!$K$105+parametros_manuales!$F$27*(datos_base!$G$20+IF(parametros_manuales!$H$27="Todos",datos_base!$G$25,0))*parametros_manuales!$K$14+parametros_manuales!$G$27*(datos_base!$G$5+IF(parametros_manuales!$H$27="Todos",datos_base!$G$12,0))*parametros_manuales!$K$110+parametros_manuales!$G$27*(datos_base!$G$21+IF(parametros_manuales!$H$27="Todos",datos_base!$G$26,0))*parametros_manuales!$K$15)*parametros_manuales!$I$27*parametros_manuales!$J$27</f>
        <v>3098.753317465</v>
      </c>
      <c r="L145" s="9" t="n">
        <f aca="false">(parametros_manuales!$D$27*(datos_base!$G$2+IF(parametros_manuales!$H$27="Todos",datos_base!$G$9,0))*parametros_manuales!$L$95+parametros_manuales!$D$27*(datos_base!$G$18+IF(parametros_manuales!$H$27="Todos",datos_base!$G$23,0))*parametros_manuales!$L$12+parametros_manuales!$E$27*(datos_base!$G$3+IF(parametros_manuales!$H$27="Todos",datos_base!$G$10,0))*parametros_manuales!$L$100+parametros_manuales!$E$27*(datos_base!$G$19+IF(parametros_manuales!$H$27="Todos",datos_base!$G$24,0))*parametros_manuales!$L$13+parametros_manuales!$F$27*(datos_base!$G$4+IF(parametros_manuales!$H$27="Todos",datos_base!$G$11,0))*parametros_manuales!$L$105+parametros_manuales!$F$27*(datos_base!$G$20+IF(parametros_manuales!$H$27="Todos",datos_base!$G$25,0))*parametros_manuales!$L$14+parametros_manuales!$G$27*(datos_base!$G$5+IF(parametros_manuales!$H$27="Todos",datos_base!$G$12,0))*parametros_manuales!$L$110+parametros_manuales!$G$27*(datos_base!$G$21+IF(parametros_manuales!$H$27="Todos",datos_base!$G$26,0))*parametros_manuales!$L$15)*parametros_manuales!$I$27*parametros_manuales!$J$27</f>
        <v>3278.45711261</v>
      </c>
      <c r="M145" s="9" t="n">
        <f aca="false">(parametros_manuales!$D$27*(datos_base!$G$2+IF(parametros_manuales!$H$27="Todos",datos_base!$G$9,0))*parametros_manuales!$M$95+parametros_manuales!$D$27*(datos_base!$G$18+IF(parametros_manuales!$H$27="Todos",datos_base!$G$23,0))*parametros_manuales!$M$12+parametros_manuales!$E$27*(datos_base!$G$3+IF(parametros_manuales!$H$27="Todos",datos_base!$G$10,0))*parametros_manuales!$M$100+parametros_manuales!$E$27*(datos_base!$G$19+IF(parametros_manuales!$H$27="Todos",datos_base!$G$24,0))*parametros_manuales!$M$13+parametros_manuales!$F$27*(datos_base!$G$4+IF(parametros_manuales!$H$27="Todos",datos_base!$G$11,0))*parametros_manuales!$M$105+parametros_manuales!$F$27*(datos_base!$G$20+IF(parametros_manuales!$H$27="Todos",datos_base!$G$25,0))*parametros_manuales!$M$14+parametros_manuales!$G$27*(datos_base!$G$5+IF(parametros_manuales!$H$27="Todos",datos_base!$G$12,0))*parametros_manuales!$M$110+parametros_manuales!$G$27*(datos_base!$G$21+IF(parametros_manuales!$H$27="Todos",datos_base!$G$26,0))*parametros_manuales!$M$15)*parametros_manuales!$I$27*parametros_manuales!$J$27</f>
        <v>3289.40431261</v>
      </c>
      <c r="N145" s="9" t="n">
        <f aca="false">SUM(B145:M145)</f>
        <v>36488.119029</v>
      </c>
      <c r="O145" s="9" t="n">
        <f aca="false">MAX(B145:M145)</f>
        <v>3289.40431261</v>
      </c>
      <c r="P145" s="44" t="n">
        <f aca="false">O145/(parametros_manuales!$B$7)</f>
        <v>21.9293620840667</v>
      </c>
      <c r="Q145" s="8" t="str">
        <f aca="false">IF(O145=0,"-",INDEX($B$136:$M$136,MATCH(O145,B145:M145,0)))</f>
        <v>Dic</v>
      </c>
    </row>
    <row r="146" customFormat="false" ht="14.25" hidden="false" customHeight="true" outlineLevel="0" collapsed="false">
      <c r="A146" s="8" t="str">
        <f aca="false">parametros_manuales!$B$28</f>
        <v>Encastre de fondo</v>
      </c>
      <c r="B146" s="9" t="n">
        <f aca="false">(parametros_manuales!$D$28*(datos_base!$G$2+IF(parametros_manuales!$H$28="Todos",datos_base!$G$9,0))*parametros_manuales!$B$95+parametros_manuales!$D$28*(datos_base!$G$18+IF(parametros_manuales!$H$28="Todos",datos_base!$G$23,0))*parametros_manuales!$B$12+parametros_manuales!$E$28*(datos_base!$G$3+IF(parametros_manuales!$H$28="Todos",datos_base!$G$10,0))*parametros_manuales!$B$100+parametros_manuales!$E$28*(datos_base!$G$19+IF(parametros_manuales!$H$28="Todos",datos_base!$G$24,0))*parametros_manuales!$B$13+parametros_manuales!$F$28*(datos_base!$G$4+IF(parametros_manuales!$H$28="Todos",datos_base!$G$11,0))*parametros_manuales!$B$105+parametros_manuales!$F$28*(datos_base!$G$20+IF(parametros_manuales!$H$28="Todos",datos_base!$G$25,0))*parametros_manuales!$B$14+parametros_manuales!$G$28*(datos_base!$G$5+IF(parametros_manuales!$H$28="Todos",datos_base!$G$12,0))*parametros_manuales!$B$110+parametros_manuales!$G$28*(datos_base!$G$21+IF(parametros_manuales!$H$28="Todos",datos_base!$G$26,0))*parametros_manuales!$B$15)*parametros_manuales!$I$28*parametros_manuales!$J$28</f>
        <v>11143.70828891</v>
      </c>
      <c r="C146" s="9" t="n">
        <f aca="false">(parametros_manuales!$D$28*(datos_base!$G$2+IF(parametros_manuales!$H$28="Todos",datos_base!$G$9,0))*parametros_manuales!$C$95+parametros_manuales!$D$28*(datos_base!$G$18+IF(parametros_manuales!$H$28="Todos",datos_base!$G$23,0))*parametros_manuales!$C$12+parametros_manuales!$E$28*(datos_base!$G$3+IF(parametros_manuales!$H$28="Todos",datos_base!$G$10,0))*parametros_manuales!$C$100+parametros_manuales!$E$28*(datos_base!$G$19+IF(parametros_manuales!$H$28="Todos",datos_base!$G$24,0))*parametros_manuales!$C$13+parametros_manuales!$F$28*(datos_base!$G$4+IF(parametros_manuales!$H$28="Todos",datos_base!$G$11,0))*parametros_manuales!$C$105+parametros_manuales!$F$28*(datos_base!$G$20+IF(parametros_manuales!$H$28="Todos",datos_base!$G$25,0))*parametros_manuales!$C$14+parametros_manuales!$G$28*(datos_base!$G$5+IF(parametros_manuales!$H$28="Todos",datos_base!$G$12,0))*parametros_manuales!$C$110+parametros_manuales!$G$28*(datos_base!$G$21+IF(parametros_manuales!$H$28="Todos",datos_base!$G$26,0))*parametros_manuales!$C$15)*parametros_manuales!$I$28*parametros_manuales!$J$28</f>
        <v>10776.09029862</v>
      </c>
      <c r="D146" s="9" t="n">
        <f aca="false">(parametros_manuales!$D$28*(datos_base!$G$2+IF(parametros_manuales!$H$28="Todos",datos_base!$G$9,0))*parametros_manuales!$D$95+parametros_manuales!$D$28*(datos_base!$G$18+IF(parametros_manuales!$H$28="Todos",datos_base!$G$23,0))*parametros_manuales!$D$12+parametros_manuales!$E$28*(datos_base!$G$3+IF(parametros_manuales!$H$28="Todos",datos_base!$G$10,0))*parametros_manuales!$D$100+parametros_manuales!$E$28*(datos_base!$G$19+IF(parametros_manuales!$H$28="Todos",datos_base!$G$24,0))*parametros_manuales!$D$13+parametros_manuales!$F$28*(datos_base!$G$4+IF(parametros_manuales!$H$28="Todos",datos_base!$G$11,0))*parametros_manuales!$D$105+parametros_manuales!$F$28*(datos_base!$G$20+IF(parametros_manuales!$H$28="Todos",datos_base!$G$25,0))*parametros_manuales!$D$14+parametros_manuales!$G$28*(datos_base!$G$5+IF(parametros_manuales!$H$28="Todos",datos_base!$G$12,0))*parametros_manuales!$D$110+parametros_manuales!$G$28*(datos_base!$G$21+IF(parametros_manuales!$H$28="Todos",datos_base!$G$26,0))*parametros_manuales!$D$15)*parametros_manuales!$I$28*parametros_manuales!$J$28</f>
        <v>10085.526363065</v>
      </c>
      <c r="E146" s="9" t="n">
        <f aca="false">(parametros_manuales!$D$28*(datos_base!$G$2+IF(parametros_manuales!$H$28="Todos",datos_base!$G$9,0))*parametros_manuales!$E$95+parametros_manuales!$D$28*(datos_base!$G$18+IF(parametros_manuales!$H$28="Todos",datos_base!$G$23,0))*parametros_manuales!$E$12+parametros_manuales!$E$28*(datos_base!$G$3+IF(parametros_manuales!$H$28="Todos",datos_base!$G$10,0))*parametros_manuales!$E$100+parametros_manuales!$E$28*(datos_base!$G$19+IF(parametros_manuales!$H$28="Todos",datos_base!$G$24,0))*parametros_manuales!$E$13+parametros_manuales!$F$28*(datos_base!$G$4+IF(parametros_manuales!$H$28="Todos",datos_base!$G$11,0))*parametros_manuales!$E$105+parametros_manuales!$F$28*(datos_base!$G$20+IF(parametros_manuales!$H$28="Todos",datos_base!$G$25,0))*parametros_manuales!$E$14+parametros_manuales!$G$28*(datos_base!$G$5+IF(parametros_manuales!$H$28="Todos",datos_base!$G$12,0))*parametros_manuales!$E$110+parametros_manuales!$G$28*(datos_base!$G$21+IF(parametros_manuales!$H$28="Todos",datos_base!$G$26,0))*parametros_manuales!$E$15)*parametros_manuales!$I$28*parametros_manuales!$J$28</f>
        <v>9649.024097715</v>
      </c>
      <c r="F146" s="9" t="n">
        <f aca="false">(parametros_manuales!$D$28*(datos_base!$G$2+IF(parametros_manuales!$H$28="Todos",datos_base!$G$9,0))*parametros_manuales!$F$95+parametros_manuales!$D$28*(datos_base!$G$18+IF(parametros_manuales!$H$28="Todos",datos_base!$G$23,0))*parametros_manuales!$F$12+parametros_manuales!$E$28*(datos_base!$G$3+IF(parametros_manuales!$H$28="Todos",datos_base!$G$10,0))*parametros_manuales!$F$100+parametros_manuales!$E$28*(datos_base!$G$19+IF(parametros_manuales!$H$28="Todos",datos_base!$G$24,0))*parametros_manuales!$F$13+parametros_manuales!$F$28*(datos_base!$G$4+IF(parametros_manuales!$H$28="Todos",datos_base!$G$11,0))*parametros_manuales!$F$105+parametros_manuales!$F$28*(datos_base!$G$20+IF(parametros_manuales!$H$28="Todos",datos_base!$G$25,0))*parametros_manuales!$F$14+parametros_manuales!$G$28*(datos_base!$G$5+IF(parametros_manuales!$H$28="Todos",datos_base!$G$12,0))*parametros_manuales!$F$110+parametros_manuales!$G$28*(datos_base!$G$21+IF(parametros_manuales!$H$28="Todos",datos_base!$G$26,0))*parametros_manuales!$F$15)*parametros_manuales!$I$28*parametros_manuales!$J$28</f>
        <v>9030.08123722</v>
      </c>
      <c r="G146" s="9" t="n">
        <f aca="false">(parametros_manuales!$D$28*(datos_base!$G$2+IF(parametros_manuales!$H$28="Todos",datos_base!$G$9,0))*parametros_manuales!$G$95+parametros_manuales!$D$28*(datos_base!$G$18+IF(parametros_manuales!$H$28="Todos",datos_base!$G$23,0))*parametros_manuales!$G$12+parametros_manuales!$E$28*(datos_base!$G$3+IF(parametros_manuales!$H$28="Todos",datos_base!$G$10,0))*parametros_manuales!$G$100+parametros_manuales!$E$28*(datos_base!$G$19+IF(parametros_manuales!$H$28="Todos",datos_base!$G$24,0))*parametros_manuales!$G$13+parametros_manuales!$F$28*(datos_base!$G$4+IF(parametros_manuales!$H$28="Todos",datos_base!$G$11,0))*parametros_manuales!$G$105+parametros_manuales!$F$28*(datos_base!$G$20+IF(parametros_manuales!$H$28="Todos",datos_base!$G$25,0))*parametros_manuales!$G$14+parametros_manuales!$G$28*(datos_base!$G$5+IF(parametros_manuales!$H$28="Todos",datos_base!$G$12,0))*parametros_manuales!$G$110+parametros_manuales!$G$28*(datos_base!$G$21+IF(parametros_manuales!$H$28="Todos",datos_base!$G$26,0))*parametros_manuales!$G$15)*parametros_manuales!$I$28*parametros_manuales!$J$28</f>
        <v>8847.640642075</v>
      </c>
      <c r="H146" s="9" t="n">
        <f aca="false">(parametros_manuales!$D$28*(datos_base!$G$2+IF(parametros_manuales!$H$28="Todos",datos_base!$G$9,0))*parametros_manuales!$H$95+parametros_manuales!$D$28*(datos_base!$G$18+IF(parametros_manuales!$H$28="Todos",datos_base!$G$23,0))*parametros_manuales!$H$12+parametros_manuales!$E$28*(datos_base!$G$3+IF(parametros_manuales!$H$28="Todos",datos_base!$G$10,0))*parametros_manuales!$H$100+parametros_manuales!$E$28*(datos_base!$G$19+IF(parametros_manuales!$H$28="Todos",datos_base!$G$24,0))*parametros_manuales!$H$13+parametros_manuales!$F$28*(datos_base!$G$4+IF(parametros_manuales!$H$28="Todos",datos_base!$G$11,0))*parametros_manuales!$H$105+parametros_manuales!$F$28*(datos_base!$G$20+IF(parametros_manuales!$H$28="Todos",datos_base!$G$25,0))*parametros_manuales!$H$14+parametros_manuales!$G$28*(datos_base!$G$5+IF(parametros_manuales!$H$28="Todos",datos_base!$G$12,0))*parametros_manuales!$H$110+parametros_manuales!$G$28*(datos_base!$G$21+IF(parametros_manuales!$H$28="Todos",datos_base!$G$26,0))*parametros_manuales!$H$15)*parametros_manuales!$I$28*parametros_manuales!$J$28</f>
        <v>9466.58350257</v>
      </c>
      <c r="I146" s="9" t="n">
        <f aca="false">(parametros_manuales!$D$28*(datos_base!$G$2+IF(parametros_manuales!$H$28="Todos",datos_base!$G$9,0))*parametros_manuales!$I$95+parametros_manuales!$D$28*(datos_base!$G$18+IF(parametros_manuales!$H$28="Todos",datos_base!$G$23,0))*parametros_manuales!$I$12+parametros_manuales!$E$28*(datos_base!$G$3+IF(parametros_manuales!$H$28="Todos",datos_base!$G$10,0))*parametros_manuales!$I$100+parametros_manuales!$E$28*(datos_base!$G$19+IF(parametros_manuales!$H$28="Todos",datos_base!$G$24,0))*parametros_manuales!$I$13+parametros_manuales!$F$28*(datos_base!$G$4+IF(parametros_manuales!$H$28="Todos",datos_base!$G$11,0))*parametros_manuales!$I$105+parametros_manuales!$F$28*(datos_base!$G$20+IF(parametros_manuales!$H$28="Todos",datos_base!$G$25,0))*parametros_manuales!$I$14+parametros_manuales!$G$28*(datos_base!$G$5+IF(parametros_manuales!$H$28="Todos",datos_base!$G$12,0))*parametros_manuales!$I$110+parametros_manuales!$G$28*(datos_base!$G$21+IF(parametros_manuales!$H$28="Todos",datos_base!$G$26,0))*parametros_manuales!$I$15)*parametros_manuales!$I$28*parametros_manuales!$J$28</f>
        <v>10776.09029862</v>
      </c>
      <c r="J146" s="9" t="n">
        <f aca="false">(parametros_manuales!$D$28*(datos_base!$G$2+IF(parametros_manuales!$H$28="Todos",datos_base!$G$9,0))*parametros_manuales!$J$95+parametros_manuales!$D$28*(datos_base!$G$18+IF(parametros_manuales!$H$28="Todos",datos_base!$G$23,0))*parametros_manuales!$J$12+parametros_manuales!$E$28*(datos_base!$G$3+IF(parametros_manuales!$H$28="Todos",datos_base!$G$10,0))*parametros_manuales!$J$100+parametros_manuales!$E$28*(datos_base!$G$19+IF(parametros_manuales!$H$28="Todos",datos_base!$G$24,0))*parametros_manuales!$J$13+parametros_manuales!$F$28*(datos_base!$G$4+IF(parametros_manuales!$H$28="Todos",datos_base!$G$11,0))*parametros_manuales!$J$105+parametros_manuales!$F$28*(datos_base!$G$20+IF(parametros_manuales!$H$28="Todos",datos_base!$G$25,0))*parametros_manuales!$J$14+parametros_manuales!$G$28*(datos_base!$G$5+IF(parametros_manuales!$H$28="Todos",datos_base!$G$12,0))*parametros_manuales!$J$110+parametros_manuales!$G$28*(datos_base!$G$21+IF(parametros_manuales!$H$28="Todos",datos_base!$G$26,0))*parametros_manuales!$J$15)*parametros_manuales!$I$28*parametros_manuales!$J$28</f>
        <v>10776.09029862</v>
      </c>
      <c r="K146" s="9" t="n">
        <f aca="false">(parametros_manuales!$D$28*(datos_base!$G$2+IF(parametros_manuales!$H$28="Todos",datos_base!$G$9,0))*parametros_manuales!$K$95+parametros_manuales!$D$28*(datos_base!$G$18+IF(parametros_manuales!$H$28="Todos",datos_base!$G$23,0))*parametros_manuales!$K$12+parametros_manuales!$E$28*(datos_base!$G$3+IF(parametros_manuales!$H$28="Todos",datos_base!$G$10,0))*parametros_manuales!$K$100+parametros_manuales!$E$28*(datos_base!$G$19+IF(parametros_manuales!$H$28="Todos",datos_base!$G$24,0))*parametros_manuales!$K$13+parametros_manuales!$F$28*(datos_base!$G$4+IF(parametros_manuales!$H$28="Todos",datos_base!$G$11,0))*parametros_manuales!$K$105+parametros_manuales!$F$28*(datos_base!$G$20+IF(parametros_manuales!$H$28="Todos",datos_base!$G$25,0))*parametros_manuales!$K$14+parametros_manuales!$G$28*(datos_base!$G$5+IF(parametros_manuales!$H$28="Todos",datos_base!$G$12,0))*parametros_manuales!$K$110+parametros_manuales!$G$28*(datos_base!$G$21+IF(parametros_manuales!$H$28="Todos",datos_base!$G$26,0))*parametros_manuales!$K$15)*parametros_manuales!$I$28*parametros_manuales!$J$28</f>
        <v>10955.794093765</v>
      </c>
      <c r="L146" s="9" t="n">
        <f aca="false">(parametros_manuales!$D$28*(datos_base!$G$2+IF(parametros_manuales!$H$28="Todos",datos_base!$G$9,0))*parametros_manuales!$L$95+parametros_manuales!$D$28*(datos_base!$G$18+IF(parametros_manuales!$H$28="Todos",datos_base!$G$23,0))*parametros_manuales!$L$12+parametros_manuales!$E$28*(datos_base!$G$3+IF(parametros_manuales!$H$28="Todos",datos_base!$G$10,0))*parametros_manuales!$L$100+parametros_manuales!$E$28*(datos_base!$G$19+IF(parametros_manuales!$H$28="Todos",datos_base!$G$24,0))*parametros_manuales!$L$13+parametros_manuales!$F$28*(datos_base!$G$4+IF(parametros_manuales!$H$28="Todos",datos_base!$G$11,0))*parametros_manuales!$L$105+parametros_manuales!$F$28*(datos_base!$G$20+IF(parametros_manuales!$H$28="Todos",datos_base!$G$25,0))*parametros_manuales!$L$14+parametros_manuales!$G$28*(datos_base!$G$5+IF(parametros_manuales!$H$28="Todos",datos_base!$G$12,0))*parametros_manuales!$L$110+parametros_manuales!$G$28*(datos_base!$G$21+IF(parametros_manuales!$H$28="Todos",datos_base!$G$26,0))*parametros_manuales!$L$15)*parametros_manuales!$I$28*parametros_manuales!$J$28</f>
        <v>11135.49788891</v>
      </c>
      <c r="M146" s="9" t="n">
        <f aca="false">(parametros_manuales!$D$28*(datos_base!$G$2+IF(parametros_manuales!$H$28="Todos",datos_base!$G$9,0))*parametros_manuales!$M$95+parametros_manuales!$D$28*(datos_base!$G$18+IF(parametros_manuales!$H$28="Todos",datos_base!$G$23,0))*parametros_manuales!$M$12+parametros_manuales!$E$28*(datos_base!$G$3+IF(parametros_manuales!$H$28="Todos",datos_base!$G$10,0))*parametros_manuales!$M$100+parametros_manuales!$E$28*(datos_base!$G$19+IF(parametros_manuales!$H$28="Todos",datos_base!$G$24,0))*parametros_manuales!$M$13+parametros_manuales!$F$28*(datos_base!$G$4+IF(parametros_manuales!$H$28="Todos",datos_base!$G$11,0))*parametros_manuales!$M$105+parametros_manuales!$F$28*(datos_base!$G$20+IF(parametros_manuales!$H$28="Todos",datos_base!$G$25,0))*parametros_manuales!$M$14+parametros_manuales!$G$28*(datos_base!$G$5+IF(parametros_manuales!$H$28="Todos",datos_base!$G$12,0))*parametros_manuales!$M$110+parametros_manuales!$G$28*(datos_base!$G$21+IF(parametros_manuales!$H$28="Todos",datos_base!$G$26,0))*parametros_manuales!$M$15)*parametros_manuales!$I$28*parametros_manuales!$J$28</f>
        <v>11146.44508891</v>
      </c>
      <c r="N146" s="9" t="n">
        <f aca="false">SUM(B146:M146)</f>
        <v>123788.572099</v>
      </c>
      <c r="O146" s="9" t="n">
        <f aca="false">MAX(B146:M146)</f>
        <v>11146.44508891</v>
      </c>
      <c r="P146" s="44" t="n">
        <f aca="false">O146/(parametros_manuales!$B$7)</f>
        <v>74.3096339260667</v>
      </c>
      <c r="Q146" s="8" t="str">
        <f aca="false">IF(O146=0,"-",INDEX($B$136:$M$136,MATCH(O146,B146:M146,0)))</f>
        <v>Dic</v>
      </c>
    </row>
    <row r="147" customFormat="false" ht="14.25" hidden="false" customHeight="true" outlineLevel="0" collapsed="false">
      <c r="A147" s="8" t="str">
        <f aca="false">parametros_manuales!$B$29</f>
        <v>Bordoneado</v>
      </c>
      <c r="B147" s="9" t="n">
        <f aca="false">(parametros_manuales!$D$29*(datos_base!$G$2+IF(parametros_manuales!$H$29="Todos",datos_base!$G$9,0))*parametros_manuales!$B$95+parametros_manuales!$D$29*(datos_base!$G$18+IF(parametros_manuales!$H$29="Todos",datos_base!$G$23,0))*parametros_manuales!$B$12+parametros_manuales!$E$29*(datos_base!$G$3+IF(parametros_manuales!$H$29="Todos",datos_base!$G$10,0))*parametros_manuales!$B$100+parametros_manuales!$E$29*(datos_base!$G$19+IF(parametros_manuales!$H$29="Todos",datos_base!$G$24,0))*parametros_manuales!$B$13+parametros_manuales!$F$29*(datos_base!$G$4+IF(parametros_manuales!$H$29="Todos",datos_base!$G$11,0))*parametros_manuales!$B$105+parametros_manuales!$F$29*(datos_base!$G$20+IF(parametros_manuales!$H$29="Todos",datos_base!$G$25,0))*parametros_manuales!$B$14+parametros_manuales!$G$29*(datos_base!$G$5+IF(parametros_manuales!$H$29="Todos",datos_base!$G$12,0))*parametros_manuales!$B$110+parametros_manuales!$G$29*(datos_base!$G$21+IF(parametros_manuales!$H$29="Todos",datos_base!$G$26,0))*parametros_manuales!$B$15)*parametros_manuales!$I$29*parametros_manuales!$J$29</f>
        <v>11143.70828891</v>
      </c>
      <c r="C147" s="9" t="n">
        <f aca="false">(parametros_manuales!$D$29*(datos_base!$G$2+IF(parametros_manuales!$H$29="Todos",datos_base!$G$9,0))*parametros_manuales!$C$95+parametros_manuales!$D$29*(datos_base!$G$18+IF(parametros_manuales!$H$29="Todos",datos_base!$G$23,0))*parametros_manuales!$C$12+parametros_manuales!$E$29*(datos_base!$G$3+IF(parametros_manuales!$H$29="Todos",datos_base!$G$10,0))*parametros_manuales!$C$100+parametros_manuales!$E$29*(datos_base!$G$19+IF(parametros_manuales!$H$29="Todos",datos_base!$G$24,0))*parametros_manuales!$C$13+parametros_manuales!$F$29*(datos_base!$G$4+IF(parametros_manuales!$H$29="Todos",datos_base!$G$11,0))*parametros_manuales!$C$105+parametros_manuales!$F$29*(datos_base!$G$20+IF(parametros_manuales!$H$29="Todos",datos_base!$G$25,0))*parametros_manuales!$C$14+parametros_manuales!$G$29*(datos_base!$G$5+IF(parametros_manuales!$H$29="Todos",datos_base!$G$12,0))*parametros_manuales!$C$110+parametros_manuales!$G$29*(datos_base!$G$21+IF(parametros_manuales!$H$29="Todos",datos_base!$G$26,0))*parametros_manuales!$C$15)*parametros_manuales!$I$29*parametros_manuales!$J$29</f>
        <v>10776.09029862</v>
      </c>
      <c r="D147" s="9" t="n">
        <f aca="false">(parametros_manuales!$D$29*(datos_base!$G$2+IF(parametros_manuales!$H$29="Todos",datos_base!$G$9,0))*parametros_manuales!$D$95+parametros_manuales!$D$29*(datos_base!$G$18+IF(parametros_manuales!$H$29="Todos",datos_base!$G$23,0))*parametros_manuales!$D$12+parametros_manuales!$E$29*(datos_base!$G$3+IF(parametros_manuales!$H$29="Todos",datos_base!$G$10,0))*parametros_manuales!$D$100+parametros_manuales!$E$29*(datos_base!$G$19+IF(parametros_manuales!$H$29="Todos",datos_base!$G$24,0))*parametros_manuales!$D$13+parametros_manuales!$F$29*(datos_base!$G$4+IF(parametros_manuales!$H$29="Todos",datos_base!$G$11,0))*parametros_manuales!$D$105+parametros_manuales!$F$29*(datos_base!$G$20+IF(parametros_manuales!$H$29="Todos",datos_base!$G$25,0))*parametros_manuales!$D$14+parametros_manuales!$G$29*(datos_base!$G$5+IF(parametros_manuales!$H$29="Todos",datos_base!$G$12,0))*parametros_manuales!$D$110+parametros_manuales!$G$29*(datos_base!$G$21+IF(parametros_manuales!$H$29="Todos",datos_base!$G$26,0))*parametros_manuales!$D$15)*parametros_manuales!$I$29*parametros_manuales!$J$29</f>
        <v>10085.526363065</v>
      </c>
      <c r="E147" s="9" t="n">
        <f aca="false">(parametros_manuales!$D$29*(datos_base!$G$2+IF(parametros_manuales!$H$29="Todos",datos_base!$G$9,0))*parametros_manuales!$E$95+parametros_manuales!$D$29*(datos_base!$G$18+IF(parametros_manuales!$H$29="Todos",datos_base!$G$23,0))*parametros_manuales!$E$12+parametros_manuales!$E$29*(datos_base!$G$3+IF(parametros_manuales!$H$29="Todos",datos_base!$G$10,0))*parametros_manuales!$E$100+parametros_manuales!$E$29*(datos_base!$G$19+IF(parametros_manuales!$H$29="Todos",datos_base!$G$24,0))*parametros_manuales!$E$13+parametros_manuales!$F$29*(datos_base!$G$4+IF(parametros_manuales!$H$29="Todos",datos_base!$G$11,0))*parametros_manuales!$E$105+parametros_manuales!$F$29*(datos_base!$G$20+IF(parametros_manuales!$H$29="Todos",datos_base!$G$25,0))*parametros_manuales!$E$14+parametros_manuales!$G$29*(datos_base!$G$5+IF(parametros_manuales!$H$29="Todos",datos_base!$G$12,0))*parametros_manuales!$E$110+parametros_manuales!$G$29*(datos_base!$G$21+IF(parametros_manuales!$H$29="Todos",datos_base!$G$26,0))*parametros_manuales!$E$15)*parametros_manuales!$I$29*parametros_manuales!$J$29</f>
        <v>9649.024097715</v>
      </c>
      <c r="F147" s="9" t="n">
        <f aca="false">(parametros_manuales!$D$29*(datos_base!$G$2+IF(parametros_manuales!$H$29="Todos",datos_base!$G$9,0))*parametros_manuales!$F$95+parametros_manuales!$D$29*(datos_base!$G$18+IF(parametros_manuales!$H$29="Todos",datos_base!$G$23,0))*parametros_manuales!$F$12+parametros_manuales!$E$29*(datos_base!$G$3+IF(parametros_manuales!$H$29="Todos",datos_base!$G$10,0))*parametros_manuales!$F$100+parametros_manuales!$E$29*(datos_base!$G$19+IF(parametros_manuales!$H$29="Todos",datos_base!$G$24,0))*parametros_manuales!$F$13+parametros_manuales!$F$29*(datos_base!$G$4+IF(parametros_manuales!$H$29="Todos",datos_base!$G$11,0))*parametros_manuales!$F$105+parametros_manuales!$F$29*(datos_base!$G$20+IF(parametros_manuales!$H$29="Todos",datos_base!$G$25,0))*parametros_manuales!$F$14+parametros_manuales!$G$29*(datos_base!$G$5+IF(parametros_manuales!$H$29="Todos",datos_base!$G$12,0))*parametros_manuales!$F$110+parametros_manuales!$G$29*(datos_base!$G$21+IF(parametros_manuales!$H$29="Todos",datos_base!$G$26,0))*parametros_manuales!$F$15)*parametros_manuales!$I$29*parametros_manuales!$J$29</f>
        <v>9030.08123722</v>
      </c>
      <c r="G147" s="9" t="n">
        <f aca="false">(parametros_manuales!$D$29*(datos_base!$G$2+IF(parametros_manuales!$H$29="Todos",datos_base!$G$9,0))*parametros_manuales!$G$95+parametros_manuales!$D$29*(datos_base!$G$18+IF(parametros_manuales!$H$29="Todos",datos_base!$G$23,0))*parametros_manuales!$G$12+parametros_manuales!$E$29*(datos_base!$G$3+IF(parametros_manuales!$H$29="Todos",datos_base!$G$10,0))*parametros_manuales!$G$100+parametros_manuales!$E$29*(datos_base!$G$19+IF(parametros_manuales!$H$29="Todos",datos_base!$G$24,0))*parametros_manuales!$G$13+parametros_manuales!$F$29*(datos_base!$G$4+IF(parametros_manuales!$H$29="Todos",datos_base!$G$11,0))*parametros_manuales!$G$105+parametros_manuales!$F$29*(datos_base!$G$20+IF(parametros_manuales!$H$29="Todos",datos_base!$G$25,0))*parametros_manuales!$G$14+parametros_manuales!$G$29*(datos_base!$G$5+IF(parametros_manuales!$H$29="Todos",datos_base!$G$12,0))*parametros_manuales!$G$110+parametros_manuales!$G$29*(datos_base!$G$21+IF(parametros_manuales!$H$29="Todos",datos_base!$G$26,0))*parametros_manuales!$G$15)*parametros_manuales!$I$29*parametros_manuales!$J$29</f>
        <v>8847.640642075</v>
      </c>
      <c r="H147" s="9" t="n">
        <f aca="false">(parametros_manuales!$D$29*(datos_base!$G$2+IF(parametros_manuales!$H$29="Todos",datos_base!$G$9,0))*parametros_manuales!$H$95+parametros_manuales!$D$29*(datos_base!$G$18+IF(parametros_manuales!$H$29="Todos",datos_base!$G$23,0))*parametros_manuales!$H$12+parametros_manuales!$E$29*(datos_base!$G$3+IF(parametros_manuales!$H$29="Todos",datos_base!$G$10,0))*parametros_manuales!$H$100+parametros_manuales!$E$29*(datos_base!$G$19+IF(parametros_manuales!$H$29="Todos",datos_base!$G$24,0))*parametros_manuales!$H$13+parametros_manuales!$F$29*(datos_base!$G$4+IF(parametros_manuales!$H$29="Todos",datos_base!$G$11,0))*parametros_manuales!$H$105+parametros_manuales!$F$29*(datos_base!$G$20+IF(parametros_manuales!$H$29="Todos",datos_base!$G$25,0))*parametros_manuales!$H$14+parametros_manuales!$G$29*(datos_base!$G$5+IF(parametros_manuales!$H$29="Todos",datos_base!$G$12,0))*parametros_manuales!$H$110+parametros_manuales!$G$29*(datos_base!$G$21+IF(parametros_manuales!$H$29="Todos",datos_base!$G$26,0))*parametros_manuales!$H$15)*parametros_manuales!$I$29*parametros_manuales!$J$29</f>
        <v>9466.58350257</v>
      </c>
      <c r="I147" s="9" t="n">
        <f aca="false">(parametros_manuales!$D$29*(datos_base!$G$2+IF(parametros_manuales!$H$29="Todos",datos_base!$G$9,0))*parametros_manuales!$I$95+parametros_manuales!$D$29*(datos_base!$G$18+IF(parametros_manuales!$H$29="Todos",datos_base!$G$23,0))*parametros_manuales!$I$12+parametros_manuales!$E$29*(datos_base!$G$3+IF(parametros_manuales!$H$29="Todos",datos_base!$G$10,0))*parametros_manuales!$I$100+parametros_manuales!$E$29*(datos_base!$G$19+IF(parametros_manuales!$H$29="Todos",datos_base!$G$24,0))*parametros_manuales!$I$13+parametros_manuales!$F$29*(datos_base!$G$4+IF(parametros_manuales!$H$29="Todos",datos_base!$G$11,0))*parametros_manuales!$I$105+parametros_manuales!$F$29*(datos_base!$G$20+IF(parametros_manuales!$H$29="Todos",datos_base!$G$25,0))*parametros_manuales!$I$14+parametros_manuales!$G$29*(datos_base!$G$5+IF(parametros_manuales!$H$29="Todos",datos_base!$G$12,0))*parametros_manuales!$I$110+parametros_manuales!$G$29*(datos_base!$G$21+IF(parametros_manuales!$H$29="Todos",datos_base!$G$26,0))*parametros_manuales!$I$15)*parametros_manuales!$I$29*parametros_manuales!$J$29</f>
        <v>10776.09029862</v>
      </c>
      <c r="J147" s="9" t="n">
        <f aca="false">(parametros_manuales!$D$29*(datos_base!$G$2+IF(parametros_manuales!$H$29="Todos",datos_base!$G$9,0))*parametros_manuales!$J$95+parametros_manuales!$D$29*(datos_base!$G$18+IF(parametros_manuales!$H$29="Todos",datos_base!$G$23,0))*parametros_manuales!$J$12+parametros_manuales!$E$29*(datos_base!$G$3+IF(parametros_manuales!$H$29="Todos",datos_base!$G$10,0))*parametros_manuales!$J$100+parametros_manuales!$E$29*(datos_base!$G$19+IF(parametros_manuales!$H$29="Todos",datos_base!$G$24,0))*parametros_manuales!$J$13+parametros_manuales!$F$29*(datos_base!$G$4+IF(parametros_manuales!$H$29="Todos",datos_base!$G$11,0))*parametros_manuales!$J$105+parametros_manuales!$F$29*(datos_base!$G$20+IF(parametros_manuales!$H$29="Todos",datos_base!$G$25,0))*parametros_manuales!$J$14+parametros_manuales!$G$29*(datos_base!$G$5+IF(parametros_manuales!$H$29="Todos",datos_base!$G$12,0))*parametros_manuales!$J$110+parametros_manuales!$G$29*(datos_base!$G$21+IF(parametros_manuales!$H$29="Todos",datos_base!$G$26,0))*parametros_manuales!$J$15)*parametros_manuales!$I$29*parametros_manuales!$J$29</f>
        <v>10776.09029862</v>
      </c>
      <c r="K147" s="9" t="n">
        <f aca="false">(parametros_manuales!$D$29*(datos_base!$G$2+IF(parametros_manuales!$H$29="Todos",datos_base!$G$9,0))*parametros_manuales!$K$95+parametros_manuales!$D$29*(datos_base!$G$18+IF(parametros_manuales!$H$29="Todos",datos_base!$G$23,0))*parametros_manuales!$K$12+parametros_manuales!$E$29*(datos_base!$G$3+IF(parametros_manuales!$H$29="Todos",datos_base!$G$10,0))*parametros_manuales!$K$100+parametros_manuales!$E$29*(datos_base!$G$19+IF(parametros_manuales!$H$29="Todos",datos_base!$G$24,0))*parametros_manuales!$K$13+parametros_manuales!$F$29*(datos_base!$G$4+IF(parametros_manuales!$H$29="Todos",datos_base!$G$11,0))*parametros_manuales!$K$105+parametros_manuales!$F$29*(datos_base!$G$20+IF(parametros_manuales!$H$29="Todos",datos_base!$G$25,0))*parametros_manuales!$K$14+parametros_manuales!$G$29*(datos_base!$G$5+IF(parametros_manuales!$H$29="Todos",datos_base!$G$12,0))*parametros_manuales!$K$110+parametros_manuales!$G$29*(datos_base!$G$21+IF(parametros_manuales!$H$29="Todos",datos_base!$G$26,0))*parametros_manuales!$K$15)*parametros_manuales!$I$29*parametros_manuales!$J$29</f>
        <v>10955.794093765</v>
      </c>
      <c r="L147" s="9" t="n">
        <f aca="false">(parametros_manuales!$D$29*(datos_base!$G$2+IF(parametros_manuales!$H$29="Todos",datos_base!$G$9,0))*parametros_manuales!$L$95+parametros_manuales!$D$29*(datos_base!$G$18+IF(parametros_manuales!$H$29="Todos",datos_base!$G$23,0))*parametros_manuales!$L$12+parametros_manuales!$E$29*(datos_base!$G$3+IF(parametros_manuales!$H$29="Todos",datos_base!$G$10,0))*parametros_manuales!$L$100+parametros_manuales!$E$29*(datos_base!$G$19+IF(parametros_manuales!$H$29="Todos",datos_base!$G$24,0))*parametros_manuales!$L$13+parametros_manuales!$F$29*(datos_base!$G$4+IF(parametros_manuales!$H$29="Todos",datos_base!$G$11,0))*parametros_manuales!$L$105+parametros_manuales!$F$29*(datos_base!$G$20+IF(parametros_manuales!$H$29="Todos",datos_base!$G$25,0))*parametros_manuales!$L$14+parametros_manuales!$G$29*(datos_base!$G$5+IF(parametros_manuales!$H$29="Todos",datos_base!$G$12,0))*parametros_manuales!$L$110+parametros_manuales!$G$29*(datos_base!$G$21+IF(parametros_manuales!$H$29="Todos",datos_base!$G$26,0))*parametros_manuales!$L$15)*parametros_manuales!$I$29*parametros_manuales!$J$29</f>
        <v>11135.49788891</v>
      </c>
      <c r="M147" s="9" t="n">
        <f aca="false">(parametros_manuales!$D$29*(datos_base!$G$2+IF(parametros_manuales!$H$29="Todos",datos_base!$G$9,0))*parametros_manuales!$M$95+parametros_manuales!$D$29*(datos_base!$G$18+IF(parametros_manuales!$H$29="Todos",datos_base!$G$23,0))*parametros_manuales!$M$12+parametros_manuales!$E$29*(datos_base!$G$3+IF(parametros_manuales!$H$29="Todos",datos_base!$G$10,0))*parametros_manuales!$M$100+parametros_manuales!$E$29*(datos_base!$G$19+IF(parametros_manuales!$H$29="Todos",datos_base!$G$24,0))*parametros_manuales!$M$13+parametros_manuales!$F$29*(datos_base!$G$4+IF(parametros_manuales!$H$29="Todos",datos_base!$G$11,0))*parametros_manuales!$M$105+parametros_manuales!$F$29*(datos_base!$G$20+IF(parametros_manuales!$H$29="Todos",datos_base!$G$25,0))*parametros_manuales!$M$14+parametros_manuales!$G$29*(datos_base!$G$5+IF(parametros_manuales!$H$29="Todos",datos_base!$G$12,0))*parametros_manuales!$M$110+parametros_manuales!$G$29*(datos_base!$G$21+IF(parametros_manuales!$H$29="Todos",datos_base!$G$26,0))*parametros_manuales!$M$15)*parametros_manuales!$I$29*parametros_manuales!$J$29</f>
        <v>11146.44508891</v>
      </c>
      <c r="N147" s="9" t="n">
        <f aca="false">SUM(B147:M147)</f>
        <v>123788.572099</v>
      </c>
      <c r="O147" s="9" t="n">
        <f aca="false">MAX(B147:M147)</f>
        <v>11146.44508891</v>
      </c>
      <c r="P147" s="44" t="n">
        <f aca="false">O147/(parametros_manuales!$B$7)</f>
        <v>74.3096339260667</v>
      </c>
      <c r="Q147" s="8" t="str">
        <f aca="false">IF(O147=0,"-",INDEX($B$136:$M$136,MATCH(O147,B147:M147,0)))</f>
        <v>Dic</v>
      </c>
    </row>
    <row r="148" customFormat="false" ht="14.25" hidden="false" customHeight="true" outlineLevel="0" collapsed="false">
      <c r="A148" s="8" t="str">
        <f aca="false">parametros_manuales!$B$30</f>
        <v>Soldadura circunferencial de cúpula y fondo</v>
      </c>
      <c r="B148" s="9" t="n">
        <f aca="false">(parametros_manuales!$D$30*(datos_base!$G$2+IF(parametros_manuales!$H$30="Todos",datos_base!$G$9,0))*parametros_manuales!$B$95+parametros_manuales!$D$30*(datos_base!$G$18+IF(parametros_manuales!$H$30="Todos",datos_base!$G$23,0))*parametros_manuales!$B$12+parametros_manuales!$E$30*(datos_base!$G$3+IF(parametros_manuales!$H$30="Todos",datos_base!$G$10,0))*parametros_manuales!$B$100+parametros_manuales!$E$30*(datos_base!$G$19+IF(parametros_manuales!$H$30="Todos",datos_base!$G$24,0))*parametros_manuales!$B$13+parametros_manuales!$F$30*(datos_base!$G$4+IF(parametros_manuales!$H$30="Todos",datos_base!$G$11,0))*parametros_manuales!$B$105+parametros_manuales!$F$30*(datos_base!$G$20+IF(parametros_manuales!$H$30="Todos",datos_base!$G$25,0))*parametros_manuales!$B$14+parametros_manuales!$G$30*(datos_base!$G$5+IF(parametros_manuales!$H$30="Todos",datos_base!$G$12,0))*parametros_manuales!$B$110+parametros_manuales!$G$30*(datos_base!$G$21+IF(parametros_manuales!$H$30="Todos",datos_base!$G$26,0))*parametros_manuales!$B$15)*parametros_manuales!$I$30*parametros_manuales!$J$30</f>
        <v>11143.70828891</v>
      </c>
      <c r="C148" s="9" t="n">
        <f aca="false">(parametros_manuales!$D$30*(datos_base!$G$2+IF(parametros_manuales!$H$30="Todos",datos_base!$G$9,0))*parametros_manuales!$C$95+parametros_manuales!$D$30*(datos_base!$G$18+IF(parametros_manuales!$H$30="Todos",datos_base!$G$23,0))*parametros_manuales!$C$12+parametros_manuales!$E$30*(datos_base!$G$3+IF(parametros_manuales!$H$30="Todos",datos_base!$G$10,0))*parametros_manuales!$C$100+parametros_manuales!$E$30*(datos_base!$G$19+IF(parametros_manuales!$H$30="Todos",datos_base!$G$24,0))*parametros_manuales!$C$13+parametros_manuales!$F$30*(datos_base!$G$4+IF(parametros_manuales!$H$30="Todos",datos_base!$G$11,0))*parametros_manuales!$C$105+parametros_manuales!$F$30*(datos_base!$G$20+IF(parametros_manuales!$H$30="Todos",datos_base!$G$25,0))*parametros_manuales!$C$14+parametros_manuales!$G$30*(datos_base!$G$5+IF(parametros_manuales!$H$30="Todos",datos_base!$G$12,0))*parametros_manuales!$C$110+parametros_manuales!$G$30*(datos_base!$G$21+IF(parametros_manuales!$H$30="Todos",datos_base!$G$26,0))*parametros_manuales!$C$15)*parametros_manuales!$I$30*parametros_manuales!$J$30</f>
        <v>10776.09029862</v>
      </c>
      <c r="D148" s="9" t="n">
        <f aca="false">(parametros_manuales!$D$30*(datos_base!$G$2+IF(parametros_manuales!$H$30="Todos",datos_base!$G$9,0))*parametros_manuales!$D$95+parametros_manuales!$D$30*(datos_base!$G$18+IF(parametros_manuales!$H$30="Todos",datos_base!$G$23,0))*parametros_manuales!$D$12+parametros_manuales!$E$30*(datos_base!$G$3+IF(parametros_manuales!$H$30="Todos",datos_base!$G$10,0))*parametros_manuales!$D$100+parametros_manuales!$E$30*(datos_base!$G$19+IF(parametros_manuales!$H$30="Todos",datos_base!$G$24,0))*parametros_manuales!$D$13+parametros_manuales!$F$30*(datos_base!$G$4+IF(parametros_manuales!$H$30="Todos",datos_base!$G$11,0))*parametros_manuales!$D$105+parametros_manuales!$F$30*(datos_base!$G$20+IF(parametros_manuales!$H$30="Todos",datos_base!$G$25,0))*parametros_manuales!$D$14+parametros_manuales!$G$30*(datos_base!$G$5+IF(parametros_manuales!$H$30="Todos",datos_base!$G$12,0))*parametros_manuales!$D$110+parametros_manuales!$G$30*(datos_base!$G$21+IF(parametros_manuales!$H$30="Todos",datos_base!$G$26,0))*parametros_manuales!$D$15)*parametros_manuales!$I$30*parametros_manuales!$J$30</f>
        <v>10085.526363065</v>
      </c>
      <c r="E148" s="9" t="n">
        <f aca="false">(parametros_manuales!$D$30*(datos_base!$G$2+IF(parametros_manuales!$H$30="Todos",datos_base!$G$9,0))*parametros_manuales!$E$95+parametros_manuales!$D$30*(datos_base!$G$18+IF(parametros_manuales!$H$30="Todos",datos_base!$G$23,0))*parametros_manuales!$E$12+parametros_manuales!$E$30*(datos_base!$G$3+IF(parametros_manuales!$H$30="Todos",datos_base!$G$10,0))*parametros_manuales!$E$100+parametros_manuales!$E$30*(datos_base!$G$19+IF(parametros_manuales!$H$30="Todos",datos_base!$G$24,0))*parametros_manuales!$E$13+parametros_manuales!$F$30*(datos_base!$G$4+IF(parametros_manuales!$H$30="Todos",datos_base!$G$11,0))*parametros_manuales!$E$105+parametros_manuales!$F$30*(datos_base!$G$20+IF(parametros_manuales!$H$30="Todos",datos_base!$G$25,0))*parametros_manuales!$E$14+parametros_manuales!$G$30*(datos_base!$G$5+IF(parametros_manuales!$H$30="Todos",datos_base!$G$12,0))*parametros_manuales!$E$110+parametros_manuales!$G$30*(datos_base!$G$21+IF(parametros_manuales!$H$30="Todos",datos_base!$G$26,0))*parametros_manuales!$E$15)*parametros_manuales!$I$30*parametros_manuales!$J$30</f>
        <v>9649.024097715</v>
      </c>
      <c r="F148" s="9" t="n">
        <f aca="false">(parametros_manuales!$D$30*(datos_base!$G$2+IF(parametros_manuales!$H$30="Todos",datos_base!$G$9,0))*parametros_manuales!$F$95+parametros_manuales!$D$30*(datos_base!$G$18+IF(parametros_manuales!$H$30="Todos",datos_base!$G$23,0))*parametros_manuales!$F$12+parametros_manuales!$E$30*(datos_base!$G$3+IF(parametros_manuales!$H$30="Todos",datos_base!$G$10,0))*parametros_manuales!$F$100+parametros_manuales!$E$30*(datos_base!$G$19+IF(parametros_manuales!$H$30="Todos",datos_base!$G$24,0))*parametros_manuales!$F$13+parametros_manuales!$F$30*(datos_base!$G$4+IF(parametros_manuales!$H$30="Todos",datos_base!$G$11,0))*parametros_manuales!$F$105+parametros_manuales!$F$30*(datos_base!$G$20+IF(parametros_manuales!$H$30="Todos",datos_base!$G$25,0))*parametros_manuales!$F$14+parametros_manuales!$G$30*(datos_base!$G$5+IF(parametros_manuales!$H$30="Todos",datos_base!$G$12,0))*parametros_manuales!$F$110+parametros_manuales!$G$30*(datos_base!$G$21+IF(parametros_manuales!$H$30="Todos",datos_base!$G$26,0))*parametros_manuales!$F$15)*parametros_manuales!$I$30*parametros_manuales!$J$30</f>
        <v>9030.08123722</v>
      </c>
      <c r="G148" s="9" t="n">
        <f aca="false">(parametros_manuales!$D$30*(datos_base!$G$2+IF(parametros_manuales!$H$30="Todos",datos_base!$G$9,0))*parametros_manuales!$G$95+parametros_manuales!$D$30*(datos_base!$G$18+IF(parametros_manuales!$H$30="Todos",datos_base!$G$23,0))*parametros_manuales!$G$12+parametros_manuales!$E$30*(datos_base!$G$3+IF(parametros_manuales!$H$30="Todos",datos_base!$G$10,0))*parametros_manuales!$G$100+parametros_manuales!$E$30*(datos_base!$G$19+IF(parametros_manuales!$H$30="Todos",datos_base!$G$24,0))*parametros_manuales!$G$13+parametros_manuales!$F$30*(datos_base!$G$4+IF(parametros_manuales!$H$30="Todos",datos_base!$G$11,0))*parametros_manuales!$G$105+parametros_manuales!$F$30*(datos_base!$G$20+IF(parametros_manuales!$H$30="Todos",datos_base!$G$25,0))*parametros_manuales!$G$14+parametros_manuales!$G$30*(datos_base!$G$5+IF(parametros_manuales!$H$30="Todos",datos_base!$G$12,0))*parametros_manuales!$G$110+parametros_manuales!$G$30*(datos_base!$G$21+IF(parametros_manuales!$H$30="Todos",datos_base!$G$26,0))*parametros_manuales!$G$15)*parametros_manuales!$I$30*parametros_manuales!$J$30</f>
        <v>8847.640642075</v>
      </c>
      <c r="H148" s="9" t="n">
        <f aca="false">(parametros_manuales!$D$30*(datos_base!$G$2+IF(parametros_manuales!$H$30="Todos",datos_base!$G$9,0))*parametros_manuales!$H$95+parametros_manuales!$D$30*(datos_base!$G$18+IF(parametros_manuales!$H$30="Todos",datos_base!$G$23,0))*parametros_manuales!$H$12+parametros_manuales!$E$30*(datos_base!$G$3+IF(parametros_manuales!$H$30="Todos",datos_base!$G$10,0))*parametros_manuales!$H$100+parametros_manuales!$E$30*(datos_base!$G$19+IF(parametros_manuales!$H$30="Todos",datos_base!$G$24,0))*parametros_manuales!$H$13+parametros_manuales!$F$30*(datos_base!$G$4+IF(parametros_manuales!$H$30="Todos",datos_base!$G$11,0))*parametros_manuales!$H$105+parametros_manuales!$F$30*(datos_base!$G$20+IF(parametros_manuales!$H$30="Todos",datos_base!$G$25,0))*parametros_manuales!$H$14+parametros_manuales!$G$30*(datos_base!$G$5+IF(parametros_manuales!$H$30="Todos",datos_base!$G$12,0))*parametros_manuales!$H$110+parametros_manuales!$G$30*(datos_base!$G$21+IF(parametros_manuales!$H$30="Todos",datos_base!$G$26,0))*parametros_manuales!$H$15)*parametros_manuales!$I$30*parametros_manuales!$J$30</f>
        <v>9466.58350257</v>
      </c>
      <c r="I148" s="9" t="n">
        <f aca="false">(parametros_manuales!$D$30*(datos_base!$G$2+IF(parametros_manuales!$H$30="Todos",datos_base!$G$9,0))*parametros_manuales!$I$95+parametros_manuales!$D$30*(datos_base!$G$18+IF(parametros_manuales!$H$30="Todos",datos_base!$G$23,0))*parametros_manuales!$I$12+parametros_manuales!$E$30*(datos_base!$G$3+IF(parametros_manuales!$H$30="Todos",datos_base!$G$10,0))*parametros_manuales!$I$100+parametros_manuales!$E$30*(datos_base!$G$19+IF(parametros_manuales!$H$30="Todos",datos_base!$G$24,0))*parametros_manuales!$I$13+parametros_manuales!$F$30*(datos_base!$G$4+IF(parametros_manuales!$H$30="Todos",datos_base!$G$11,0))*parametros_manuales!$I$105+parametros_manuales!$F$30*(datos_base!$G$20+IF(parametros_manuales!$H$30="Todos",datos_base!$G$25,0))*parametros_manuales!$I$14+parametros_manuales!$G$30*(datos_base!$G$5+IF(parametros_manuales!$H$30="Todos",datos_base!$G$12,0))*parametros_manuales!$I$110+parametros_manuales!$G$30*(datos_base!$G$21+IF(parametros_manuales!$H$30="Todos",datos_base!$G$26,0))*parametros_manuales!$I$15)*parametros_manuales!$I$30*parametros_manuales!$J$30</f>
        <v>10776.09029862</v>
      </c>
      <c r="J148" s="9" t="n">
        <f aca="false">(parametros_manuales!$D$30*(datos_base!$G$2+IF(parametros_manuales!$H$30="Todos",datos_base!$G$9,0))*parametros_manuales!$J$95+parametros_manuales!$D$30*(datos_base!$G$18+IF(parametros_manuales!$H$30="Todos",datos_base!$G$23,0))*parametros_manuales!$J$12+parametros_manuales!$E$30*(datos_base!$G$3+IF(parametros_manuales!$H$30="Todos",datos_base!$G$10,0))*parametros_manuales!$J$100+parametros_manuales!$E$30*(datos_base!$G$19+IF(parametros_manuales!$H$30="Todos",datos_base!$G$24,0))*parametros_manuales!$J$13+parametros_manuales!$F$30*(datos_base!$G$4+IF(parametros_manuales!$H$30="Todos",datos_base!$G$11,0))*parametros_manuales!$J$105+parametros_manuales!$F$30*(datos_base!$G$20+IF(parametros_manuales!$H$30="Todos",datos_base!$G$25,0))*parametros_manuales!$J$14+parametros_manuales!$G$30*(datos_base!$G$5+IF(parametros_manuales!$H$30="Todos",datos_base!$G$12,0))*parametros_manuales!$J$110+parametros_manuales!$G$30*(datos_base!$G$21+IF(parametros_manuales!$H$30="Todos",datos_base!$G$26,0))*parametros_manuales!$J$15)*parametros_manuales!$I$30*parametros_manuales!$J$30</f>
        <v>10776.09029862</v>
      </c>
      <c r="K148" s="9" t="n">
        <f aca="false">(parametros_manuales!$D$30*(datos_base!$G$2+IF(parametros_manuales!$H$30="Todos",datos_base!$G$9,0))*parametros_manuales!$K$95+parametros_manuales!$D$30*(datos_base!$G$18+IF(parametros_manuales!$H$30="Todos",datos_base!$G$23,0))*parametros_manuales!$K$12+parametros_manuales!$E$30*(datos_base!$G$3+IF(parametros_manuales!$H$30="Todos",datos_base!$G$10,0))*parametros_manuales!$K$100+parametros_manuales!$E$30*(datos_base!$G$19+IF(parametros_manuales!$H$30="Todos",datos_base!$G$24,0))*parametros_manuales!$K$13+parametros_manuales!$F$30*(datos_base!$G$4+IF(parametros_manuales!$H$30="Todos",datos_base!$G$11,0))*parametros_manuales!$K$105+parametros_manuales!$F$30*(datos_base!$G$20+IF(parametros_manuales!$H$30="Todos",datos_base!$G$25,0))*parametros_manuales!$K$14+parametros_manuales!$G$30*(datos_base!$G$5+IF(parametros_manuales!$H$30="Todos",datos_base!$G$12,0))*parametros_manuales!$K$110+parametros_manuales!$G$30*(datos_base!$G$21+IF(parametros_manuales!$H$30="Todos",datos_base!$G$26,0))*parametros_manuales!$K$15)*parametros_manuales!$I$30*parametros_manuales!$J$30</f>
        <v>10955.794093765</v>
      </c>
      <c r="L148" s="9" t="n">
        <f aca="false">(parametros_manuales!$D$30*(datos_base!$G$2+IF(parametros_manuales!$H$30="Todos",datos_base!$G$9,0))*parametros_manuales!$L$95+parametros_manuales!$D$30*(datos_base!$G$18+IF(parametros_manuales!$H$30="Todos",datos_base!$G$23,0))*parametros_manuales!$L$12+parametros_manuales!$E$30*(datos_base!$G$3+IF(parametros_manuales!$H$30="Todos",datos_base!$G$10,0))*parametros_manuales!$L$100+parametros_manuales!$E$30*(datos_base!$G$19+IF(parametros_manuales!$H$30="Todos",datos_base!$G$24,0))*parametros_manuales!$L$13+parametros_manuales!$F$30*(datos_base!$G$4+IF(parametros_manuales!$H$30="Todos",datos_base!$G$11,0))*parametros_manuales!$L$105+parametros_manuales!$F$30*(datos_base!$G$20+IF(parametros_manuales!$H$30="Todos",datos_base!$G$25,0))*parametros_manuales!$L$14+parametros_manuales!$G$30*(datos_base!$G$5+IF(parametros_manuales!$H$30="Todos",datos_base!$G$12,0))*parametros_manuales!$L$110+parametros_manuales!$G$30*(datos_base!$G$21+IF(parametros_manuales!$H$30="Todos",datos_base!$G$26,0))*parametros_manuales!$L$15)*parametros_manuales!$I$30*parametros_manuales!$J$30</f>
        <v>11135.49788891</v>
      </c>
      <c r="M148" s="9" t="n">
        <f aca="false">(parametros_manuales!$D$30*(datos_base!$G$2+IF(parametros_manuales!$H$30="Todos",datos_base!$G$9,0))*parametros_manuales!$M$95+parametros_manuales!$D$30*(datos_base!$G$18+IF(parametros_manuales!$H$30="Todos",datos_base!$G$23,0))*parametros_manuales!$M$12+parametros_manuales!$E$30*(datos_base!$G$3+IF(parametros_manuales!$H$30="Todos",datos_base!$G$10,0))*parametros_manuales!$M$100+parametros_manuales!$E$30*(datos_base!$G$19+IF(parametros_manuales!$H$30="Todos",datos_base!$G$24,0))*parametros_manuales!$M$13+parametros_manuales!$F$30*(datos_base!$G$4+IF(parametros_manuales!$H$30="Todos",datos_base!$G$11,0))*parametros_manuales!$M$105+parametros_manuales!$F$30*(datos_base!$G$20+IF(parametros_manuales!$H$30="Todos",datos_base!$G$25,0))*parametros_manuales!$M$14+parametros_manuales!$G$30*(datos_base!$G$5+IF(parametros_manuales!$H$30="Todos",datos_base!$G$12,0))*parametros_manuales!$M$110+parametros_manuales!$G$30*(datos_base!$G$21+IF(parametros_manuales!$H$30="Todos",datos_base!$G$26,0))*parametros_manuales!$M$15)*parametros_manuales!$I$30*parametros_manuales!$J$30</f>
        <v>11146.44508891</v>
      </c>
      <c r="N148" s="9" t="n">
        <f aca="false">SUM(B148:M148)</f>
        <v>123788.572099</v>
      </c>
      <c r="O148" s="9" t="n">
        <f aca="false">MAX(B148:M148)</f>
        <v>11146.44508891</v>
      </c>
      <c r="P148" s="44" t="n">
        <f aca="false">O148/(parametros_manuales!$B$7)</f>
        <v>74.3096339260667</v>
      </c>
      <c r="Q148" s="8" t="str">
        <f aca="false">IF(O148=0,"-",INDEX($B$136:$M$136,MATCH(O148,B148:M148,0)))</f>
        <v>Dic</v>
      </c>
    </row>
    <row r="149" customFormat="false" ht="14.25" hidden="false" customHeight="true" outlineLevel="0" collapsed="false">
      <c r="A149" s="8" t="str">
        <f aca="false">parametros_manuales!$B$31</f>
        <v>Control de calidad — Espesor</v>
      </c>
      <c r="B149" s="9" t="n">
        <f aca="false">(parametros_manuales!$D$31*(datos_base!$G$2+IF(parametros_manuales!$H$31="Todos",datos_base!$G$9,0))*parametros_manuales!$B$95+parametros_manuales!$D$31*(datos_base!$G$18+IF(parametros_manuales!$H$31="Todos",datos_base!$G$23,0))*parametros_manuales!$B$12+parametros_manuales!$E$31*(datos_base!$G$3+IF(parametros_manuales!$H$31="Todos",datos_base!$G$10,0))*parametros_manuales!$B$100+parametros_manuales!$E$31*(datos_base!$G$19+IF(parametros_manuales!$H$31="Todos",datos_base!$G$24,0))*parametros_manuales!$B$13+parametros_manuales!$F$31*(datos_base!$G$4+IF(parametros_manuales!$H$31="Todos",datos_base!$G$11,0))*parametros_manuales!$B$105+parametros_manuales!$F$31*(datos_base!$G$20+IF(parametros_manuales!$H$31="Todos",datos_base!$G$25,0))*parametros_manuales!$B$14+parametros_manuales!$G$31*(datos_base!$G$5+IF(parametros_manuales!$H$31="Todos",datos_base!$G$12,0))*parametros_manuales!$B$110+parametros_manuales!$G$31*(datos_base!$G$21+IF(parametros_manuales!$H$31="Todos",datos_base!$G$26,0))*parametros_manuales!$B$15)*parametros_manuales!$I$31*parametros_manuales!$J$31</f>
        <v>222.8741657782</v>
      </c>
      <c r="C149" s="9" t="n">
        <f aca="false">(parametros_manuales!$D$31*(datos_base!$G$2+IF(parametros_manuales!$H$31="Todos",datos_base!$G$9,0))*parametros_manuales!$C$95+parametros_manuales!$D$31*(datos_base!$G$18+IF(parametros_manuales!$H$31="Todos",datos_base!$G$23,0))*parametros_manuales!$C$12+parametros_manuales!$E$31*(datos_base!$G$3+IF(parametros_manuales!$H$31="Todos",datos_base!$G$10,0))*parametros_manuales!$C$100+parametros_manuales!$E$31*(datos_base!$G$19+IF(parametros_manuales!$H$31="Todos",datos_base!$G$24,0))*parametros_manuales!$C$13+parametros_manuales!$F$31*(datos_base!$G$4+IF(parametros_manuales!$H$31="Todos",datos_base!$G$11,0))*parametros_manuales!$C$105+parametros_manuales!$F$31*(datos_base!$G$20+IF(parametros_manuales!$H$31="Todos",datos_base!$G$25,0))*parametros_manuales!$C$14+parametros_manuales!$G$31*(datos_base!$G$5+IF(parametros_manuales!$H$31="Todos",datos_base!$G$12,0))*parametros_manuales!$C$110+parametros_manuales!$G$31*(datos_base!$G$21+IF(parametros_manuales!$H$31="Todos",datos_base!$G$26,0))*parametros_manuales!$C$15)*parametros_manuales!$I$31*parametros_manuales!$J$31</f>
        <v>215.5218059724</v>
      </c>
      <c r="D149" s="9" t="n">
        <f aca="false">(parametros_manuales!$D$31*(datos_base!$G$2+IF(parametros_manuales!$H$31="Todos",datos_base!$G$9,0))*parametros_manuales!$D$95+parametros_manuales!$D$31*(datos_base!$G$18+IF(parametros_manuales!$H$31="Todos",datos_base!$G$23,0))*parametros_manuales!$D$12+parametros_manuales!$E$31*(datos_base!$G$3+IF(parametros_manuales!$H$31="Todos",datos_base!$G$10,0))*parametros_manuales!$D$100+parametros_manuales!$E$31*(datos_base!$G$19+IF(parametros_manuales!$H$31="Todos",datos_base!$G$24,0))*parametros_manuales!$D$13+parametros_manuales!$F$31*(datos_base!$G$4+IF(parametros_manuales!$H$31="Todos",datos_base!$G$11,0))*parametros_manuales!$D$105+parametros_manuales!$F$31*(datos_base!$G$20+IF(parametros_manuales!$H$31="Todos",datos_base!$G$25,0))*parametros_manuales!$D$14+parametros_manuales!$G$31*(datos_base!$G$5+IF(parametros_manuales!$H$31="Todos",datos_base!$G$12,0))*parametros_manuales!$D$110+parametros_manuales!$G$31*(datos_base!$G$21+IF(parametros_manuales!$H$31="Todos",datos_base!$G$26,0))*parametros_manuales!$D$15)*parametros_manuales!$I$31*parametros_manuales!$J$31</f>
        <v>201.7105272613</v>
      </c>
      <c r="E149" s="9" t="n">
        <f aca="false">(parametros_manuales!$D$31*(datos_base!$G$2+IF(parametros_manuales!$H$31="Todos",datos_base!$G$9,0))*parametros_manuales!$E$95+parametros_manuales!$D$31*(datos_base!$G$18+IF(parametros_manuales!$H$31="Todos",datos_base!$G$23,0))*parametros_manuales!$E$12+parametros_manuales!$E$31*(datos_base!$G$3+IF(parametros_manuales!$H$31="Todos",datos_base!$G$10,0))*parametros_manuales!$E$100+parametros_manuales!$E$31*(datos_base!$G$19+IF(parametros_manuales!$H$31="Todos",datos_base!$G$24,0))*parametros_manuales!$E$13+parametros_manuales!$F$31*(datos_base!$G$4+IF(parametros_manuales!$H$31="Todos",datos_base!$G$11,0))*parametros_manuales!$E$105+parametros_manuales!$F$31*(datos_base!$G$20+IF(parametros_manuales!$H$31="Todos",datos_base!$G$25,0))*parametros_manuales!$E$14+parametros_manuales!$G$31*(datos_base!$G$5+IF(parametros_manuales!$H$31="Todos",datos_base!$G$12,0))*parametros_manuales!$E$110+parametros_manuales!$G$31*(datos_base!$G$21+IF(parametros_manuales!$H$31="Todos",datos_base!$G$26,0))*parametros_manuales!$E$15)*parametros_manuales!$I$31*parametros_manuales!$J$31</f>
        <v>192.9804819543</v>
      </c>
      <c r="F149" s="9" t="n">
        <f aca="false">(parametros_manuales!$D$31*(datos_base!$G$2+IF(parametros_manuales!$H$31="Todos",datos_base!$G$9,0))*parametros_manuales!$F$95+parametros_manuales!$D$31*(datos_base!$G$18+IF(parametros_manuales!$H$31="Todos",datos_base!$G$23,0))*parametros_manuales!$F$12+parametros_manuales!$E$31*(datos_base!$G$3+IF(parametros_manuales!$H$31="Todos",datos_base!$G$10,0))*parametros_manuales!$F$100+parametros_manuales!$E$31*(datos_base!$G$19+IF(parametros_manuales!$H$31="Todos",datos_base!$G$24,0))*parametros_manuales!$F$13+parametros_manuales!$F$31*(datos_base!$G$4+IF(parametros_manuales!$H$31="Todos",datos_base!$G$11,0))*parametros_manuales!$F$105+parametros_manuales!$F$31*(datos_base!$G$20+IF(parametros_manuales!$H$31="Todos",datos_base!$G$25,0))*parametros_manuales!$F$14+parametros_manuales!$G$31*(datos_base!$G$5+IF(parametros_manuales!$H$31="Todos",datos_base!$G$12,0))*parametros_manuales!$F$110+parametros_manuales!$G$31*(datos_base!$G$21+IF(parametros_manuales!$H$31="Todos",datos_base!$G$26,0))*parametros_manuales!$F$15)*parametros_manuales!$I$31*parametros_manuales!$J$31</f>
        <v>180.6016247444</v>
      </c>
      <c r="G149" s="9" t="n">
        <f aca="false">(parametros_manuales!$D$31*(datos_base!$G$2+IF(parametros_manuales!$H$31="Todos",datos_base!$G$9,0))*parametros_manuales!$G$95+parametros_manuales!$D$31*(datos_base!$G$18+IF(parametros_manuales!$H$31="Todos",datos_base!$G$23,0))*parametros_manuales!$G$12+parametros_manuales!$E$31*(datos_base!$G$3+IF(parametros_manuales!$H$31="Todos",datos_base!$G$10,0))*parametros_manuales!$G$100+parametros_manuales!$E$31*(datos_base!$G$19+IF(parametros_manuales!$H$31="Todos",datos_base!$G$24,0))*parametros_manuales!$G$13+parametros_manuales!$F$31*(datos_base!$G$4+IF(parametros_manuales!$H$31="Todos",datos_base!$G$11,0))*parametros_manuales!$G$105+parametros_manuales!$F$31*(datos_base!$G$20+IF(parametros_manuales!$H$31="Todos",datos_base!$G$25,0))*parametros_manuales!$G$14+parametros_manuales!$G$31*(datos_base!$G$5+IF(parametros_manuales!$H$31="Todos",datos_base!$G$12,0))*parametros_manuales!$G$110+parametros_manuales!$G$31*(datos_base!$G$21+IF(parametros_manuales!$H$31="Todos",datos_base!$G$26,0))*parametros_manuales!$G$15)*parametros_manuales!$I$31*parametros_manuales!$J$31</f>
        <v>176.9528128415</v>
      </c>
      <c r="H149" s="9" t="n">
        <f aca="false">(parametros_manuales!$D$31*(datos_base!$G$2+IF(parametros_manuales!$H$31="Todos",datos_base!$G$9,0))*parametros_manuales!$H$95+parametros_manuales!$D$31*(datos_base!$G$18+IF(parametros_manuales!$H$31="Todos",datos_base!$G$23,0))*parametros_manuales!$H$12+parametros_manuales!$E$31*(datos_base!$G$3+IF(parametros_manuales!$H$31="Todos",datos_base!$G$10,0))*parametros_manuales!$H$100+parametros_manuales!$E$31*(datos_base!$G$19+IF(parametros_manuales!$H$31="Todos",datos_base!$G$24,0))*parametros_manuales!$H$13+parametros_manuales!$F$31*(datos_base!$G$4+IF(parametros_manuales!$H$31="Todos",datos_base!$G$11,0))*parametros_manuales!$H$105+parametros_manuales!$F$31*(datos_base!$G$20+IF(parametros_manuales!$H$31="Todos",datos_base!$G$25,0))*parametros_manuales!$H$14+parametros_manuales!$G$31*(datos_base!$G$5+IF(parametros_manuales!$H$31="Todos",datos_base!$G$12,0))*parametros_manuales!$H$110+parametros_manuales!$G$31*(datos_base!$G$21+IF(parametros_manuales!$H$31="Todos",datos_base!$G$26,0))*parametros_manuales!$H$15)*parametros_manuales!$I$31*parametros_manuales!$J$31</f>
        <v>189.3316700514</v>
      </c>
      <c r="I149" s="9" t="n">
        <f aca="false">(parametros_manuales!$D$31*(datos_base!$G$2+IF(parametros_manuales!$H$31="Todos",datos_base!$G$9,0))*parametros_manuales!$I$95+parametros_manuales!$D$31*(datos_base!$G$18+IF(parametros_manuales!$H$31="Todos",datos_base!$G$23,0))*parametros_manuales!$I$12+parametros_manuales!$E$31*(datos_base!$G$3+IF(parametros_manuales!$H$31="Todos",datos_base!$G$10,0))*parametros_manuales!$I$100+parametros_manuales!$E$31*(datos_base!$G$19+IF(parametros_manuales!$H$31="Todos",datos_base!$G$24,0))*parametros_manuales!$I$13+parametros_manuales!$F$31*(datos_base!$G$4+IF(parametros_manuales!$H$31="Todos",datos_base!$G$11,0))*parametros_manuales!$I$105+parametros_manuales!$F$31*(datos_base!$G$20+IF(parametros_manuales!$H$31="Todos",datos_base!$G$25,0))*parametros_manuales!$I$14+parametros_manuales!$G$31*(datos_base!$G$5+IF(parametros_manuales!$H$31="Todos",datos_base!$G$12,0))*parametros_manuales!$I$110+parametros_manuales!$G$31*(datos_base!$G$21+IF(parametros_manuales!$H$31="Todos",datos_base!$G$26,0))*parametros_manuales!$I$15)*parametros_manuales!$I$31*parametros_manuales!$J$31</f>
        <v>215.5218059724</v>
      </c>
      <c r="J149" s="9" t="n">
        <f aca="false">(parametros_manuales!$D$31*(datos_base!$G$2+IF(parametros_manuales!$H$31="Todos",datos_base!$G$9,0))*parametros_manuales!$J$95+parametros_manuales!$D$31*(datos_base!$G$18+IF(parametros_manuales!$H$31="Todos",datos_base!$G$23,0))*parametros_manuales!$J$12+parametros_manuales!$E$31*(datos_base!$G$3+IF(parametros_manuales!$H$31="Todos",datos_base!$G$10,0))*parametros_manuales!$J$100+parametros_manuales!$E$31*(datos_base!$G$19+IF(parametros_manuales!$H$31="Todos",datos_base!$G$24,0))*parametros_manuales!$J$13+parametros_manuales!$F$31*(datos_base!$G$4+IF(parametros_manuales!$H$31="Todos",datos_base!$G$11,0))*parametros_manuales!$J$105+parametros_manuales!$F$31*(datos_base!$G$20+IF(parametros_manuales!$H$31="Todos",datos_base!$G$25,0))*parametros_manuales!$J$14+parametros_manuales!$G$31*(datos_base!$G$5+IF(parametros_manuales!$H$31="Todos",datos_base!$G$12,0))*parametros_manuales!$J$110+parametros_manuales!$G$31*(datos_base!$G$21+IF(parametros_manuales!$H$31="Todos",datos_base!$G$26,0))*parametros_manuales!$J$15)*parametros_manuales!$I$31*parametros_manuales!$J$31</f>
        <v>215.5218059724</v>
      </c>
      <c r="K149" s="9" t="n">
        <f aca="false">(parametros_manuales!$D$31*(datos_base!$G$2+IF(parametros_manuales!$H$31="Todos",datos_base!$G$9,0))*parametros_manuales!$K$95+parametros_manuales!$D$31*(datos_base!$G$18+IF(parametros_manuales!$H$31="Todos",datos_base!$G$23,0))*parametros_manuales!$K$12+parametros_manuales!$E$31*(datos_base!$G$3+IF(parametros_manuales!$H$31="Todos",datos_base!$G$10,0))*parametros_manuales!$K$100+parametros_manuales!$E$31*(datos_base!$G$19+IF(parametros_manuales!$H$31="Todos",datos_base!$G$24,0))*parametros_manuales!$K$13+parametros_manuales!$F$31*(datos_base!$G$4+IF(parametros_manuales!$H$31="Todos",datos_base!$G$11,0))*parametros_manuales!$K$105+parametros_manuales!$F$31*(datos_base!$G$20+IF(parametros_manuales!$H$31="Todos",datos_base!$G$25,0))*parametros_manuales!$K$14+parametros_manuales!$G$31*(datos_base!$G$5+IF(parametros_manuales!$H$31="Todos",datos_base!$G$12,0))*parametros_manuales!$K$110+parametros_manuales!$G$31*(datos_base!$G$21+IF(parametros_manuales!$H$31="Todos",datos_base!$G$26,0))*parametros_manuales!$K$15)*parametros_manuales!$I$31*parametros_manuales!$J$31</f>
        <v>219.1158818753</v>
      </c>
      <c r="L149" s="9" t="n">
        <f aca="false">(parametros_manuales!$D$31*(datos_base!$G$2+IF(parametros_manuales!$H$31="Todos",datos_base!$G$9,0))*parametros_manuales!$L$95+parametros_manuales!$D$31*(datos_base!$G$18+IF(parametros_manuales!$H$31="Todos",datos_base!$G$23,0))*parametros_manuales!$L$12+parametros_manuales!$E$31*(datos_base!$G$3+IF(parametros_manuales!$H$31="Todos",datos_base!$G$10,0))*parametros_manuales!$L$100+parametros_manuales!$E$31*(datos_base!$G$19+IF(parametros_manuales!$H$31="Todos",datos_base!$G$24,0))*parametros_manuales!$L$13+parametros_manuales!$F$31*(datos_base!$G$4+IF(parametros_manuales!$H$31="Todos",datos_base!$G$11,0))*parametros_manuales!$L$105+parametros_manuales!$F$31*(datos_base!$G$20+IF(parametros_manuales!$H$31="Todos",datos_base!$G$25,0))*parametros_manuales!$L$14+parametros_manuales!$G$31*(datos_base!$G$5+IF(parametros_manuales!$H$31="Todos",datos_base!$G$12,0))*parametros_manuales!$L$110+parametros_manuales!$G$31*(datos_base!$G$21+IF(parametros_manuales!$H$31="Todos",datos_base!$G$26,0))*parametros_manuales!$L$15)*parametros_manuales!$I$31*parametros_manuales!$J$31</f>
        <v>222.7099577782</v>
      </c>
      <c r="M149" s="9" t="n">
        <f aca="false">(parametros_manuales!$D$31*(datos_base!$G$2+IF(parametros_manuales!$H$31="Todos",datos_base!$G$9,0))*parametros_manuales!$M$95+parametros_manuales!$D$31*(datos_base!$G$18+IF(parametros_manuales!$H$31="Todos",datos_base!$G$23,0))*parametros_manuales!$M$12+parametros_manuales!$E$31*(datos_base!$G$3+IF(parametros_manuales!$H$31="Todos",datos_base!$G$10,0))*parametros_manuales!$M$100+parametros_manuales!$E$31*(datos_base!$G$19+IF(parametros_manuales!$H$31="Todos",datos_base!$G$24,0))*parametros_manuales!$M$13+parametros_manuales!$F$31*(datos_base!$G$4+IF(parametros_manuales!$H$31="Todos",datos_base!$G$11,0))*parametros_manuales!$M$105+parametros_manuales!$F$31*(datos_base!$G$20+IF(parametros_manuales!$H$31="Todos",datos_base!$G$25,0))*parametros_manuales!$M$14+parametros_manuales!$G$31*(datos_base!$G$5+IF(parametros_manuales!$H$31="Todos",datos_base!$G$12,0))*parametros_manuales!$M$110+parametros_manuales!$G$31*(datos_base!$G$21+IF(parametros_manuales!$H$31="Todos",datos_base!$G$26,0))*parametros_manuales!$M$15)*parametros_manuales!$I$31*parametros_manuales!$J$31</f>
        <v>222.9289017782</v>
      </c>
      <c r="N149" s="9" t="n">
        <f aca="false">SUM(B149:M149)</f>
        <v>2475.77144198</v>
      </c>
      <c r="O149" s="9" t="n">
        <f aca="false">MAX(B149:M149)</f>
        <v>222.9289017782</v>
      </c>
      <c r="P149" s="44" t="n">
        <f aca="false">O149/(parametros_manuales!$B$7)</f>
        <v>1.48619267852133</v>
      </c>
      <c r="Q149" s="8" t="str">
        <f aca="false">IF(O149=0,"-",INDEX($B$136:$M$136,MATCH(O149,B149:M149,0)))</f>
        <v>Dic</v>
      </c>
    </row>
    <row r="150" customFormat="false" ht="14.25" hidden="false" customHeight="true" outlineLevel="0" collapsed="false">
      <c r="A150" s="8" t="str">
        <f aca="false">parametros_manuales!$B$32</f>
        <v>Prueba hidráulica</v>
      </c>
      <c r="B150" s="9" t="n">
        <f aca="false">(parametros_manuales!$D$32*(datos_base!$G$2+IF(parametros_manuales!$H$32="Todos",datos_base!$G$9,0))*parametros_manuales!$B$95+parametros_manuales!$D$32*(datos_base!$G$18+IF(parametros_manuales!$H$32="Todos",datos_base!$G$23,0))*parametros_manuales!$B$12+parametros_manuales!$E$32*(datos_base!$G$3+IF(parametros_manuales!$H$32="Todos",datos_base!$G$10,0))*parametros_manuales!$B$100+parametros_manuales!$E$32*(datos_base!$G$19+IF(parametros_manuales!$H$32="Todos",datos_base!$G$24,0))*parametros_manuales!$B$13+parametros_manuales!$F$32*(datos_base!$G$4+IF(parametros_manuales!$H$32="Todos",datos_base!$G$11,0))*parametros_manuales!$B$105+parametros_manuales!$F$32*(datos_base!$G$20+IF(parametros_manuales!$H$32="Todos",datos_base!$G$25,0))*parametros_manuales!$B$14+parametros_manuales!$G$32*(datos_base!$G$5+IF(parametros_manuales!$H$32="Todos",datos_base!$G$12,0))*parametros_manuales!$B$110+parametros_manuales!$G$32*(datos_base!$G$21+IF(parametros_manuales!$H$32="Todos",datos_base!$G$26,0))*parametros_manuales!$B$15)*parametros_manuales!$I$32*parametros_manuales!$J$32</f>
        <v>11143.70828891</v>
      </c>
      <c r="C150" s="9" t="n">
        <f aca="false">(parametros_manuales!$D$32*(datos_base!$G$2+IF(parametros_manuales!$H$32="Todos",datos_base!$G$9,0))*parametros_manuales!$C$95+parametros_manuales!$D$32*(datos_base!$G$18+IF(parametros_manuales!$H$32="Todos",datos_base!$G$23,0))*parametros_manuales!$C$12+parametros_manuales!$E$32*(datos_base!$G$3+IF(parametros_manuales!$H$32="Todos",datos_base!$G$10,0))*parametros_manuales!$C$100+parametros_manuales!$E$32*(datos_base!$G$19+IF(parametros_manuales!$H$32="Todos",datos_base!$G$24,0))*parametros_manuales!$C$13+parametros_manuales!$F$32*(datos_base!$G$4+IF(parametros_manuales!$H$32="Todos",datos_base!$G$11,0))*parametros_manuales!$C$105+parametros_manuales!$F$32*(datos_base!$G$20+IF(parametros_manuales!$H$32="Todos",datos_base!$G$25,0))*parametros_manuales!$C$14+parametros_manuales!$G$32*(datos_base!$G$5+IF(parametros_manuales!$H$32="Todos",datos_base!$G$12,0))*parametros_manuales!$C$110+parametros_manuales!$G$32*(datos_base!$G$21+IF(parametros_manuales!$H$32="Todos",datos_base!$G$26,0))*parametros_manuales!$C$15)*parametros_manuales!$I$32*parametros_manuales!$J$32</f>
        <v>10776.09029862</v>
      </c>
      <c r="D150" s="9" t="n">
        <f aca="false">(parametros_manuales!$D$32*(datos_base!$G$2+IF(parametros_manuales!$H$32="Todos",datos_base!$G$9,0))*parametros_manuales!$D$95+parametros_manuales!$D$32*(datos_base!$G$18+IF(parametros_manuales!$H$32="Todos",datos_base!$G$23,0))*parametros_manuales!$D$12+parametros_manuales!$E$32*(datos_base!$G$3+IF(parametros_manuales!$H$32="Todos",datos_base!$G$10,0))*parametros_manuales!$D$100+parametros_manuales!$E$32*(datos_base!$G$19+IF(parametros_manuales!$H$32="Todos",datos_base!$G$24,0))*parametros_manuales!$D$13+parametros_manuales!$F$32*(datos_base!$G$4+IF(parametros_manuales!$H$32="Todos",datos_base!$G$11,0))*parametros_manuales!$D$105+parametros_manuales!$F$32*(datos_base!$G$20+IF(parametros_manuales!$H$32="Todos",datos_base!$G$25,0))*parametros_manuales!$D$14+parametros_manuales!$G$32*(datos_base!$G$5+IF(parametros_manuales!$H$32="Todos",datos_base!$G$12,0))*parametros_manuales!$D$110+parametros_manuales!$G$32*(datos_base!$G$21+IF(parametros_manuales!$H$32="Todos",datos_base!$G$26,0))*parametros_manuales!$D$15)*parametros_manuales!$I$32*parametros_manuales!$J$32</f>
        <v>10085.526363065</v>
      </c>
      <c r="E150" s="9" t="n">
        <f aca="false">(parametros_manuales!$D$32*(datos_base!$G$2+IF(parametros_manuales!$H$32="Todos",datos_base!$G$9,0))*parametros_manuales!$E$95+parametros_manuales!$D$32*(datos_base!$G$18+IF(parametros_manuales!$H$32="Todos",datos_base!$G$23,0))*parametros_manuales!$E$12+parametros_manuales!$E$32*(datos_base!$G$3+IF(parametros_manuales!$H$32="Todos",datos_base!$G$10,0))*parametros_manuales!$E$100+parametros_manuales!$E$32*(datos_base!$G$19+IF(parametros_manuales!$H$32="Todos",datos_base!$G$24,0))*parametros_manuales!$E$13+parametros_manuales!$F$32*(datos_base!$G$4+IF(parametros_manuales!$H$32="Todos",datos_base!$G$11,0))*parametros_manuales!$E$105+parametros_manuales!$F$32*(datos_base!$G$20+IF(parametros_manuales!$H$32="Todos",datos_base!$G$25,0))*parametros_manuales!$E$14+parametros_manuales!$G$32*(datos_base!$G$5+IF(parametros_manuales!$H$32="Todos",datos_base!$G$12,0))*parametros_manuales!$E$110+parametros_manuales!$G$32*(datos_base!$G$21+IF(parametros_manuales!$H$32="Todos",datos_base!$G$26,0))*parametros_manuales!$E$15)*parametros_manuales!$I$32*parametros_manuales!$J$32</f>
        <v>9649.024097715</v>
      </c>
      <c r="F150" s="9" t="n">
        <f aca="false">(parametros_manuales!$D$32*(datos_base!$G$2+IF(parametros_manuales!$H$32="Todos",datos_base!$G$9,0))*parametros_manuales!$F$95+parametros_manuales!$D$32*(datos_base!$G$18+IF(parametros_manuales!$H$32="Todos",datos_base!$G$23,0))*parametros_manuales!$F$12+parametros_manuales!$E$32*(datos_base!$G$3+IF(parametros_manuales!$H$32="Todos",datos_base!$G$10,0))*parametros_manuales!$F$100+parametros_manuales!$E$32*(datos_base!$G$19+IF(parametros_manuales!$H$32="Todos",datos_base!$G$24,0))*parametros_manuales!$F$13+parametros_manuales!$F$32*(datos_base!$G$4+IF(parametros_manuales!$H$32="Todos",datos_base!$G$11,0))*parametros_manuales!$F$105+parametros_manuales!$F$32*(datos_base!$G$20+IF(parametros_manuales!$H$32="Todos",datos_base!$G$25,0))*parametros_manuales!$F$14+parametros_manuales!$G$32*(datos_base!$G$5+IF(parametros_manuales!$H$32="Todos",datos_base!$G$12,0))*parametros_manuales!$F$110+parametros_manuales!$G$32*(datos_base!$G$21+IF(parametros_manuales!$H$32="Todos",datos_base!$G$26,0))*parametros_manuales!$F$15)*parametros_manuales!$I$32*parametros_manuales!$J$32</f>
        <v>9030.08123722</v>
      </c>
      <c r="G150" s="9" t="n">
        <f aca="false">(parametros_manuales!$D$32*(datos_base!$G$2+IF(parametros_manuales!$H$32="Todos",datos_base!$G$9,0))*parametros_manuales!$G$95+parametros_manuales!$D$32*(datos_base!$G$18+IF(parametros_manuales!$H$32="Todos",datos_base!$G$23,0))*parametros_manuales!$G$12+parametros_manuales!$E$32*(datos_base!$G$3+IF(parametros_manuales!$H$32="Todos",datos_base!$G$10,0))*parametros_manuales!$G$100+parametros_manuales!$E$32*(datos_base!$G$19+IF(parametros_manuales!$H$32="Todos",datos_base!$G$24,0))*parametros_manuales!$G$13+parametros_manuales!$F$32*(datos_base!$G$4+IF(parametros_manuales!$H$32="Todos",datos_base!$G$11,0))*parametros_manuales!$G$105+parametros_manuales!$F$32*(datos_base!$G$20+IF(parametros_manuales!$H$32="Todos",datos_base!$G$25,0))*parametros_manuales!$G$14+parametros_manuales!$G$32*(datos_base!$G$5+IF(parametros_manuales!$H$32="Todos",datos_base!$G$12,0))*parametros_manuales!$G$110+parametros_manuales!$G$32*(datos_base!$G$21+IF(parametros_manuales!$H$32="Todos",datos_base!$G$26,0))*parametros_manuales!$G$15)*parametros_manuales!$I$32*parametros_manuales!$J$32</f>
        <v>8847.640642075</v>
      </c>
      <c r="H150" s="9" t="n">
        <f aca="false">(parametros_manuales!$D$32*(datos_base!$G$2+IF(parametros_manuales!$H$32="Todos",datos_base!$G$9,0))*parametros_manuales!$H$95+parametros_manuales!$D$32*(datos_base!$G$18+IF(parametros_manuales!$H$32="Todos",datos_base!$G$23,0))*parametros_manuales!$H$12+parametros_manuales!$E$32*(datos_base!$G$3+IF(parametros_manuales!$H$32="Todos",datos_base!$G$10,0))*parametros_manuales!$H$100+parametros_manuales!$E$32*(datos_base!$G$19+IF(parametros_manuales!$H$32="Todos",datos_base!$G$24,0))*parametros_manuales!$H$13+parametros_manuales!$F$32*(datos_base!$G$4+IF(parametros_manuales!$H$32="Todos",datos_base!$G$11,0))*parametros_manuales!$H$105+parametros_manuales!$F$32*(datos_base!$G$20+IF(parametros_manuales!$H$32="Todos",datos_base!$G$25,0))*parametros_manuales!$H$14+parametros_manuales!$G$32*(datos_base!$G$5+IF(parametros_manuales!$H$32="Todos",datos_base!$G$12,0))*parametros_manuales!$H$110+parametros_manuales!$G$32*(datos_base!$G$21+IF(parametros_manuales!$H$32="Todos",datos_base!$G$26,0))*parametros_manuales!$H$15)*parametros_manuales!$I$32*parametros_manuales!$J$32</f>
        <v>9466.58350257</v>
      </c>
      <c r="I150" s="9" t="n">
        <f aca="false">(parametros_manuales!$D$32*(datos_base!$G$2+IF(parametros_manuales!$H$32="Todos",datos_base!$G$9,0))*parametros_manuales!$I$95+parametros_manuales!$D$32*(datos_base!$G$18+IF(parametros_manuales!$H$32="Todos",datos_base!$G$23,0))*parametros_manuales!$I$12+parametros_manuales!$E$32*(datos_base!$G$3+IF(parametros_manuales!$H$32="Todos",datos_base!$G$10,0))*parametros_manuales!$I$100+parametros_manuales!$E$32*(datos_base!$G$19+IF(parametros_manuales!$H$32="Todos",datos_base!$G$24,0))*parametros_manuales!$I$13+parametros_manuales!$F$32*(datos_base!$G$4+IF(parametros_manuales!$H$32="Todos",datos_base!$G$11,0))*parametros_manuales!$I$105+parametros_manuales!$F$32*(datos_base!$G$20+IF(parametros_manuales!$H$32="Todos",datos_base!$G$25,0))*parametros_manuales!$I$14+parametros_manuales!$G$32*(datos_base!$G$5+IF(parametros_manuales!$H$32="Todos",datos_base!$G$12,0))*parametros_manuales!$I$110+parametros_manuales!$G$32*(datos_base!$G$21+IF(parametros_manuales!$H$32="Todos",datos_base!$G$26,0))*parametros_manuales!$I$15)*parametros_manuales!$I$32*parametros_manuales!$J$32</f>
        <v>10776.09029862</v>
      </c>
      <c r="J150" s="9" t="n">
        <f aca="false">(parametros_manuales!$D$32*(datos_base!$G$2+IF(parametros_manuales!$H$32="Todos",datos_base!$G$9,0))*parametros_manuales!$J$95+parametros_manuales!$D$32*(datos_base!$G$18+IF(parametros_manuales!$H$32="Todos",datos_base!$G$23,0))*parametros_manuales!$J$12+parametros_manuales!$E$32*(datos_base!$G$3+IF(parametros_manuales!$H$32="Todos",datos_base!$G$10,0))*parametros_manuales!$J$100+parametros_manuales!$E$32*(datos_base!$G$19+IF(parametros_manuales!$H$32="Todos",datos_base!$G$24,0))*parametros_manuales!$J$13+parametros_manuales!$F$32*(datos_base!$G$4+IF(parametros_manuales!$H$32="Todos",datos_base!$G$11,0))*parametros_manuales!$J$105+parametros_manuales!$F$32*(datos_base!$G$20+IF(parametros_manuales!$H$32="Todos",datos_base!$G$25,0))*parametros_manuales!$J$14+parametros_manuales!$G$32*(datos_base!$G$5+IF(parametros_manuales!$H$32="Todos",datos_base!$G$12,0))*parametros_manuales!$J$110+parametros_manuales!$G$32*(datos_base!$G$21+IF(parametros_manuales!$H$32="Todos",datos_base!$G$26,0))*parametros_manuales!$J$15)*parametros_manuales!$I$32*parametros_manuales!$J$32</f>
        <v>10776.09029862</v>
      </c>
      <c r="K150" s="9" t="n">
        <f aca="false">(parametros_manuales!$D$32*(datos_base!$G$2+IF(parametros_manuales!$H$32="Todos",datos_base!$G$9,0))*parametros_manuales!$K$95+parametros_manuales!$D$32*(datos_base!$G$18+IF(parametros_manuales!$H$32="Todos",datos_base!$G$23,0))*parametros_manuales!$K$12+parametros_manuales!$E$32*(datos_base!$G$3+IF(parametros_manuales!$H$32="Todos",datos_base!$G$10,0))*parametros_manuales!$K$100+parametros_manuales!$E$32*(datos_base!$G$19+IF(parametros_manuales!$H$32="Todos",datos_base!$G$24,0))*parametros_manuales!$K$13+parametros_manuales!$F$32*(datos_base!$G$4+IF(parametros_manuales!$H$32="Todos",datos_base!$G$11,0))*parametros_manuales!$K$105+parametros_manuales!$F$32*(datos_base!$G$20+IF(parametros_manuales!$H$32="Todos",datos_base!$G$25,0))*parametros_manuales!$K$14+parametros_manuales!$G$32*(datos_base!$G$5+IF(parametros_manuales!$H$32="Todos",datos_base!$G$12,0))*parametros_manuales!$K$110+parametros_manuales!$G$32*(datos_base!$G$21+IF(parametros_manuales!$H$32="Todos",datos_base!$G$26,0))*parametros_manuales!$K$15)*parametros_manuales!$I$32*parametros_manuales!$J$32</f>
        <v>10955.794093765</v>
      </c>
      <c r="L150" s="9" t="n">
        <f aca="false">(parametros_manuales!$D$32*(datos_base!$G$2+IF(parametros_manuales!$H$32="Todos",datos_base!$G$9,0))*parametros_manuales!$L$95+parametros_manuales!$D$32*(datos_base!$G$18+IF(parametros_manuales!$H$32="Todos",datos_base!$G$23,0))*parametros_manuales!$L$12+parametros_manuales!$E$32*(datos_base!$G$3+IF(parametros_manuales!$H$32="Todos",datos_base!$G$10,0))*parametros_manuales!$L$100+parametros_manuales!$E$32*(datos_base!$G$19+IF(parametros_manuales!$H$32="Todos",datos_base!$G$24,0))*parametros_manuales!$L$13+parametros_manuales!$F$32*(datos_base!$G$4+IF(parametros_manuales!$H$32="Todos",datos_base!$G$11,0))*parametros_manuales!$L$105+parametros_manuales!$F$32*(datos_base!$G$20+IF(parametros_manuales!$H$32="Todos",datos_base!$G$25,0))*parametros_manuales!$L$14+parametros_manuales!$G$32*(datos_base!$G$5+IF(parametros_manuales!$H$32="Todos",datos_base!$G$12,0))*parametros_manuales!$L$110+parametros_manuales!$G$32*(datos_base!$G$21+IF(parametros_manuales!$H$32="Todos",datos_base!$G$26,0))*parametros_manuales!$L$15)*parametros_manuales!$I$32*parametros_manuales!$J$32</f>
        <v>11135.49788891</v>
      </c>
      <c r="M150" s="9" t="n">
        <f aca="false">(parametros_manuales!$D$32*(datos_base!$G$2+IF(parametros_manuales!$H$32="Todos",datos_base!$G$9,0))*parametros_manuales!$M$95+parametros_manuales!$D$32*(datos_base!$G$18+IF(parametros_manuales!$H$32="Todos",datos_base!$G$23,0))*parametros_manuales!$M$12+parametros_manuales!$E$32*(datos_base!$G$3+IF(parametros_manuales!$H$32="Todos",datos_base!$G$10,0))*parametros_manuales!$M$100+parametros_manuales!$E$32*(datos_base!$G$19+IF(parametros_manuales!$H$32="Todos",datos_base!$G$24,0))*parametros_manuales!$M$13+parametros_manuales!$F$32*(datos_base!$G$4+IF(parametros_manuales!$H$32="Todos",datos_base!$G$11,0))*parametros_manuales!$M$105+parametros_manuales!$F$32*(datos_base!$G$20+IF(parametros_manuales!$H$32="Todos",datos_base!$G$25,0))*parametros_manuales!$M$14+parametros_manuales!$G$32*(datos_base!$G$5+IF(parametros_manuales!$H$32="Todos",datos_base!$G$12,0))*parametros_manuales!$M$110+parametros_manuales!$G$32*(datos_base!$G$21+IF(parametros_manuales!$H$32="Todos",datos_base!$G$26,0))*parametros_manuales!$M$15)*parametros_manuales!$I$32*parametros_manuales!$J$32</f>
        <v>11146.44508891</v>
      </c>
      <c r="N150" s="9" t="n">
        <f aca="false">SUM(B150:M150)</f>
        <v>123788.572099</v>
      </c>
      <c r="O150" s="9" t="n">
        <f aca="false">MAX(B150:M150)</f>
        <v>11146.44508891</v>
      </c>
      <c r="P150" s="44" t="n">
        <f aca="false">O150/(parametros_manuales!$B$7)</f>
        <v>74.3096339260667</v>
      </c>
      <c r="Q150" s="8" t="str">
        <f aca="false">IF(O150=0,"-",INDEX($B$136:$M$136,MATCH(O150,B150:M150,0)))</f>
        <v>Dic</v>
      </c>
    </row>
    <row r="151" customFormat="false" ht="14.25" hidden="false" customHeight="true" outlineLevel="0" collapsed="false">
      <c r="A151" s="8" t="str">
        <f aca="false">parametros_manuales!$B$33</f>
        <v>Secado</v>
      </c>
      <c r="B151" s="9" t="n">
        <f aca="false">(parametros_manuales!$D$33*(datos_base!$G$2+IF(parametros_manuales!$H$33="Todos",datos_base!$G$9,0))*parametros_manuales!$B$95+parametros_manuales!$D$33*(datos_base!$G$18+IF(parametros_manuales!$H$33="Todos",datos_base!$G$23,0))*parametros_manuales!$B$12+parametros_manuales!$E$33*(datos_base!$G$3+IF(parametros_manuales!$H$33="Todos",datos_base!$G$10,0))*parametros_manuales!$B$100+parametros_manuales!$E$33*(datos_base!$G$19+IF(parametros_manuales!$H$33="Todos",datos_base!$G$24,0))*parametros_manuales!$B$13+parametros_manuales!$F$33*(datos_base!$G$4+IF(parametros_manuales!$H$33="Todos",datos_base!$G$11,0))*parametros_manuales!$B$105+parametros_manuales!$F$33*(datos_base!$G$20+IF(parametros_manuales!$H$33="Todos",datos_base!$G$25,0))*parametros_manuales!$B$14+parametros_manuales!$G$33*(datos_base!$G$5+IF(parametros_manuales!$H$33="Todos",datos_base!$G$12,0))*parametros_manuales!$B$110+parametros_manuales!$G$33*(datos_base!$G$21+IF(parametros_manuales!$H$33="Todos",datos_base!$G$26,0))*parametros_manuales!$B$15)*parametros_manuales!$I$33*parametros_manuales!$J$33</f>
        <v>11143.70828891</v>
      </c>
      <c r="C151" s="9" t="n">
        <f aca="false">(parametros_manuales!$D$33*(datos_base!$G$2+IF(parametros_manuales!$H$33="Todos",datos_base!$G$9,0))*parametros_manuales!$C$95+parametros_manuales!$D$33*(datos_base!$G$18+IF(parametros_manuales!$H$33="Todos",datos_base!$G$23,0))*parametros_manuales!$C$12+parametros_manuales!$E$33*(datos_base!$G$3+IF(parametros_manuales!$H$33="Todos",datos_base!$G$10,0))*parametros_manuales!$C$100+parametros_manuales!$E$33*(datos_base!$G$19+IF(parametros_manuales!$H$33="Todos",datos_base!$G$24,0))*parametros_manuales!$C$13+parametros_manuales!$F$33*(datos_base!$G$4+IF(parametros_manuales!$H$33="Todos",datos_base!$G$11,0))*parametros_manuales!$C$105+parametros_manuales!$F$33*(datos_base!$G$20+IF(parametros_manuales!$H$33="Todos",datos_base!$G$25,0))*parametros_manuales!$C$14+parametros_manuales!$G$33*(datos_base!$G$5+IF(parametros_manuales!$H$33="Todos",datos_base!$G$12,0))*parametros_manuales!$C$110+parametros_manuales!$G$33*(datos_base!$G$21+IF(parametros_manuales!$H$33="Todos",datos_base!$G$26,0))*parametros_manuales!$C$15)*parametros_manuales!$I$33*parametros_manuales!$J$33</f>
        <v>10776.09029862</v>
      </c>
      <c r="D151" s="9" t="n">
        <f aca="false">(parametros_manuales!$D$33*(datos_base!$G$2+IF(parametros_manuales!$H$33="Todos",datos_base!$G$9,0))*parametros_manuales!$D$95+parametros_manuales!$D$33*(datos_base!$G$18+IF(parametros_manuales!$H$33="Todos",datos_base!$G$23,0))*parametros_manuales!$D$12+parametros_manuales!$E$33*(datos_base!$G$3+IF(parametros_manuales!$H$33="Todos",datos_base!$G$10,0))*parametros_manuales!$D$100+parametros_manuales!$E$33*(datos_base!$G$19+IF(parametros_manuales!$H$33="Todos",datos_base!$G$24,0))*parametros_manuales!$D$13+parametros_manuales!$F$33*(datos_base!$G$4+IF(parametros_manuales!$H$33="Todos",datos_base!$G$11,0))*parametros_manuales!$D$105+parametros_manuales!$F$33*(datos_base!$G$20+IF(parametros_manuales!$H$33="Todos",datos_base!$G$25,0))*parametros_manuales!$D$14+parametros_manuales!$G$33*(datos_base!$G$5+IF(parametros_manuales!$H$33="Todos",datos_base!$G$12,0))*parametros_manuales!$D$110+parametros_manuales!$G$33*(datos_base!$G$21+IF(parametros_manuales!$H$33="Todos",datos_base!$G$26,0))*parametros_manuales!$D$15)*parametros_manuales!$I$33*parametros_manuales!$J$33</f>
        <v>10085.526363065</v>
      </c>
      <c r="E151" s="9" t="n">
        <f aca="false">(parametros_manuales!$D$33*(datos_base!$G$2+IF(parametros_manuales!$H$33="Todos",datos_base!$G$9,0))*parametros_manuales!$E$95+parametros_manuales!$D$33*(datos_base!$G$18+IF(parametros_manuales!$H$33="Todos",datos_base!$G$23,0))*parametros_manuales!$E$12+parametros_manuales!$E$33*(datos_base!$G$3+IF(parametros_manuales!$H$33="Todos",datos_base!$G$10,0))*parametros_manuales!$E$100+parametros_manuales!$E$33*(datos_base!$G$19+IF(parametros_manuales!$H$33="Todos",datos_base!$G$24,0))*parametros_manuales!$E$13+parametros_manuales!$F$33*(datos_base!$G$4+IF(parametros_manuales!$H$33="Todos",datos_base!$G$11,0))*parametros_manuales!$E$105+parametros_manuales!$F$33*(datos_base!$G$20+IF(parametros_manuales!$H$33="Todos",datos_base!$G$25,0))*parametros_manuales!$E$14+parametros_manuales!$G$33*(datos_base!$G$5+IF(parametros_manuales!$H$33="Todos",datos_base!$G$12,0))*parametros_manuales!$E$110+parametros_manuales!$G$33*(datos_base!$G$21+IF(parametros_manuales!$H$33="Todos",datos_base!$G$26,0))*parametros_manuales!$E$15)*parametros_manuales!$I$33*parametros_manuales!$J$33</f>
        <v>9649.024097715</v>
      </c>
      <c r="F151" s="9" t="n">
        <f aca="false">(parametros_manuales!$D$33*(datos_base!$G$2+IF(parametros_manuales!$H$33="Todos",datos_base!$G$9,0))*parametros_manuales!$F$95+parametros_manuales!$D$33*(datos_base!$G$18+IF(parametros_manuales!$H$33="Todos",datos_base!$G$23,0))*parametros_manuales!$F$12+parametros_manuales!$E$33*(datos_base!$G$3+IF(parametros_manuales!$H$33="Todos",datos_base!$G$10,0))*parametros_manuales!$F$100+parametros_manuales!$E$33*(datos_base!$G$19+IF(parametros_manuales!$H$33="Todos",datos_base!$G$24,0))*parametros_manuales!$F$13+parametros_manuales!$F$33*(datos_base!$G$4+IF(parametros_manuales!$H$33="Todos",datos_base!$G$11,0))*parametros_manuales!$F$105+parametros_manuales!$F$33*(datos_base!$G$20+IF(parametros_manuales!$H$33="Todos",datos_base!$G$25,0))*parametros_manuales!$F$14+parametros_manuales!$G$33*(datos_base!$G$5+IF(parametros_manuales!$H$33="Todos",datos_base!$G$12,0))*parametros_manuales!$F$110+parametros_manuales!$G$33*(datos_base!$G$21+IF(parametros_manuales!$H$33="Todos",datos_base!$G$26,0))*parametros_manuales!$F$15)*parametros_manuales!$I$33*parametros_manuales!$J$33</f>
        <v>9030.08123722</v>
      </c>
      <c r="G151" s="9" t="n">
        <f aca="false">(parametros_manuales!$D$33*(datos_base!$G$2+IF(parametros_manuales!$H$33="Todos",datos_base!$G$9,0))*parametros_manuales!$G$95+parametros_manuales!$D$33*(datos_base!$G$18+IF(parametros_manuales!$H$33="Todos",datos_base!$G$23,0))*parametros_manuales!$G$12+parametros_manuales!$E$33*(datos_base!$G$3+IF(parametros_manuales!$H$33="Todos",datos_base!$G$10,0))*parametros_manuales!$G$100+parametros_manuales!$E$33*(datos_base!$G$19+IF(parametros_manuales!$H$33="Todos",datos_base!$G$24,0))*parametros_manuales!$G$13+parametros_manuales!$F$33*(datos_base!$G$4+IF(parametros_manuales!$H$33="Todos",datos_base!$G$11,0))*parametros_manuales!$G$105+parametros_manuales!$F$33*(datos_base!$G$20+IF(parametros_manuales!$H$33="Todos",datos_base!$G$25,0))*parametros_manuales!$G$14+parametros_manuales!$G$33*(datos_base!$G$5+IF(parametros_manuales!$H$33="Todos",datos_base!$G$12,0))*parametros_manuales!$G$110+parametros_manuales!$G$33*(datos_base!$G$21+IF(parametros_manuales!$H$33="Todos",datos_base!$G$26,0))*parametros_manuales!$G$15)*parametros_manuales!$I$33*parametros_manuales!$J$33</f>
        <v>8847.640642075</v>
      </c>
      <c r="H151" s="9" t="n">
        <f aca="false">(parametros_manuales!$D$33*(datos_base!$G$2+IF(parametros_manuales!$H$33="Todos",datos_base!$G$9,0))*parametros_manuales!$H$95+parametros_manuales!$D$33*(datos_base!$G$18+IF(parametros_manuales!$H$33="Todos",datos_base!$G$23,0))*parametros_manuales!$H$12+parametros_manuales!$E$33*(datos_base!$G$3+IF(parametros_manuales!$H$33="Todos",datos_base!$G$10,0))*parametros_manuales!$H$100+parametros_manuales!$E$33*(datos_base!$G$19+IF(parametros_manuales!$H$33="Todos",datos_base!$G$24,0))*parametros_manuales!$H$13+parametros_manuales!$F$33*(datos_base!$G$4+IF(parametros_manuales!$H$33="Todos",datos_base!$G$11,0))*parametros_manuales!$H$105+parametros_manuales!$F$33*(datos_base!$G$20+IF(parametros_manuales!$H$33="Todos",datos_base!$G$25,0))*parametros_manuales!$H$14+parametros_manuales!$G$33*(datos_base!$G$5+IF(parametros_manuales!$H$33="Todos",datos_base!$G$12,0))*parametros_manuales!$H$110+parametros_manuales!$G$33*(datos_base!$G$21+IF(parametros_manuales!$H$33="Todos",datos_base!$G$26,0))*parametros_manuales!$H$15)*parametros_manuales!$I$33*parametros_manuales!$J$33</f>
        <v>9466.58350257</v>
      </c>
      <c r="I151" s="9" t="n">
        <f aca="false">(parametros_manuales!$D$33*(datos_base!$G$2+IF(parametros_manuales!$H$33="Todos",datos_base!$G$9,0))*parametros_manuales!$I$95+parametros_manuales!$D$33*(datos_base!$G$18+IF(parametros_manuales!$H$33="Todos",datos_base!$G$23,0))*parametros_manuales!$I$12+parametros_manuales!$E$33*(datos_base!$G$3+IF(parametros_manuales!$H$33="Todos",datos_base!$G$10,0))*parametros_manuales!$I$100+parametros_manuales!$E$33*(datos_base!$G$19+IF(parametros_manuales!$H$33="Todos",datos_base!$G$24,0))*parametros_manuales!$I$13+parametros_manuales!$F$33*(datos_base!$G$4+IF(parametros_manuales!$H$33="Todos",datos_base!$G$11,0))*parametros_manuales!$I$105+parametros_manuales!$F$33*(datos_base!$G$20+IF(parametros_manuales!$H$33="Todos",datos_base!$G$25,0))*parametros_manuales!$I$14+parametros_manuales!$G$33*(datos_base!$G$5+IF(parametros_manuales!$H$33="Todos",datos_base!$G$12,0))*parametros_manuales!$I$110+parametros_manuales!$G$33*(datos_base!$G$21+IF(parametros_manuales!$H$33="Todos",datos_base!$G$26,0))*parametros_manuales!$I$15)*parametros_manuales!$I$33*parametros_manuales!$J$33</f>
        <v>10776.09029862</v>
      </c>
      <c r="J151" s="9" t="n">
        <f aca="false">(parametros_manuales!$D$33*(datos_base!$G$2+IF(parametros_manuales!$H$33="Todos",datos_base!$G$9,0))*parametros_manuales!$J$95+parametros_manuales!$D$33*(datos_base!$G$18+IF(parametros_manuales!$H$33="Todos",datos_base!$G$23,0))*parametros_manuales!$J$12+parametros_manuales!$E$33*(datos_base!$G$3+IF(parametros_manuales!$H$33="Todos",datos_base!$G$10,0))*parametros_manuales!$J$100+parametros_manuales!$E$33*(datos_base!$G$19+IF(parametros_manuales!$H$33="Todos",datos_base!$G$24,0))*parametros_manuales!$J$13+parametros_manuales!$F$33*(datos_base!$G$4+IF(parametros_manuales!$H$33="Todos",datos_base!$G$11,0))*parametros_manuales!$J$105+parametros_manuales!$F$33*(datos_base!$G$20+IF(parametros_manuales!$H$33="Todos",datos_base!$G$25,0))*parametros_manuales!$J$14+parametros_manuales!$G$33*(datos_base!$G$5+IF(parametros_manuales!$H$33="Todos",datos_base!$G$12,0))*parametros_manuales!$J$110+parametros_manuales!$G$33*(datos_base!$G$21+IF(parametros_manuales!$H$33="Todos",datos_base!$G$26,0))*parametros_manuales!$J$15)*parametros_manuales!$I$33*parametros_manuales!$J$33</f>
        <v>10776.09029862</v>
      </c>
      <c r="K151" s="9" t="n">
        <f aca="false">(parametros_manuales!$D$33*(datos_base!$G$2+IF(parametros_manuales!$H$33="Todos",datos_base!$G$9,0))*parametros_manuales!$K$95+parametros_manuales!$D$33*(datos_base!$G$18+IF(parametros_manuales!$H$33="Todos",datos_base!$G$23,0))*parametros_manuales!$K$12+parametros_manuales!$E$33*(datos_base!$G$3+IF(parametros_manuales!$H$33="Todos",datos_base!$G$10,0))*parametros_manuales!$K$100+parametros_manuales!$E$33*(datos_base!$G$19+IF(parametros_manuales!$H$33="Todos",datos_base!$G$24,0))*parametros_manuales!$K$13+parametros_manuales!$F$33*(datos_base!$G$4+IF(parametros_manuales!$H$33="Todos",datos_base!$G$11,0))*parametros_manuales!$K$105+parametros_manuales!$F$33*(datos_base!$G$20+IF(parametros_manuales!$H$33="Todos",datos_base!$G$25,0))*parametros_manuales!$K$14+parametros_manuales!$G$33*(datos_base!$G$5+IF(parametros_manuales!$H$33="Todos",datos_base!$G$12,0))*parametros_manuales!$K$110+parametros_manuales!$G$33*(datos_base!$G$21+IF(parametros_manuales!$H$33="Todos",datos_base!$G$26,0))*parametros_manuales!$K$15)*parametros_manuales!$I$33*parametros_manuales!$J$33</f>
        <v>10955.794093765</v>
      </c>
      <c r="L151" s="9" t="n">
        <f aca="false">(parametros_manuales!$D$33*(datos_base!$G$2+IF(parametros_manuales!$H$33="Todos",datos_base!$G$9,0))*parametros_manuales!$L$95+parametros_manuales!$D$33*(datos_base!$G$18+IF(parametros_manuales!$H$33="Todos",datos_base!$G$23,0))*parametros_manuales!$L$12+parametros_manuales!$E$33*(datos_base!$G$3+IF(parametros_manuales!$H$33="Todos",datos_base!$G$10,0))*parametros_manuales!$L$100+parametros_manuales!$E$33*(datos_base!$G$19+IF(parametros_manuales!$H$33="Todos",datos_base!$G$24,0))*parametros_manuales!$L$13+parametros_manuales!$F$33*(datos_base!$G$4+IF(parametros_manuales!$H$33="Todos",datos_base!$G$11,0))*parametros_manuales!$L$105+parametros_manuales!$F$33*(datos_base!$G$20+IF(parametros_manuales!$H$33="Todos",datos_base!$G$25,0))*parametros_manuales!$L$14+parametros_manuales!$G$33*(datos_base!$G$5+IF(parametros_manuales!$H$33="Todos",datos_base!$G$12,0))*parametros_manuales!$L$110+parametros_manuales!$G$33*(datos_base!$G$21+IF(parametros_manuales!$H$33="Todos",datos_base!$G$26,0))*parametros_manuales!$L$15)*parametros_manuales!$I$33*parametros_manuales!$J$33</f>
        <v>11135.49788891</v>
      </c>
      <c r="M151" s="9" t="n">
        <f aca="false">(parametros_manuales!$D$33*(datos_base!$G$2+IF(parametros_manuales!$H$33="Todos",datos_base!$G$9,0))*parametros_manuales!$M$95+parametros_manuales!$D$33*(datos_base!$G$18+IF(parametros_manuales!$H$33="Todos",datos_base!$G$23,0))*parametros_manuales!$M$12+parametros_manuales!$E$33*(datos_base!$G$3+IF(parametros_manuales!$H$33="Todos",datos_base!$G$10,0))*parametros_manuales!$M$100+parametros_manuales!$E$33*(datos_base!$G$19+IF(parametros_manuales!$H$33="Todos",datos_base!$G$24,0))*parametros_manuales!$M$13+parametros_manuales!$F$33*(datos_base!$G$4+IF(parametros_manuales!$H$33="Todos",datos_base!$G$11,0))*parametros_manuales!$M$105+parametros_manuales!$F$33*(datos_base!$G$20+IF(parametros_manuales!$H$33="Todos",datos_base!$G$25,0))*parametros_manuales!$M$14+parametros_manuales!$G$33*(datos_base!$G$5+IF(parametros_manuales!$H$33="Todos",datos_base!$G$12,0))*parametros_manuales!$M$110+parametros_manuales!$G$33*(datos_base!$G$21+IF(parametros_manuales!$H$33="Todos",datos_base!$G$26,0))*parametros_manuales!$M$15)*parametros_manuales!$I$33*parametros_manuales!$J$33</f>
        <v>11146.44508891</v>
      </c>
      <c r="N151" s="9" t="n">
        <f aca="false">SUM(B151:M151)</f>
        <v>123788.572099</v>
      </c>
      <c r="O151" s="9" t="n">
        <f aca="false">MAX(B151:M151)</f>
        <v>11146.44508891</v>
      </c>
      <c r="P151" s="44" t="n">
        <f aca="false">O151/(parametros_manuales!$B$7)</f>
        <v>74.3096339260667</v>
      </c>
      <c r="Q151" s="8" t="str">
        <f aca="false">IF(O151=0,"-",INDEX($B$136:$M$136,MATCH(O151,B151:M151,0)))</f>
        <v>Dic</v>
      </c>
    </row>
    <row r="152" customFormat="false" ht="14.25" hidden="false" customHeight="true" outlineLevel="0" collapsed="false">
      <c r="A152" s="8" t="str">
        <f aca="false">parametros_manuales!$B$34</f>
        <v>Granallado</v>
      </c>
      <c r="B152" s="9" t="n">
        <f aca="false">(parametros_manuales!$D$34*(datos_base!$G$2+IF(parametros_manuales!$H$34="Todos",datos_base!$G$9,0))*parametros_manuales!$B$95+parametros_manuales!$D$34*(datos_base!$G$18+IF(parametros_manuales!$H$34="Todos",datos_base!$G$23,0))*parametros_manuales!$B$12+parametros_manuales!$E$34*(datos_base!$G$3+IF(parametros_manuales!$H$34="Todos",datos_base!$G$10,0))*parametros_manuales!$B$100+parametros_manuales!$E$34*(datos_base!$G$19+IF(parametros_manuales!$H$34="Todos",datos_base!$G$24,0))*parametros_manuales!$B$13+parametros_manuales!$F$34*(datos_base!$G$4+IF(parametros_manuales!$H$34="Todos",datos_base!$G$11,0))*parametros_manuales!$B$105+parametros_manuales!$F$34*(datos_base!$G$20+IF(parametros_manuales!$H$34="Todos",datos_base!$G$25,0))*parametros_manuales!$B$14+parametros_manuales!$G$34*(datos_base!$G$5+IF(parametros_manuales!$H$34="Todos",datos_base!$G$12,0))*parametros_manuales!$B$110+parametros_manuales!$G$34*(datos_base!$G$21+IF(parametros_manuales!$H$34="Todos",datos_base!$G$26,0))*parametros_manuales!$B$15)*parametros_manuales!$I$34*parametros_manuales!$J$34</f>
        <v>11143.70828891</v>
      </c>
      <c r="C152" s="9" t="n">
        <f aca="false">(parametros_manuales!$D$34*(datos_base!$G$2+IF(parametros_manuales!$H$34="Todos",datos_base!$G$9,0))*parametros_manuales!$C$95+parametros_manuales!$D$34*(datos_base!$G$18+IF(parametros_manuales!$H$34="Todos",datos_base!$G$23,0))*parametros_manuales!$C$12+parametros_manuales!$E$34*(datos_base!$G$3+IF(parametros_manuales!$H$34="Todos",datos_base!$G$10,0))*parametros_manuales!$C$100+parametros_manuales!$E$34*(datos_base!$G$19+IF(parametros_manuales!$H$34="Todos",datos_base!$G$24,0))*parametros_manuales!$C$13+parametros_manuales!$F$34*(datos_base!$G$4+IF(parametros_manuales!$H$34="Todos",datos_base!$G$11,0))*parametros_manuales!$C$105+parametros_manuales!$F$34*(datos_base!$G$20+IF(parametros_manuales!$H$34="Todos",datos_base!$G$25,0))*parametros_manuales!$C$14+parametros_manuales!$G$34*(datos_base!$G$5+IF(parametros_manuales!$H$34="Todos",datos_base!$G$12,0))*parametros_manuales!$C$110+parametros_manuales!$G$34*(datos_base!$G$21+IF(parametros_manuales!$H$34="Todos",datos_base!$G$26,0))*parametros_manuales!$C$15)*parametros_manuales!$I$34*parametros_manuales!$J$34</f>
        <v>10776.09029862</v>
      </c>
      <c r="D152" s="9" t="n">
        <f aca="false">(parametros_manuales!$D$34*(datos_base!$G$2+IF(parametros_manuales!$H$34="Todos",datos_base!$G$9,0))*parametros_manuales!$D$95+parametros_manuales!$D$34*(datos_base!$G$18+IF(parametros_manuales!$H$34="Todos",datos_base!$G$23,0))*parametros_manuales!$D$12+parametros_manuales!$E$34*(datos_base!$G$3+IF(parametros_manuales!$H$34="Todos",datos_base!$G$10,0))*parametros_manuales!$D$100+parametros_manuales!$E$34*(datos_base!$G$19+IF(parametros_manuales!$H$34="Todos",datos_base!$G$24,0))*parametros_manuales!$D$13+parametros_manuales!$F$34*(datos_base!$G$4+IF(parametros_manuales!$H$34="Todos",datos_base!$G$11,0))*parametros_manuales!$D$105+parametros_manuales!$F$34*(datos_base!$G$20+IF(parametros_manuales!$H$34="Todos",datos_base!$G$25,0))*parametros_manuales!$D$14+parametros_manuales!$G$34*(datos_base!$G$5+IF(parametros_manuales!$H$34="Todos",datos_base!$G$12,0))*parametros_manuales!$D$110+parametros_manuales!$G$34*(datos_base!$G$21+IF(parametros_manuales!$H$34="Todos",datos_base!$G$26,0))*parametros_manuales!$D$15)*parametros_manuales!$I$34*parametros_manuales!$J$34</f>
        <v>10085.526363065</v>
      </c>
      <c r="E152" s="9" t="n">
        <f aca="false">(parametros_manuales!$D$34*(datos_base!$G$2+IF(parametros_manuales!$H$34="Todos",datos_base!$G$9,0))*parametros_manuales!$E$95+parametros_manuales!$D$34*(datos_base!$G$18+IF(parametros_manuales!$H$34="Todos",datos_base!$G$23,0))*parametros_manuales!$E$12+parametros_manuales!$E$34*(datos_base!$G$3+IF(parametros_manuales!$H$34="Todos",datos_base!$G$10,0))*parametros_manuales!$E$100+parametros_manuales!$E$34*(datos_base!$G$19+IF(parametros_manuales!$H$34="Todos",datos_base!$G$24,0))*parametros_manuales!$E$13+parametros_manuales!$F$34*(datos_base!$G$4+IF(parametros_manuales!$H$34="Todos",datos_base!$G$11,0))*parametros_manuales!$E$105+parametros_manuales!$F$34*(datos_base!$G$20+IF(parametros_manuales!$H$34="Todos",datos_base!$G$25,0))*parametros_manuales!$E$14+parametros_manuales!$G$34*(datos_base!$G$5+IF(parametros_manuales!$H$34="Todos",datos_base!$G$12,0))*parametros_manuales!$E$110+parametros_manuales!$G$34*(datos_base!$G$21+IF(parametros_manuales!$H$34="Todos",datos_base!$G$26,0))*parametros_manuales!$E$15)*parametros_manuales!$I$34*parametros_manuales!$J$34</f>
        <v>9649.024097715</v>
      </c>
      <c r="F152" s="9" t="n">
        <f aca="false">(parametros_manuales!$D$34*(datos_base!$G$2+IF(parametros_manuales!$H$34="Todos",datos_base!$G$9,0))*parametros_manuales!$F$95+parametros_manuales!$D$34*(datos_base!$G$18+IF(parametros_manuales!$H$34="Todos",datos_base!$G$23,0))*parametros_manuales!$F$12+parametros_manuales!$E$34*(datos_base!$G$3+IF(parametros_manuales!$H$34="Todos",datos_base!$G$10,0))*parametros_manuales!$F$100+parametros_manuales!$E$34*(datos_base!$G$19+IF(parametros_manuales!$H$34="Todos",datos_base!$G$24,0))*parametros_manuales!$F$13+parametros_manuales!$F$34*(datos_base!$G$4+IF(parametros_manuales!$H$34="Todos",datos_base!$G$11,0))*parametros_manuales!$F$105+parametros_manuales!$F$34*(datos_base!$G$20+IF(parametros_manuales!$H$34="Todos",datos_base!$G$25,0))*parametros_manuales!$F$14+parametros_manuales!$G$34*(datos_base!$G$5+IF(parametros_manuales!$H$34="Todos",datos_base!$G$12,0))*parametros_manuales!$F$110+parametros_manuales!$G$34*(datos_base!$G$21+IF(parametros_manuales!$H$34="Todos",datos_base!$G$26,0))*parametros_manuales!$F$15)*parametros_manuales!$I$34*parametros_manuales!$J$34</f>
        <v>9030.08123722</v>
      </c>
      <c r="G152" s="9" t="n">
        <f aca="false">(parametros_manuales!$D$34*(datos_base!$G$2+IF(parametros_manuales!$H$34="Todos",datos_base!$G$9,0))*parametros_manuales!$G$95+parametros_manuales!$D$34*(datos_base!$G$18+IF(parametros_manuales!$H$34="Todos",datos_base!$G$23,0))*parametros_manuales!$G$12+parametros_manuales!$E$34*(datos_base!$G$3+IF(parametros_manuales!$H$34="Todos",datos_base!$G$10,0))*parametros_manuales!$G$100+parametros_manuales!$E$34*(datos_base!$G$19+IF(parametros_manuales!$H$34="Todos",datos_base!$G$24,0))*parametros_manuales!$G$13+parametros_manuales!$F$34*(datos_base!$G$4+IF(parametros_manuales!$H$34="Todos",datos_base!$G$11,0))*parametros_manuales!$G$105+parametros_manuales!$F$34*(datos_base!$G$20+IF(parametros_manuales!$H$34="Todos",datos_base!$G$25,0))*parametros_manuales!$G$14+parametros_manuales!$G$34*(datos_base!$G$5+IF(parametros_manuales!$H$34="Todos",datos_base!$G$12,0))*parametros_manuales!$G$110+parametros_manuales!$G$34*(datos_base!$G$21+IF(parametros_manuales!$H$34="Todos",datos_base!$G$26,0))*parametros_manuales!$G$15)*parametros_manuales!$I$34*parametros_manuales!$J$34</f>
        <v>8847.640642075</v>
      </c>
      <c r="H152" s="9" t="n">
        <f aca="false">(parametros_manuales!$D$34*(datos_base!$G$2+IF(parametros_manuales!$H$34="Todos",datos_base!$G$9,0))*parametros_manuales!$H$95+parametros_manuales!$D$34*(datos_base!$G$18+IF(parametros_manuales!$H$34="Todos",datos_base!$G$23,0))*parametros_manuales!$H$12+parametros_manuales!$E$34*(datos_base!$G$3+IF(parametros_manuales!$H$34="Todos",datos_base!$G$10,0))*parametros_manuales!$H$100+parametros_manuales!$E$34*(datos_base!$G$19+IF(parametros_manuales!$H$34="Todos",datos_base!$G$24,0))*parametros_manuales!$H$13+parametros_manuales!$F$34*(datos_base!$G$4+IF(parametros_manuales!$H$34="Todos",datos_base!$G$11,0))*parametros_manuales!$H$105+parametros_manuales!$F$34*(datos_base!$G$20+IF(parametros_manuales!$H$34="Todos",datos_base!$G$25,0))*parametros_manuales!$H$14+parametros_manuales!$G$34*(datos_base!$G$5+IF(parametros_manuales!$H$34="Todos",datos_base!$G$12,0))*parametros_manuales!$H$110+parametros_manuales!$G$34*(datos_base!$G$21+IF(parametros_manuales!$H$34="Todos",datos_base!$G$26,0))*parametros_manuales!$H$15)*parametros_manuales!$I$34*parametros_manuales!$J$34</f>
        <v>9466.58350257</v>
      </c>
      <c r="I152" s="9" t="n">
        <f aca="false">(parametros_manuales!$D$34*(datos_base!$G$2+IF(parametros_manuales!$H$34="Todos",datos_base!$G$9,0))*parametros_manuales!$I$95+parametros_manuales!$D$34*(datos_base!$G$18+IF(parametros_manuales!$H$34="Todos",datos_base!$G$23,0))*parametros_manuales!$I$12+parametros_manuales!$E$34*(datos_base!$G$3+IF(parametros_manuales!$H$34="Todos",datos_base!$G$10,0))*parametros_manuales!$I$100+parametros_manuales!$E$34*(datos_base!$G$19+IF(parametros_manuales!$H$34="Todos",datos_base!$G$24,0))*parametros_manuales!$I$13+parametros_manuales!$F$34*(datos_base!$G$4+IF(parametros_manuales!$H$34="Todos",datos_base!$G$11,0))*parametros_manuales!$I$105+parametros_manuales!$F$34*(datos_base!$G$20+IF(parametros_manuales!$H$34="Todos",datos_base!$G$25,0))*parametros_manuales!$I$14+parametros_manuales!$G$34*(datos_base!$G$5+IF(parametros_manuales!$H$34="Todos",datos_base!$G$12,0))*parametros_manuales!$I$110+parametros_manuales!$G$34*(datos_base!$G$21+IF(parametros_manuales!$H$34="Todos",datos_base!$G$26,0))*parametros_manuales!$I$15)*parametros_manuales!$I$34*parametros_manuales!$J$34</f>
        <v>10776.09029862</v>
      </c>
      <c r="J152" s="9" t="n">
        <f aca="false">(parametros_manuales!$D$34*(datos_base!$G$2+IF(parametros_manuales!$H$34="Todos",datos_base!$G$9,0))*parametros_manuales!$J$95+parametros_manuales!$D$34*(datos_base!$G$18+IF(parametros_manuales!$H$34="Todos",datos_base!$G$23,0))*parametros_manuales!$J$12+parametros_manuales!$E$34*(datos_base!$G$3+IF(parametros_manuales!$H$34="Todos",datos_base!$G$10,0))*parametros_manuales!$J$100+parametros_manuales!$E$34*(datos_base!$G$19+IF(parametros_manuales!$H$34="Todos",datos_base!$G$24,0))*parametros_manuales!$J$13+parametros_manuales!$F$34*(datos_base!$G$4+IF(parametros_manuales!$H$34="Todos",datos_base!$G$11,0))*parametros_manuales!$J$105+parametros_manuales!$F$34*(datos_base!$G$20+IF(parametros_manuales!$H$34="Todos",datos_base!$G$25,0))*parametros_manuales!$J$14+parametros_manuales!$G$34*(datos_base!$G$5+IF(parametros_manuales!$H$34="Todos",datos_base!$G$12,0))*parametros_manuales!$J$110+parametros_manuales!$G$34*(datos_base!$G$21+IF(parametros_manuales!$H$34="Todos",datos_base!$G$26,0))*parametros_manuales!$J$15)*parametros_manuales!$I$34*parametros_manuales!$J$34</f>
        <v>10776.09029862</v>
      </c>
      <c r="K152" s="9" t="n">
        <f aca="false">(parametros_manuales!$D$34*(datos_base!$G$2+IF(parametros_manuales!$H$34="Todos",datos_base!$G$9,0))*parametros_manuales!$K$95+parametros_manuales!$D$34*(datos_base!$G$18+IF(parametros_manuales!$H$34="Todos",datos_base!$G$23,0))*parametros_manuales!$K$12+parametros_manuales!$E$34*(datos_base!$G$3+IF(parametros_manuales!$H$34="Todos",datos_base!$G$10,0))*parametros_manuales!$K$100+parametros_manuales!$E$34*(datos_base!$G$19+IF(parametros_manuales!$H$34="Todos",datos_base!$G$24,0))*parametros_manuales!$K$13+parametros_manuales!$F$34*(datos_base!$G$4+IF(parametros_manuales!$H$34="Todos",datos_base!$G$11,0))*parametros_manuales!$K$105+parametros_manuales!$F$34*(datos_base!$G$20+IF(parametros_manuales!$H$34="Todos",datos_base!$G$25,0))*parametros_manuales!$K$14+parametros_manuales!$G$34*(datos_base!$G$5+IF(parametros_manuales!$H$34="Todos",datos_base!$G$12,0))*parametros_manuales!$K$110+parametros_manuales!$G$34*(datos_base!$G$21+IF(parametros_manuales!$H$34="Todos",datos_base!$G$26,0))*parametros_manuales!$K$15)*parametros_manuales!$I$34*parametros_manuales!$J$34</f>
        <v>10955.794093765</v>
      </c>
      <c r="L152" s="9" t="n">
        <f aca="false">(parametros_manuales!$D$34*(datos_base!$G$2+IF(parametros_manuales!$H$34="Todos",datos_base!$G$9,0))*parametros_manuales!$L$95+parametros_manuales!$D$34*(datos_base!$G$18+IF(parametros_manuales!$H$34="Todos",datos_base!$G$23,0))*parametros_manuales!$L$12+parametros_manuales!$E$34*(datos_base!$G$3+IF(parametros_manuales!$H$34="Todos",datos_base!$G$10,0))*parametros_manuales!$L$100+parametros_manuales!$E$34*(datos_base!$G$19+IF(parametros_manuales!$H$34="Todos",datos_base!$G$24,0))*parametros_manuales!$L$13+parametros_manuales!$F$34*(datos_base!$G$4+IF(parametros_manuales!$H$34="Todos",datos_base!$G$11,0))*parametros_manuales!$L$105+parametros_manuales!$F$34*(datos_base!$G$20+IF(parametros_manuales!$H$34="Todos",datos_base!$G$25,0))*parametros_manuales!$L$14+parametros_manuales!$G$34*(datos_base!$G$5+IF(parametros_manuales!$H$34="Todos",datos_base!$G$12,0))*parametros_manuales!$L$110+parametros_manuales!$G$34*(datos_base!$G$21+IF(parametros_manuales!$H$34="Todos",datos_base!$G$26,0))*parametros_manuales!$L$15)*parametros_manuales!$I$34*parametros_manuales!$J$34</f>
        <v>11135.49788891</v>
      </c>
      <c r="M152" s="9" t="n">
        <f aca="false">(parametros_manuales!$D$34*(datos_base!$G$2+IF(parametros_manuales!$H$34="Todos",datos_base!$G$9,0))*parametros_manuales!$M$95+parametros_manuales!$D$34*(datos_base!$G$18+IF(parametros_manuales!$H$34="Todos",datos_base!$G$23,0))*parametros_manuales!$M$12+parametros_manuales!$E$34*(datos_base!$G$3+IF(parametros_manuales!$H$34="Todos",datos_base!$G$10,0))*parametros_manuales!$M$100+parametros_manuales!$E$34*(datos_base!$G$19+IF(parametros_manuales!$H$34="Todos",datos_base!$G$24,0))*parametros_manuales!$M$13+parametros_manuales!$F$34*(datos_base!$G$4+IF(parametros_manuales!$H$34="Todos",datos_base!$G$11,0))*parametros_manuales!$M$105+parametros_manuales!$F$34*(datos_base!$G$20+IF(parametros_manuales!$H$34="Todos",datos_base!$G$25,0))*parametros_manuales!$M$14+parametros_manuales!$G$34*(datos_base!$G$5+IF(parametros_manuales!$H$34="Todos",datos_base!$G$12,0))*parametros_manuales!$M$110+parametros_manuales!$G$34*(datos_base!$G$21+IF(parametros_manuales!$H$34="Todos",datos_base!$G$26,0))*parametros_manuales!$M$15)*parametros_manuales!$I$34*parametros_manuales!$J$34</f>
        <v>11146.44508891</v>
      </c>
      <c r="N152" s="9" t="n">
        <f aca="false">SUM(B152:M152)</f>
        <v>123788.572099</v>
      </c>
      <c r="O152" s="9" t="n">
        <f aca="false">MAX(B152:M152)</f>
        <v>11146.44508891</v>
      </c>
      <c r="P152" s="44" t="n">
        <f aca="false">O152/(parametros_manuales!$B$7)</f>
        <v>74.3096339260667</v>
      </c>
      <c r="Q152" s="8" t="str">
        <f aca="false">IF(O152=0,"-",INDEX($B$136:$M$136,MATCH(O152,B152:M152,0)))</f>
        <v>Dic</v>
      </c>
    </row>
    <row r="153" customFormat="false" ht="14.25" hidden="false" customHeight="true" outlineLevel="0" collapsed="false">
      <c r="A153" s="8" t="str">
        <f aca="false">parametros_manuales!$B$35</f>
        <v>Detección de defectos</v>
      </c>
      <c r="B153" s="9" t="n">
        <f aca="false">(parametros_manuales!$D$35*(datos_base!$G$2+IF(parametros_manuales!$H$35="Todos",datos_base!$G$9,0))*parametros_manuales!$B$95+parametros_manuales!$D$35*(datos_base!$G$18+IF(parametros_manuales!$H$35="Todos",datos_base!$G$23,0))*parametros_manuales!$B$12+parametros_manuales!$E$35*(datos_base!$G$3+IF(parametros_manuales!$H$35="Todos",datos_base!$G$10,0))*parametros_manuales!$B$100+parametros_manuales!$E$35*(datos_base!$G$19+IF(parametros_manuales!$H$35="Todos",datos_base!$G$24,0))*parametros_manuales!$B$13+parametros_manuales!$F$35*(datos_base!$G$4+IF(parametros_manuales!$H$35="Todos",datos_base!$G$11,0))*parametros_manuales!$B$105+parametros_manuales!$F$35*(datos_base!$G$20+IF(parametros_manuales!$H$35="Todos",datos_base!$G$25,0))*parametros_manuales!$B$14+parametros_manuales!$G$35*(datos_base!$G$5+IF(parametros_manuales!$H$35="Todos",datos_base!$G$12,0))*parametros_manuales!$B$110+parametros_manuales!$G$35*(datos_base!$G$21+IF(parametros_manuales!$H$35="Todos",datos_base!$G$26,0))*parametros_manuales!$B$15)*parametros_manuales!$I$35*parametros_manuales!$J$35</f>
        <v>11143.70828891</v>
      </c>
      <c r="C153" s="9" t="n">
        <f aca="false">(parametros_manuales!$D$35*(datos_base!$G$2+IF(parametros_manuales!$H$35="Todos",datos_base!$G$9,0))*parametros_manuales!$C$95+parametros_manuales!$D$35*(datos_base!$G$18+IF(parametros_manuales!$H$35="Todos",datos_base!$G$23,0))*parametros_manuales!$C$12+parametros_manuales!$E$35*(datos_base!$G$3+IF(parametros_manuales!$H$35="Todos",datos_base!$G$10,0))*parametros_manuales!$C$100+parametros_manuales!$E$35*(datos_base!$G$19+IF(parametros_manuales!$H$35="Todos",datos_base!$G$24,0))*parametros_manuales!$C$13+parametros_manuales!$F$35*(datos_base!$G$4+IF(parametros_manuales!$H$35="Todos",datos_base!$G$11,0))*parametros_manuales!$C$105+parametros_manuales!$F$35*(datos_base!$G$20+IF(parametros_manuales!$H$35="Todos",datos_base!$G$25,0))*parametros_manuales!$C$14+parametros_manuales!$G$35*(datos_base!$G$5+IF(parametros_manuales!$H$35="Todos",datos_base!$G$12,0))*parametros_manuales!$C$110+parametros_manuales!$G$35*(datos_base!$G$21+IF(parametros_manuales!$H$35="Todos",datos_base!$G$26,0))*parametros_manuales!$C$15)*parametros_manuales!$I$35*parametros_manuales!$J$35</f>
        <v>10776.09029862</v>
      </c>
      <c r="D153" s="9" t="n">
        <f aca="false">(parametros_manuales!$D$35*(datos_base!$G$2+IF(parametros_manuales!$H$35="Todos",datos_base!$G$9,0))*parametros_manuales!$D$95+parametros_manuales!$D$35*(datos_base!$G$18+IF(parametros_manuales!$H$35="Todos",datos_base!$G$23,0))*parametros_manuales!$D$12+parametros_manuales!$E$35*(datos_base!$G$3+IF(parametros_manuales!$H$35="Todos",datos_base!$G$10,0))*parametros_manuales!$D$100+parametros_manuales!$E$35*(datos_base!$G$19+IF(parametros_manuales!$H$35="Todos",datos_base!$G$24,0))*parametros_manuales!$D$13+parametros_manuales!$F$35*(datos_base!$G$4+IF(parametros_manuales!$H$35="Todos",datos_base!$G$11,0))*parametros_manuales!$D$105+parametros_manuales!$F$35*(datos_base!$G$20+IF(parametros_manuales!$H$35="Todos",datos_base!$G$25,0))*parametros_manuales!$D$14+parametros_manuales!$G$35*(datos_base!$G$5+IF(parametros_manuales!$H$35="Todos",datos_base!$G$12,0))*parametros_manuales!$D$110+parametros_manuales!$G$35*(datos_base!$G$21+IF(parametros_manuales!$H$35="Todos",datos_base!$G$26,0))*parametros_manuales!$D$15)*parametros_manuales!$I$35*parametros_manuales!$J$35</f>
        <v>10085.526363065</v>
      </c>
      <c r="E153" s="9" t="n">
        <f aca="false">(parametros_manuales!$D$35*(datos_base!$G$2+IF(parametros_manuales!$H$35="Todos",datos_base!$G$9,0))*parametros_manuales!$E$95+parametros_manuales!$D$35*(datos_base!$G$18+IF(parametros_manuales!$H$35="Todos",datos_base!$G$23,0))*parametros_manuales!$E$12+parametros_manuales!$E$35*(datos_base!$G$3+IF(parametros_manuales!$H$35="Todos",datos_base!$G$10,0))*parametros_manuales!$E$100+parametros_manuales!$E$35*(datos_base!$G$19+IF(parametros_manuales!$H$35="Todos",datos_base!$G$24,0))*parametros_manuales!$E$13+parametros_manuales!$F$35*(datos_base!$G$4+IF(parametros_manuales!$H$35="Todos",datos_base!$G$11,0))*parametros_manuales!$E$105+parametros_manuales!$F$35*(datos_base!$G$20+IF(parametros_manuales!$H$35="Todos",datos_base!$G$25,0))*parametros_manuales!$E$14+parametros_manuales!$G$35*(datos_base!$G$5+IF(parametros_manuales!$H$35="Todos",datos_base!$G$12,0))*parametros_manuales!$E$110+parametros_manuales!$G$35*(datos_base!$G$21+IF(parametros_manuales!$H$35="Todos",datos_base!$G$26,0))*parametros_manuales!$E$15)*parametros_manuales!$I$35*parametros_manuales!$J$35</f>
        <v>9649.024097715</v>
      </c>
      <c r="F153" s="9" t="n">
        <f aca="false">(parametros_manuales!$D$35*(datos_base!$G$2+IF(parametros_manuales!$H$35="Todos",datos_base!$G$9,0))*parametros_manuales!$F$95+parametros_manuales!$D$35*(datos_base!$G$18+IF(parametros_manuales!$H$35="Todos",datos_base!$G$23,0))*parametros_manuales!$F$12+parametros_manuales!$E$35*(datos_base!$G$3+IF(parametros_manuales!$H$35="Todos",datos_base!$G$10,0))*parametros_manuales!$F$100+parametros_manuales!$E$35*(datos_base!$G$19+IF(parametros_manuales!$H$35="Todos",datos_base!$G$24,0))*parametros_manuales!$F$13+parametros_manuales!$F$35*(datos_base!$G$4+IF(parametros_manuales!$H$35="Todos",datos_base!$G$11,0))*parametros_manuales!$F$105+parametros_manuales!$F$35*(datos_base!$G$20+IF(parametros_manuales!$H$35="Todos",datos_base!$G$25,0))*parametros_manuales!$F$14+parametros_manuales!$G$35*(datos_base!$G$5+IF(parametros_manuales!$H$35="Todos",datos_base!$G$12,0))*parametros_manuales!$F$110+parametros_manuales!$G$35*(datos_base!$G$21+IF(parametros_manuales!$H$35="Todos",datos_base!$G$26,0))*parametros_manuales!$F$15)*parametros_manuales!$I$35*parametros_manuales!$J$35</f>
        <v>9030.08123722</v>
      </c>
      <c r="G153" s="9" t="n">
        <f aca="false">(parametros_manuales!$D$35*(datos_base!$G$2+IF(parametros_manuales!$H$35="Todos",datos_base!$G$9,0))*parametros_manuales!$G$95+parametros_manuales!$D$35*(datos_base!$G$18+IF(parametros_manuales!$H$35="Todos",datos_base!$G$23,0))*parametros_manuales!$G$12+parametros_manuales!$E$35*(datos_base!$G$3+IF(parametros_manuales!$H$35="Todos",datos_base!$G$10,0))*parametros_manuales!$G$100+parametros_manuales!$E$35*(datos_base!$G$19+IF(parametros_manuales!$H$35="Todos",datos_base!$G$24,0))*parametros_manuales!$G$13+parametros_manuales!$F$35*(datos_base!$G$4+IF(parametros_manuales!$H$35="Todos",datos_base!$G$11,0))*parametros_manuales!$G$105+parametros_manuales!$F$35*(datos_base!$G$20+IF(parametros_manuales!$H$35="Todos",datos_base!$G$25,0))*parametros_manuales!$G$14+parametros_manuales!$G$35*(datos_base!$G$5+IF(parametros_manuales!$H$35="Todos",datos_base!$G$12,0))*parametros_manuales!$G$110+parametros_manuales!$G$35*(datos_base!$G$21+IF(parametros_manuales!$H$35="Todos",datos_base!$G$26,0))*parametros_manuales!$G$15)*parametros_manuales!$I$35*parametros_manuales!$J$35</f>
        <v>8847.640642075</v>
      </c>
      <c r="H153" s="9" t="n">
        <f aca="false">(parametros_manuales!$D$35*(datos_base!$G$2+IF(parametros_manuales!$H$35="Todos",datos_base!$G$9,0))*parametros_manuales!$H$95+parametros_manuales!$D$35*(datos_base!$G$18+IF(parametros_manuales!$H$35="Todos",datos_base!$G$23,0))*parametros_manuales!$H$12+parametros_manuales!$E$35*(datos_base!$G$3+IF(parametros_manuales!$H$35="Todos",datos_base!$G$10,0))*parametros_manuales!$H$100+parametros_manuales!$E$35*(datos_base!$G$19+IF(parametros_manuales!$H$35="Todos",datos_base!$G$24,0))*parametros_manuales!$H$13+parametros_manuales!$F$35*(datos_base!$G$4+IF(parametros_manuales!$H$35="Todos",datos_base!$G$11,0))*parametros_manuales!$H$105+parametros_manuales!$F$35*(datos_base!$G$20+IF(parametros_manuales!$H$35="Todos",datos_base!$G$25,0))*parametros_manuales!$H$14+parametros_manuales!$G$35*(datos_base!$G$5+IF(parametros_manuales!$H$35="Todos",datos_base!$G$12,0))*parametros_manuales!$H$110+parametros_manuales!$G$35*(datos_base!$G$21+IF(parametros_manuales!$H$35="Todos",datos_base!$G$26,0))*parametros_manuales!$H$15)*parametros_manuales!$I$35*parametros_manuales!$J$35</f>
        <v>9466.58350257</v>
      </c>
      <c r="I153" s="9" t="n">
        <f aca="false">(parametros_manuales!$D$35*(datos_base!$G$2+IF(parametros_manuales!$H$35="Todos",datos_base!$G$9,0))*parametros_manuales!$I$95+parametros_manuales!$D$35*(datos_base!$G$18+IF(parametros_manuales!$H$35="Todos",datos_base!$G$23,0))*parametros_manuales!$I$12+parametros_manuales!$E$35*(datos_base!$G$3+IF(parametros_manuales!$H$35="Todos",datos_base!$G$10,0))*parametros_manuales!$I$100+parametros_manuales!$E$35*(datos_base!$G$19+IF(parametros_manuales!$H$35="Todos",datos_base!$G$24,0))*parametros_manuales!$I$13+parametros_manuales!$F$35*(datos_base!$G$4+IF(parametros_manuales!$H$35="Todos",datos_base!$G$11,0))*parametros_manuales!$I$105+parametros_manuales!$F$35*(datos_base!$G$20+IF(parametros_manuales!$H$35="Todos",datos_base!$G$25,0))*parametros_manuales!$I$14+parametros_manuales!$G$35*(datos_base!$G$5+IF(parametros_manuales!$H$35="Todos",datos_base!$G$12,0))*parametros_manuales!$I$110+parametros_manuales!$G$35*(datos_base!$G$21+IF(parametros_manuales!$H$35="Todos",datos_base!$G$26,0))*parametros_manuales!$I$15)*parametros_manuales!$I$35*parametros_manuales!$J$35</f>
        <v>10776.09029862</v>
      </c>
      <c r="J153" s="9" t="n">
        <f aca="false">(parametros_manuales!$D$35*(datos_base!$G$2+IF(parametros_manuales!$H$35="Todos",datos_base!$G$9,0))*parametros_manuales!$J$95+parametros_manuales!$D$35*(datos_base!$G$18+IF(parametros_manuales!$H$35="Todos",datos_base!$G$23,0))*parametros_manuales!$J$12+parametros_manuales!$E$35*(datos_base!$G$3+IF(parametros_manuales!$H$35="Todos",datos_base!$G$10,0))*parametros_manuales!$J$100+parametros_manuales!$E$35*(datos_base!$G$19+IF(parametros_manuales!$H$35="Todos",datos_base!$G$24,0))*parametros_manuales!$J$13+parametros_manuales!$F$35*(datos_base!$G$4+IF(parametros_manuales!$H$35="Todos",datos_base!$G$11,0))*parametros_manuales!$J$105+parametros_manuales!$F$35*(datos_base!$G$20+IF(parametros_manuales!$H$35="Todos",datos_base!$G$25,0))*parametros_manuales!$J$14+parametros_manuales!$G$35*(datos_base!$G$5+IF(parametros_manuales!$H$35="Todos",datos_base!$G$12,0))*parametros_manuales!$J$110+parametros_manuales!$G$35*(datos_base!$G$21+IF(parametros_manuales!$H$35="Todos",datos_base!$G$26,0))*parametros_manuales!$J$15)*parametros_manuales!$I$35*parametros_manuales!$J$35</f>
        <v>10776.09029862</v>
      </c>
      <c r="K153" s="9" t="n">
        <f aca="false">(parametros_manuales!$D$35*(datos_base!$G$2+IF(parametros_manuales!$H$35="Todos",datos_base!$G$9,0))*parametros_manuales!$K$95+parametros_manuales!$D$35*(datos_base!$G$18+IF(parametros_manuales!$H$35="Todos",datos_base!$G$23,0))*parametros_manuales!$K$12+parametros_manuales!$E$35*(datos_base!$G$3+IF(parametros_manuales!$H$35="Todos",datos_base!$G$10,0))*parametros_manuales!$K$100+parametros_manuales!$E$35*(datos_base!$G$19+IF(parametros_manuales!$H$35="Todos",datos_base!$G$24,0))*parametros_manuales!$K$13+parametros_manuales!$F$35*(datos_base!$G$4+IF(parametros_manuales!$H$35="Todos",datos_base!$G$11,0))*parametros_manuales!$K$105+parametros_manuales!$F$35*(datos_base!$G$20+IF(parametros_manuales!$H$35="Todos",datos_base!$G$25,0))*parametros_manuales!$K$14+parametros_manuales!$G$35*(datos_base!$G$5+IF(parametros_manuales!$H$35="Todos",datos_base!$G$12,0))*parametros_manuales!$K$110+parametros_manuales!$G$35*(datos_base!$G$21+IF(parametros_manuales!$H$35="Todos",datos_base!$G$26,0))*parametros_manuales!$K$15)*parametros_manuales!$I$35*parametros_manuales!$J$35</f>
        <v>10955.794093765</v>
      </c>
      <c r="L153" s="9" t="n">
        <f aca="false">(parametros_manuales!$D$35*(datos_base!$G$2+IF(parametros_manuales!$H$35="Todos",datos_base!$G$9,0))*parametros_manuales!$L$95+parametros_manuales!$D$35*(datos_base!$G$18+IF(parametros_manuales!$H$35="Todos",datos_base!$G$23,0))*parametros_manuales!$L$12+parametros_manuales!$E$35*(datos_base!$G$3+IF(parametros_manuales!$H$35="Todos",datos_base!$G$10,0))*parametros_manuales!$L$100+parametros_manuales!$E$35*(datos_base!$G$19+IF(parametros_manuales!$H$35="Todos",datos_base!$G$24,0))*parametros_manuales!$L$13+parametros_manuales!$F$35*(datos_base!$G$4+IF(parametros_manuales!$H$35="Todos",datos_base!$G$11,0))*parametros_manuales!$L$105+parametros_manuales!$F$35*(datos_base!$G$20+IF(parametros_manuales!$H$35="Todos",datos_base!$G$25,0))*parametros_manuales!$L$14+parametros_manuales!$G$35*(datos_base!$G$5+IF(parametros_manuales!$H$35="Todos",datos_base!$G$12,0))*parametros_manuales!$L$110+parametros_manuales!$G$35*(datos_base!$G$21+IF(parametros_manuales!$H$35="Todos",datos_base!$G$26,0))*parametros_manuales!$L$15)*parametros_manuales!$I$35*parametros_manuales!$J$35</f>
        <v>11135.49788891</v>
      </c>
      <c r="M153" s="9" t="n">
        <f aca="false">(parametros_manuales!$D$35*(datos_base!$G$2+IF(parametros_manuales!$H$35="Todos",datos_base!$G$9,0))*parametros_manuales!$M$95+parametros_manuales!$D$35*(datos_base!$G$18+IF(parametros_manuales!$H$35="Todos",datos_base!$G$23,0))*parametros_manuales!$M$12+parametros_manuales!$E$35*(datos_base!$G$3+IF(parametros_manuales!$H$35="Todos",datos_base!$G$10,0))*parametros_manuales!$M$100+parametros_manuales!$E$35*(datos_base!$G$19+IF(parametros_manuales!$H$35="Todos",datos_base!$G$24,0))*parametros_manuales!$M$13+parametros_manuales!$F$35*(datos_base!$G$4+IF(parametros_manuales!$H$35="Todos",datos_base!$G$11,0))*parametros_manuales!$M$105+parametros_manuales!$F$35*(datos_base!$G$20+IF(parametros_manuales!$H$35="Todos",datos_base!$G$25,0))*parametros_manuales!$M$14+parametros_manuales!$G$35*(datos_base!$G$5+IF(parametros_manuales!$H$35="Todos",datos_base!$G$12,0))*parametros_manuales!$M$110+parametros_manuales!$G$35*(datos_base!$G$21+IF(parametros_manuales!$H$35="Todos",datos_base!$G$26,0))*parametros_manuales!$M$15)*parametros_manuales!$I$35*parametros_manuales!$J$35</f>
        <v>11146.44508891</v>
      </c>
      <c r="N153" s="9" t="n">
        <f aca="false">SUM(B153:M153)</f>
        <v>123788.572099</v>
      </c>
      <c r="O153" s="9" t="n">
        <f aca="false">MAX(B153:M153)</f>
        <v>11146.44508891</v>
      </c>
      <c r="P153" s="44" t="n">
        <f aca="false">O153/(parametros_manuales!$B$7)</f>
        <v>74.3096339260667</v>
      </c>
      <c r="Q153" s="8" t="str">
        <f aca="false">IF(O153=0,"-",INDEX($B$136:$M$136,MATCH(O153,B153:M153,0)))</f>
        <v>Dic</v>
      </c>
    </row>
    <row r="154" customFormat="false" ht="14.25" hidden="false" customHeight="true" outlineLevel="0" collapsed="false">
      <c r="A154" s="8" t="str">
        <f aca="false">parametros_manuales!$B$36</f>
        <v>Corrección de defectos</v>
      </c>
      <c r="B154" s="9" t="n">
        <f aca="false">(parametros_manuales!$D$36*(datos_base!$G$2+IF(parametros_manuales!$H$36="Todos",datos_base!$G$9,0))*parametros_manuales!$B$95+parametros_manuales!$D$36*(datos_base!$G$18+IF(parametros_manuales!$H$36="Todos",datos_base!$G$23,0))*parametros_manuales!$B$12+parametros_manuales!$E$36*(datos_base!$G$3+IF(parametros_manuales!$H$36="Todos",datos_base!$G$10,0))*parametros_manuales!$B$100+parametros_manuales!$E$36*(datos_base!$G$19+IF(parametros_manuales!$H$36="Todos",datos_base!$G$24,0))*parametros_manuales!$B$13+parametros_manuales!$F$36*(datos_base!$G$4+IF(parametros_manuales!$H$36="Todos",datos_base!$G$11,0))*parametros_manuales!$B$105+parametros_manuales!$F$36*(datos_base!$G$20+IF(parametros_manuales!$H$36="Todos",datos_base!$G$25,0))*parametros_manuales!$B$14+parametros_manuales!$G$36*(datos_base!$G$5+IF(parametros_manuales!$H$36="Todos",datos_base!$G$12,0))*parametros_manuales!$B$110+parametros_manuales!$G$36*(datos_base!$G$21+IF(parametros_manuales!$H$36="Todos",datos_base!$G$26,0))*parametros_manuales!$B$15)*parametros_manuales!$I$36*parametros_manuales!$J$36</f>
        <v>557.1854144455</v>
      </c>
      <c r="C154" s="9" t="n">
        <f aca="false">(parametros_manuales!$D$36*(datos_base!$G$2+IF(parametros_manuales!$H$36="Todos",datos_base!$G$9,0))*parametros_manuales!$C$95+parametros_manuales!$D$36*(datos_base!$G$18+IF(parametros_manuales!$H$36="Todos",datos_base!$G$23,0))*parametros_manuales!$C$12+parametros_manuales!$E$36*(datos_base!$G$3+IF(parametros_manuales!$H$36="Todos",datos_base!$G$10,0))*parametros_manuales!$C$100+parametros_manuales!$E$36*(datos_base!$G$19+IF(parametros_manuales!$H$36="Todos",datos_base!$G$24,0))*parametros_manuales!$C$13+parametros_manuales!$F$36*(datos_base!$G$4+IF(parametros_manuales!$H$36="Todos",datos_base!$G$11,0))*parametros_manuales!$C$105+parametros_manuales!$F$36*(datos_base!$G$20+IF(parametros_manuales!$H$36="Todos",datos_base!$G$25,0))*parametros_manuales!$C$14+parametros_manuales!$G$36*(datos_base!$G$5+IF(parametros_manuales!$H$36="Todos",datos_base!$G$12,0))*parametros_manuales!$C$110+parametros_manuales!$G$36*(datos_base!$G$21+IF(parametros_manuales!$H$36="Todos",datos_base!$G$26,0))*parametros_manuales!$C$15)*parametros_manuales!$I$36*parametros_manuales!$J$36</f>
        <v>538.804514931</v>
      </c>
      <c r="D154" s="9" t="n">
        <f aca="false">(parametros_manuales!$D$36*(datos_base!$G$2+IF(parametros_manuales!$H$36="Todos",datos_base!$G$9,0))*parametros_manuales!$D$95+parametros_manuales!$D$36*(datos_base!$G$18+IF(parametros_manuales!$H$36="Todos",datos_base!$G$23,0))*parametros_manuales!$D$12+parametros_manuales!$E$36*(datos_base!$G$3+IF(parametros_manuales!$H$36="Todos",datos_base!$G$10,0))*parametros_manuales!$D$100+parametros_manuales!$E$36*(datos_base!$G$19+IF(parametros_manuales!$H$36="Todos",datos_base!$G$24,0))*parametros_manuales!$D$13+parametros_manuales!$F$36*(datos_base!$G$4+IF(parametros_manuales!$H$36="Todos",datos_base!$G$11,0))*parametros_manuales!$D$105+parametros_manuales!$F$36*(datos_base!$G$20+IF(parametros_manuales!$H$36="Todos",datos_base!$G$25,0))*parametros_manuales!$D$14+parametros_manuales!$G$36*(datos_base!$G$5+IF(parametros_manuales!$H$36="Todos",datos_base!$G$12,0))*parametros_manuales!$D$110+parametros_manuales!$G$36*(datos_base!$G$21+IF(parametros_manuales!$H$36="Todos",datos_base!$G$26,0))*parametros_manuales!$D$15)*parametros_manuales!$I$36*parametros_manuales!$J$36</f>
        <v>504.27631815325</v>
      </c>
      <c r="E154" s="9" t="n">
        <f aca="false">(parametros_manuales!$D$36*(datos_base!$G$2+IF(parametros_manuales!$H$36="Todos",datos_base!$G$9,0))*parametros_manuales!$E$95+parametros_manuales!$D$36*(datos_base!$G$18+IF(parametros_manuales!$H$36="Todos",datos_base!$G$23,0))*parametros_manuales!$E$12+parametros_manuales!$E$36*(datos_base!$G$3+IF(parametros_manuales!$H$36="Todos",datos_base!$G$10,0))*parametros_manuales!$E$100+parametros_manuales!$E$36*(datos_base!$G$19+IF(parametros_manuales!$H$36="Todos",datos_base!$G$24,0))*parametros_manuales!$E$13+parametros_manuales!$F$36*(datos_base!$G$4+IF(parametros_manuales!$H$36="Todos",datos_base!$G$11,0))*parametros_manuales!$E$105+parametros_manuales!$F$36*(datos_base!$G$20+IF(parametros_manuales!$H$36="Todos",datos_base!$G$25,0))*parametros_manuales!$E$14+parametros_manuales!$G$36*(datos_base!$G$5+IF(parametros_manuales!$H$36="Todos",datos_base!$G$12,0))*parametros_manuales!$E$110+parametros_manuales!$G$36*(datos_base!$G$21+IF(parametros_manuales!$H$36="Todos",datos_base!$G$26,0))*parametros_manuales!$E$15)*parametros_manuales!$I$36*parametros_manuales!$J$36</f>
        <v>482.45120488575</v>
      </c>
      <c r="F154" s="9" t="n">
        <f aca="false">(parametros_manuales!$D$36*(datos_base!$G$2+IF(parametros_manuales!$H$36="Todos",datos_base!$G$9,0))*parametros_manuales!$F$95+parametros_manuales!$D$36*(datos_base!$G$18+IF(parametros_manuales!$H$36="Todos",datos_base!$G$23,0))*parametros_manuales!$F$12+parametros_manuales!$E$36*(datos_base!$G$3+IF(parametros_manuales!$H$36="Todos",datos_base!$G$10,0))*parametros_manuales!$F$100+parametros_manuales!$E$36*(datos_base!$G$19+IF(parametros_manuales!$H$36="Todos",datos_base!$G$24,0))*parametros_manuales!$F$13+parametros_manuales!$F$36*(datos_base!$G$4+IF(parametros_manuales!$H$36="Todos",datos_base!$G$11,0))*parametros_manuales!$F$105+parametros_manuales!$F$36*(datos_base!$G$20+IF(parametros_manuales!$H$36="Todos",datos_base!$G$25,0))*parametros_manuales!$F$14+parametros_manuales!$G$36*(datos_base!$G$5+IF(parametros_manuales!$H$36="Todos",datos_base!$G$12,0))*parametros_manuales!$F$110+parametros_manuales!$G$36*(datos_base!$G$21+IF(parametros_manuales!$H$36="Todos",datos_base!$G$26,0))*parametros_manuales!$F$15)*parametros_manuales!$I$36*parametros_manuales!$J$36</f>
        <v>451.504061861</v>
      </c>
      <c r="G154" s="9" t="n">
        <f aca="false">(parametros_manuales!$D$36*(datos_base!$G$2+IF(parametros_manuales!$H$36="Todos",datos_base!$G$9,0))*parametros_manuales!$G$95+parametros_manuales!$D$36*(datos_base!$G$18+IF(parametros_manuales!$H$36="Todos",datos_base!$G$23,0))*parametros_manuales!$G$12+parametros_manuales!$E$36*(datos_base!$G$3+IF(parametros_manuales!$H$36="Todos",datos_base!$G$10,0))*parametros_manuales!$G$100+parametros_manuales!$E$36*(datos_base!$G$19+IF(parametros_manuales!$H$36="Todos",datos_base!$G$24,0))*parametros_manuales!$G$13+parametros_manuales!$F$36*(datos_base!$G$4+IF(parametros_manuales!$H$36="Todos",datos_base!$G$11,0))*parametros_manuales!$G$105+parametros_manuales!$F$36*(datos_base!$G$20+IF(parametros_manuales!$H$36="Todos",datos_base!$G$25,0))*parametros_manuales!$G$14+parametros_manuales!$G$36*(datos_base!$G$5+IF(parametros_manuales!$H$36="Todos",datos_base!$G$12,0))*parametros_manuales!$G$110+parametros_manuales!$G$36*(datos_base!$G$21+IF(parametros_manuales!$H$36="Todos",datos_base!$G$26,0))*parametros_manuales!$G$15)*parametros_manuales!$I$36*parametros_manuales!$J$36</f>
        <v>442.38203210375</v>
      </c>
      <c r="H154" s="9" t="n">
        <f aca="false">(parametros_manuales!$D$36*(datos_base!$G$2+IF(parametros_manuales!$H$36="Todos",datos_base!$G$9,0))*parametros_manuales!$H$95+parametros_manuales!$D$36*(datos_base!$G$18+IF(parametros_manuales!$H$36="Todos",datos_base!$G$23,0))*parametros_manuales!$H$12+parametros_manuales!$E$36*(datos_base!$G$3+IF(parametros_manuales!$H$36="Todos",datos_base!$G$10,0))*parametros_manuales!$H$100+parametros_manuales!$E$36*(datos_base!$G$19+IF(parametros_manuales!$H$36="Todos",datos_base!$G$24,0))*parametros_manuales!$H$13+parametros_manuales!$F$36*(datos_base!$G$4+IF(parametros_manuales!$H$36="Todos",datos_base!$G$11,0))*parametros_manuales!$H$105+parametros_manuales!$F$36*(datos_base!$G$20+IF(parametros_manuales!$H$36="Todos",datos_base!$G$25,0))*parametros_manuales!$H$14+parametros_manuales!$G$36*(datos_base!$G$5+IF(parametros_manuales!$H$36="Todos",datos_base!$G$12,0))*parametros_manuales!$H$110+parametros_manuales!$G$36*(datos_base!$G$21+IF(parametros_manuales!$H$36="Todos",datos_base!$G$26,0))*parametros_manuales!$H$15)*parametros_manuales!$I$36*parametros_manuales!$J$36</f>
        <v>473.3291751285</v>
      </c>
      <c r="I154" s="9" t="n">
        <f aca="false">(parametros_manuales!$D$36*(datos_base!$G$2+IF(parametros_manuales!$H$36="Todos",datos_base!$G$9,0))*parametros_manuales!$I$95+parametros_manuales!$D$36*(datos_base!$G$18+IF(parametros_manuales!$H$36="Todos",datos_base!$G$23,0))*parametros_manuales!$I$12+parametros_manuales!$E$36*(datos_base!$G$3+IF(parametros_manuales!$H$36="Todos",datos_base!$G$10,0))*parametros_manuales!$I$100+parametros_manuales!$E$36*(datos_base!$G$19+IF(parametros_manuales!$H$36="Todos",datos_base!$G$24,0))*parametros_manuales!$I$13+parametros_manuales!$F$36*(datos_base!$G$4+IF(parametros_manuales!$H$36="Todos",datos_base!$G$11,0))*parametros_manuales!$I$105+parametros_manuales!$F$36*(datos_base!$G$20+IF(parametros_manuales!$H$36="Todos",datos_base!$G$25,0))*parametros_manuales!$I$14+parametros_manuales!$G$36*(datos_base!$G$5+IF(parametros_manuales!$H$36="Todos",datos_base!$G$12,0))*parametros_manuales!$I$110+parametros_manuales!$G$36*(datos_base!$G$21+IF(parametros_manuales!$H$36="Todos",datos_base!$G$26,0))*parametros_manuales!$I$15)*parametros_manuales!$I$36*parametros_manuales!$J$36</f>
        <v>538.804514931</v>
      </c>
      <c r="J154" s="9" t="n">
        <f aca="false">(parametros_manuales!$D$36*(datos_base!$G$2+IF(parametros_manuales!$H$36="Todos",datos_base!$G$9,0))*parametros_manuales!$J$95+parametros_manuales!$D$36*(datos_base!$G$18+IF(parametros_manuales!$H$36="Todos",datos_base!$G$23,0))*parametros_manuales!$J$12+parametros_manuales!$E$36*(datos_base!$G$3+IF(parametros_manuales!$H$36="Todos",datos_base!$G$10,0))*parametros_manuales!$J$100+parametros_manuales!$E$36*(datos_base!$G$19+IF(parametros_manuales!$H$36="Todos",datos_base!$G$24,0))*parametros_manuales!$J$13+parametros_manuales!$F$36*(datos_base!$G$4+IF(parametros_manuales!$H$36="Todos",datos_base!$G$11,0))*parametros_manuales!$J$105+parametros_manuales!$F$36*(datos_base!$G$20+IF(parametros_manuales!$H$36="Todos",datos_base!$G$25,0))*parametros_manuales!$J$14+parametros_manuales!$G$36*(datos_base!$G$5+IF(parametros_manuales!$H$36="Todos",datos_base!$G$12,0))*parametros_manuales!$J$110+parametros_manuales!$G$36*(datos_base!$G$21+IF(parametros_manuales!$H$36="Todos",datos_base!$G$26,0))*parametros_manuales!$J$15)*parametros_manuales!$I$36*parametros_manuales!$J$36</f>
        <v>538.804514931</v>
      </c>
      <c r="K154" s="9" t="n">
        <f aca="false">(parametros_manuales!$D$36*(datos_base!$G$2+IF(parametros_manuales!$H$36="Todos",datos_base!$G$9,0))*parametros_manuales!$K$95+parametros_manuales!$D$36*(datos_base!$G$18+IF(parametros_manuales!$H$36="Todos",datos_base!$G$23,0))*parametros_manuales!$K$12+parametros_manuales!$E$36*(datos_base!$G$3+IF(parametros_manuales!$H$36="Todos",datos_base!$G$10,0))*parametros_manuales!$K$100+parametros_manuales!$E$36*(datos_base!$G$19+IF(parametros_manuales!$H$36="Todos",datos_base!$G$24,0))*parametros_manuales!$K$13+parametros_manuales!$F$36*(datos_base!$G$4+IF(parametros_manuales!$H$36="Todos",datos_base!$G$11,0))*parametros_manuales!$K$105+parametros_manuales!$F$36*(datos_base!$G$20+IF(parametros_manuales!$H$36="Todos",datos_base!$G$25,0))*parametros_manuales!$K$14+parametros_manuales!$G$36*(datos_base!$G$5+IF(parametros_manuales!$H$36="Todos",datos_base!$G$12,0))*parametros_manuales!$K$110+parametros_manuales!$G$36*(datos_base!$G$21+IF(parametros_manuales!$H$36="Todos",datos_base!$G$26,0))*parametros_manuales!$K$15)*parametros_manuales!$I$36*parametros_manuales!$J$36</f>
        <v>547.78970468825</v>
      </c>
      <c r="L154" s="9" t="n">
        <f aca="false">(parametros_manuales!$D$36*(datos_base!$G$2+IF(parametros_manuales!$H$36="Todos",datos_base!$G$9,0))*parametros_manuales!$L$95+parametros_manuales!$D$36*(datos_base!$G$18+IF(parametros_manuales!$H$36="Todos",datos_base!$G$23,0))*parametros_manuales!$L$12+parametros_manuales!$E$36*(datos_base!$G$3+IF(parametros_manuales!$H$36="Todos",datos_base!$G$10,0))*parametros_manuales!$L$100+parametros_manuales!$E$36*(datos_base!$G$19+IF(parametros_manuales!$H$36="Todos",datos_base!$G$24,0))*parametros_manuales!$L$13+parametros_manuales!$F$36*(datos_base!$G$4+IF(parametros_manuales!$H$36="Todos",datos_base!$G$11,0))*parametros_manuales!$L$105+parametros_manuales!$F$36*(datos_base!$G$20+IF(parametros_manuales!$H$36="Todos",datos_base!$G$25,0))*parametros_manuales!$L$14+parametros_manuales!$G$36*(datos_base!$G$5+IF(parametros_manuales!$H$36="Todos",datos_base!$G$12,0))*parametros_manuales!$L$110+parametros_manuales!$G$36*(datos_base!$G$21+IF(parametros_manuales!$H$36="Todos",datos_base!$G$26,0))*parametros_manuales!$L$15)*parametros_manuales!$I$36*parametros_manuales!$J$36</f>
        <v>556.7748944455</v>
      </c>
      <c r="M154" s="9" t="n">
        <f aca="false">(parametros_manuales!$D$36*(datos_base!$G$2+IF(parametros_manuales!$H$36="Todos",datos_base!$G$9,0))*parametros_manuales!$M$95+parametros_manuales!$D$36*(datos_base!$G$18+IF(parametros_manuales!$H$36="Todos",datos_base!$G$23,0))*parametros_manuales!$M$12+parametros_manuales!$E$36*(datos_base!$G$3+IF(parametros_manuales!$H$36="Todos",datos_base!$G$10,0))*parametros_manuales!$M$100+parametros_manuales!$E$36*(datos_base!$G$19+IF(parametros_manuales!$H$36="Todos",datos_base!$G$24,0))*parametros_manuales!$M$13+parametros_manuales!$F$36*(datos_base!$G$4+IF(parametros_manuales!$H$36="Todos",datos_base!$G$11,0))*parametros_manuales!$M$105+parametros_manuales!$F$36*(datos_base!$G$20+IF(parametros_manuales!$H$36="Todos",datos_base!$G$25,0))*parametros_manuales!$M$14+parametros_manuales!$G$36*(datos_base!$G$5+IF(parametros_manuales!$H$36="Todos",datos_base!$G$12,0))*parametros_manuales!$M$110+parametros_manuales!$G$36*(datos_base!$G$21+IF(parametros_manuales!$H$36="Todos",datos_base!$G$26,0))*parametros_manuales!$M$15)*parametros_manuales!$I$36*parametros_manuales!$J$36</f>
        <v>557.3222544455</v>
      </c>
      <c r="N154" s="9" t="n">
        <f aca="false">SUM(B154:M154)</f>
        <v>6189.42860495</v>
      </c>
      <c r="O154" s="9" t="n">
        <f aca="false">MAX(B154:M154)</f>
        <v>557.3222544455</v>
      </c>
      <c r="P154" s="44" t="n">
        <f aca="false">O154/(parametros_manuales!$B$7)</f>
        <v>3.71548169630333</v>
      </c>
      <c r="Q154" s="8" t="str">
        <f aca="false">IF(O154=0,"-",INDEX($B$136:$M$136,MATCH(O154,B154:M154,0)))</f>
        <v>Dic</v>
      </c>
    </row>
    <row r="155" customFormat="false" ht="14.25" hidden="false" customHeight="true" outlineLevel="0" collapsed="false">
      <c r="A155" s="8" t="str">
        <f aca="false">parametros_manuales!$B$37</f>
        <v>Pintura en polvo + horno</v>
      </c>
      <c r="B155" s="9" t="n">
        <f aca="false">(parametros_manuales!$D$37*(datos_base!$G$2+IF(parametros_manuales!$H$37="Todos",datos_base!$G$9,0))*parametros_manuales!$B$95+parametros_manuales!$D$37*(datos_base!$G$18+IF(parametros_manuales!$H$37="Todos",datos_base!$G$23,0))*parametros_manuales!$B$12+parametros_manuales!$E$37*(datos_base!$G$3+IF(parametros_manuales!$H$37="Todos",datos_base!$G$10,0))*parametros_manuales!$B$100+parametros_manuales!$E$37*(datos_base!$G$19+IF(parametros_manuales!$H$37="Todos",datos_base!$G$24,0))*parametros_manuales!$B$13+parametros_manuales!$F$37*(datos_base!$G$4+IF(parametros_manuales!$H$37="Todos",datos_base!$G$11,0))*parametros_manuales!$B$105+parametros_manuales!$F$37*(datos_base!$G$20+IF(parametros_manuales!$H$37="Todos",datos_base!$G$25,0))*parametros_manuales!$B$14+parametros_manuales!$G$37*(datos_base!$G$5+IF(parametros_manuales!$H$37="Todos",datos_base!$G$12,0))*parametros_manuales!$B$110+parametros_manuales!$G$37*(datos_base!$G$21+IF(parametros_manuales!$H$37="Todos",datos_base!$G$26,0))*parametros_manuales!$B$15)*parametros_manuales!$I$37*parametros_manuales!$J$37</f>
        <v>11143.70828891</v>
      </c>
      <c r="C155" s="9" t="n">
        <f aca="false">(parametros_manuales!$D$37*(datos_base!$G$2+IF(parametros_manuales!$H$37="Todos",datos_base!$G$9,0))*parametros_manuales!$C$95+parametros_manuales!$D$37*(datos_base!$G$18+IF(parametros_manuales!$H$37="Todos",datos_base!$G$23,0))*parametros_manuales!$C$12+parametros_manuales!$E$37*(datos_base!$G$3+IF(parametros_manuales!$H$37="Todos",datos_base!$G$10,0))*parametros_manuales!$C$100+parametros_manuales!$E$37*(datos_base!$G$19+IF(parametros_manuales!$H$37="Todos",datos_base!$G$24,0))*parametros_manuales!$C$13+parametros_manuales!$F$37*(datos_base!$G$4+IF(parametros_manuales!$H$37="Todos",datos_base!$G$11,0))*parametros_manuales!$C$105+parametros_manuales!$F$37*(datos_base!$G$20+IF(parametros_manuales!$H$37="Todos",datos_base!$G$25,0))*parametros_manuales!$C$14+parametros_manuales!$G$37*(datos_base!$G$5+IF(parametros_manuales!$H$37="Todos",datos_base!$G$12,0))*parametros_manuales!$C$110+parametros_manuales!$G$37*(datos_base!$G$21+IF(parametros_manuales!$H$37="Todos",datos_base!$G$26,0))*parametros_manuales!$C$15)*parametros_manuales!$I$37*parametros_manuales!$J$37</f>
        <v>10776.09029862</v>
      </c>
      <c r="D155" s="9" t="n">
        <f aca="false">(parametros_manuales!$D$37*(datos_base!$G$2+IF(parametros_manuales!$H$37="Todos",datos_base!$G$9,0))*parametros_manuales!$D$95+parametros_manuales!$D$37*(datos_base!$G$18+IF(parametros_manuales!$H$37="Todos",datos_base!$G$23,0))*parametros_manuales!$D$12+parametros_manuales!$E$37*(datos_base!$G$3+IF(parametros_manuales!$H$37="Todos",datos_base!$G$10,0))*parametros_manuales!$D$100+parametros_manuales!$E$37*(datos_base!$G$19+IF(parametros_manuales!$H$37="Todos",datos_base!$G$24,0))*parametros_manuales!$D$13+parametros_manuales!$F$37*(datos_base!$G$4+IF(parametros_manuales!$H$37="Todos",datos_base!$G$11,0))*parametros_manuales!$D$105+parametros_manuales!$F$37*(datos_base!$G$20+IF(parametros_manuales!$H$37="Todos",datos_base!$G$25,0))*parametros_manuales!$D$14+parametros_manuales!$G$37*(datos_base!$G$5+IF(parametros_manuales!$H$37="Todos",datos_base!$G$12,0))*parametros_manuales!$D$110+parametros_manuales!$G$37*(datos_base!$G$21+IF(parametros_manuales!$H$37="Todos",datos_base!$G$26,0))*parametros_manuales!$D$15)*parametros_manuales!$I$37*parametros_manuales!$J$37</f>
        <v>10085.526363065</v>
      </c>
      <c r="E155" s="9" t="n">
        <f aca="false">(parametros_manuales!$D$37*(datos_base!$G$2+IF(parametros_manuales!$H$37="Todos",datos_base!$G$9,0))*parametros_manuales!$E$95+parametros_manuales!$D$37*(datos_base!$G$18+IF(parametros_manuales!$H$37="Todos",datos_base!$G$23,0))*parametros_manuales!$E$12+parametros_manuales!$E$37*(datos_base!$G$3+IF(parametros_manuales!$H$37="Todos",datos_base!$G$10,0))*parametros_manuales!$E$100+parametros_manuales!$E$37*(datos_base!$G$19+IF(parametros_manuales!$H$37="Todos",datos_base!$G$24,0))*parametros_manuales!$E$13+parametros_manuales!$F$37*(datos_base!$G$4+IF(parametros_manuales!$H$37="Todos",datos_base!$G$11,0))*parametros_manuales!$E$105+parametros_manuales!$F$37*(datos_base!$G$20+IF(parametros_manuales!$H$37="Todos",datos_base!$G$25,0))*parametros_manuales!$E$14+parametros_manuales!$G$37*(datos_base!$G$5+IF(parametros_manuales!$H$37="Todos",datos_base!$G$12,0))*parametros_manuales!$E$110+parametros_manuales!$G$37*(datos_base!$G$21+IF(parametros_manuales!$H$37="Todos",datos_base!$G$26,0))*parametros_manuales!$E$15)*parametros_manuales!$I$37*parametros_manuales!$J$37</f>
        <v>9649.024097715</v>
      </c>
      <c r="F155" s="9" t="n">
        <f aca="false">(parametros_manuales!$D$37*(datos_base!$G$2+IF(parametros_manuales!$H$37="Todos",datos_base!$G$9,0))*parametros_manuales!$F$95+parametros_manuales!$D$37*(datos_base!$G$18+IF(parametros_manuales!$H$37="Todos",datos_base!$G$23,0))*parametros_manuales!$F$12+parametros_manuales!$E$37*(datos_base!$G$3+IF(parametros_manuales!$H$37="Todos",datos_base!$G$10,0))*parametros_manuales!$F$100+parametros_manuales!$E$37*(datos_base!$G$19+IF(parametros_manuales!$H$37="Todos",datos_base!$G$24,0))*parametros_manuales!$F$13+parametros_manuales!$F$37*(datos_base!$G$4+IF(parametros_manuales!$H$37="Todos",datos_base!$G$11,0))*parametros_manuales!$F$105+parametros_manuales!$F$37*(datos_base!$G$20+IF(parametros_manuales!$H$37="Todos",datos_base!$G$25,0))*parametros_manuales!$F$14+parametros_manuales!$G$37*(datos_base!$G$5+IF(parametros_manuales!$H$37="Todos",datos_base!$G$12,0))*parametros_manuales!$F$110+parametros_manuales!$G$37*(datos_base!$G$21+IF(parametros_manuales!$H$37="Todos",datos_base!$G$26,0))*parametros_manuales!$F$15)*parametros_manuales!$I$37*parametros_manuales!$J$37</f>
        <v>9030.08123722</v>
      </c>
      <c r="G155" s="9" t="n">
        <f aca="false">(parametros_manuales!$D$37*(datos_base!$G$2+IF(parametros_manuales!$H$37="Todos",datos_base!$G$9,0))*parametros_manuales!$G$95+parametros_manuales!$D$37*(datos_base!$G$18+IF(parametros_manuales!$H$37="Todos",datos_base!$G$23,0))*parametros_manuales!$G$12+parametros_manuales!$E$37*(datos_base!$G$3+IF(parametros_manuales!$H$37="Todos",datos_base!$G$10,0))*parametros_manuales!$G$100+parametros_manuales!$E$37*(datos_base!$G$19+IF(parametros_manuales!$H$37="Todos",datos_base!$G$24,0))*parametros_manuales!$G$13+parametros_manuales!$F$37*(datos_base!$G$4+IF(parametros_manuales!$H$37="Todos",datos_base!$G$11,0))*parametros_manuales!$G$105+parametros_manuales!$F$37*(datos_base!$G$20+IF(parametros_manuales!$H$37="Todos",datos_base!$G$25,0))*parametros_manuales!$G$14+parametros_manuales!$G$37*(datos_base!$G$5+IF(parametros_manuales!$H$37="Todos",datos_base!$G$12,0))*parametros_manuales!$G$110+parametros_manuales!$G$37*(datos_base!$G$21+IF(parametros_manuales!$H$37="Todos",datos_base!$G$26,0))*parametros_manuales!$G$15)*parametros_manuales!$I$37*parametros_manuales!$J$37</f>
        <v>8847.640642075</v>
      </c>
      <c r="H155" s="9" t="n">
        <f aca="false">(parametros_manuales!$D$37*(datos_base!$G$2+IF(parametros_manuales!$H$37="Todos",datos_base!$G$9,0))*parametros_manuales!$H$95+parametros_manuales!$D$37*(datos_base!$G$18+IF(parametros_manuales!$H$37="Todos",datos_base!$G$23,0))*parametros_manuales!$H$12+parametros_manuales!$E$37*(datos_base!$G$3+IF(parametros_manuales!$H$37="Todos",datos_base!$G$10,0))*parametros_manuales!$H$100+parametros_manuales!$E$37*(datos_base!$G$19+IF(parametros_manuales!$H$37="Todos",datos_base!$G$24,0))*parametros_manuales!$H$13+parametros_manuales!$F$37*(datos_base!$G$4+IF(parametros_manuales!$H$37="Todos",datos_base!$G$11,0))*parametros_manuales!$H$105+parametros_manuales!$F$37*(datos_base!$G$20+IF(parametros_manuales!$H$37="Todos",datos_base!$G$25,0))*parametros_manuales!$H$14+parametros_manuales!$G$37*(datos_base!$G$5+IF(parametros_manuales!$H$37="Todos",datos_base!$G$12,0))*parametros_manuales!$H$110+parametros_manuales!$G$37*(datos_base!$G$21+IF(parametros_manuales!$H$37="Todos",datos_base!$G$26,0))*parametros_manuales!$H$15)*parametros_manuales!$I$37*parametros_manuales!$J$37</f>
        <v>9466.58350257</v>
      </c>
      <c r="I155" s="9" t="n">
        <f aca="false">(parametros_manuales!$D$37*(datos_base!$G$2+IF(parametros_manuales!$H$37="Todos",datos_base!$G$9,0))*parametros_manuales!$I$95+parametros_manuales!$D$37*(datos_base!$G$18+IF(parametros_manuales!$H$37="Todos",datos_base!$G$23,0))*parametros_manuales!$I$12+parametros_manuales!$E$37*(datos_base!$G$3+IF(parametros_manuales!$H$37="Todos",datos_base!$G$10,0))*parametros_manuales!$I$100+parametros_manuales!$E$37*(datos_base!$G$19+IF(parametros_manuales!$H$37="Todos",datos_base!$G$24,0))*parametros_manuales!$I$13+parametros_manuales!$F$37*(datos_base!$G$4+IF(parametros_manuales!$H$37="Todos",datos_base!$G$11,0))*parametros_manuales!$I$105+parametros_manuales!$F$37*(datos_base!$G$20+IF(parametros_manuales!$H$37="Todos",datos_base!$G$25,0))*parametros_manuales!$I$14+parametros_manuales!$G$37*(datos_base!$G$5+IF(parametros_manuales!$H$37="Todos",datos_base!$G$12,0))*parametros_manuales!$I$110+parametros_manuales!$G$37*(datos_base!$G$21+IF(parametros_manuales!$H$37="Todos",datos_base!$G$26,0))*parametros_manuales!$I$15)*parametros_manuales!$I$37*parametros_manuales!$J$37</f>
        <v>10776.09029862</v>
      </c>
      <c r="J155" s="9" t="n">
        <f aca="false">(parametros_manuales!$D$37*(datos_base!$G$2+IF(parametros_manuales!$H$37="Todos",datos_base!$G$9,0))*parametros_manuales!$J$95+parametros_manuales!$D$37*(datos_base!$G$18+IF(parametros_manuales!$H$37="Todos",datos_base!$G$23,0))*parametros_manuales!$J$12+parametros_manuales!$E$37*(datos_base!$G$3+IF(parametros_manuales!$H$37="Todos",datos_base!$G$10,0))*parametros_manuales!$J$100+parametros_manuales!$E$37*(datos_base!$G$19+IF(parametros_manuales!$H$37="Todos",datos_base!$G$24,0))*parametros_manuales!$J$13+parametros_manuales!$F$37*(datos_base!$G$4+IF(parametros_manuales!$H$37="Todos",datos_base!$G$11,0))*parametros_manuales!$J$105+parametros_manuales!$F$37*(datos_base!$G$20+IF(parametros_manuales!$H$37="Todos",datos_base!$G$25,0))*parametros_manuales!$J$14+parametros_manuales!$G$37*(datos_base!$G$5+IF(parametros_manuales!$H$37="Todos",datos_base!$G$12,0))*parametros_manuales!$J$110+parametros_manuales!$G$37*(datos_base!$G$21+IF(parametros_manuales!$H$37="Todos",datos_base!$G$26,0))*parametros_manuales!$J$15)*parametros_manuales!$I$37*parametros_manuales!$J$37</f>
        <v>10776.09029862</v>
      </c>
      <c r="K155" s="9" t="n">
        <f aca="false">(parametros_manuales!$D$37*(datos_base!$G$2+IF(parametros_manuales!$H$37="Todos",datos_base!$G$9,0))*parametros_manuales!$K$95+parametros_manuales!$D$37*(datos_base!$G$18+IF(parametros_manuales!$H$37="Todos",datos_base!$G$23,0))*parametros_manuales!$K$12+parametros_manuales!$E$37*(datos_base!$G$3+IF(parametros_manuales!$H$37="Todos",datos_base!$G$10,0))*parametros_manuales!$K$100+parametros_manuales!$E$37*(datos_base!$G$19+IF(parametros_manuales!$H$37="Todos",datos_base!$G$24,0))*parametros_manuales!$K$13+parametros_manuales!$F$37*(datos_base!$G$4+IF(parametros_manuales!$H$37="Todos",datos_base!$G$11,0))*parametros_manuales!$K$105+parametros_manuales!$F$37*(datos_base!$G$20+IF(parametros_manuales!$H$37="Todos",datos_base!$G$25,0))*parametros_manuales!$K$14+parametros_manuales!$G$37*(datos_base!$G$5+IF(parametros_manuales!$H$37="Todos",datos_base!$G$12,0))*parametros_manuales!$K$110+parametros_manuales!$G$37*(datos_base!$G$21+IF(parametros_manuales!$H$37="Todos",datos_base!$G$26,0))*parametros_manuales!$K$15)*parametros_manuales!$I$37*parametros_manuales!$J$37</f>
        <v>10955.794093765</v>
      </c>
      <c r="L155" s="9" t="n">
        <f aca="false">(parametros_manuales!$D$37*(datos_base!$G$2+IF(parametros_manuales!$H$37="Todos",datos_base!$G$9,0))*parametros_manuales!$L$95+parametros_manuales!$D$37*(datos_base!$G$18+IF(parametros_manuales!$H$37="Todos",datos_base!$G$23,0))*parametros_manuales!$L$12+parametros_manuales!$E$37*(datos_base!$G$3+IF(parametros_manuales!$H$37="Todos",datos_base!$G$10,0))*parametros_manuales!$L$100+parametros_manuales!$E$37*(datos_base!$G$19+IF(parametros_manuales!$H$37="Todos",datos_base!$G$24,0))*parametros_manuales!$L$13+parametros_manuales!$F$37*(datos_base!$G$4+IF(parametros_manuales!$H$37="Todos",datos_base!$G$11,0))*parametros_manuales!$L$105+parametros_manuales!$F$37*(datos_base!$G$20+IF(parametros_manuales!$H$37="Todos",datos_base!$G$25,0))*parametros_manuales!$L$14+parametros_manuales!$G$37*(datos_base!$G$5+IF(parametros_manuales!$H$37="Todos",datos_base!$G$12,0))*parametros_manuales!$L$110+parametros_manuales!$G$37*(datos_base!$G$21+IF(parametros_manuales!$H$37="Todos",datos_base!$G$26,0))*parametros_manuales!$L$15)*parametros_manuales!$I$37*parametros_manuales!$J$37</f>
        <v>11135.49788891</v>
      </c>
      <c r="M155" s="9" t="n">
        <f aca="false">(parametros_manuales!$D$37*(datos_base!$G$2+IF(parametros_manuales!$H$37="Todos",datos_base!$G$9,0))*parametros_manuales!$M$95+parametros_manuales!$D$37*(datos_base!$G$18+IF(parametros_manuales!$H$37="Todos",datos_base!$G$23,0))*parametros_manuales!$M$12+parametros_manuales!$E$37*(datos_base!$G$3+IF(parametros_manuales!$H$37="Todos",datos_base!$G$10,0))*parametros_manuales!$M$100+parametros_manuales!$E$37*(datos_base!$G$19+IF(parametros_manuales!$H$37="Todos",datos_base!$G$24,0))*parametros_manuales!$M$13+parametros_manuales!$F$37*(datos_base!$G$4+IF(parametros_manuales!$H$37="Todos",datos_base!$G$11,0))*parametros_manuales!$M$105+parametros_manuales!$F$37*(datos_base!$G$20+IF(parametros_manuales!$H$37="Todos",datos_base!$G$25,0))*parametros_manuales!$M$14+parametros_manuales!$G$37*(datos_base!$G$5+IF(parametros_manuales!$H$37="Todos",datos_base!$G$12,0))*parametros_manuales!$M$110+parametros_manuales!$G$37*(datos_base!$G$21+IF(parametros_manuales!$H$37="Todos",datos_base!$G$26,0))*parametros_manuales!$M$15)*parametros_manuales!$I$37*parametros_manuales!$J$37</f>
        <v>11146.44508891</v>
      </c>
      <c r="N155" s="9" t="n">
        <f aca="false">SUM(B155:M155)</f>
        <v>123788.572099</v>
      </c>
      <c r="O155" s="9" t="n">
        <f aca="false">MAX(B155:M155)</f>
        <v>11146.44508891</v>
      </c>
      <c r="P155" s="44" t="n">
        <f aca="false">O155/(parametros_manuales!$B$7)</f>
        <v>74.3096339260667</v>
      </c>
      <c r="Q155" s="8" t="str">
        <f aca="false">IF(O155=0,"-",INDEX($B$136:$M$136,MATCH(O155,B155:M155,0)))</f>
        <v>Dic</v>
      </c>
    </row>
    <row r="156" customFormat="false" ht="14.25" hidden="false" customHeight="true" outlineLevel="0" collapsed="false">
      <c r="A156" s="8" t="str">
        <f aca="false">parametros_manuales!$B$38</f>
        <v>Carga de polvo</v>
      </c>
      <c r="B156" s="9" t="n">
        <f aca="false">(parametros_manuales!$D$38*(datos_base!$G$2+IF(parametros_manuales!$H$38="Todos",datos_base!$G$9,0))*parametros_manuales!$B$95+parametros_manuales!$D$38*(datos_base!$G$18+IF(parametros_manuales!$H$38="Todos",datos_base!$G$23,0))*parametros_manuales!$B$12+parametros_manuales!$E$38*(datos_base!$G$3+IF(parametros_manuales!$H$38="Todos",datos_base!$G$10,0))*parametros_manuales!$B$100+parametros_manuales!$E$38*(datos_base!$G$19+IF(parametros_manuales!$H$38="Todos",datos_base!$G$24,0))*parametros_manuales!$B$13+parametros_manuales!$F$38*(datos_base!$G$4+IF(parametros_manuales!$H$38="Todos",datos_base!$G$11,0))*parametros_manuales!$B$105+parametros_manuales!$F$38*(datos_base!$G$20+IF(parametros_manuales!$H$38="Todos",datos_base!$G$25,0))*parametros_manuales!$B$14+parametros_manuales!$G$38*(datos_base!$G$5+IF(parametros_manuales!$H$38="Todos",datos_base!$G$12,0))*parametros_manuales!$B$110+parametros_manuales!$G$38*(datos_base!$G$21+IF(parametros_manuales!$H$38="Todos",datos_base!$G$26,0))*parametros_manuales!$B$15)*parametros_manuales!$I$38*parametros_manuales!$J$38</f>
        <v>3100.97628891</v>
      </c>
      <c r="C156" s="9" t="n">
        <f aca="false">(parametros_manuales!$D$38*(datos_base!$G$2+IF(parametros_manuales!$H$38="Todos",datos_base!$G$9,0))*parametros_manuales!$C$95+parametros_manuales!$D$38*(datos_base!$G$18+IF(parametros_manuales!$H$38="Todos",datos_base!$G$23,0))*parametros_manuales!$C$12+parametros_manuales!$E$38*(datos_base!$G$3+IF(parametros_manuales!$H$38="Todos",datos_base!$G$10,0))*parametros_manuales!$C$100+parametros_manuales!$E$38*(datos_base!$G$19+IF(parametros_manuales!$H$38="Todos",datos_base!$G$24,0))*parametros_manuales!$C$13+parametros_manuales!$F$38*(datos_base!$G$4+IF(parametros_manuales!$H$38="Todos",datos_base!$G$11,0))*parametros_manuales!$C$105+parametros_manuales!$F$38*(datos_base!$G$20+IF(parametros_manuales!$H$38="Todos",datos_base!$G$25,0))*parametros_manuales!$C$14+parametros_manuales!$G$38*(datos_base!$G$5+IF(parametros_manuales!$H$38="Todos",datos_base!$G$12,0))*parametros_manuales!$C$110+parametros_manuales!$G$38*(datos_base!$G$21+IF(parametros_manuales!$H$38="Todos",datos_base!$G$26,0))*parametros_manuales!$C$15)*parametros_manuales!$I$38*parametros_manuales!$J$38</f>
        <v>2911.79709862</v>
      </c>
      <c r="D156" s="9" t="n">
        <f aca="false">(parametros_manuales!$D$38*(datos_base!$G$2+IF(parametros_manuales!$H$38="Todos",datos_base!$G$9,0))*parametros_manuales!$D$95+parametros_manuales!$D$38*(datos_base!$G$18+IF(parametros_manuales!$H$38="Todos",datos_base!$G$23,0))*parametros_manuales!$D$12+parametros_manuales!$E$38*(datos_base!$G$3+IF(parametros_manuales!$H$38="Todos",datos_base!$G$10,0))*parametros_manuales!$D$100+parametros_manuales!$E$38*(datos_base!$G$19+IF(parametros_manuales!$H$38="Todos",datos_base!$G$24,0))*parametros_manuales!$D$13+parametros_manuales!$F$38*(datos_base!$G$4+IF(parametros_manuales!$H$38="Todos",datos_base!$G$11,0))*parametros_manuales!$D$105+parametros_manuales!$F$38*(datos_base!$G$20+IF(parametros_manuales!$H$38="Todos",datos_base!$G$25,0))*parametros_manuales!$D$14+parametros_manuales!$G$38*(datos_base!$G$5+IF(parametros_manuales!$H$38="Todos",datos_base!$G$12,0))*parametros_manuales!$D$110+parametros_manuales!$G$38*(datos_base!$G$21+IF(parametros_manuales!$H$38="Todos",datos_base!$G$26,0))*parametros_manuales!$D$15)*parametros_manuales!$I$38*parametros_manuales!$J$38</f>
        <v>2849.717963065</v>
      </c>
      <c r="E156" s="9" t="n">
        <f aca="false">(parametros_manuales!$D$38*(datos_base!$G$2+IF(parametros_manuales!$H$38="Todos",datos_base!$G$9,0))*parametros_manuales!$E$95+parametros_manuales!$D$38*(datos_base!$G$18+IF(parametros_manuales!$H$38="Todos",datos_base!$G$23,0))*parametros_manuales!$E$12+parametros_manuales!$E$38*(datos_base!$G$3+IF(parametros_manuales!$H$38="Todos",datos_base!$G$10,0))*parametros_manuales!$E$100+parametros_manuales!$E$38*(datos_base!$G$19+IF(parametros_manuales!$H$38="Todos",datos_base!$G$24,0))*parametros_manuales!$E$13+parametros_manuales!$F$38*(datos_base!$G$4+IF(parametros_manuales!$H$38="Todos",datos_base!$G$11,0))*parametros_manuales!$E$105+parametros_manuales!$F$38*(datos_base!$G$20+IF(parametros_manuales!$H$38="Todos",datos_base!$G$25,0))*parametros_manuales!$E$14+parametros_manuales!$G$38*(datos_base!$G$5+IF(parametros_manuales!$H$38="Todos",datos_base!$G$12,0))*parametros_manuales!$E$110+parametros_manuales!$G$38*(datos_base!$G$21+IF(parametros_manuales!$H$38="Todos",datos_base!$G$26,0))*parametros_manuales!$E$15)*parametros_manuales!$I$38*parametros_manuales!$J$38</f>
        <v>2771.616697715</v>
      </c>
      <c r="F156" s="9" t="n">
        <f aca="false">(parametros_manuales!$D$38*(datos_base!$G$2+IF(parametros_manuales!$H$38="Todos",datos_base!$G$9,0))*parametros_manuales!$F$95+parametros_manuales!$D$38*(datos_base!$G$18+IF(parametros_manuales!$H$38="Todos",datos_base!$G$23,0))*parametros_manuales!$F$12+parametros_manuales!$E$38*(datos_base!$G$3+IF(parametros_manuales!$H$38="Todos",datos_base!$G$10,0))*parametros_manuales!$F$100+parametros_manuales!$E$38*(datos_base!$G$19+IF(parametros_manuales!$H$38="Todos",datos_base!$G$24,0))*parametros_manuales!$F$13+parametros_manuales!$F$38*(datos_base!$G$4+IF(parametros_manuales!$H$38="Todos",datos_base!$G$11,0))*parametros_manuales!$F$105+parametros_manuales!$F$38*(datos_base!$G$20+IF(parametros_manuales!$H$38="Todos",datos_base!$G$25,0))*parametros_manuales!$F$14+parametros_manuales!$G$38*(datos_base!$G$5+IF(parametros_manuales!$H$38="Todos",datos_base!$G$12,0))*parametros_manuales!$F$110+parametros_manuales!$G$38*(datos_base!$G$21+IF(parametros_manuales!$H$38="Todos",datos_base!$G$26,0))*parametros_manuales!$F$15)*parametros_manuales!$I$38*parametros_manuales!$J$38</f>
        <v>2599.39203722</v>
      </c>
      <c r="G156" s="9" t="n">
        <f aca="false">(parametros_manuales!$D$38*(datos_base!$G$2+IF(parametros_manuales!$H$38="Todos",datos_base!$G$9,0))*parametros_manuales!$G$95+parametros_manuales!$D$38*(datos_base!$G$18+IF(parametros_manuales!$H$38="Todos",datos_base!$G$23,0))*parametros_manuales!$G$12+parametros_manuales!$E$38*(datos_base!$G$3+IF(parametros_manuales!$H$38="Todos",datos_base!$G$10,0))*parametros_manuales!$G$100+parametros_manuales!$E$38*(datos_base!$G$19+IF(parametros_manuales!$H$38="Todos",datos_base!$G$24,0))*parametros_manuales!$G$13+parametros_manuales!$F$38*(datos_base!$G$4+IF(parametros_manuales!$H$38="Todos",datos_base!$G$11,0))*parametros_manuales!$G$105+parametros_manuales!$F$38*(datos_base!$G$20+IF(parametros_manuales!$H$38="Todos",datos_base!$G$25,0))*parametros_manuales!$G$14+parametros_manuales!$G$38*(datos_base!$G$5+IF(parametros_manuales!$H$38="Todos",datos_base!$G$12,0))*parametros_manuales!$G$110+parametros_manuales!$G$38*(datos_base!$G$21+IF(parametros_manuales!$H$38="Todos",datos_base!$G$26,0))*parametros_manuales!$G$15)*parametros_manuales!$I$38*parametros_manuales!$J$38</f>
        <v>2505.268642075</v>
      </c>
      <c r="H156" s="9" t="n">
        <f aca="false">(parametros_manuales!$D$38*(datos_base!$G$2+IF(parametros_manuales!$H$38="Todos",datos_base!$G$9,0))*parametros_manuales!$H$95+parametros_manuales!$D$38*(datos_base!$G$18+IF(parametros_manuales!$H$38="Todos",datos_base!$G$23,0))*parametros_manuales!$H$12+parametros_manuales!$E$38*(datos_base!$G$3+IF(parametros_manuales!$H$38="Todos",datos_base!$G$10,0))*parametros_manuales!$H$100+parametros_manuales!$E$38*(datos_base!$G$19+IF(parametros_manuales!$H$38="Todos",datos_base!$G$24,0))*parametros_manuales!$H$13+parametros_manuales!$F$38*(datos_base!$G$4+IF(parametros_manuales!$H$38="Todos",datos_base!$G$11,0))*parametros_manuales!$H$105+parametros_manuales!$F$38*(datos_base!$G$20+IF(parametros_manuales!$H$38="Todos",datos_base!$G$25,0))*parametros_manuales!$H$14+parametros_manuales!$G$38*(datos_base!$G$5+IF(parametros_manuales!$H$38="Todos",datos_base!$G$12,0))*parametros_manuales!$H$110+parametros_manuales!$G$38*(datos_base!$G$21+IF(parametros_manuales!$H$38="Todos",datos_base!$G$26,0))*parametros_manuales!$H$15)*parametros_manuales!$I$38*parametros_manuales!$J$38</f>
        <v>2677.49330257</v>
      </c>
      <c r="I156" s="9" t="n">
        <f aca="false">(parametros_manuales!$D$38*(datos_base!$G$2+IF(parametros_manuales!$H$38="Todos",datos_base!$G$9,0))*parametros_manuales!$I$95+parametros_manuales!$D$38*(datos_base!$G$18+IF(parametros_manuales!$H$38="Todos",datos_base!$G$23,0))*parametros_manuales!$I$12+parametros_manuales!$E$38*(datos_base!$G$3+IF(parametros_manuales!$H$38="Todos",datos_base!$G$10,0))*parametros_manuales!$I$100+parametros_manuales!$E$38*(datos_base!$G$19+IF(parametros_manuales!$H$38="Todos",datos_base!$G$24,0))*parametros_manuales!$I$13+parametros_manuales!$F$38*(datos_base!$G$4+IF(parametros_manuales!$H$38="Todos",datos_base!$G$11,0))*parametros_manuales!$I$105+parametros_manuales!$F$38*(datos_base!$G$20+IF(parametros_manuales!$H$38="Todos",datos_base!$G$25,0))*parametros_manuales!$I$14+parametros_manuales!$G$38*(datos_base!$G$5+IF(parametros_manuales!$H$38="Todos",datos_base!$G$12,0))*parametros_manuales!$I$110+parametros_manuales!$G$38*(datos_base!$G$21+IF(parametros_manuales!$H$38="Todos",datos_base!$G$26,0))*parametros_manuales!$I$15)*parametros_manuales!$I$38*parametros_manuales!$J$38</f>
        <v>2911.79709862</v>
      </c>
      <c r="J156" s="9" t="n">
        <f aca="false">(parametros_manuales!$D$38*(datos_base!$G$2+IF(parametros_manuales!$H$38="Todos",datos_base!$G$9,0))*parametros_manuales!$J$95+parametros_manuales!$D$38*(datos_base!$G$18+IF(parametros_manuales!$H$38="Todos",datos_base!$G$23,0))*parametros_manuales!$J$12+parametros_manuales!$E$38*(datos_base!$G$3+IF(parametros_manuales!$H$38="Todos",datos_base!$G$10,0))*parametros_manuales!$J$100+parametros_manuales!$E$38*(datos_base!$G$19+IF(parametros_manuales!$H$38="Todos",datos_base!$G$24,0))*parametros_manuales!$J$13+parametros_manuales!$F$38*(datos_base!$G$4+IF(parametros_manuales!$H$38="Todos",datos_base!$G$11,0))*parametros_manuales!$J$105+parametros_manuales!$F$38*(datos_base!$G$20+IF(parametros_manuales!$H$38="Todos",datos_base!$G$25,0))*parametros_manuales!$J$14+parametros_manuales!$G$38*(datos_base!$G$5+IF(parametros_manuales!$H$38="Todos",datos_base!$G$12,0))*parametros_manuales!$J$110+parametros_manuales!$G$38*(datos_base!$G$21+IF(parametros_manuales!$H$38="Todos",datos_base!$G$26,0))*parametros_manuales!$J$15)*parametros_manuales!$I$38*parametros_manuales!$J$38</f>
        <v>2911.79709862</v>
      </c>
      <c r="K156" s="9" t="n">
        <f aca="false">(parametros_manuales!$D$38*(datos_base!$G$2+IF(parametros_manuales!$H$38="Todos",datos_base!$G$9,0))*parametros_manuales!$K$95+parametros_manuales!$D$38*(datos_base!$G$18+IF(parametros_manuales!$H$38="Todos",datos_base!$G$23,0))*parametros_manuales!$K$12+parametros_manuales!$E$38*(datos_base!$G$3+IF(parametros_manuales!$H$38="Todos",datos_base!$G$10,0))*parametros_manuales!$K$100+parametros_manuales!$E$38*(datos_base!$G$19+IF(parametros_manuales!$H$38="Todos",datos_base!$G$24,0))*parametros_manuales!$K$13+parametros_manuales!$F$38*(datos_base!$G$4+IF(parametros_manuales!$H$38="Todos",datos_base!$G$11,0))*parametros_manuales!$K$105+parametros_manuales!$F$38*(datos_base!$G$20+IF(parametros_manuales!$H$38="Todos",datos_base!$G$25,0))*parametros_manuales!$K$14+parametros_manuales!$G$38*(datos_base!$G$5+IF(parametros_manuales!$H$38="Todos",datos_base!$G$12,0))*parametros_manuales!$K$110+parametros_manuales!$G$38*(datos_base!$G$21+IF(parametros_manuales!$H$38="Todos",datos_base!$G$26,0))*parametros_manuales!$K$15)*parametros_manuales!$I$38*parametros_manuales!$J$38</f>
        <v>3004.988093765</v>
      </c>
      <c r="L156" s="9" t="n">
        <f aca="false">(parametros_manuales!$D$38*(datos_base!$G$2+IF(parametros_manuales!$H$38="Todos",datos_base!$G$9,0))*parametros_manuales!$L$95+parametros_manuales!$D$38*(datos_base!$G$18+IF(parametros_manuales!$H$38="Todos",datos_base!$G$23,0))*parametros_manuales!$L$12+parametros_manuales!$E$38*(datos_base!$G$3+IF(parametros_manuales!$H$38="Todos",datos_base!$G$10,0))*parametros_manuales!$L$100+parametros_manuales!$E$38*(datos_base!$G$19+IF(parametros_manuales!$H$38="Todos",datos_base!$G$24,0))*parametros_manuales!$L$13+parametros_manuales!$F$38*(datos_base!$G$4+IF(parametros_manuales!$H$38="Todos",datos_base!$G$11,0))*parametros_manuales!$L$105+parametros_manuales!$F$38*(datos_base!$G$20+IF(parametros_manuales!$H$38="Todos",datos_base!$G$25,0))*parametros_manuales!$L$14+parametros_manuales!$G$38*(datos_base!$G$5+IF(parametros_manuales!$H$38="Todos",datos_base!$G$12,0))*parametros_manuales!$L$110+parametros_manuales!$G$38*(datos_base!$G$21+IF(parametros_manuales!$H$38="Todos",datos_base!$G$26,0))*parametros_manuales!$L$15)*parametros_manuales!$I$38*parametros_manuales!$J$38</f>
        <v>3098.17908891</v>
      </c>
      <c r="M156" s="9" t="n">
        <f aca="false">(parametros_manuales!$D$38*(datos_base!$G$2+IF(parametros_manuales!$H$38="Todos",datos_base!$G$9,0))*parametros_manuales!$M$95+parametros_manuales!$D$38*(datos_base!$G$18+IF(parametros_manuales!$H$38="Todos",datos_base!$G$23,0))*parametros_manuales!$M$12+parametros_manuales!$E$38*(datos_base!$G$3+IF(parametros_manuales!$H$38="Todos",datos_base!$G$10,0))*parametros_manuales!$M$100+parametros_manuales!$E$38*(datos_base!$G$19+IF(parametros_manuales!$H$38="Todos",datos_base!$G$24,0))*parametros_manuales!$M$13+parametros_manuales!$F$38*(datos_base!$G$4+IF(parametros_manuales!$H$38="Todos",datos_base!$G$11,0))*parametros_manuales!$M$105+parametros_manuales!$F$38*(datos_base!$G$20+IF(parametros_manuales!$H$38="Todos",datos_base!$G$25,0))*parametros_manuales!$M$14+parametros_manuales!$G$38*(datos_base!$G$5+IF(parametros_manuales!$H$38="Todos",datos_base!$G$12,0))*parametros_manuales!$M$110+parametros_manuales!$G$38*(datos_base!$G$21+IF(parametros_manuales!$H$38="Todos",datos_base!$G$26,0))*parametros_manuales!$M$15)*parametros_manuales!$I$38*parametros_manuales!$J$38</f>
        <v>3101.90868891</v>
      </c>
      <c r="N156" s="9" t="n">
        <f aca="false">SUM(B156:M156)</f>
        <v>34444.932099</v>
      </c>
      <c r="O156" s="9" t="n">
        <f aca="false">MAX(B156:M156)</f>
        <v>3101.90868891</v>
      </c>
      <c r="P156" s="44" t="n">
        <f aca="false">O156/(parametros_manuales!$B$7)</f>
        <v>20.6793912594</v>
      </c>
      <c r="Q156" s="8" t="str">
        <f aca="false">IF(O156=0,"-",INDEX($B$136:$M$136,MATCH(O156,B156:M156,0)))</f>
        <v>Dic</v>
      </c>
    </row>
    <row r="157" customFormat="false" ht="14.25" hidden="false" customHeight="true" outlineLevel="0" collapsed="false">
      <c r="A157" s="8" t="str">
        <f aca="false">parametros_manuales!$B$39</f>
        <v>Ensamblaje</v>
      </c>
      <c r="B157" s="9" t="n">
        <f aca="false">(parametros_manuales!$D$39*(datos_base!$G$2+IF(parametros_manuales!$H$39="Todos",datos_base!$G$9,0))*parametros_manuales!$B$95+parametros_manuales!$D$39*(datos_base!$G$18+IF(parametros_manuales!$H$39="Todos",datos_base!$G$23,0))*parametros_manuales!$B$12+parametros_manuales!$E$39*(datos_base!$G$3+IF(parametros_manuales!$H$39="Todos",datos_base!$G$10,0))*parametros_manuales!$B$100+parametros_manuales!$E$39*(datos_base!$G$19+IF(parametros_manuales!$H$39="Todos",datos_base!$G$24,0))*parametros_manuales!$B$13+parametros_manuales!$F$39*(datos_base!$G$4+IF(parametros_manuales!$H$39="Todos",datos_base!$G$11,0))*parametros_manuales!$B$105+parametros_manuales!$F$39*(datos_base!$G$20+IF(parametros_manuales!$H$39="Todos",datos_base!$G$25,0))*parametros_manuales!$B$14+parametros_manuales!$G$39*(datos_base!$G$5+IF(parametros_manuales!$H$39="Todos",datos_base!$G$12,0))*parametros_manuales!$B$110+parametros_manuales!$G$39*(datos_base!$G$21+IF(parametros_manuales!$H$39="Todos",datos_base!$G$26,0))*parametros_manuales!$B$15)*parametros_manuales!$I$39*parametros_manuales!$J$39</f>
        <v>3100.97628891</v>
      </c>
      <c r="C157" s="9" t="n">
        <f aca="false">(parametros_manuales!$D$39*(datos_base!$G$2+IF(parametros_manuales!$H$39="Todos",datos_base!$G$9,0))*parametros_manuales!$C$95+parametros_manuales!$D$39*(datos_base!$G$18+IF(parametros_manuales!$H$39="Todos",datos_base!$G$23,0))*parametros_manuales!$C$12+parametros_manuales!$E$39*(datos_base!$G$3+IF(parametros_manuales!$H$39="Todos",datos_base!$G$10,0))*parametros_manuales!$C$100+parametros_manuales!$E$39*(datos_base!$G$19+IF(parametros_manuales!$H$39="Todos",datos_base!$G$24,0))*parametros_manuales!$C$13+parametros_manuales!$F$39*(datos_base!$G$4+IF(parametros_manuales!$H$39="Todos",datos_base!$G$11,0))*parametros_manuales!$C$105+parametros_manuales!$F$39*(datos_base!$G$20+IF(parametros_manuales!$H$39="Todos",datos_base!$G$25,0))*parametros_manuales!$C$14+parametros_manuales!$G$39*(datos_base!$G$5+IF(parametros_manuales!$H$39="Todos",datos_base!$G$12,0))*parametros_manuales!$C$110+parametros_manuales!$G$39*(datos_base!$G$21+IF(parametros_manuales!$H$39="Todos",datos_base!$G$26,0))*parametros_manuales!$C$15)*parametros_manuales!$I$39*parametros_manuales!$J$39</f>
        <v>2911.79709862</v>
      </c>
      <c r="D157" s="9" t="n">
        <f aca="false">(parametros_manuales!$D$39*(datos_base!$G$2+IF(parametros_manuales!$H$39="Todos",datos_base!$G$9,0))*parametros_manuales!$D$95+parametros_manuales!$D$39*(datos_base!$G$18+IF(parametros_manuales!$H$39="Todos",datos_base!$G$23,0))*parametros_manuales!$D$12+parametros_manuales!$E$39*(datos_base!$G$3+IF(parametros_manuales!$H$39="Todos",datos_base!$G$10,0))*parametros_manuales!$D$100+parametros_manuales!$E$39*(datos_base!$G$19+IF(parametros_manuales!$H$39="Todos",datos_base!$G$24,0))*parametros_manuales!$D$13+parametros_manuales!$F$39*(datos_base!$G$4+IF(parametros_manuales!$H$39="Todos",datos_base!$G$11,0))*parametros_manuales!$D$105+parametros_manuales!$F$39*(datos_base!$G$20+IF(parametros_manuales!$H$39="Todos",datos_base!$G$25,0))*parametros_manuales!$D$14+parametros_manuales!$G$39*(datos_base!$G$5+IF(parametros_manuales!$H$39="Todos",datos_base!$G$12,0))*parametros_manuales!$D$110+parametros_manuales!$G$39*(datos_base!$G$21+IF(parametros_manuales!$H$39="Todos",datos_base!$G$26,0))*parametros_manuales!$D$15)*parametros_manuales!$I$39*parametros_manuales!$J$39</f>
        <v>2849.717963065</v>
      </c>
      <c r="E157" s="9" t="n">
        <f aca="false">(parametros_manuales!$D$39*(datos_base!$G$2+IF(parametros_manuales!$H$39="Todos",datos_base!$G$9,0))*parametros_manuales!$E$95+parametros_manuales!$D$39*(datos_base!$G$18+IF(parametros_manuales!$H$39="Todos",datos_base!$G$23,0))*parametros_manuales!$E$12+parametros_manuales!$E$39*(datos_base!$G$3+IF(parametros_manuales!$H$39="Todos",datos_base!$G$10,0))*parametros_manuales!$E$100+parametros_manuales!$E$39*(datos_base!$G$19+IF(parametros_manuales!$H$39="Todos",datos_base!$G$24,0))*parametros_manuales!$E$13+parametros_manuales!$F$39*(datos_base!$G$4+IF(parametros_manuales!$H$39="Todos",datos_base!$G$11,0))*parametros_manuales!$E$105+parametros_manuales!$F$39*(datos_base!$G$20+IF(parametros_manuales!$H$39="Todos",datos_base!$G$25,0))*parametros_manuales!$E$14+parametros_manuales!$G$39*(datos_base!$G$5+IF(parametros_manuales!$H$39="Todos",datos_base!$G$12,0))*parametros_manuales!$E$110+parametros_manuales!$G$39*(datos_base!$G$21+IF(parametros_manuales!$H$39="Todos",datos_base!$G$26,0))*parametros_manuales!$E$15)*parametros_manuales!$I$39*parametros_manuales!$J$39</f>
        <v>2771.616697715</v>
      </c>
      <c r="F157" s="9" t="n">
        <f aca="false">(parametros_manuales!$D$39*(datos_base!$G$2+IF(parametros_manuales!$H$39="Todos",datos_base!$G$9,0))*parametros_manuales!$F$95+parametros_manuales!$D$39*(datos_base!$G$18+IF(parametros_manuales!$H$39="Todos",datos_base!$G$23,0))*parametros_manuales!$F$12+parametros_manuales!$E$39*(datos_base!$G$3+IF(parametros_manuales!$H$39="Todos",datos_base!$G$10,0))*parametros_manuales!$F$100+parametros_manuales!$E$39*(datos_base!$G$19+IF(parametros_manuales!$H$39="Todos",datos_base!$G$24,0))*parametros_manuales!$F$13+parametros_manuales!$F$39*(datos_base!$G$4+IF(parametros_manuales!$H$39="Todos",datos_base!$G$11,0))*parametros_manuales!$F$105+parametros_manuales!$F$39*(datos_base!$G$20+IF(parametros_manuales!$H$39="Todos",datos_base!$G$25,0))*parametros_manuales!$F$14+parametros_manuales!$G$39*(datos_base!$G$5+IF(parametros_manuales!$H$39="Todos",datos_base!$G$12,0))*parametros_manuales!$F$110+parametros_manuales!$G$39*(datos_base!$G$21+IF(parametros_manuales!$H$39="Todos",datos_base!$G$26,0))*parametros_manuales!$F$15)*parametros_manuales!$I$39*parametros_manuales!$J$39</f>
        <v>2599.39203722</v>
      </c>
      <c r="G157" s="9" t="n">
        <f aca="false">(parametros_manuales!$D$39*(datos_base!$G$2+IF(parametros_manuales!$H$39="Todos",datos_base!$G$9,0))*parametros_manuales!$G$95+parametros_manuales!$D$39*(datos_base!$G$18+IF(parametros_manuales!$H$39="Todos",datos_base!$G$23,0))*parametros_manuales!$G$12+parametros_manuales!$E$39*(datos_base!$G$3+IF(parametros_manuales!$H$39="Todos",datos_base!$G$10,0))*parametros_manuales!$G$100+parametros_manuales!$E$39*(datos_base!$G$19+IF(parametros_manuales!$H$39="Todos",datos_base!$G$24,0))*parametros_manuales!$G$13+parametros_manuales!$F$39*(datos_base!$G$4+IF(parametros_manuales!$H$39="Todos",datos_base!$G$11,0))*parametros_manuales!$G$105+parametros_manuales!$F$39*(datos_base!$G$20+IF(parametros_manuales!$H$39="Todos",datos_base!$G$25,0))*parametros_manuales!$G$14+parametros_manuales!$G$39*(datos_base!$G$5+IF(parametros_manuales!$H$39="Todos",datos_base!$G$12,0))*parametros_manuales!$G$110+parametros_manuales!$G$39*(datos_base!$G$21+IF(parametros_manuales!$H$39="Todos",datos_base!$G$26,0))*parametros_manuales!$G$15)*parametros_manuales!$I$39*parametros_manuales!$J$39</f>
        <v>2505.268642075</v>
      </c>
      <c r="H157" s="9" t="n">
        <f aca="false">(parametros_manuales!$D$39*(datos_base!$G$2+IF(parametros_manuales!$H$39="Todos",datos_base!$G$9,0))*parametros_manuales!$H$95+parametros_manuales!$D$39*(datos_base!$G$18+IF(parametros_manuales!$H$39="Todos",datos_base!$G$23,0))*parametros_manuales!$H$12+parametros_manuales!$E$39*(datos_base!$G$3+IF(parametros_manuales!$H$39="Todos",datos_base!$G$10,0))*parametros_manuales!$H$100+parametros_manuales!$E$39*(datos_base!$G$19+IF(parametros_manuales!$H$39="Todos",datos_base!$G$24,0))*parametros_manuales!$H$13+parametros_manuales!$F$39*(datos_base!$G$4+IF(parametros_manuales!$H$39="Todos",datos_base!$G$11,0))*parametros_manuales!$H$105+parametros_manuales!$F$39*(datos_base!$G$20+IF(parametros_manuales!$H$39="Todos",datos_base!$G$25,0))*parametros_manuales!$H$14+parametros_manuales!$G$39*(datos_base!$G$5+IF(parametros_manuales!$H$39="Todos",datos_base!$G$12,0))*parametros_manuales!$H$110+parametros_manuales!$G$39*(datos_base!$G$21+IF(parametros_manuales!$H$39="Todos",datos_base!$G$26,0))*parametros_manuales!$H$15)*parametros_manuales!$I$39*parametros_manuales!$J$39</f>
        <v>2677.49330257</v>
      </c>
      <c r="I157" s="9" t="n">
        <f aca="false">(parametros_manuales!$D$39*(datos_base!$G$2+IF(parametros_manuales!$H$39="Todos",datos_base!$G$9,0))*parametros_manuales!$I$95+parametros_manuales!$D$39*(datos_base!$G$18+IF(parametros_manuales!$H$39="Todos",datos_base!$G$23,0))*parametros_manuales!$I$12+parametros_manuales!$E$39*(datos_base!$G$3+IF(parametros_manuales!$H$39="Todos",datos_base!$G$10,0))*parametros_manuales!$I$100+parametros_manuales!$E$39*(datos_base!$G$19+IF(parametros_manuales!$H$39="Todos",datos_base!$G$24,0))*parametros_manuales!$I$13+parametros_manuales!$F$39*(datos_base!$G$4+IF(parametros_manuales!$H$39="Todos",datos_base!$G$11,0))*parametros_manuales!$I$105+parametros_manuales!$F$39*(datos_base!$G$20+IF(parametros_manuales!$H$39="Todos",datos_base!$G$25,0))*parametros_manuales!$I$14+parametros_manuales!$G$39*(datos_base!$G$5+IF(parametros_manuales!$H$39="Todos",datos_base!$G$12,0))*parametros_manuales!$I$110+parametros_manuales!$G$39*(datos_base!$G$21+IF(parametros_manuales!$H$39="Todos",datos_base!$G$26,0))*parametros_manuales!$I$15)*parametros_manuales!$I$39*parametros_manuales!$J$39</f>
        <v>2911.79709862</v>
      </c>
      <c r="J157" s="9" t="n">
        <f aca="false">(parametros_manuales!$D$39*(datos_base!$G$2+IF(parametros_manuales!$H$39="Todos",datos_base!$G$9,0))*parametros_manuales!$J$95+parametros_manuales!$D$39*(datos_base!$G$18+IF(parametros_manuales!$H$39="Todos",datos_base!$G$23,0))*parametros_manuales!$J$12+parametros_manuales!$E$39*(datos_base!$G$3+IF(parametros_manuales!$H$39="Todos",datos_base!$G$10,0))*parametros_manuales!$J$100+parametros_manuales!$E$39*(datos_base!$G$19+IF(parametros_manuales!$H$39="Todos",datos_base!$G$24,0))*parametros_manuales!$J$13+parametros_manuales!$F$39*(datos_base!$G$4+IF(parametros_manuales!$H$39="Todos",datos_base!$G$11,0))*parametros_manuales!$J$105+parametros_manuales!$F$39*(datos_base!$G$20+IF(parametros_manuales!$H$39="Todos",datos_base!$G$25,0))*parametros_manuales!$J$14+parametros_manuales!$G$39*(datos_base!$G$5+IF(parametros_manuales!$H$39="Todos",datos_base!$G$12,0))*parametros_manuales!$J$110+parametros_manuales!$G$39*(datos_base!$G$21+IF(parametros_manuales!$H$39="Todos",datos_base!$G$26,0))*parametros_manuales!$J$15)*parametros_manuales!$I$39*parametros_manuales!$J$39</f>
        <v>2911.79709862</v>
      </c>
      <c r="K157" s="9" t="n">
        <f aca="false">(parametros_manuales!$D$39*(datos_base!$G$2+IF(parametros_manuales!$H$39="Todos",datos_base!$G$9,0))*parametros_manuales!$K$95+parametros_manuales!$D$39*(datos_base!$G$18+IF(parametros_manuales!$H$39="Todos",datos_base!$G$23,0))*parametros_manuales!$K$12+parametros_manuales!$E$39*(datos_base!$G$3+IF(parametros_manuales!$H$39="Todos",datos_base!$G$10,0))*parametros_manuales!$K$100+parametros_manuales!$E$39*(datos_base!$G$19+IF(parametros_manuales!$H$39="Todos",datos_base!$G$24,0))*parametros_manuales!$K$13+parametros_manuales!$F$39*(datos_base!$G$4+IF(parametros_manuales!$H$39="Todos",datos_base!$G$11,0))*parametros_manuales!$K$105+parametros_manuales!$F$39*(datos_base!$G$20+IF(parametros_manuales!$H$39="Todos",datos_base!$G$25,0))*parametros_manuales!$K$14+parametros_manuales!$G$39*(datos_base!$G$5+IF(parametros_manuales!$H$39="Todos",datos_base!$G$12,0))*parametros_manuales!$K$110+parametros_manuales!$G$39*(datos_base!$G$21+IF(parametros_manuales!$H$39="Todos",datos_base!$G$26,0))*parametros_manuales!$K$15)*parametros_manuales!$I$39*parametros_manuales!$J$39</f>
        <v>3004.988093765</v>
      </c>
      <c r="L157" s="9" t="n">
        <f aca="false">(parametros_manuales!$D$39*(datos_base!$G$2+IF(parametros_manuales!$H$39="Todos",datos_base!$G$9,0))*parametros_manuales!$L$95+parametros_manuales!$D$39*(datos_base!$G$18+IF(parametros_manuales!$H$39="Todos",datos_base!$G$23,0))*parametros_manuales!$L$12+parametros_manuales!$E$39*(datos_base!$G$3+IF(parametros_manuales!$H$39="Todos",datos_base!$G$10,0))*parametros_manuales!$L$100+parametros_manuales!$E$39*(datos_base!$G$19+IF(parametros_manuales!$H$39="Todos",datos_base!$G$24,0))*parametros_manuales!$L$13+parametros_manuales!$F$39*(datos_base!$G$4+IF(parametros_manuales!$H$39="Todos",datos_base!$G$11,0))*parametros_manuales!$L$105+parametros_manuales!$F$39*(datos_base!$G$20+IF(parametros_manuales!$H$39="Todos",datos_base!$G$25,0))*parametros_manuales!$L$14+parametros_manuales!$G$39*(datos_base!$G$5+IF(parametros_manuales!$H$39="Todos",datos_base!$G$12,0))*parametros_manuales!$L$110+parametros_manuales!$G$39*(datos_base!$G$21+IF(parametros_manuales!$H$39="Todos",datos_base!$G$26,0))*parametros_manuales!$L$15)*parametros_manuales!$I$39*parametros_manuales!$J$39</f>
        <v>3098.17908891</v>
      </c>
      <c r="M157" s="9" t="n">
        <f aca="false">(parametros_manuales!$D$39*(datos_base!$G$2+IF(parametros_manuales!$H$39="Todos",datos_base!$G$9,0))*parametros_manuales!$M$95+parametros_manuales!$D$39*(datos_base!$G$18+IF(parametros_manuales!$H$39="Todos",datos_base!$G$23,0))*parametros_manuales!$M$12+parametros_manuales!$E$39*(datos_base!$G$3+IF(parametros_manuales!$H$39="Todos",datos_base!$G$10,0))*parametros_manuales!$M$100+parametros_manuales!$E$39*(datos_base!$G$19+IF(parametros_manuales!$H$39="Todos",datos_base!$G$24,0))*parametros_manuales!$M$13+parametros_manuales!$F$39*(datos_base!$G$4+IF(parametros_manuales!$H$39="Todos",datos_base!$G$11,0))*parametros_manuales!$M$105+parametros_manuales!$F$39*(datos_base!$G$20+IF(parametros_manuales!$H$39="Todos",datos_base!$G$25,0))*parametros_manuales!$M$14+parametros_manuales!$G$39*(datos_base!$G$5+IF(parametros_manuales!$H$39="Todos",datos_base!$G$12,0))*parametros_manuales!$M$110+parametros_manuales!$G$39*(datos_base!$G$21+IF(parametros_manuales!$H$39="Todos",datos_base!$G$26,0))*parametros_manuales!$M$15)*parametros_manuales!$I$39*parametros_manuales!$J$39</f>
        <v>3101.90868891</v>
      </c>
      <c r="N157" s="9" t="n">
        <f aca="false">SUM(B157:M157)</f>
        <v>34444.932099</v>
      </c>
      <c r="O157" s="9" t="n">
        <f aca="false">MAX(B157:M157)</f>
        <v>3101.90868891</v>
      </c>
      <c r="P157" s="44" t="n">
        <f aca="false">O157/(parametros_manuales!$B$7)</f>
        <v>20.6793912594</v>
      </c>
      <c r="Q157" s="8" t="str">
        <f aca="false">IF(O157=0,"-",INDEX($B$136:$M$136,MATCH(O157,B157:M157,0)))</f>
        <v>Dic</v>
      </c>
    </row>
    <row r="158" customFormat="false" ht="14.25" hidden="false" customHeight="true" outlineLevel="0" collapsed="false">
      <c r="A158" s="8" t="str">
        <f aca="false">parametros_manuales!$B$40</f>
        <v>Presurización</v>
      </c>
      <c r="B158" s="9" t="n">
        <f aca="false">(parametros_manuales!$D$40*(datos_base!$G$2+IF(parametros_manuales!$H$40="Todos",datos_base!$G$9,0))*parametros_manuales!$B$95+parametros_manuales!$D$40*(datos_base!$G$18+IF(parametros_manuales!$H$40="Todos",datos_base!$G$23,0))*parametros_manuales!$B$12+parametros_manuales!$E$40*(datos_base!$G$3+IF(parametros_manuales!$H$40="Todos",datos_base!$G$10,0))*parametros_manuales!$B$100+parametros_manuales!$E$40*(datos_base!$G$19+IF(parametros_manuales!$H$40="Todos",datos_base!$G$24,0))*parametros_manuales!$B$13+parametros_manuales!$F$40*(datos_base!$G$4+IF(parametros_manuales!$H$40="Todos",datos_base!$G$11,0))*parametros_manuales!$B$105+parametros_manuales!$F$40*(datos_base!$G$20+IF(parametros_manuales!$H$40="Todos",datos_base!$G$25,0))*parametros_manuales!$B$14+parametros_manuales!$G$40*(datos_base!$G$5+IF(parametros_manuales!$H$40="Todos",datos_base!$G$12,0))*parametros_manuales!$B$110+parametros_manuales!$G$40*(datos_base!$G$21+IF(parametros_manuales!$H$40="Todos",datos_base!$G$26,0))*parametros_manuales!$B$15)*parametros_manuales!$I$40*parametros_manuales!$J$40</f>
        <v>3100.97628891</v>
      </c>
      <c r="C158" s="9" t="n">
        <f aca="false">(parametros_manuales!$D$40*(datos_base!$G$2+IF(parametros_manuales!$H$40="Todos",datos_base!$G$9,0))*parametros_manuales!$C$95+parametros_manuales!$D$40*(datos_base!$G$18+IF(parametros_manuales!$H$40="Todos",datos_base!$G$23,0))*parametros_manuales!$C$12+parametros_manuales!$E$40*(datos_base!$G$3+IF(parametros_manuales!$H$40="Todos",datos_base!$G$10,0))*parametros_manuales!$C$100+parametros_manuales!$E$40*(datos_base!$G$19+IF(parametros_manuales!$H$40="Todos",datos_base!$G$24,0))*parametros_manuales!$C$13+parametros_manuales!$F$40*(datos_base!$G$4+IF(parametros_manuales!$H$40="Todos",datos_base!$G$11,0))*parametros_manuales!$C$105+parametros_manuales!$F$40*(datos_base!$G$20+IF(parametros_manuales!$H$40="Todos",datos_base!$G$25,0))*parametros_manuales!$C$14+parametros_manuales!$G$40*(datos_base!$G$5+IF(parametros_manuales!$H$40="Todos",datos_base!$G$12,0))*parametros_manuales!$C$110+parametros_manuales!$G$40*(datos_base!$G$21+IF(parametros_manuales!$H$40="Todos",datos_base!$G$26,0))*parametros_manuales!$C$15)*parametros_manuales!$I$40*parametros_manuales!$J$40</f>
        <v>2911.79709862</v>
      </c>
      <c r="D158" s="9" t="n">
        <f aca="false">(parametros_manuales!$D$40*(datos_base!$G$2+IF(parametros_manuales!$H$40="Todos",datos_base!$G$9,0))*parametros_manuales!$D$95+parametros_manuales!$D$40*(datos_base!$G$18+IF(parametros_manuales!$H$40="Todos",datos_base!$G$23,0))*parametros_manuales!$D$12+parametros_manuales!$E$40*(datos_base!$G$3+IF(parametros_manuales!$H$40="Todos",datos_base!$G$10,0))*parametros_manuales!$D$100+parametros_manuales!$E$40*(datos_base!$G$19+IF(parametros_manuales!$H$40="Todos",datos_base!$G$24,0))*parametros_manuales!$D$13+parametros_manuales!$F$40*(datos_base!$G$4+IF(parametros_manuales!$H$40="Todos",datos_base!$G$11,0))*parametros_manuales!$D$105+parametros_manuales!$F$40*(datos_base!$G$20+IF(parametros_manuales!$H$40="Todos",datos_base!$G$25,0))*parametros_manuales!$D$14+parametros_manuales!$G$40*(datos_base!$G$5+IF(parametros_manuales!$H$40="Todos",datos_base!$G$12,0))*parametros_manuales!$D$110+parametros_manuales!$G$40*(datos_base!$G$21+IF(parametros_manuales!$H$40="Todos",datos_base!$G$26,0))*parametros_manuales!$D$15)*parametros_manuales!$I$40*parametros_manuales!$J$40</f>
        <v>2849.717963065</v>
      </c>
      <c r="E158" s="9" t="n">
        <f aca="false">(parametros_manuales!$D$40*(datos_base!$G$2+IF(parametros_manuales!$H$40="Todos",datos_base!$G$9,0))*parametros_manuales!$E$95+parametros_manuales!$D$40*(datos_base!$G$18+IF(parametros_manuales!$H$40="Todos",datos_base!$G$23,0))*parametros_manuales!$E$12+parametros_manuales!$E$40*(datos_base!$G$3+IF(parametros_manuales!$H$40="Todos",datos_base!$G$10,0))*parametros_manuales!$E$100+parametros_manuales!$E$40*(datos_base!$G$19+IF(parametros_manuales!$H$40="Todos",datos_base!$G$24,0))*parametros_manuales!$E$13+parametros_manuales!$F$40*(datos_base!$G$4+IF(parametros_manuales!$H$40="Todos",datos_base!$G$11,0))*parametros_manuales!$E$105+parametros_manuales!$F$40*(datos_base!$G$20+IF(parametros_manuales!$H$40="Todos",datos_base!$G$25,0))*parametros_manuales!$E$14+parametros_manuales!$G$40*(datos_base!$G$5+IF(parametros_manuales!$H$40="Todos",datos_base!$G$12,0))*parametros_manuales!$E$110+parametros_manuales!$G$40*(datos_base!$G$21+IF(parametros_manuales!$H$40="Todos",datos_base!$G$26,0))*parametros_manuales!$E$15)*parametros_manuales!$I$40*parametros_manuales!$J$40</f>
        <v>2771.616697715</v>
      </c>
      <c r="F158" s="9" t="n">
        <f aca="false">(parametros_manuales!$D$40*(datos_base!$G$2+IF(parametros_manuales!$H$40="Todos",datos_base!$G$9,0))*parametros_manuales!$F$95+parametros_manuales!$D$40*(datos_base!$G$18+IF(parametros_manuales!$H$40="Todos",datos_base!$G$23,0))*parametros_manuales!$F$12+parametros_manuales!$E$40*(datos_base!$G$3+IF(parametros_manuales!$H$40="Todos",datos_base!$G$10,0))*parametros_manuales!$F$100+parametros_manuales!$E$40*(datos_base!$G$19+IF(parametros_manuales!$H$40="Todos",datos_base!$G$24,0))*parametros_manuales!$F$13+parametros_manuales!$F$40*(datos_base!$G$4+IF(parametros_manuales!$H$40="Todos",datos_base!$G$11,0))*parametros_manuales!$F$105+parametros_manuales!$F$40*(datos_base!$G$20+IF(parametros_manuales!$H$40="Todos",datos_base!$G$25,0))*parametros_manuales!$F$14+parametros_manuales!$G$40*(datos_base!$G$5+IF(parametros_manuales!$H$40="Todos",datos_base!$G$12,0))*parametros_manuales!$F$110+parametros_manuales!$G$40*(datos_base!$G$21+IF(parametros_manuales!$H$40="Todos",datos_base!$G$26,0))*parametros_manuales!$F$15)*parametros_manuales!$I$40*parametros_manuales!$J$40</f>
        <v>2599.39203722</v>
      </c>
      <c r="G158" s="9" t="n">
        <f aca="false">(parametros_manuales!$D$40*(datos_base!$G$2+IF(parametros_manuales!$H$40="Todos",datos_base!$G$9,0))*parametros_manuales!$G$95+parametros_manuales!$D$40*(datos_base!$G$18+IF(parametros_manuales!$H$40="Todos",datos_base!$G$23,0))*parametros_manuales!$G$12+parametros_manuales!$E$40*(datos_base!$G$3+IF(parametros_manuales!$H$40="Todos",datos_base!$G$10,0))*parametros_manuales!$G$100+parametros_manuales!$E$40*(datos_base!$G$19+IF(parametros_manuales!$H$40="Todos",datos_base!$G$24,0))*parametros_manuales!$G$13+parametros_manuales!$F$40*(datos_base!$G$4+IF(parametros_manuales!$H$40="Todos",datos_base!$G$11,0))*parametros_manuales!$G$105+parametros_manuales!$F$40*(datos_base!$G$20+IF(parametros_manuales!$H$40="Todos",datos_base!$G$25,0))*parametros_manuales!$G$14+parametros_manuales!$G$40*(datos_base!$G$5+IF(parametros_manuales!$H$40="Todos",datos_base!$G$12,0))*parametros_manuales!$G$110+parametros_manuales!$G$40*(datos_base!$G$21+IF(parametros_manuales!$H$40="Todos",datos_base!$G$26,0))*parametros_manuales!$G$15)*parametros_manuales!$I$40*parametros_manuales!$J$40</f>
        <v>2505.268642075</v>
      </c>
      <c r="H158" s="9" t="n">
        <f aca="false">(parametros_manuales!$D$40*(datos_base!$G$2+IF(parametros_manuales!$H$40="Todos",datos_base!$G$9,0))*parametros_manuales!$H$95+parametros_manuales!$D$40*(datos_base!$G$18+IF(parametros_manuales!$H$40="Todos",datos_base!$G$23,0))*parametros_manuales!$H$12+parametros_manuales!$E$40*(datos_base!$G$3+IF(parametros_manuales!$H$40="Todos",datos_base!$G$10,0))*parametros_manuales!$H$100+parametros_manuales!$E$40*(datos_base!$G$19+IF(parametros_manuales!$H$40="Todos",datos_base!$G$24,0))*parametros_manuales!$H$13+parametros_manuales!$F$40*(datos_base!$G$4+IF(parametros_manuales!$H$40="Todos",datos_base!$G$11,0))*parametros_manuales!$H$105+parametros_manuales!$F$40*(datos_base!$G$20+IF(parametros_manuales!$H$40="Todos",datos_base!$G$25,0))*parametros_manuales!$H$14+parametros_manuales!$G$40*(datos_base!$G$5+IF(parametros_manuales!$H$40="Todos",datos_base!$G$12,0))*parametros_manuales!$H$110+parametros_manuales!$G$40*(datos_base!$G$21+IF(parametros_manuales!$H$40="Todos",datos_base!$G$26,0))*parametros_manuales!$H$15)*parametros_manuales!$I$40*parametros_manuales!$J$40</f>
        <v>2677.49330257</v>
      </c>
      <c r="I158" s="9" t="n">
        <f aca="false">(parametros_manuales!$D$40*(datos_base!$G$2+IF(parametros_manuales!$H$40="Todos",datos_base!$G$9,0))*parametros_manuales!$I$95+parametros_manuales!$D$40*(datos_base!$G$18+IF(parametros_manuales!$H$40="Todos",datos_base!$G$23,0))*parametros_manuales!$I$12+parametros_manuales!$E$40*(datos_base!$G$3+IF(parametros_manuales!$H$40="Todos",datos_base!$G$10,0))*parametros_manuales!$I$100+parametros_manuales!$E$40*(datos_base!$G$19+IF(parametros_manuales!$H$40="Todos",datos_base!$G$24,0))*parametros_manuales!$I$13+parametros_manuales!$F$40*(datos_base!$G$4+IF(parametros_manuales!$H$40="Todos",datos_base!$G$11,0))*parametros_manuales!$I$105+parametros_manuales!$F$40*(datos_base!$G$20+IF(parametros_manuales!$H$40="Todos",datos_base!$G$25,0))*parametros_manuales!$I$14+parametros_manuales!$G$40*(datos_base!$G$5+IF(parametros_manuales!$H$40="Todos",datos_base!$G$12,0))*parametros_manuales!$I$110+parametros_manuales!$G$40*(datos_base!$G$21+IF(parametros_manuales!$H$40="Todos",datos_base!$G$26,0))*parametros_manuales!$I$15)*parametros_manuales!$I$40*parametros_manuales!$J$40</f>
        <v>2911.79709862</v>
      </c>
      <c r="J158" s="9" t="n">
        <f aca="false">(parametros_manuales!$D$40*(datos_base!$G$2+IF(parametros_manuales!$H$40="Todos",datos_base!$G$9,0))*parametros_manuales!$J$95+parametros_manuales!$D$40*(datos_base!$G$18+IF(parametros_manuales!$H$40="Todos",datos_base!$G$23,0))*parametros_manuales!$J$12+parametros_manuales!$E$40*(datos_base!$G$3+IF(parametros_manuales!$H$40="Todos",datos_base!$G$10,0))*parametros_manuales!$J$100+parametros_manuales!$E$40*(datos_base!$G$19+IF(parametros_manuales!$H$40="Todos",datos_base!$G$24,0))*parametros_manuales!$J$13+parametros_manuales!$F$40*(datos_base!$G$4+IF(parametros_manuales!$H$40="Todos",datos_base!$G$11,0))*parametros_manuales!$J$105+parametros_manuales!$F$40*(datos_base!$G$20+IF(parametros_manuales!$H$40="Todos",datos_base!$G$25,0))*parametros_manuales!$J$14+parametros_manuales!$G$40*(datos_base!$G$5+IF(parametros_manuales!$H$40="Todos",datos_base!$G$12,0))*parametros_manuales!$J$110+parametros_manuales!$G$40*(datos_base!$G$21+IF(parametros_manuales!$H$40="Todos",datos_base!$G$26,0))*parametros_manuales!$J$15)*parametros_manuales!$I$40*parametros_manuales!$J$40</f>
        <v>2911.79709862</v>
      </c>
      <c r="K158" s="9" t="n">
        <f aca="false">(parametros_manuales!$D$40*(datos_base!$G$2+IF(parametros_manuales!$H$40="Todos",datos_base!$G$9,0))*parametros_manuales!$K$95+parametros_manuales!$D$40*(datos_base!$G$18+IF(parametros_manuales!$H$40="Todos",datos_base!$G$23,0))*parametros_manuales!$K$12+parametros_manuales!$E$40*(datos_base!$G$3+IF(parametros_manuales!$H$40="Todos",datos_base!$G$10,0))*parametros_manuales!$K$100+parametros_manuales!$E$40*(datos_base!$G$19+IF(parametros_manuales!$H$40="Todos",datos_base!$G$24,0))*parametros_manuales!$K$13+parametros_manuales!$F$40*(datos_base!$G$4+IF(parametros_manuales!$H$40="Todos",datos_base!$G$11,0))*parametros_manuales!$K$105+parametros_manuales!$F$40*(datos_base!$G$20+IF(parametros_manuales!$H$40="Todos",datos_base!$G$25,0))*parametros_manuales!$K$14+parametros_manuales!$G$40*(datos_base!$G$5+IF(parametros_manuales!$H$40="Todos",datos_base!$G$12,0))*parametros_manuales!$K$110+parametros_manuales!$G$40*(datos_base!$G$21+IF(parametros_manuales!$H$40="Todos",datos_base!$G$26,0))*parametros_manuales!$K$15)*parametros_manuales!$I$40*parametros_manuales!$J$40</f>
        <v>3004.988093765</v>
      </c>
      <c r="L158" s="9" t="n">
        <f aca="false">(parametros_manuales!$D$40*(datos_base!$G$2+IF(parametros_manuales!$H$40="Todos",datos_base!$G$9,0))*parametros_manuales!$L$95+parametros_manuales!$D$40*(datos_base!$G$18+IF(parametros_manuales!$H$40="Todos",datos_base!$G$23,0))*parametros_manuales!$L$12+parametros_manuales!$E$40*(datos_base!$G$3+IF(parametros_manuales!$H$40="Todos",datos_base!$G$10,0))*parametros_manuales!$L$100+parametros_manuales!$E$40*(datos_base!$G$19+IF(parametros_manuales!$H$40="Todos",datos_base!$G$24,0))*parametros_manuales!$L$13+parametros_manuales!$F$40*(datos_base!$G$4+IF(parametros_manuales!$H$40="Todos",datos_base!$G$11,0))*parametros_manuales!$L$105+parametros_manuales!$F$40*(datos_base!$G$20+IF(parametros_manuales!$H$40="Todos",datos_base!$G$25,0))*parametros_manuales!$L$14+parametros_manuales!$G$40*(datos_base!$G$5+IF(parametros_manuales!$H$40="Todos",datos_base!$G$12,0))*parametros_manuales!$L$110+parametros_manuales!$G$40*(datos_base!$G$21+IF(parametros_manuales!$H$40="Todos",datos_base!$G$26,0))*parametros_manuales!$L$15)*parametros_manuales!$I$40*parametros_manuales!$J$40</f>
        <v>3098.17908891</v>
      </c>
      <c r="M158" s="9" t="n">
        <f aca="false">(parametros_manuales!$D$40*(datos_base!$G$2+IF(parametros_manuales!$H$40="Todos",datos_base!$G$9,0))*parametros_manuales!$M$95+parametros_manuales!$D$40*(datos_base!$G$18+IF(parametros_manuales!$H$40="Todos",datos_base!$G$23,0))*parametros_manuales!$M$12+parametros_manuales!$E$40*(datos_base!$G$3+IF(parametros_manuales!$H$40="Todos",datos_base!$G$10,0))*parametros_manuales!$M$100+parametros_manuales!$E$40*(datos_base!$G$19+IF(parametros_manuales!$H$40="Todos",datos_base!$G$24,0))*parametros_manuales!$M$13+parametros_manuales!$F$40*(datos_base!$G$4+IF(parametros_manuales!$H$40="Todos",datos_base!$G$11,0))*parametros_manuales!$M$105+parametros_manuales!$F$40*(datos_base!$G$20+IF(parametros_manuales!$H$40="Todos",datos_base!$G$25,0))*parametros_manuales!$M$14+parametros_manuales!$G$40*(datos_base!$G$5+IF(parametros_manuales!$H$40="Todos",datos_base!$G$12,0))*parametros_manuales!$M$110+parametros_manuales!$G$40*(datos_base!$G$21+IF(parametros_manuales!$H$40="Todos",datos_base!$G$26,0))*parametros_manuales!$M$15)*parametros_manuales!$I$40*parametros_manuales!$J$40</f>
        <v>3101.90868891</v>
      </c>
      <c r="N158" s="9" t="n">
        <f aca="false">SUM(B158:M158)</f>
        <v>34444.932099</v>
      </c>
      <c r="O158" s="9" t="n">
        <f aca="false">MAX(B158:M158)</f>
        <v>3101.90868891</v>
      </c>
      <c r="P158" s="44" t="n">
        <f aca="false">O158/(parametros_manuales!$B$7)</f>
        <v>20.6793912594</v>
      </c>
      <c r="Q158" s="8" t="str">
        <f aca="false">IF(O158=0,"-",INDEX($B$136:$M$136,MATCH(O158,B158:M158,0)))</f>
        <v>Dic</v>
      </c>
    </row>
    <row r="159" customFormat="false" ht="14.25" hidden="false" customHeight="true" outlineLevel="0" collapsed="false">
      <c r="A159" s="8" t="str">
        <f aca="false">parametros_manuales!$B$41</f>
        <v>Control de calidad — Ensayo de pérdidas</v>
      </c>
      <c r="B159" s="9" t="n">
        <f aca="false">(parametros_manuales!$D$41*(datos_base!$G$2+IF(parametros_manuales!$H$41="Todos",datos_base!$G$9,0))*parametros_manuales!$B$95+parametros_manuales!$D$41*(datos_base!$G$18+IF(parametros_manuales!$H$41="Todos",datos_base!$G$23,0))*parametros_manuales!$B$12+parametros_manuales!$E$41*(datos_base!$G$3+IF(parametros_manuales!$H$41="Todos",datos_base!$G$10,0))*parametros_manuales!$B$100+parametros_manuales!$E$41*(datos_base!$G$19+IF(parametros_manuales!$H$41="Todos",datos_base!$G$24,0))*parametros_manuales!$B$13+parametros_manuales!$F$41*(datos_base!$G$4+IF(parametros_manuales!$H$41="Todos",datos_base!$G$11,0))*parametros_manuales!$B$105+parametros_manuales!$F$41*(datos_base!$G$20+IF(parametros_manuales!$H$41="Todos",datos_base!$G$25,0))*parametros_manuales!$B$14+parametros_manuales!$G$41*(datos_base!$G$5+IF(parametros_manuales!$H$41="Todos",datos_base!$G$12,0))*parametros_manuales!$B$110+parametros_manuales!$G$41*(datos_base!$G$21+IF(parametros_manuales!$H$41="Todos",datos_base!$G$26,0))*parametros_manuales!$B$15)*parametros_manuales!$I$41*parametros_manuales!$J$41</f>
        <v>3100.97628891</v>
      </c>
      <c r="C159" s="9" t="n">
        <f aca="false">(parametros_manuales!$D$41*(datos_base!$G$2+IF(parametros_manuales!$H$41="Todos",datos_base!$G$9,0))*parametros_manuales!$C$95+parametros_manuales!$D$41*(datos_base!$G$18+IF(parametros_manuales!$H$41="Todos",datos_base!$G$23,0))*parametros_manuales!$C$12+parametros_manuales!$E$41*(datos_base!$G$3+IF(parametros_manuales!$H$41="Todos",datos_base!$G$10,0))*parametros_manuales!$C$100+parametros_manuales!$E$41*(datos_base!$G$19+IF(parametros_manuales!$H$41="Todos",datos_base!$G$24,0))*parametros_manuales!$C$13+parametros_manuales!$F$41*(datos_base!$G$4+IF(parametros_manuales!$H$41="Todos",datos_base!$G$11,0))*parametros_manuales!$C$105+parametros_manuales!$F$41*(datos_base!$G$20+IF(parametros_manuales!$H$41="Todos",datos_base!$G$25,0))*parametros_manuales!$C$14+parametros_manuales!$G$41*(datos_base!$G$5+IF(parametros_manuales!$H$41="Todos",datos_base!$G$12,0))*parametros_manuales!$C$110+parametros_manuales!$G$41*(datos_base!$G$21+IF(parametros_manuales!$H$41="Todos",datos_base!$G$26,0))*parametros_manuales!$C$15)*parametros_manuales!$I$41*parametros_manuales!$J$41</f>
        <v>2911.79709862</v>
      </c>
      <c r="D159" s="9" t="n">
        <f aca="false">(parametros_manuales!$D$41*(datos_base!$G$2+IF(parametros_manuales!$H$41="Todos",datos_base!$G$9,0))*parametros_manuales!$D$95+parametros_manuales!$D$41*(datos_base!$G$18+IF(parametros_manuales!$H$41="Todos",datos_base!$G$23,0))*parametros_manuales!$D$12+parametros_manuales!$E$41*(datos_base!$G$3+IF(parametros_manuales!$H$41="Todos",datos_base!$G$10,0))*parametros_manuales!$D$100+parametros_manuales!$E$41*(datos_base!$G$19+IF(parametros_manuales!$H$41="Todos",datos_base!$G$24,0))*parametros_manuales!$D$13+parametros_manuales!$F$41*(datos_base!$G$4+IF(parametros_manuales!$H$41="Todos",datos_base!$G$11,0))*parametros_manuales!$D$105+parametros_manuales!$F$41*(datos_base!$G$20+IF(parametros_manuales!$H$41="Todos",datos_base!$G$25,0))*parametros_manuales!$D$14+parametros_manuales!$G$41*(datos_base!$G$5+IF(parametros_manuales!$H$41="Todos",datos_base!$G$12,0))*parametros_manuales!$D$110+parametros_manuales!$G$41*(datos_base!$G$21+IF(parametros_manuales!$H$41="Todos",datos_base!$G$26,0))*parametros_manuales!$D$15)*parametros_manuales!$I$41*parametros_manuales!$J$41</f>
        <v>2849.717963065</v>
      </c>
      <c r="E159" s="9" t="n">
        <f aca="false">(parametros_manuales!$D$41*(datos_base!$G$2+IF(parametros_manuales!$H$41="Todos",datos_base!$G$9,0))*parametros_manuales!$E$95+parametros_manuales!$D$41*(datos_base!$G$18+IF(parametros_manuales!$H$41="Todos",datos_base!$G$23,0))*parametros_manuales!$E$12+parametros_manuales!$E$41*(datos_base!$G$3+IF(parametros_manuales!$H$41="Todos",datos_base!$G$10,0))*parametros_manuales!$E$100+parametros_manuales!$E$41*(datos_base!$G$19+IF(parametros_manuales!$H$41="Todos",datos_base!$G$24,0))*parametros_manuales!$E$13+parametros_manuales!$F$41*(datos_base!$G$4+IF(parametros_manuales!$H$41="Todos",datos_base!$G$11,0))*parametros_manuales!$E$105+parametros_manuales!$F$41*(datos_base!$G$20+IF(parametros_manuales!$H$41="Todos",datos_base!$G$25,0))*parametros_manuales!$E$14+parametros_manuales!$G$41*(datos_base!$G$5+IF(parametros_manuales!$H$41="Todos",datos_base!$G$12,0))*parametros_manuales!$E$110+parametros_manuales!$G$41*(datos_base!$G$21+IF(parametros_manuales!$H$41="Todos",datos_base!$G$26,0))*parametros_manuales!$E$15)*parametros_manuales!$I$41*parametros_manuales!$J$41</f>
        <v>2771.616697715</v>
      </c>
      <c r="F159" s="9" t="n">
        <f aca="false">(parametros_manuales!$D$41*(datos_base!$G$2+IF(parametros_manuales!$H$41="Todos",datos_base!$G$9,0))*parametros_manuales!$F$95+parametros_manuales!$D$41*(datos_base!$G$18+IF(parametros_manuales!$H$41="Todos",datos_base!$G$23,0))*parametros_manuales!$F$12+parametros_manuales!$E$41*(datos_base!$G$3+IF(parametros_manuales!$H$41="Todos",datos_base!$G$10,0))*parametros_manuales!$F$100+parametros_manuales!$E$41*(datos_base!$G$19+IF(parametros_manuales!$H$41="Todos",datos_base!$G$24,0))*parametros_manuales!$F$13+parametros_manuales!$F$41*(datos_base!$G$4+IF(parametros_manuales!$H$41="Todos",datos_base!$G$11,0))*parametros_manuales!$F$105+parametros_manuales!$F$41*(datos_base!$G$20+IF(parametros_manuales!$H$41="Todos",datos_base!$G$25,0))*parametros_manuales!$F$14+parametros_manuales!$G$41*(datos_base!$G$5+IF(parametros_manuales!$H$41="Todos",datos_base!$G$12,0))*parametros_manuales!$F$110+parametros_manuales!$G$41*(datos_base!$G$21+IF(parametros_manuales!$H$41="Todos",datos_base!$G$26,0))*parametros_manuales!$F$15)*parametros_manuales!$I$41*parametros_manuales!$J$41</f>
        <v>2599.39203722</v>
      </c>
      <c r="G159" s="9" t="n">
        <f aca="false">(parametros_manuales!$D$41*(datos_base!$G$2+IF(parametros_manuales!$H$41="Todos",datos_base!$G$9,0))*parametros_manuales!$G$95+parametros_manuales!$D$41*(datos_base!$G$18+IF(parametros_manuales!$H$41="Todos",datos_base!$G$23,0))*parametros_manuales!$G$12+parametros_manuales!$E$41*(datos_base!$G$3+IF(parametros_manuales!$H$41="Todos",datos_base!$G$10,0))*parametros_manuales!$G$100+parametros_manuales!$E$41*(datos_base!$G$19+IF(parametros_manuales!$H$41="Todos",datos_base!$G$24,0))*parametros_manuales!$G$13+parametros_manuales!$F$41*(datos_base!$G$4+IF(parametros_manuales!$H$41="Todos",datos_base!$G$11,0))*parametros_manuales!$G$105+parametros_manuales!$F$41*(datos_base!$G$20+IF(parametros_manuales!$H$41="Todos",datos_base!$G$25,0))*parametros_manuales!$G$14+parametros_manuales!$G$41*(datos_base!$G$5+IF(parametros_manuales!$H$41="Todos",datos_base!$G$12,0))*parametros_manuales!$G$110+parametros_manuales!$G$41*(datos_base!$G$21+IF(parametros_manuales!$H$41="Todos",datos_base!$G$26,0))*parametros_manuales!$G$15)*parametros_manuales!$I$41*parametros_manuales!$J$41</f>
        <v>2505.268642075</v>
      </c>
      <c r="H159" s="9" t="n">
        <f aca="false">(parametros_manuales!$D$41*(datos_base!$G$2+IF(parametros_manuales!$H$41="Todos",datos_base!$G$9,0))*parametros_manuales!$H$95+parametros_manuales!$D$41*(datos_base!$G$18+IF(parametros_manuales!$H$41="Todos",datos_base!$G$23,0))*parametros_manuales!$H$12+parametros_manuales!$E$41*(datos_base!$G$3+IF(parametros_manuales!$H$41="Todos",datos_base!$G$10,0))*parametros_manuales!$H$100+parametros_manuales!$E$41*(datos_base!$G$19+IF(parametros_manuales!$H$41="Todos",datos_base!$G$24,0))*parametros_manuales!$H$13+parametros_manuales!$F$41*(datos_base!$G$4+IF(parametros_manuales!$H$41="Todos",datos_base!$G$11,0))*parametros_manuales!$H$105+parametros_manuales!$F$41*(datos_base!$G$20+IF(parametros_manuales!$H$41="Todos",datos_base!$G$25,0))*parametros_manuales!$H$14+parametros_manuales!$G$41*(datos_base!$G$5+IF(parametros_manuales!$H$41="Todos",datos_base!$G$12,0))*parametros_manuales!$H$110+parametros_manuales!$G$41*(datos_base!$G$21+IF(parametros_manuales!$H$41="Todos",datos_base!$G$26,0))*parametros_manuales!$H$15)*parametros_manuales!$I$41*parametros_manuales!$J$41</f>
        <v>2677.49330257</v>
      </c>
      <c r="I159" s="9" t="n">
        <f aca="false">(parametros_manuales!$D$41*(datos_base!$G$2+IF(parametros_manuales!$H$41="Todos",datos_base!$G$9,0))*parametros_manuales!$I$95+parametros_manuales!$D$41*(datos_base!$G$18+IF(parametros_manuales!$H$41="Todos",datos_base!$G$23,0))*parametros_manuales!$I$12+parametros_manuales!$E$41*(datos_base!$G$3+IF(parametros_manuales!$H$41="Todos",datos_base!$G$10,0))*parametros_manuales!$I$100+parametros_manuales!$E$41*(datos_base!$G$19+IF(parametros_manuales!$H$41="Todos",datos_base!$G$24,0))*parametros_manuales!$I$13+parametros_manuales!$F$41*(datos_base!$G$4+IF(parametros_manuales!$H$41="Todos",datos_base!$G$11,0))*parametros_manuales!$I$105+parametros_manuales!$F$41*(datos_base!$G$20+IF(parametros_manuales!$H$41="Todos",datos_base!$G$25,0))*parametros_manuales!$I$14+parametros_manuales!$G$41*(datos_base!$G$5+IF(parametros_manuales!$H$41="Todos",datos_base!$G$12,0))*parametros_manuales!$I$110+parametros_manuales!$G$41*(datos_base!$G$21+IF(parametros_manuales!$H$41="Todos",datos_base!$G$26,0))*parametros_manuales!$I$15)*parametros_manuales!$I$41*parametros_manuales!$J$41</f>
        <v>2911.79709862</v>
      </c>
      <c r="J159" s="9" t="n">
        <f aca="false">(parametros_manuales!$D$41*(datos_base!$G$2+IF(parametros_manuales!$H$41="Todos",datos_base!$G$9,0))*parametros_manuales!$J$95+parametros_manuales!$D$41*(datos_base!$G$18+IF(parametros_manuales!$H$41="Todos",datos_base!$G$23,0))*parametros_manuales!$J$12+parametros_manuales!$E$41*(datos_base!$G$3+IF(parametros_manuales!$H$41="Todos",datos_base!$G$10,0))*parametros_manuales!$J$100+parametros_manuales!$E$41*(datos_base!$G$19+IF(parametros_manuales!$H$41="Todos",datos_base!$G$24,0))*parametros_manuales!$J$13+parametros_manuales!$F$41*(datos_base!$G$4+IF(parametros_manuales!$H$41="Todos",datos_base!$G$11,0))*parametros_manuales!$J$105+parametros_manuales!$F$41*(datos_base!$G$20+IF(parametros_manuales!$H$41="Todos",datos_base!$G$25,0))*parametros_manuales!$J$14+parametros_manuales!$G$41*(datos_base!$G$5+IF(parametros_manuales!$H$41="Todos",datos_base!$G$12,0))*parametros_manuales!$J$110+parametros_manuales!$G$41*(datos_base!$G$21+IF(parametros_manuales!$H$41="Todos",datos_base!$G$26,0))*parametros_manuales!$J$15)*parametros_manuales!$I$41*parametros_manuales!$J$41</f>
        <v>2911.79709862</v>
      </c>
      <c r="K159" s="9" t="n">
        <f aca="false">(parametros_manuales!$D$41*(datos_base!$G$2+IF(parametros_manuales!$H$41="Todos",datos_base!$G$9,0))*parametros_manuales!$K$95+parametros_manuales!$D$41*(datos_base!$G$18+IF(parametros_manuales!$H$41="Todos",datos_base!$G$23,0))*parametros_manuales!$K$12+parametros_manuales!$E$41*(datos_base!$G$3+IF(parametros_manuales!$H$41="Todos",datos_base!$G$10,0))*parametros_manuales!$K$100+parametros_manuales!$E$41*(datos_base!$G$19+IF(parametros_manuales!$H$41="Todos",datos_base!$G$24,0))*parametros_manuales!$K$13+parametros_manuales!$F$41*(datos_base!$G$4+IF(parametros_manuales!$H$41="Todos",datos_base!$G$11,0))*parametros_manuales!$K$105+parametros_manuales!$F$41*(datos_base!$G$20+IF(parametros_manuales!$H$41="Todos",datos_base!$G$25,0))*parametros_manuales!$K$14+parametros_manuales!$G$41*(datos_base!$G$5+IF(parametros_manuales!$H$41="Todos",datos_base!$G$12,0))*parametros_manuales!$K$110+parametros_manuales!$G$41*(datos_base!$G$21+IF(parametros_manuales!$H$41="Todos",datos_base!$G$26,0))*parametros_manuales!$K$15)*parametros_manuales!$I$41*parametros_manuales!$J$41</f>
        <v>3004.988093765</v>
      </c>
      <c r="L159" s="9" t="n">
        <f aca="false">(parametros_manuales!$D$41*(datos_base!$G$2+IF(parametros_manuales!$H$41="Todos",datos_base!$G$9,0))*parametros_manuales!$L$95+parametros_manuales!$D$41*(datos_base!$G$18+IF(parametros_manuales!$H$41="Todos",datos_base!$G$23,0))*parametros_manuales!$L$12+parametros_manuales!$E$41*(datos_base!$G$3+IF(parametros_manuales!$H$41="Todos",datos_base!$G$10,0))*parametros_manuales!$L$100+parametros_manuales!$E$41*(datos_base!$G$19+IF(parametros_manuales!$H$41="Todos",datos_base!$G$24,0))*parametros_manuales!$L$13+parametros_manuales!$F$41*(datos_base!$G$4+IF(parametros_manuales!$H$41="Todos",datos_base!$G$11,0))*parametros_manuales!$L$105+parametros_manuales!$F$41*(datos_base!$G$20+IF(parametros_manuales!$H$41="Todos",datos_base!$G$25,0))*parametros_manuales!$L$14+parametros_manuales!$G$41*(datos_base!$G$5+IF(parametros_manuales!$H$41="Todos",datos_base!$G$12,0))*parametros_manuales!$L$110+parametros_manuales!$G$41*(datos_base!$G$21+IF(parametros_manuales!$H$41="Todos",datos_base!$G$26,0))*parametros_manuales!$L$15)*parametros_manuales!$I$41*parametros_manuales!$J$41</f>
        <v>3098.17908891</v>
      </c>
      <c r="M159" s="9" t="n">
        <f aca="false">(parametros_manuales!$D$41*(datos_base!$G$2+IF(parametros_manuales!$H$41="Todos",datos_base!$G$9,0))*parametros_manuales!$M$95+parametros_manuales!$D$41*(datos_base!$G$18+IF(parametros_manuales!$H$41="Todos",datos_base!$G$23,0))*parametros_manuales!$M$12+parametros_manuales!$E$41*(datos_base!$G$3+IF(parametros_manuales!$H$41="Todos",datos_base!$G$10,0))*parametros_manuales!$M$100+parametros_manuales!$E$41*(datos_base!$G$19+IF(parametros_manuales!$H$41="Todos",datos_base!$G$24,0))*parametros_manuales!$M$13+parametros_manuales!$F$41*(datos_base!$G$4+IF(parametros_manuales!$H$41="Todos",datos_base!$G$11,0))*parametros_manuales!$M$105+parametros_manuales!$F$41*(datos_base!$G$20+IF(parametros_manuales!$H$41="Todos",datos_base!$G$25,0))*parametros_manuales!$M$14+parametros_manuales!$G$41*(datos_base!$G$5+IF(parametros_manuales!$H$41="Todos",datos_base!$G$12,0))*parametros_manuales!$M$110+parametros_manuales!$G$41*(datos_base!$G$21+IF(parametros_manuales!$H$41="Todos",datos_base!$G$26,0))*parametros_manuales!$M$15)*parametros_manuales!$I$41*parametros_manuales!$J$41</f>
        <v>3101.90868891</v>
      </c>
      <c r="N159" s="9" t="n">
        <f aca="false">SUM(B159:M159)</f>
        <v>34444.932099</v>
      </c>
      <c r="O159" s="9" t="n">
        <f aca="false">MAX(B159:M159)</f>
        <v>3101.90868891</v>
      </c>
      <c r="P159" s="44" t="n">
        <f aca="false">O159/(parametros_manuales!$B$7)</f>
        <v>20.6793912594</v>
      </c>
      <c r="Q159" s="8" t="str">
        <f aca="false">IF(O159=0,"-",INDEX($B$136:$M$136,MATCH(O159,B159:M159,0)))</f>
        <v>Dic</v>
      </c>
    </row>
    <row r="160" customFormat="false" ht="14.25" hidden="false" customHeight="true" outlineLevel="0" collapsed="false">
      <c r="A160" s="8" t="str">
        <f aca="false">parametros_manuales!$B$42</f>
        <v>Etiquetado</v>
      </c>
      <c r="B160" s="9" t="n">
        <f aca="false">(parametros_manuales!$D$42*(datos_base!$G$2+IF(parametros_manuales!$H$42="Todos",datos_base!$G$9,0))*parametros_manuales!$B$95+parametros_manuales!$D$42*(datos_base!$G$18+IF(parametros_manuales!$H$42="Todos",datos_base!$G$23,0))*parametros_manuales!$B$12+parametros_manuales!$E$42*(datos_base!$G$3+IF(parametros_manuales!$H$42="Todos",datos_base!$G$10,0))*parametros_manuales!$B$100+parametros_manuales!$E$42*(datos_base!$G$19+IF(parametros_manuales!$H$42="Todos",datos_base!$G$24,0))*parametros_manuales!$B$13+parametros_manuales!$F$42*(datos_base!$G$4+IF(parametros_manuales!$H$42="Todos",datos_base!$G$11,0))*parametros_manuales!$B$105+parametros_manuales!$F$42*(datos_base!$G$20+IF(parametros_manuales!$H$42="Todos",datos_base!$G$25,0))*parametros_manuales!$B$14+parametros_manuales!$G$42*(datos_base!$G$5+IF(parametros_manuales!$H$42="Todos",datos_base!$G$12,0))*parametros_manuales!$B$110+parametros_manuales!$G$42*(datos_base!$G$21+IF(parametros_manuales!$H$42="Todos",datos_base!$G$26,0))*parametros_manuales!$B$15)*parametros_manuales!$I$42*parametros_manuales!$J$42</f>
        <v>3100.97628891</v>
      </c>
      <c r="C160" s="9" t="n">
        <f aca="false">(parametros_manuales!$D$42*(datos_base!$G$2+IF(parametros_manuales!$H$42="Todos",datos_base!$G$9,0))*parametros_manuales!$C$95+parametros_manuales!$D$42*(datos_base!$G$18+IF(parametros_manuales!$H$42="Todos",datos_base!$G$23,0))*parametros_manuales!$C$12+parametros_manuales!$E$42*(datos_base!$G$3+IF(parametros_manuales!$H$42="Todos",datos_base!$G$10,0))*parametros_manuales!$C$100+parametros_manuales!$E$42*(datos_base!$G$19+IF(parametros_manuales!$H$42="Todos",datos_base!$G$24,0))*parametros_manuales!$C$13+parametros_manuales!$F$42*(datos_base!$G$4+IF(parametros_manuales!$H$42="Todos",datos_base!$G$11,0))*parametros_manuales!$C$105+parametros_manuales!$F$42*(datos_base!$G$20+IF(parametros_manuales!$H$42="Todos",datos_base!$G$25,0))*parametros_manuales!$C$14+parametros_manuales!$G$42*(datos_base!$G$5+IF(parametros_manuales!$H$42="Todos",datos_base!$G$12,0))*parametros_manuales!$C$110+parametros_manuales!$G$42*(datos_base!$G$21+IF(parametros_manuales!$H$42="Todos",datos_base!$G$26,0))*parametros_manuales!$C$15)*parametros_manuales!$I$42*parametros_manuales!$J$42</f>
        <v>2911.79709862</v>
      </c>
      <c r="D160" s="9" t="n">
        <f aca="false">(parametros_manuales!$D$42*(datos_base!$G$2+IF(parametros_manuales!$H$42="Todos",datos_base!$G$9,0))*parametros_manuales!$D$95+parametros_manuales!$D$42*(datos_base!$G$18+IF(parametros_manuales!$H$42="Todos",datos_base!$G$23,0))*parametros_manuales!$D$12+parametros_manuales!$E$42*(datos_base!$G$3+IF(parametros_manuales!$H$42="Todos",datos_base!$G$10,0))*parametros_manuales!$D$100+parametros_manuales!$E$42*(datos_base!$G$19+IF(parametros_manuales!$H$42="Todos",datos_base!$G$24,0))*parametros_manuales!$D$13+parametros_manuales!$F$42*(datos_base!$G$4+IF(parametros_manuales!$H$42="Todos",datos_base!$G$11,0))*parametros_manuales!$D$105+parametros_manuales!$F$42*(datos_base!$G$20+IF(parametros_manuales!$H$42="Todos",datos_base!$G$25,0))*parametros_manuales!$D$14+parametros_manuales!$G$42*(datos_base!$G$5+IF(parametros_manuales!$H$42="Todos",datos_base!$G$12,0))*parametros_manuales!$D$110+parametros_manuales!$G$42*(datos_base!$G$21+IF(parametros_manuales!$H$42="Todos",datos_base!$G$26,0))*parametros_manuales!$D$15)*parametros_manuales!$I$42*parametros_manuales!$J$42</f>
        <v>2849.717963065</v>
      </c>
      <c r="E160" s="9" t="n">
        <f aca="false">(parametros_manuales!$D$42*(datos_base!$G$2+IF(parametros_manuales!$H$42="Todos",datos_base!$G$9,0))*parametros_manuales!$E$95+parametros_manuales!$D$42*(datos_base!$G$18+IF(parametros_manuales!$H$42="Todos",datos_base!$G$23,0))*parametros_manuales!$E$12+parametros_manuales!$E$42*(datos_base!$G$3+IF(parametros_manuales!$H$42="Todos",datos_base!$G$10,0))*parametros_manuales!$E$100+parametros_manuales!$E$42*(datos_base!$G$19+IF(parametros_manuales!$H$42="Todos",datos_base!$G$24,0))*parametros_manuales!$E$13+parametros_manuales!$F$42*(datos_base!$G$4+IF(parametros_manuales!$H$42="Todos",datos_base!$G$11,0))*parametros_manuales!$E$105+parametros_manuales!$F$42*(datos_base!$G$20+IF(parametros_manuales!$H$42="Todos",datos_base!$G$25,0))*parametros_manuales!$E$14+parametros_manuales!$G$42*(datos_base!$G$5+IF(parametros_manuales!$H$42="Todos",datos_base!$G$12,0))*parametros_manuales!$E$110+parametros_manuales!$G$42*(datos_base!$G$21+IF(parametros_manuales!$H$42="Todos",datos_base!$G$26,0))*parametros_manuales!$E$15)*parametros_manuales!$I$42*parametros_manuales!$J$42</f>
        <v>2771.616697715</v>
      </c>
      <c r="F160" s="9" t="n">
        <f aca="false">(parametros_manuales!$D$42*(datos_base!$G$2+IF(parametros_manuales!$H$42="Todos",datos_base!$G$9,0))*parametros_manuales!$F$95+parametros_manuales!$D$42*(datos_base!$G$18+IF(parametros_manuales!$H$42="Todos",datos_base!$G$23,0))*parametros_manuales!$F$12+parametros_manuales!$E$42*(datos_base!$G$3+IF(parametros_manuales!$H$42="Todos",datos_base!$G$10,0))*parametros_manuales!$F$100+parametros_manuales!$E$42*(datos_base!$G$19+IF(parametros_manuales!$H$42="Todos",datos_base!$G$24,0))*parametros_manuales!$F$13+parametros_manuales!$F$42*(datos_base!$G$4+IF(parametros_manuales!$H$42="Todos",datos_base!$G$11,0))*parametros_manuales!$F$105+parametros_manuales!$F$42*(datos_base!$G$20+IF(parametros_manuales!$H$42="Todos",datos_base!$G$25,0))*parametros_manuales!$F$14+parametros_manuales!$G$42*(datos_base!$G$5+IF(parametros_manuales!$H$42="Todos",datos_base!$G$12,0))*parametros_manuales!$F$110+parametros_manuales!$G$42*(datos_base!$G$21+IF(parametros_manuales!$H$42="Todos",datos_base!$G$26,0))*parametros_manuales!$F$15)*parametros_manuales!$I$42*parametros_manuales!$J$42</f>
        <v>2599.39203722</v>
      </c>
      <c r="G160" s="9" t="n">
        <f aca="false">(parametros_manuales!$D$42*(datos_base!$G$2+IF(parametros_manuales!$H$42="Todos",datos_base!$G$9,0))*parametros_manuales!$G$95+parametros_manuales!$D$42*(datos_base!$G$18+IF(parametros_manuales!$H$42="Todos",datos_base!$G$23,0))*parametros_manuales!$G$12+parametros_manuales!$E$42*(datos_base!$G$3+IF(parametros_manuales!$H$42="Todos",datos_base!$G$10,0))*parametros_manuales!$G$100+parametros_manuales!$E$42*(datos_base!$G$19+IF(parametros_manuales!$H$42="Todos",datos_base!$G$24,0))*parametros_manuales!$G$13+parametros_manuales!$F$42*(datos_base!$G$4+IF(parametros_manuales!$H$42="Todos",datos_base!$G$11,0))*parametros_manuales!$G$105+parametros_manuales!$F$42*(datos_base!$G$20+IF(parametros_manuales!$H$42="Todos",datos_base!$G$25,0))*parametros_manuales!$G$14+parametros_manuales!$G$42*(datos_base!$G$5+IF(parametros_manuales!$H$42="Todos",datos_base!$G$12,0))*parametros_manuales!$G$110+parametros_manuales!$G$42*(datos_base!$G$21+IF(parametros_manuales!$H$42="Todos",datos_base!$G$26,0))*parametros_manuales!$G$15)*parametros_manuales!$I$42*parametros_manuales!$J$42</f>
        <v>2505.268642075</v>
      </c>
      <c r="H160" s="9" t="n">
        <f aca="false">(parametros_manuales!$D$42*(datos_base!$G$2+IF(parametros_manuales!$H$42="Todos",datos_base!$G$9,0))*parametros_manuales!$H$95+parametros_manuales!$D$42*(datos_base!$G$18+IF(parametros_manuales!$H$42="Todos",datos_base!$G$23,0))*parametros_manuales!$H$12+parametros_manuales!$E$42*(datos_base!$G$3+IF(parametros_manuales!$H$42="Todos",datos_base!$G$10,0))*parametros_manuales!$H$100+parametros_manuales!$E$42*(datos_base!$G$19+IF(parametros_manuales!$H$42="Todos",datos_base!$G$24,0))*parametros_manuales!$H$13+parametros_manuales!$F$42*(datos_base!$G$4+IF(parametros_manuales!$H$42="Todos",datos_base!$G$11,0))*parametros_manuales!$H$105+parametros_manuales!$F$42*(datos_base!$G$20+IF(parametros_manuales!$H$42="Todos",datos_base!$G$25,0))*parametros_manuales!$H$14+parametros_manuales!$G$42*(datos_base!$G$5+IF(parametros_manuales!$H$42="Todos",datos_base!$G$12,0))*parametros_manuales!$H$110+parametros_manuales!$G$42*(datos_base!$G$21+IF(parametros_manuales!$H$42="Todos",datos_base!$G$26,0))*parametros_manuales!$H$15)*parametros_manuales!$I$42*parametros_manuales!$J$42</f>
        <v>2677.49330257</v>
      </c>
      <c r="I160" s="9" t="n">
        <f aca="false">(parametros_manuales!$D$42*(datos_base!$G$2+IF(parametros_manuales!$H$42="Todos",datos_base!$G$9,0))*parametros_manuales!$I$95+parametros_manuales!$D$42*(datos_base!$G$18+IF(parametros_manuales!$H$42="Todos",datos_base!$G$23,0))*parametros_manuales!$I$12+parametros_manuales!$E$42*(datos_base!$G$3+IF(parametros_manuales!$H$42="Todos",datos_base!$G$10,0))*parametros_manuales!$I$100+parametros_manuales!$E$42*(datos_base!$G$19+IF(parametros_manuales!$H$42="Todos",datos_base!$G$24,0))*parametros_manuales!$I$13+parametros_manuales!$F$42*(datos_base!$G$4+IF(parametros_manuales!$H$42="Todos",datos_base!$G$11,0))*parametros_manuales!$I$105+parametros_manuales!$F$42*(datos_base!$G$20+IF(parametros_manuales!$H$42="Todos",datos_base!$G$25,0))*parametros_manuales!$I$14+parametros_manuales!$G$42*(datos_base!$G$5+IF(parametros_manuales!$H$42="Todos",datos_base!$G$12,0))*parametros_manuales!$I$110+parametros_manuales!$G$42*(datos_base!$G$21+IF(parametros_manuales!$H$42="Todos",datos_base!$G$26,0))*parametros_manuales!$I$15)*parametros_manuales!$I$42*parametros_manuales!$J$42</f>
        <v>2911.79709862</v>
      </c>
      <c r="J160" s="9" t="n">
        <f aca="false">(parametros_manuales!$D$42*(datos_base!$G$2+IF(parametros_manuales!$H$42="Todos",datos_base!$G$9,0))*parametros_manuales!$J$95+parametros_manuales!$D$42*(datos_base!$G$18+IF(parametros_manuales!$H$42="Todos",datos_base!$G$23,0))*parametros_manuales!$J$12+parametros_manuales!$E$42*(datos_base!$G$3+IF(parametros_manuales!$H$42="Todos",datos_base!$G$10,0))*parametros_manuales!$J$100+parametros_manuales!$E$42*(datos_base!$G$19+IF(parametros_manuales!$H$42="Todos",datos_base!$G$24,0))*parametros_manuales!$J$13+parametros_manuales!$F$42*(datos_base!$G$4+IF(parametros_manuales!$H$42="Todos",datos_base!$G$11,0))*parametros_manuales!$J$105+parametros_manuales!$F$42*(datos_base!$G$20+IF(parametros_manuales!$H$42="Todos",datos_base!$G$25,0))*parametros_manuales!$J$14+parametros_manuales!$G$42*(datos_base!$G$5+IF(parametros_manuales!$H$42="Todos",datos_base!$G$12,0))*parametros_manuales!$J$110+parametros_manuales!$G$42*(datos_base!$G$21+IF(parametros_manuales!$H$42="Todos",datos_base!$G$26,0))*parametros_manuales!$J$15)*parametros_manuales!$I$42*parametros_manuales!$J$42</f>
        <v>2911.79709862</v>
      </c>
      <c r="K160" s="9" t="n">
        <f aca="false">(parametros_manuales!$D$42*(datos_base!$G$2+IF(parametros_manuales!$H$42="Todos",datos_base!$G$9,0))*parametros_manuales!$K$95+parametros_manuales!$D$42*(datos_base!$G$18+IF(parametros_manuales!$H$42="Todos",datos_base!$G$23,0))*parametros_manuales!$K$12+parametros_manuales!$E$42*(datos_base!$G$3+IF(parametros_manuales!$H$42="Todos",datos_base!$G$10,0))*parametros_manuales!$K$100+parametros_manuales!$E$42*(datos_base!$G$19+IF(parametros_manuales!$H$42="Todos",datos_base!$G$24,0))*parametros_manuales!$K$13+parametros_manuales!$F$42*(datos_base!$G$4+IF(parametros_manuales!$H$42="Todos",datos_base!$G$11,0))*parametros_manuales!$K$105+parametros_manuales!$F$42*(datos_base!$G$20+IF(parametros_manuales!$H$42="Todos",datos_base!$G$25,0))*parametros_manuales!$K$14+parametros_manuales!$G$42*(datos_base!$G$5+IF(parametros_manuales!$H$42="Todos",datos_base!$G$12,0))*parametros_manuales!$K$110+parametros_manuales!$G$42*(datos_base!$G$21+IF(parametros_manuales!$H$42="Todos",datos_base!$G$26,0))*parametros_manuales!$K$15)*parametros_manuales!$I$42*parametros_manuales!$J$42</f>
        <v>3004.988093765</v>
      </c>
      <c r="L160" s="9" t="n">
        <f aca="false">(parametros_manuales!$D$42*(datos_base!$G$2+IF(parametros_manuales!$H$42="Todos",datos_base!$G$9,0))*parametros_manuales!$L$95+parametros_manuales!$D$42*(datos_base!$G$18+IF(parametros_manuales!$H$42="Todos",datos_base!$G$23,0))*parametros_manuales!$L$12+parametros_manuales!$E$42*(datos_base!$G$3+IF(parametros_manuales!$H$42="Todos",datos_base!$G$10,0))*parametros_manuales!$L$100+parametros_manuales!$E$42*(datos_base!$G$19+IF(parametros_manuales!$H$42="Todos",datos_base!$G$24,0))*parametros_manuales!$L$13+parametros_manuales!$F$42*(datos_base!$G$4+IF(parametros_manuales!$H$42="Todos",datos_base!$G$11,0))*parametros_manuales!$L$105+parametros_manuales!$F$42*(datos_base!$G$20+IF(parametros_manuales!$H$42="Todos",datos_base!$G$25,0))*parametros_manuales!$L$14+parametros_manuales!$G$42*(datos_base!$G$5+IF(parametros_manuales!$H$42="Todos",datos_base!$G$12,0))*parametros_manuales!$L$110+parametros_manuales!$G$42*(datos_base!$G$21+IF(parametros_manuales!$H$42="Todos",datos_base!$G$26,0))*parametros_manuales!$L$15)*parametros_manuales!$I$42*parametros_manuales!$J$42</f>
        <v>3098.17908891</v>
      </c>
      <c r="M160" s="9" t="n">
        <f aca="false">(parametros_manuales!$D$42*(datos_base!$G$2+IF(parametros_manuales!$H$42="Todos",datos_base!$G$9,0))*parametros_manuales!$M$95+parametros_manuales!$D$42*(datos_base!$G$18+IF(parametros_manuales!$H$42="Todos",datos_base!$G$23,0))*parametros_manuales!$M$12+parametros_manuales!$E$42*(datos_base!$G$3+IF(parametros_manuales!$H$42="Todos",datos_base!$G$10,0))*parametros_manuales!$M$100+parametros_manuales!$E$42*(datos_base!$G$19+IF(parametros_manuales!$H$42="Todos",datos_base!$G$24,0))*parametros_manuales!$M$13+parametros_manuales!$F$42*(datos_base!$G$4+IF(parametros_manuales!$H$42="Todos",datos_base!$G$11,0))*parametros_manuales!$M$105+parametros_manuales!$F$42*(datos_base!$G$20+IF(parametros_manuales!$H$42="Todos",datos_base!$G$25,0))*parametros_manuales!$M$14+parametros_manuales!$G$42*(datos_base!$G$5+IF(parametros_manuales!$H$42="Todos",datos_base!$G$12,0))*parametros_manuales!$M$110+parametros_manuales!$G$42*(datos_base!$G$21+IF(parametros_manuales!$H$42="Todos",datos_base!$G$26,0))*parametros_manuales!$M$15)*parametros_manuales!$I$42*parametros_manuales!$J$42</f>
        <v>3101.90868891</v>
      </c>
      <c r="N160" s="9" t="n">
        <f aca="false">SUM(B160:M160)</f>
        <v>34444.932099</v>
      </c>
      <c r="O160" s="9" t="n">
        <f aca="false">MAX(B160:M160)</f>
        <v>3101.90868891</v>
      </c>
      <c r="P160" s="44" t="n">
        <f aca="false">O160/(parametros_manuales!$B$7)</f>
        <v>20.6793912594</v>
      </c>
      <c r="Q160" s="8" t="str">
        <f aca="false">IF(O160=0,"-",INDEX($B$136:$M$136,MATCH(O160,B160:M160,0)))</f>
        <v>Dic</v>
      </c>
    </row>
    <row r="161" customFormat="false" ht="14.25" hidden="false" customHeight="true" outlineLevel="0" collapsed="false">
      <c r="A161" s="8" t="str">
        <f aca="false">parametros_manuales!$B$43</f>
        <v>Embalaje y paletizado</v>
      </c>
      <c r="B161" s="9" t="n">
        <f aca="false">(parametros_manuales!$D$43*(datos_base!$G$2+IF(parametros_manuales!$H$43="Todos",datos_base!$G$9,0))*parametros_manuales!$B$95+parametros_manuales!$D$43*(datos_base!$G$18+IF(parametros_manuales!$H$43="Todos",datos_base!$G$23,0))*parametros_manuales!$B$12+parametros_manuales!$E$43*(datos_base!$G$3+IF(parametros_manuales!$H$43="Todos",datos_base!$G$10,0))*parametros_manuales!$B$100+parametros_manuales!$E$43*(datos_base!$G$19+IF(parametros_manuales!$H$43="Todos",datos_base!$G$24,0))*parametros_manuales!$B$13+parametros_manuales!$F$43*(datos_base!$G$4+IF(parametros_manuales!$H$43="Todos",datos_base!$G$11,0))*parametros_manuales!$B$105+parametros_manuales!$F$43*(datos_base!$G$20+IF(parametros_manuales!$H$43="Todos",datos_base!$G$25,0))*parametros_manuales!$B$14+parametros_manuales!$G$43*(datos_base!$G$5+IF(parametros_manuales!$H$43="Todos",datos_base!$G$12,0))*parametros_manuales!$B$110+parametros_manuales!$G$43*(datos_base!$G$21+IF(parametros_manuales!$H$43="Todos",datos_base!$G$26,0))*parametros_manuales!$B$15)*parametros_manuales!$I$43*parametros_manuales!$J$43</f>
        <v>11143.70828891</v>
      </c>
      <c r="C161" s="9" t="n">
        <f aca="false">(parametros_manuales!$D$43*(datos_base!$G$2+IF(parametros_manuales!$H$43="Todos",datos_base!$G$9,0))*parametros_manuales!$C$95+parametros_manuales!$D$43*(datos_base!$G$18+IF(parametros_manuales!$H$43="Todos",datos_base!$G$23,0))*parametros_manuales!$C$12+parametros_manuales!$E$43*(datos_base!$G$3+IF(parametros_manuales!$H$43="Todos",datos_base!$G$10,0))*parametros_manuales!$C$100+parametros_manuales!$E$43*(datos_base!$G$19+IF(parametros_manuales!$H$43="Todos",datos_base!$G$24,0))*parametros_manuales!$C$13+parametros_manuales!$F$43*(datos_base!$G$4+IF(parametros_manuales!$H$43="Todos",datos_base!$G$11,0))*parametros_manuales!$C$105+parametros_manuales!$F$43*(datos_base!$G$20+IF(parametros_manuales!$H$43="Todos",datos_base!$G$25,0))*parametros_manuales!$C$14+parametros_manuales!$G$43*(datos_base!$G$5+IF(parametros_manuales!$H$43="Todos",datos_base!$G$12,0))*parametros_manuales!$C$110+parametros_manuales!$G$43*(datos_base!$G$21+IF(parametros_manuales!$H$43="Todos",datos_base!$G$26,0))*parametros_manuales!$C$15)*parametros_manuales!$I$43*parametros_manuales!$J$43</f>
        <v>10776.09029862</v>
      </c>
      <c r="D161" s="9" t="n">
        <f aca="false">(parametros_manuales!$D$43*(datos_base!$G$2+IF(parametros_manuales!$H$43="Todos",datos_base!$G$9,0))*parametros_manuales!$D$95+parametros_manuales!$D$43*(datos_base!$G$18+IF(parametros_manuales!$H$43="Todos",datos_base!$G$23,0))*parametros_manuales!$D$12+parametros_manuales!$E$43*(datos_base!$G$3+IF(parametros_manuales!$H$43="Todos",datos_base!$G$10,0))*parametros_manuales!$D$100+parametros_manuales!$E$43*(datos_base!$G$19+IF(parametros_manuales!$H$43="Todos",datos_base!$G$24,0))*parametros_manuales!$D$13+parametros_manuales!$F$43*(datos_base!$G$4+IF(parametros_manuales!$H$43="Todos",datos_base!$G$11,0))*parametros_manuales!$D$105+parametros_manuales!$F$43*(datos_base!$G$20+IF(parametros_manuales!$H$43="Todos",datos_base!$G$25,0))*parametros_manuales!$D$14+parametros_manuales!$G$43*(datos_base!$G$5+IF(parametros_manuales!$H$43="Todos",datos_base!$G$12,0))*parametros_manuales!$D$110+parametros_manuales!$G$43*(datos_base!$G$21+IF(parametros_manuales!$H$43="Todos",datos_base!$G$26,0))*parametros_manuales!$D$15)*parametros_manuales!$I$43*parametros_manuales!$J$43</f>
        <v>10085.526363065</v>
      </c>
      <c r="E161" s="9" t="n">
        <f aca="false">(parametros_manuales!$D$43*(datos_base!$G$2+IF(parametros_manuales!$H$43="Todos",datos_base!$G$9,0))*parametros_manuales!$E$95+parametros_manuales!$D$43*(datos_base!$G$18+IF(parametros_manuales!$H$43="Todos",datos_base!$G$23,0))*parametros_manuales!$E$12+parametros_manuales!$E$43*(datos_base!$G$3+IF(parametros_manuales!$H$43="Todos",datos_base!$G$10,0))*parametros_manuales!$E$100+parametros_manuales!$E$43*(datos_base!$G$19+IF(parametros_manuales!$H$43="Todos",datos_base!$G$24,0))*parametros_manuales!$E$13+parametros_manuales!$F$43*(datos_base!$G$4+IF(parametros_manuales!$H$43="Todos",datos_base!$G$11,0))*parametros_manuales!$E$105+parametros_manuales!$F$43*(datos_base!$G$20+IF(parametros_manuales!$H$43="Todos",datos_base!$G$25,0))*parametros_manuales!$E$14+parametros_manuales!$G$43*(datos_base!$G$5+IF(parametros_manuales!$H$43="Todos",datos_base!$G$12,0))*parametros_manuales!$E$110+parametros_manuales!$G$43*(datos_base!$G$21+IF(parametros_manuales!$H$43="Todos",datos_base!$G$26,0))*parametros_manuales!$E$15)*parametros_manuales!$I$43*parametros_manuales!$J$43</f>
        <v>9649.024097715</v>
      </c>
      <c r="F161" s="9" t="n">
        <f aca="false">(parametros_manuales!$D$43*(datos_base!$G$2+IF(parametros_manuales!$H$43="Todos",datos_base!$G$9,0))*parametros_manuales!$F$95+parametros_manuales!$D$43*(datos_base!$G$18+IF(parametros_manuales!$H$43="Todos",datos_base!$G$23,0))*parametros_manuales!$F$12+parametros_manuales!$E$43*(datos_base!$G$3+IF(parametros_manuales!$H$43="Todos",datos_base!$G$10,0))*parametros_manuales!$F$100+parametros_manuales!$E$43*(datos_base!$G$19+IF(parametros_manuales!$H$43="Todos",datos_base!$G$24,0))*parametros_manuales!$F$13+parametros_manuales!$F$43*(datos_base!$G$4+IF(parametros_manuales!$H$43="Todos",datos_base!$G$11,0))*parametros_manuales!$F$105+parametros_manuales!$F$43*(datos_base!$G$20+IF(parametros_manuales!$H$43="Todos",datos_base!$G$25,0))*parametros_manuales!$F$14+parametros_manuales!$G$43*(datos_base!$G$5+IF(parametros_manuales!$H$43="Todos",datos_base!$G$12,0))*parametros_manuales!$F$110+parametros_manuales!$G$43*(datos_base!$G$21+IF(parametros_manuales!$H$43="Todos",datos_base!$G$26,0))*parametros_manuales!$F$15)*parametros_manuales!$I$43*parametros_manuales!$J$43</f>
        <v>9030.08123722</v>
      </c>
      <c r="G161" s="9" t="n">
        <f aca="false">(parametros_manuales!$D$43*(datos_base!$G$2+IF(parametros_manuales!$H$43="Todos",datos_base!$G$9,0))*parametros_manuales!$G$95+parametros_manuales!$D$43*(datos_base!$G$18+IF(parametros_manuales!$H$43="Todos",datos_base!$G$23,0))*parametros_manuales!$G$12+parametros_manuales!$E$43*(datos_base!$G$3+IF(parametros_manuales!$H$43="Todos",datos_base!$G$10,0))*parametros_manuales!$G$100+parametros_manuales!$E$43*(datos_base!$G$19+IF(parametros_manuales!$H$43="Todos",datos_base!$G$24,0))*parametros_manuales!$G$13+parametros_manuales!$F$43*(datos_base!$G$4+IF(parametros_manuales!$H$43="Todos",datos_base!$G$11,0))*parametros_manuales!$G$105+parametros_manuales!$F$43*(datos_base!$G$20+IF(parametros_manuales!$H$43="Todos",datos_base!$G$25,0))*parametros_manuales!$G$14+parametros_manuales!$G$43*(datos_base!$G$5+IF(parametros_manuales!$H$43="Todos",datos_base!$G$12,0))*parametros_manuales!$G$110+parametros_manuales!$G$43*(datos_base!$G$21+IF(parametros_manuales!$H$43="Todos",datos_base!$G$26,0))*parametros_manuales!$G$15)*parametros_manuales!$I$43*parametros_manuales!$J$43</f>
        <v>8847.640642075</v>
      </c>
      <c r="H161" s="9" t="n">
        <f aca="false">(parametros_manuales!$D$43*(datos_base!$G$2+IF(parametros_manuales!$H$43="Todos",datos_base!$G$9,0))*parametros_manuales!$H$95+parametros_manuales!$D$43*(datos_base!$G$18+IF(parametros_manuales!$H$43="Todos",datos_base!$G$23,0))*parametros_manuales!$H$12+parametros_manuales!$E$43*(datos_base!$G$3+IF(parametros_manuales!$H$43="Todos",datos_base!$G$10,0))*parametros_manuales!$H$100+parametros_manuales!$E$43*(datos_base!$G$19+IF(parametros_manuales!$H$43="Todos",datos_base!$G$24,0))*parametros_manuales!$H$13+parametros_manuales!$F$43*(datos_base!$G$4+IF(parametros_manuales!$H$43="Todos",datos_base!$G$11,0))*parametros_manuales!$H$105+parametros_manuales!$F$43*(datos_base!$G$20+IF(parametros_manuales!$H$43="Todos",datos_base!$G$25,0))*parametros_manuales!$H$14+parametros_manuales!$G$43*(datos_base!$G$5+IF(parametros_manuales!$H$43="Todos",datos_base!$G$12,0))*parametros_manuales!$H$110+parametros_manuales!$G$43*(datos_base!$G$21+IF(parametros_manuales!$H$43="Todos",datos_base!$G$26,0))*parametros_manuales!$H$15)*parametros_manuales!$I$43*parametros_manuales!$J$43</f>
        <v>9466.58350257</v>
      </c>
      <c r="I161" s="9" t="n">
        <f aca="false">(parametros_manuales!$D$43*(datos_base!$G$2+IF(parametros_manuales!$H$43="Todos",datos_base!$G$9,0))*parametros_manuales!$I$95+parametros_manuales!$D$43*(datos_base!$G$18+IF(parametros_manuales!$H$43="Todos",datos_base!$G$23,0))*parametros_manuales!$I$12+parametros_manuales!$E$43*(datos_base!$G$3+IF(parametros_manuales!$H$43="Todos",datos_base!$G$10,0))*parametros_manuales!$I$100+parametros_manuales!$E$43*(datos_base!$G$19+IF(parametros_manuales!$H$43="Todos",datos_base!$G$24,0))*parametros_manuales!$I$13+parametros_manuales!$F$43*(datos_base!$G$4+IF(parametros_manuales!$H$43="Todos",datos_base!$G$11,0))*parametros_manuales!$I$105+parametros_manuales!$F$43*(datos_base!$G$20+IF(parametros_manuales!$H$43="Todos",datos_base!$G$25,0))*parametros_manuales!$I$14+parametros_manuales!$G$43*(datos_base!$G$5+IF(parametros_manuales!$H$43="Todos",datos_base!$G$12,0))*parametros_manuales!$I$110+parametros_manuales!$G$43*(datos_base!$G$21+IF(parametros_manuales!$H$43="Todos",datos_base!$G$26,0))*parametros_manuales!$I$15)*parametros_manuales!$I$43*parametros_manuales!$J$43</f>
        <v>10776.09029862</v>
      </c>
      <c r="J161" s="9" t="n">
        <f aca="false">(parametros_manuales!$D$43*(datos_base!$G$2+IF(parametros_manuales!$H$43="Todos",datos_base!$G$9,0))*parametros_manuales!$J$95+parametros_manuales!$D$43*(datos_base!$G$18+IF(parametros_manuales!$H$43="Todos",datos_base!$G$23,0))*parametros_manuales!$J$12+parametros_manuales!$E$43*(datos_base!$G$3+IF(parametros_manuales!$H$43="Todos",datos_base!$G$10,0))*parametros_manuales!$J$100+parametros_manuales!$E$43*(datos_base!$G$19+IF(parametros_manuales!$H$43="Todos",datos_base!$G$24,0))*parametros_manuales!$J$13+parametros_manuales!$F$43*(datos_base!$G$4+IF(parametros_manuales!$H$43="Todos",datos_base!$G$11,0))*parametros_manuales!$J$105+parametros_manuales!$F$43*(datos_base!$G$20+IF(parametros_manuales!$H$43="Todos",datos_base!$G$25,0))*parametros_manuales!$J$14+parametros_manuales!$G$43*(datos_base!$G$5+IF(parametros_manuales!$H$43="Todos",datos_base!$G$12,0))*parametros_manuales!$J$110+parametros_manuales!$G$43*(datos_base!$G$21+IF(parametros_manuales!$H$43="Todos",datos_base!$G$26,0))*parametros_manuales!$J$15)*parametros_manuales!$I$43*parametros_manuales!$J$43</f>
        <v>10776.09029862</v>
      </c>
      <c r="K161" s="9" t="n">
        <f aca="false">(parametros_manuales!$D$43*(datos_base!$G$2+IF(parametros_manuales!$H$43="Todos",datos_base!$G$9,0))*parametros_manuales!$K$95+parametros_manuales!$D$43*(datos_base!$G$18+IF(parametros_manuales!$H$43="Todos",datos_base!$G$23,0))*parametros_manuales!$K$12+parametros_manuales!$E$43*(datos_base!$G$3+IF(parametros_manuales!$H$43="Todos",datos_base!$G$10,0))*parametros_manuales!$K$100+parametros_manuales!$E$43*(datos_base!$G$19+IF(parametros_manuales!$H$43="Todos",datos_base!$G$24,0))*parametros_manuales!$K$13+parametros_manuales!$F$43*(datos_base!$G$4+IF(parametros_manuales!$H$43="Todos",datos_base!$G$11,0))*parametros_manuales!$K$105+parametros_manuales!$F$43*(datos_base!$G$20+IF(parametros_manuales!$H$43="Todos",datos_base!$G$25,0))*parametros_manuales!$K$14+parametros_manuales!$G$43*(datos_base!$G$5+IF(parametros_manuales!$H$43="Todos",datos_base!$G$12,0))*parametros_manuales!$K$110+parametros_manuales!$G$43*(datos_base!$G$21+IF(parametros_manuales!$H$43="Todos",datos_base!$G$26,0))*parametros_manuales!$K$15)*parametros_manuales!$I$43*parametros_manuales!$J$43</f>
        <v>10955.794093765</v>
      </c>
      <c r="L161" s="9" t="n">
        <f aca="false">(parametros_manuales!$D$43*(datos_base!$G$2+IF(parametros_manuales!$H$43="Todos",datos_base!$G$9,0))*parametros_manuales!$L$95+parametros_manuales!$D$43*(datos_base!$G$18+IF(parametros_manuales!$H$43="Todos",datos_base!$G$23,0))*parametros_manuales!$L$12+parametros_manuales!$E$43*(datos_base!$G$3+IF(parametros_manuales!$H$43="Todos",datos_base!$G$10,0))*parametros_manuales!$L$100+parametros_manuales!$E$43*(datos_base!$G$19+IF(parametros_manuales!$H$43="Todos",datos_base!$G$24,0))*parametros_manuales!$L$13+parametros_manuales!$F$43*(datos_base!$G$4+IF(parametros_manuales!$H$43="Todos",datos_base!$G$11,0))*parametros_manuales!$L$105+parametros_manuales!$F$43*(datos_base!$G$20+IF(parametros_manuales!$H$43="Todos",datos_base!$G$25,0))*parametros_manuales!$L$14+parametros_manuales!$G$43*(datos_base!$G$5+IF(parametros_manuales!$H$43="Todos",datos_base!$G$12,0))*parametros_manuales!$L$110+parametros_manuales!$G$43*(datos_base!$G$21+IF(parametros_manuales!$H$43="Todos",datos_base!$G$26,0))*parametros_manuales!$L$15)*parametros_manuales!$I$43*parametros_manuales!$J$43</f>
        <v>11135.49788891</v>
      </c>
      <c r="M161" s="9" t="n">
        <f aca="false">(parametros_manuales!$D$43*(datos_base!$G$2+IF(parametros_manuales!$H$43="Todos",datos_base!$G$9,0))*parametros_manuales!$M$95+parametros_manuales!$D$43*(datos_base!$G$18+IF(parametros_manuales!$H$43="Todos",datos_base!$G$23,0))*parametros_manuales!$M$12+parametros_manuales!$E$43*(datos_base!$G$3+IF(parametros_manuales!$H$43="Todos",datos_base!$G$10,0))*parametros_manuales!$M$100+parametros_manuales!$E$43*(datos_base!$G$19+IF(parametros_manuales!$H$43="Todos",datos_base!$G$24,0))*parametros_manuales!$M$13+parametros_manuales!$F$43*(datos_base!$G$4+IF(parametros_manuales!$H$43="Todos",datos_base!$G$11,0))*parametros_manuales!$M$105+parametros_manuales!$F$43*(datos_base!$G$20+IF(parametros_manuales!$H$43="Todos",datos_base!$G$25,0))*parametros_manuales!$M$14+parametros_manuales!$G$43*(datos_base!$G$5+IF(parametros_manuales!$H$43="Todos",datos_base!$G$12,0))*parametros_manuales!$M$110+parametros_manuales!$G$43*(datos_base!$G$21+IF(parametros_manuales!$H$43="Todos",datos_base!$G$26,0))*parametros_manuales!$M$15)*parametros_manuales!$I$43*parametros_manuales!$J$43</f>
        <v>11146.44508891</v>
      </c>
      <c r="N161" s="9" t="n">
        <f aca="false">SUM(B161:M161)</f>
        <v>123788.572099</v>
      </c>
      <c r="O161" s="9" t="n">
        <f aca="false">MAX(B161:M161)</f>
        <v>11146.44508891</v>
      </c>
      <c r="P161" s="44" t="n">
        <f aca="false">O161/(parametros_manuales!$B$7)</f>
        <v>74.3096339260667</v>
      </c>
      <c r="Q161" s="8" t="str">
        <f aca="false">IF(O161=0,"-",INDEX($B$136:$M$136,MATCH(O161,B161:M161,0)))</f>
        <v>Dic</v>
      </c>
    </row>
    <row r="162" customFormat="false" ht="14.25" hidden="false" customHeight="true" outlineLevel="0" collapsed="false"/>
    <row r="163" customFormat="false" ht="14.25" hidden="false" customHeight="true" outlineLevel="0" collapsed="false">
      <c r="A163" s="7" t="s">
        <v>206</v>
      </c>
      <c r="B163" s="7" t="s">
        <v>59</v>
      </c>
      <c r="C163" s="7" t="s">
        <v>60</v>
      </c>
      <c r="D163" s="7" t="s">
        <v>61</v>
      </c>
      <c r="E163" s="7" t="s">
        <v>62</v>
      </c>
      <c r="F163" s="7" t="s">
        <v>63</v>
      </c>
      <c r="G163" s="7" t="s">
        <v>64</v>
      </c>
      <c r="H163" s="7" t="s">
        <v>65</v>
      </c>
      <c r="I163" s="7" t="s">
        <v>66</v>
      </c>
      <c r="J163" s="7" t="s">
        <v>67</v>
      </c>
      <c r="K163" s="7" t="s">
        <v>68</v>
      </c>
      <c r="L163" s="7" t="s">
        <v>69</v>
      </c>
      <c r="M163" s="7" t="s">
        <v>70</v>
      </c>
      <c r="N163" s="7" t="s">
        <v>181</v>
      </c>
      <c r="O163" s="7" t="s">
        <v>198</v>
      </c>
      <c r="P163" s="7" t="s">
        <v>199</v>
      </c>
      <c r="Q163" s="7" t="s">
        <v>200</v>
      </c>
    </row>
    <row r="164" customFormat="false" ht="14.25" hidden="false" customHeight="true" outlineLevel="0" collapsed="false">
      <c r="A164" s="8" t="str">
        <f aca="false">parametros_manuales!$B$19</f>
        <v>Recepción de materia prima</v>
      </c>
      <c r="B164" s="9" t="n">
        <f aca="false">(parametros_manuales!$D$19*(datos_base!$H$2+IF(parametros_manuales!$H$19="Todos",datos_base!$H$9,0))*parametros_manuales!$B$95+parametros_manuales!$D$19*(datos_base!$H$18+IF(parametros_manuales!$H$19="Todos",datos_base!$H$23,0))*parametros_manuales!$B$12+parametros_manuales!$E$19*(datos_base!$H$3+IF(parametros_manuales!$H$19="Todos",datos_base!$H$10,0))*parametros_manuales!$B$100+parametros_manuales!$E$19*(datos_base!$H$19+IF(parametros_manuales!$H$19="Todos",datos_base!$H$24,0))*parametros_manuales!$B$13+parametros_manuales!$F$19*(datos_base!$H$4+IF(parametros_manuales!$H$19="Todos",datos_base!$H$11,0))*parametros_manuales!$B$105+parametros_manuales!$F$19*(datos_base!$H$20+IF(parametros_manuales!$H$19="Todos",datos_base!$H$25,0))*parametros_manuales!$B$14+parametros_manuales!$G$19*(datos_base!$H$5+IF(parametros_manuales!$H$19="Todos",datos_base!$H$12,0))*parametros_manuales!$B$110+parametros_manuales!$G$19*(datos_base!$H$21+IF(parametros_manuales!$H$19="Todos",datos_base!$H$26,0))*parametros_manuales!$B$15)*parametros_manuales!$I$19*parametros_manuales!$J$19</f>
        <v>15367.19302521</v>
      </c>
      <c r="C164" s="9" t="n">
        <f aca="false">(parametros_manuales!$D$19*(datos_base!$H$2+IF(parametros_manuales!$H$19="Todos",datos_base!$H$9,0))*parametros_manuales!$C$95+parametros_manuales!$D$19*(datos_base!$H$18+IF(parametros_manuales!$H$19="Todos",datos_base!$H$23,0))*parametros_manuales!$C$12+parametros_manuales!$E$19*(datos_base!$H$3+IF(parametros_manuales!$H$19="Todos",datos_base!$H$10,0))*parametros_manuales!$C$100+parametros_manuales!$E$19*(datos_base!$H$19+IF(parametros_manuales!$H$19="Todos",datos_base!$H$24,0))*parametros_manuales!$C$13+parametros_manuales!$F$19*(datos_base!$H$4+IF(parametros_manuales!$H$19="Todos",datos_base!$H$11,0))*parametros_manuales!$C$105+parametros_manuales!$F$19*(datos_base!$H$20+IF(parametros_manuales!$H$19="Todos",datos_base!$H$25,0))*parametros_manuales!$C$14+parametros_manuales!$G$19*(datos_base!$H$5+IF(parametros_manuales!$H$19="Todos",datos_base!$H$12,0))*parametros_manuales!$C$110+parametros_manuales!$G$19*(datos_base!$H$21+IF(parametros_manuales!$H$19="Todos",datos_base!$H$26,0))*parametros_manuales!$C$15)*parametros_manuales!$I$19*parametros_manuales!$J$19</f>
        <v>14874.46506612</v>
      </c>
      <c r="D164" s="9" t="n">
        <f aca="false">(parametros_manuales!$D$19*(datos_base!$H$2+IF(parametros_manuales!$H$19="Todos",datos_base!$H$9,0))*parametros_manuales!$D$95+parametros_manuales!$D$19*(datos_base!$H$18+IF(parametros_manuales!$H$19="Todos",datos_base!$H$23,0))*parametros_manuales!$D$12+parametros_manuales!$E$19*(datos_base!$H$3+IF(parametros_manuales!$H$19="Todos",datos_base!$H$10,0))*parametros_manuales!$D$100+parametros_manuales!$E$19*(datos_base!$H$19+IF(parametros_manuales!$H$19="Todos",datos_base!$H$24,0))*parametros_manuales!$D$13+parametros_manuales!$F$19*(datos_base!$H$4+IF(parametros_manuales!$H$19="Todos",datos_base!$H$11,0))*parametros_manuales!$D$105+parametros_manuales!$F$19*(datos_base!$H$20+IF(parametros_manuales!$H$19="Todos",datos_base!$H$25,0))*parametros_manuales!$D$14+parametros_manuales!$G$19*(datos_base!$H$5+IF(parametros_manuales!$H$19="Todos",datos_base!$H$12,0))*parametros_manuales!$D$110+parametros_manuales!$G$19*(datos_base!$H$21+IF(parametros_manuales!$H$19="Todos",datos_base!$H$26,0))*parametros_manuales!$D$15)*parametros_manuales!$I$19*parametros_manuales!$J$19</f>
        <v>13902.976113065</v>
      </c>
      <c r="E164" s="9" t="n">
        <f aca="false">(parametros_manuales!$D$19*(datos_base!$H$2+IF(parametros_manuales!$H$19="Todos",datos_base!$H$9,0))*parametros_manuales!$E$95+parametros_manuales!$D$19*(datos_base!$H$18+IF(parametros_manuales!$H$19="Todos",datos_base!$H$23,0))*parametros_manuales!$E$12+parametros_manuales!$E$19*(datos_base!$H$3+IF(parametros_manuales!$H$19="Todos",datos_base!$H$10,0))*parametros_manuales!$E$100+parametros_manuales!$E$19*(datos_base!$H$19+IF(parametros_manuales!$H$19="Todos",datos_base!$H$24,0))*parametros_manuales!$E$13+parametros_manuales!$F$19*(datos_base!$H$4+IF(parametros_manuales!$H$19="Todos",datos_base!$H$11,0))*parametros_manuales!$E$105+parametros_manuales!$F$19*(datos_base!$H$20+IF(parametros_manuales!$H$19="Todos",datos_base!$H$25,0))*parametros_manuales!$E$14+parametros_manuales!$G$19*(datos_base!$H$5+IF(parametros_manuales!$H$19="Todos",datos_base!$H$12,0))*parametros_manuales!$E$110+parametros_manuales!$G$19*(datos_base!$H$21+IF(parametros_manuales!$H$19="Todos",datos_base!$H$26,0))*parametros_manuales!$E$15)*parametros_manuales!$I$19*parametros_manuales!$J$19</f>
        <v>13294.610346765</v>
      </c>
      <c r="F164" s="9" t="n">
        <f aca="false">(parametros_manuales!$D$19*(datos_base!$H$2+IF(parametros_manuales!$H$19="Todos",datos_base!$H$9,0))*parametros_manuales!$F$95+parametros_manuales!$D$19*(datos_base!$H$18+IF(parametros_manuales!$H$19="Todos",datos_base!$H$23,0))*parametros_manuales!$F$12+parametros_manuales!$E$19*(datos_base!$H$3+IF(parametros_manuales!$H$19="Todos",datos_base!$H$10,0))*parametros_manuales!$F$100+parametros_manuales!$E$19*(datos_base!$H$19+IF(parametros_manuales!$H$19="Todos",datos_base!$H$24,0))*parametros_manuales!$F$13+parametros_manuales!$F$19*(datos_base!$H$4+IF(parametros_manuales!$H$19="Todos",datos_base!$H$11,0))*parametros_manuales!$F$105+parametros_manuales!$F$19*(datos_base!$H$20+IF(parametros_manuales!$H$19="Todos",datos_base!$H$25,0))*parametros_manuales!$F$14+parametros_manuales!$G$19*(datos_base!$H$5+IF(parametros_manuales!$H$19="Todos",datos_base!$H$12,0))*parametros_manuales!$F$110+parametros_manuales!$G$19*(datos_base!$H$21+IF(parametros_manuales!$H$19="Todos",datos_base!$H$26,0))*parametros_manuales!$F$15)*parametros_manuales!$I$19*parametros_manuales!$J$19</f>
        <v>12441.00200092</v>
      </c>
      <c r="G164" s="9" t="n">
        <f aca="false">(parametros_manuales!$D$19*(datos_base!$H$2+IF(parametros_manuales!$H$19="Todos",datos_base!$H$9,0))*parametros_manuales!$G$95+parametros_manuales!$D$19*(datos_base!$H$18+IF(parametros_manuales!$H$19="Todos",datos_base!$H$23,0))*parametros_manuales!$G$12+parametros_manuales!$E$19*(datos_base!$H$3+IF(parametros_manuales!$H$19="Todos",datos_base!$H$10,0))*parametros_manuales!$G$100+parametros_manuales!$E$19*(datos_base!$H$19+IF(parametros_manuales!$H$19="Todos",datos_base!$H$24,0))*parametros_manuales!$G$13+parametros_manuales!$F$19*(datos_base!$H$4+IF(parametros_manuales!$H$19="Todos",datos_base!$H$11,0))*parametros_manuales!$G$105+parametros_manuales!$F$19*(datos_base!$H$20+IF(parametros_manuales!$H$19="Todos",datos_base!$H$25,0))*parametros_manuales!$G$14+parametros_manuales!$G$19*(datos_base!$H$5+IF(parametros_manuales!$H$19="Todos",datos_base!$H$12,0))*parametros_manuales!$G$110+parametros_manuales!$G$19*(datos_base!$H$21+IF(parametros_manuales!$H$19="Todos",datos_base!$H$26,0))*parametros_manuales!$G$15)*parametros_manuales!$I$19*parametros_manuales!$J$19</f>
        <v>12195.759421375</v>
      </c>
      <c r="H164" s="9" t="n">
        <f aca="false">(parametros_manuales!$D$19*(datos_base!$H$2+IF(parametros_manuales!$H$19="Todos",datos_base!$H$9,0))*parametros_manuales!$H$95+parametros_manuales!$D$19*(datos_base!$H$18+IF(parametros_manuales!$H$19="Todos",datos_base!$H$23,0))*parametros_manuales!$H$12+parametros_manuales!$E$19*(datos_base!$H$3+IF(parametros_manuales!$H$19="Todos",datos_base!$H$10,0))*parametros_manuales!$H$100+parametros_manuales!$E$19*(datos_base!$H$19+IF(parametros_manuales!$H$19="Todos",datos_base!$H$24,0))*parametros_manuales!$H$13+parametros_manuales!$F$19*(datos_base!$H$4+IF(parametros_manuales!$H$19="Todos",datos_base!$H$11,0))*parametros_manuales!$H$105+parametros_manuales!$F$19*(datos_base!$H$20+IF(parametros_manuales!$H$19="Todos",datos_base!$H$25,0))*parametros_manuales!$H$14+parametros_manuales!$G$19*(datos_base!$H$5+IF(parametros_manuales!$H$19="Todos",datos_base!$H$12,0))*parametros_manuales!$H$110+parametros_manuales!$G$19*(datos_base!$H$21+IF(parametros_manuales!$H$19="Todos",datos_base!$H$26,0))*parametros_manuales!$H$15)*parametros_manuales!$I$19*parametros_manuales!$J$19</f>
        <v>13049.36776722</v>
      </c>
      <c r="I164" s="9" t="n">
        <f aca="false">(parametros_manuales!$D$19*(datos_base!$H$2+IF(parametros_manuales!$H$19="Todos",datos_base!$H$9,0))*parametros_manuales!$I$95+parametros_manuales!$D$19*(datos_base!$H$18+IF(parametros_manuales!$H$19="Todos",datos_base!$H$23,0))*parametros_manuales!$I$12+parametros_manuales!$E$19*(datos_base!$H$3+IF(parametros_manuales!$H$19="Todos",datos_base!$H$10,0))*parametros_manuales!$I$100+parametros_manuales!$E$19*(datos_base!$H$19+IF(parametros_manuales!$H$19="Todos",datos_base!$H$24,0))*parametros_manuales!$I$13+parametros_manuales!$F$19*(datos_base!$H$4+IF(parametros_manuales!$H$19="Todos",datos_base!$H$11,0))*parametros_manuales!$I$105+parametros_manuales!$F$19*(datos_base!$H$20+IF(parametros_manuales!$H$19="Todos",datos_base!$H$25,0))*parametros_manuales!$I$14+parametros_manuales!$G$19*(datos_base!$H$5+IF(parametros_manuales!$H$19="Todos",datos_base!$H$12,0))*parametros_manuales!$I$110+parametros_manuales!$G$19*(datos_base!$H$21+IF(parametros_manuales!$H$19="Todos",datos_base!$H$26,0))*parametros_manuales!$I$15)*parametros_manuales!$I$19*parametros_manuales!$J$19</f>
        <v>14874.46506612</v>
      </c>
      <c r="J164" s="9" t="n">
        <f aca="false">(parametros_manuales!$D$19*(datos_base!$H$2+IF(parametros_manuales!$H$19="Todos",datos_base!$H$9,0))*parametros_manuales!$J$95+parametros_manuales!$D$19*(datos_base!$H$18+IF(parametros_manuales!$H$19="Todos",datos_base!$H$23,0))*parametros_manuales!$J$12+parametros_manuales!$E$19*(datos_base!$H$3+IF(parametros_manuales!$H$19="Todos",datos_base!$H$10,0))*parametros_manuales!$J$100+parametros_manuales!$E$19*(datos_base!$H$19+IF(parametros_manuales!$H$19="Todos",datos_base!$H$24,0))*parametros_manuales!$J$13+parametros_manuales!$F$19*(datos_base!$H$4+IF(parametros_manuales!$H$19="Todos",datos_base!$H$11,0))*parametros_manuales!$J$105+parametros_manuales!$F$19*(datos_base!$H$20+IF(parametros_manuales!$H$19="Todos",datos_base!$H$25,0))*parametros_manuales!$J$14+parametros_manuales!$G$19*(datos_base!$H$5+IF(parametros_manuales!$H$19="Todos",datos_base!$H$12,0))*parametros_manuales!$J$110+parametros_manuales!$G$19*(datos_base!$H$21+IF(parametros_manuales!$H$19="Todos",datos_base!$H$26,0))*parametros_manuales!$J$15)*parametros_manuales!$I$19*parametros_manuales!$J$19</f>
        <v>14874.46506612</v>
      </c>
      <c r="K164" s="9" t="n">
        <f aca="false">(parametros_manuales!$D$19*(datos_base!$H$2+IF(parametros_manuales!$H$19="Todos",datos_base!$H$9,0))*parametros_manuales!$K$95+parametros_manuales!$D$19*(datos_base!$H$18+IF(parametros_manuales!$H$19="Todos",datos_base!$H$23,0))*parametros_manuales!$K$12+parametros_manuales!$E$19*(datos_base!$H$3+IF(parametros_manuales!$H$19="Todos",datos_base!$H$10,0))*parametros_manuales!$K$100+parametros_manuales!$E$19*(datos_base!$H$19+IF(parametros_manuales!$H$19="Todos",datos_base!$H$24,0))*parametros_manuales!$K$13+parametros_manuales!$F$19*(datos_base!$H$4+IF(parametros_manuales!$H$19="Todos",datos_base!$H$11,0))*parametros_manuales!$K$105+parametros_manuales!$F$19*(datos_base!$H$20+IF(parametros_manuales!$H$19="Todos",datos_base!$H$25,0))*parametros_manuales!$K$14+parametros_manuales!$G$19*(datos_base!$H$5+IF(parametros_manuales!$H$19="Todos",datos_base!$H$12,0))*parametros_manuales!$K$110+parametros_manuales!$G$19*(datos_base!$H$21+IF(parametros_manuales!$H$19="Todos",datos_base!$H$26,0))*parametros_manuales!$K$15)*parametros_manuales!$I$19*parametros_manuales!$J$19</f>
        <v>15117.464845665</v>
      </c>
      <c r="L164" s="9" t="n">
        <f aca="false">(parametros_manuales!$D$19*(datos_base!$H$2+IF(parametros_manuales!$H$19="Todos",datos_base!$H$9,0))*parametros_manuales!$L$95+parametros_manuales!$D$19*(datos_base!$H$18+IF(parametros_manuales!$H$19="Todos",datos_base!$H$23,0))*parametros_manuales!$L$12+parametros_manuales!$E$19*(datos_base!$H$3+IF(parametros_manuales!$H$19="Todos",datos_base!$H$10,0))*parametros_manuales!$L$100+parametros_manuales!$E$19*(datos_base!$H$19+IF(parametros_manuales!$H$19="Todos",datos_base!$H$24,0))*parametros_manuales!$L$13+parametros_manuales!$F$19*(datos_base!$H$4+IF(parametros_manuales!$H$19="Todos",datos_base!$H$11,0))*parametros_manuales!$L$105+parametros_manuales!$F$19*(datos_base!$H$20+IF(parametros_manuales!$H$19="Todos",datos_base!$H$25,0))*parametros_manuales!$L$14+parametros_manuales!$G$19*(datos_base!$H$5+IF(parametros_manuales!$H$19="Todos",datos_base!$H$12,0))*parametros_manuales!$L$110+parametros_manuales!$G$19*(datos_base!$H$21+IF(parametros_manuales!$H$19="Todos",datos_base!$H$26,0))*parametros_manuales!$L$15)*parametros_manuales!$I$19*parametros_manuales!$J$19</f>
        <v>15360.46462521</v>
      </c>
      <c r="M164" s="9" t="n">
        <f aca="false">(parametros_manuales!$D$19*(datos_base!$H$2+IF(parametros_manuales!$H$19="Todos",datos_base!$H$9,0))*parametros_manuales!$M$95+parametros_manuales!$D$19*(datos_base!$H$18+IF(parametros_manuales!$H$19="Todos",datos_base!$H$23,0))*parametros_manuales!$M$12+parametros_manuales!$E$19*(datos_base!$H$3+IF(parametros_manuales!$H$19="Todos",datos_base!$H$10,0))*parametros_manuales!$M$100+parametros_manuales!$E$19*(datos_base!$H$19+IF(parametros_manuales!$H$19="Todos",datos_base!$H$24,0))*parametros_manuales!$M$13+parametros_manuales!$F$19*(datos_base!$H$4+IF(parametros_manuales!$H$19="Todos",datos_base!$H$11,0))*parametros_manuales!$M$105+parametros_manuales!$F$19*(datos_base!$H$20+IF(parametros_manuales!$H$19="Todos",datos_base!$H$25,0))*parametros_manuales!$M$14+parametros_manuales!$G$19*(datos_base!$H$5+IF(parametros_manuales!$H$19="Todos",datos_base!$H$12,0))*parametros_manuales!$M$110+parametros_manuales!$G$19*(datos_base!$H$21+IF(parametros_manuales!$H$19="Todos",datos_base!$H$26,0))*parametros_manuales!$M$15)*parametros_manuales!$I$19*parametros_manuales!$J$19</f>
        <v>15369.43582521</v>
      </c>
      <c r="N164" s="9" t="n">
        <f aca="false">SUM(B164:M164)</f>
        <v>170721.669169</v>
      </c>
      <c r="O164" s="9" t="n">
        <f aca="false">MAX(B164:M164)</f>
        <v>15369.43582521</v>
      </c>
      <c r="P164" s="44" t="n">
        <f aca="false">O164/(parametros_manuales!$B$7)</f>
        <v>102.4629055014</v>
      </c>
      <c r="Q164" s="8" t="str">
        <f aca="false">IF(O164=0,"-",INDEX($B$163:$M$163,MATCH(O164,B164:M164,0)))</f>
        <v>Dic</v>
      </c>
    </row>
    <row r="165" customFormat="false" ht="14.25" hidden="false" customHeight="true" outlineLevel="0" collapsed="false">
      <c r="A165" s="8" t="str">
        <f aca="false">parametros_manuales!$B$20</f>
        <v>Corte de chapa (guillotina) — 2,5 a 10 kg</v>
      </c>
      <c r="B165" s="9" t="n">
        <f aca="false">(parametros_manuales!$D$20*(datos_base!$H$2+IF(parametros_manuales!$H$20="Todos",datos_base!$H$9,0))*parametros_manuales!$B$95+parametros_manuales!$D$20*(datos_base!$H$18+IF(parametros_manuales!$H$20="Todos",datos_base!$H$23,0))*parametros_manuales!$B$12+parametros_manuales!$E$20*(datos_base!$H$3+IF(parametros_manuales!$H$20="Todos",datos_base!$H$10,0))*parametros_manuales!$B$100+parametros_manuales!$E$20*(datos_base!$H$19+IF(parametros_manuales!$H$20="Todos",datos_base!$H$24,0))*parametros_manuales!$B$13+parametros_manuales!$F$20*(datos_base!$H$4+IF(parametros_manuales!$H$20="Todos",datos_base!$H$11,0))*parametros_manuales!$B$105+parametros_manuales!$F$20*(datos_base!$H$20+IF(parametros_manuales!$H$20="Todos",datos_base!$H$25,0))*parametros_manuales!$B$14+parametros_manuales!$G$20*(datos_base!$H$5+IF(parametros_manuales!$H$20="Todos",datos_base!$H$12,0))*parametros_manuales!$B$110+parametros_manuales!$G$20*(datos_base!$H$21+IF(parametros_manuales!$H$20="Todos",datos_base!$H$26,0))*parametros_manuales!$B$15)*parametros_manuales!$I$20*parametros_manuales!$J$20</f>
        <v>4416.60923181</v>
      </c>
      <c r="C165" s="9" t="n">
        <f aca="false">(parametros_manuales!$D$20*(datos_base!$H$2+IF(parametros_manuales!$H$20="Todos",datos_base!$H$9,0))*parametros_manuales!$C$95+parametros_manuales!$D$20*(datos_base!$H$18+IF(parametros_manuales!$H$20="Todos",datos_base!$H$23,0))*parametros_manuales!$C$12+parametros_manuales!$E$20*(datos_base!$H$3+IF(parametros_manuales!$H$20="Todos",datos_base!$H$10,0))*parametros_manuales!$C$100+parametros_manuales!$E$20*(datos_base!$H$19+IF(parametros_manuales!$H$20="Todos",datos_base!$H$24,0))*parametros_manuales!$C$13+parametros_manuales!$F$20*(datos_base!$H$4+IF(parametros_manuales!$H$20="Todos",datos_base!$H$11,0))*parametros_manuales!$C$105+parametros_manuales!$F$20*(datos_base!$H$20+IF(parametros_manuales!$H$20="Todos",datos_base!$H$25,0))*parametros_manuales!$C$14+parametros_manuales!$G$20*(datos_base!$H$5+IF(parametros_manuales!$H$20="Todos",datos_base!$H$12,0))*parametros_manuales!$C$110+parametros_manuales!$G$20*(datos_base!$H$21+IF(parametros_manuales!$H$20="Todos",datos_base!$H$26,0))*parametros_manuales!$C$15)*parametros_manuales!$I$20*parametros_manuales!$J$20</f>
        <v>3923.88127272</v>
      </c>
      <c r="D165" s="9" t="n">
        <f aca="false">(parametros_manuales!$D$20*(datos_base!$H$2+IF(parametros_manuales!$H$20="Todos",datos_base!$H$9,0))*parametros_manuales!$D$95+parametros_manuales!$D$20*(datos_base!$H$18+IF(parametros_manuales!$H$20="Todos",datos_base!$H$23,0))*parametros_manuales!$D$12+parametros_manuales!$E$20*(datos_base!$H$3+IF(parametros_manuales!$H$20="Todos",datos_base!$H$10,0))*parametros_manuales!$D$100+parametros_manuales!$E$20*(datos_base!$H$19+IF(parametros_manuales!$H$20="Todos",datos_base!$H$24,0))*parametros_manuales!$D$13+parametros_manuales!$F$20*(datos_base!$H$4+IF(parametros_manuales!$H$20="Todos",datos_base!$H$11,0))*parametros_manuales!$D$105+parametros_manuales!$F$20*(datos_base!$H$20+IF(parametros_manuales!$H$20="Todos",datos_base!$H$25,0))*parametros_manuales!$D$14+parametros_manuales!$G$20*(datos_base!$H$5+IF(parametros_manuales!$H$20="Todos",datos_base!$H$12,0))*parametros_manuales!$D$110+parametros_manuales!$G$20*(datos_base!$H$21+IF(parametros_manuales!$H$20="Todos",datos_base!$H$26,0))*parametros_manuales!$D$15)*parametros_manuales!$I$20*parametros_manuales!$J$20</f>
        <v>4169.123852265</v>
      </c>
      <c r="E165" s="9" t="n">
        <f aca="false">(parametros_manuales!$D$20*(datos_base!$H$2+IF(parametros_manuales!$H$20="Todos",datos_base!$H$9,0))*parametros_manuales!$E$95+parametros_manuales!$D$20*(datos_base!$H$18+IF(parametros_manuales!$H$20="Todos",datos_base!$H$23,0))*parametros_manuales!$E$12+parametros_manuales!$E$20*(datos_base!$H$3+IF(parametros_manuales!$H$20="Todos",datos_base!$H$10,0))*parametros_manuales!$E$100+parametros_manuales!$E$20*(datos_base!$H$19+IF(parametros_manuales!$H$20="Todos",datos_base!$H$24,0))*parametros_manuales!$E$13+parametros_manuales!$F$20*(datos_base!$H$4+IF(parametros_manuales!$H$20="Todos",datos_base!$H$11,0))*parametros_manuales!$E$105+parametros_manuales!$F$20*(datos_base!$H$20+IF(parametros_manuales!$H$20="Todos",datos_base!$H$25,0))*parametros_manuales!$E$14+parametros_manuales!$G$20*(datos_base!$H$5+IF(parametros_manuales!$H$20="Todos",datos_base!$H$12,0))*parametros_manuales!$E$110+parametros_manuales!$G$20*(datos_base!$H$21+IF(parametros_manuales!$H$20="Todos",datos_base!$H$26,0))*parametros_manuales!$E$15)*parametros_manuales!$I$20*parametros_manuales!$J$20</f>
        <v>4169.123852265</v>
      </c>
      <c r="F165" s="9" t="n">
        <f aca="false">(parametros_manuales!$D$20*(datos_base!$H$2+IF(parametros_manuales!$H$20="Todos",datos_base!$H$9,0))*parametros_manuales!$F$95+parametros_manuales!$D$20*(datos_base!$H$18+IF(parametros_manuales!$H$20="Todos",datos_base!$H$23,0))*parametros_manuales!$F$12+parametros_manuales!$E$20*(datos_base!$H$3+IF(parametros_manuales!$H$20="Todos",datos_base!$H$10,0))*parametros_manuales!$F$100+parametros_manuales!$E$20*(datos_base!$H$19+IF(parametros_manuales!$H$20="Todos",datos_base!$H$24,0))*parametros_manuales!$F$13+parametros_manuales!$F$20*(datos_base!$H$4+IF(parametros_manuales!$H$20="Todos",datos_base!$H$11,0))*parametros_manuales!$F$105+parametros_manuales!$F$20*(datos_base!$H$20+IF(parametros_manuales!$H$20="Todos",datos_base!$H$25,0))*parametros_manuales!$F$14+parametros_manuales!$G$20*(datos_base!$H$5+IF(parametros_manuales!$H$20="Todos",datos_base!$H$12,0))*parametros_manuales!$F$110+parametros_manuales!$G$20*(datos_base!$H$21+IF(parametros_manuales!$H$20="Todos",datos_base!$H$26,0))*parametros_manuales!$F$15)*parametros_manuales!$I$20*parametros_manuales!$J$20</f>
        <v>3923.88127272</v>
      </c>
      <c r="G165" s="9" t="n">
        <f aca="false">(parametros_manuales!$D$20*(datos_base!$H$2+IF(parametros_manuales!$H$20="Todos",datos_base!$H$9,0))*parametros_manuales!$G$95+parametros_manuales!$D$20*(datos_base!$H$18+IF(parametros_manuales!$H$20="Todos",datos_base!$H$23,0))*parametros_manuales!$G$12+parametros_manuales!$E$20*(datos_base!$H$3+IF(parametros_manuales!$H$20="Todos",datos_base!$H$10,0))*parametros_manuales!$G$100+parametros_manuales!$E$20*(datos_base!$H$19+IF(parametros_manuales!$H$20="Todos",datos_base!$H$24,0))*parametros_manuales!$G$13+parametros_manuales!$F$20*(datos_base!$H$4+IF(parametros_manuales!$H$20="Todos",datos_base!$H$11,0))*parametros_manuales!$G$105+parametros_manuales!$F$20*(datos_base!$H$20+IF(parametros_manuales!$H$20="Todos",datos_base!$H$25,0))*parametros_manuales!$G$14+parametros_manuales!$G$20*(datos_base!$H$5+IF(parametros_manuales!$H$20="Todos",datos_base!$H$12,0))*parametros_manuales!$G$110+parametros_manuales!$G$20*(datos_base!$H$21+IF(parametros_manuales!$H$20="Todos",datos_base!$H$26,0))*parametros_manuales!$G$15)*parametros_manuales!$I$20*parametros_manuales!$J$20</f>
        <v>3678.638693175</v>
      </c>
      <c r="H165" s="9" t="n">
        <f aca="false">(parametros_manuales!$D$20*(datos_base!$H$2+IF(parametros_manuales!$H$20="Todos",datos_base!$H$9,0))*parametros_manuales!$H$95+parametros_manuales!$D$20*(datos_base!$H$18+IF(parametros_manuales!$H$20="Todos",datos_base!$H$23,0))*parametros_manuales!$H$12+parametros_manuales!$E$20*(datos_base!$H$3+IF(parametros_manuales!$H$20="Todos",datos_base!$H$10,0))*parametros_manuales!$H$100+parametros_manuales!$E$20*(datos_base!$H$19+IF(parametros_manuales!$H$20="Todos",datos_base!$H$24,0))*parametros_manuales!$H$13+parametros_manuales!$F$20*(datos_base!$H$4+IF(parametros_manuales!$H$20="Todos",datos_base!$H$11,0))*parametros_manuales!$H$105+parametros_manuales!$F$20*(datos_base!$H$20+IF(parametros_manuales!$H$20="Todos",datos_base!$H$25,0))*parametros_manuales!$H$14+parametros_manuales!$G$20*(datos_base!$H$5+IF(parametros_manuales!$H$20="Todos",datos_base!$H$12,0))*parametros_manuales!$H$110+parametros_manuales!$G$20*(datos_base!$H$21+IF(parametros_manuales!$H$20="Todos",datos_base!$H$26,0))*parametros_manuales!$H$15)*parametros_manuales!$I$20*parametros_manuales!$J$20</f>
        <v>3923.88127272</v>
      </c>
      <c r="I165" s="9" t="n">
        <f aca="false">(parametros_manuales!$D$20*(datos_base!$H$2+IF(parametros_manuales!$H$20="Todos",datos_base!$H$9,0))*parametros_manuales!$I$95+parametros_manuales!$D$20*(datos_base!$H$18+IF(parametros_manuales!$H$20="Todos",datos_base!$H$23,0))*parametros_manuales!$I$12+parametros_manuales!$E$20*(datos_base!$H$3+IF(parametros_manuales!$H$20="Todos",datos_base!$H$10,0))*parametros_manuales!$I$100+parametros_manuales!$E$20*(datos_base!$H$19+IF(parametros_manuales!$H$20="Todos",datos_base!$H$24,0))*parametros_manuales!$I$13+parametros_manuales!$F$20*(datos_base!$H$4+IF(parametros_manuales!$H$20="Todos",datos_base!$H$11,0))*parametros_manuales!$I$105+parametros_manuales!$F$20*(datos_base!$H$20+IF(parametros_manuales!$H$20="Todos",datos_base!$H$25,0))*parametros_manuales!$I$14+parametros_manuales!$G$20*(datos_base!$H$5+IF(parametros_manuales!$H$20="Todos",datos_base!$H$12,0))*parametros_manuales!$I$110+parametros_manuales!$G$20*(datos_base!$H$21+IF(parametros_manuales!$H$20="Todos",datos_base!$H$26,0))*parametros_manuales!$I$15)*parametros_manuales!$I$20*parametros_manuales!$J$20</f>
        <v>3923.88127272</v>
      </c>
      <c r="J165" s="9" t="n">
        <f aca="false">(parametros_manuales!$D$20*(datos_base!$H$2+IF(parametros_manuales!$H$20="Todos",datos_base!$H$9,0))*parametros_manuales!$J$95+parametros_manuales!$D$20*(datos_base!$H$18+IF(parametros_manuales!$H$20="Todos",datos_base!$H$23,0))*parametros_manuales!$J$12+parametros_manuales!$E$20*(datos_base!$H$3+IF(parametros_manuales!$H$20="Todos",datos_base!$H$10,0))*parametros_manuales!$J$100+parametros_manuales!$E$20*(datos_base!$H$19+IF(parametros_manuales!$H$20="Todos",datos_base!$H$24,0))*parametros_manuales!$J$13+parametros_manuales!$F$20*(datos_base!$H$4+IF(parametros_manuales!$H$20="Todos",datos_base!$H$11,0))*parametros_manuales!$J$105+parametros_manuales!$F$20*(datos_base!$H$20+IF(parametros_manuales!$H$20="Todos",datos_base!$H$25,0))*parametros_manuales!$J$14+parametros_manuales!$G$20*(datos_base!$H$5+IF(parametros_manuales!$H$20="Todos",datos_base!$H$12,0))*parametros_manuales!$J$110+parametros_manuales!$G$20*(datos_base!$H$21+IF(parametros_manuales!$H$20="Todos",datos_base!$H$26,0))*parametros_manuales!$J$15)*parametros_manuales!$I$20*parametros_manuales!$J$20</f>
        <v>3923.88127272</v>
      </c>
      <c r="K165" s="9" t="n">
        <f aca="false">(parametros_manuales!$D$20*(datos_base!$H$2+IF(parametros_manuales!$H$20="Todos",datos_base!$H$9,0))*parametros_manuales!$K$95+parametros_manuales!$D$20*(datos_base!$H$18+IF(parametros_manuales!$H$20="Todos",datos_base!$H$23,0))*parametros_manuales!$K$12+parametros_manuales!$E$20*(datos_base!$H$3+IF(parametros_manuales!$H$20="Todos",datos_base!$H$10,0))*parametros_manuales!$K$100+parametros_manuales!$E$20*(datos_base!$H$19+IF(parametros_manuales!$H$20="Todos",datos_base!$H$24,0))*parametros_manuales!$K$13+parametros_manuales!$F$20*(datos_base!$H$4+IF(parametros_manuales!$H$20="Todos",datos_base!$H$11,0))*parametros_manuales!$K$105+parametros_manuales!$F$20*(datos_base!$H$20+IF(parametros_manuales!$H$20="Todos",datos_base!$H$25,0))*parametros_manuales!$K$14+parametros_manuales!$G$20*(datos_base!$H$5+IF(parametros_manuales!$H$20="Todos",datos_base!$H$12,0))*parametros_manuales!$K$110+parametros_manuales!$G$20*(datos_base!$H$21+IF(parametros_manuales!$H$20="Todos",datos_base!$H$26,0))*parametros_manuales!$K$15)*parametros_manuales!$I$20*parametros_manuales!$J$20</f>
        <v>4166.881052265</v>
      </c>
      <c r="L165" s="9" t="n">
        <f aca="false">(parametros_manuales!$D$20*(datos_base!$H$2+IF(parametros_manuales!$H$20="Todos",datos_base!$H$9,0))*parametros_manuales!$L$95+parametros_manuales!$D$20*(datos_base!$H$18+IF(parametros_manuales!$H$20="Todos",datos_base!$H$23,0))*parametros_manuales!$L$12+parametros_manuales!$E$20*(datos_base!$H$3+IF(parametros_manuales!$H$20="Todos",datos_base!$H$10,0))*parametros_manuales!$L$100+parametros_manuales!$E$20*(datos_base!$H$19+IF(parametros_manuales!$H$20="Todos",datos_base!$H$24,0))*parametros_manuales!$L$13+parametros_manuales!$F$20*(datos_base!$H$4+IF(parametros_manuales!$H$20="Todos",datos_base!$H$11,0))*parametros_manuales!$L$105+parametros_manuales!$F$20*(datos_base!$H$20+IF(parametros_manuales!$H$20="Todos",datos_base!$H$25,0))*parametros_manuales!$L$14+parametros_manuales!$G$20*(datos_base!$H$5+IF(parametros_manuales!$H$20="Todos",datos_base!$H$12,0))*parametros_manuales!$L$110+parametros_manuales!$G$20*(datos_base!$H$21+IF(parametros_manuales!$H$20="Todos",datos_base!$H$26,0))*parametros_manuales!$L$15)*parametros_manuales!$I$20*parametros_manuales!$J$20</f>
        <v>4409.88083181</v>
      </c>
      <c r="M165" s="9" t="n">
        <f aca="false">(parametros_manuales!$D$20*(datos_base!$H$2+IF(parametros_manuales!$H$20="Todos",datos_base!$H$9,0))*parametros_manuales!$M$95+parametros_manuales!$D$20*(datos_base!$H$18+IF(parametros_manuales!$H$20="Todos",datos_base!$H$23,0))*parametros_manuales!$M$12+parametros_manuales!$E$20*(datos_base!$H$3+IF(parametros_manuales!$H$20="Todos",datos_base!$H$10,0))*parametros_manuales!$M$100+parametros_manuales!$E$20*(datos_base!$H$19+IF(parametros_manuales!$H$20="Todos",datos_base!$H$24,0))*parametros_manuales!$M$13+parametros_manuales!$F$20*(datos_base!$H$4+IF(parametros_manuales!$H$20="Todos",datos_base!$H$11,0))*parametros_manuales!$M$105+parametros_manuales!$F$20*(datos_base!$H$20+IF(parametros_manuales!$H$20="Todos",datos_base!$H$25,0))*parametros_manuales!$M$14+parametros_manuales!$G$20*(datos_base!$H$5+IF(parametros_manuales!$H$20="Todos",datos_base!$H$12,0))*parametros_manuales!$M$110+parametros_manuales!$G$20*(datos_base!$H$21+IF(parametros_manuales!$H$20="Todos",datos_base!$H$26,0))*parametros_manuales!$M$15)*parametros_manuales!$I$20*parametros_manuales!$J$20</f>
        <v>4418.85203181</v>
      </c>
      <c r="N165" s="9" t="n">
        <f aca="false">SUM(B165:M165)</f>
        <v>49048.515909</v>
      </c>
      <c r="O165" s="9" t="n">
        <f aca="false">MAX(B165:M165)</f>
        <v>4418.85203181</v>
      </c>
      <c r="P165" s="44" t="n">
        <f aca="false">O165/(parametros_manuales!$B$7)</f>
        <v>29.4590135454</v>
      </c>
      <c r="Q165" s="8" t="str">
        <f aca="false">IF(O165=0,"-",INDEX($B$163:$M$163,MATCH(O165,B165:M165,0)))</f>
        <v>Dic</v>
      </c>
    </row>
    <row r="166" customFormat="false" ht="14.25" hidden="false" customHeight="true" outlineLevel="0" collapsed="false">
      <c r="A166" s="8" t="str">
        <f aca="false">parametros_manuales!$B$21</f>
        <v>Corte de tubo — 1 kg</v>
      </c>
      <c r="B166" s="9" t="n">
        <f aca="false">(parametros_manuales!$D$21*(datos_base!$H$2+IF(parametros_manuales!$H$21="Todos",datos_base!$H$9,0))*parametros_manuales!$B$95+parametros_manuales!$D$21*(datos_base!$H$18+IF(parametros_manuales!$H$21="Todos",datos_base!$H$23,0))*parametros_manuales!$B$12+parametros_manuales!$E$21*(datos_base!$H$3+IF(parametros_manuales!$H$21="Todos",datos_base!$H$10,0))*parametros_manuales!$B$100+parametros_manuales!$E$21*(datos_base!$H$19+IF(parametros_manuales!$H$21="Todos",datos_base!$H$24,0))*parametros_manuales!$B$13+parametros_manuales!$F$21*(datos_base!$H$4+IF(parametros_manuales!$H$21="Todos",datos_base!$H$11,0))*parametros_manuales!$B$105+parametros_manuales!$F$21*(datos_base!$H$20+IF(parametros_manuales!$H$21="Todos",datos_base!$H$25,0))*parametros_manuales!$B$14+parametros_manuales!$G$21*(datos_base!$H$5+IF(parametros_manuales!$H$21="Todos",datos_base!$H$12,0))*parametros_manuales!$B$110+parametros_manuales!$G$21*(datos_base!$H$21+IF(parametros_manuales!$H$21="Todos",datos_base!$H$26,0))*parametros_manuales!$B$15)*parametros_manuales!$I$21*parametros_manuales!$J$21</f>
        <v>10950.5837934</v>
      </c>
      <c r="C166" s="9" t="n">
        <f aca="false">(parametros_manuales!$D$21*(datos_base!$H$2+IF(parametros_manuales!$H$21="Todos",datos_base!$H$9,0))*parametros_manuales!$C$95+parametros_manuales!$D$21*(datos_base!$H$18+IF(parametros_manuales!$H$21="Todos",datos_base!$H$23,0))*parametros_manuales!$C$12+parametros_manuales!$E$21*(datos_base!$H$3+IF(parametros_manuales!$H$21="Todos",datos_base!$H$10,0))*parametros_manuales!$C$100+parametros_manuales!$E$21*(datos_base!$H$19+IF(parametros_manuales!$H$21="Todos",datos_base!$H$24,0))*parametros_manuales!$C$13+parametros_manuales!$F$21*(datos_base!$H$4+IF(parametros_manuales!$H$21="Todos",datos_base!$H$11,0))*parametros_manuales!$C$105+parametros_manuales!$F$21*(datos_base!$H$20+IF(parametros_manuales!$H$21="Todos",datos_base!$H$25,0))*parametros_manuales!$C$14+parametros_manuales!$G$21*(datos_base!$H$5+IF(parametros_manuales!$H$21="Todos",datos_base!$H$12,0))*parametros_manuales!$C$110+parametros_manuales!$G$21*(datos_base!$H$21+IF(parametros_manuales!$H$21="Todos",datos_base!$H$26,0))*parametros_manuales!$C$15)*parametros_manuales!$I$21*parametros_manuales!$J$21</f>
        <v>10950.5837934</v>
      </c>
      <c r="D166" s="9" t="n">
        <f aca="false">(parametros_manuales!$D$21*(datos_base!$H$2+IF(parametros_manuales!$H$21="Todos",datos_base!$H$9,0))*parametros_manuales!$D$95+parametros_manuales!$D$21*(datos_base!$H$18+IF(parametros_manuales!$H$21="Todos",datos_base!$H$23,0))*parametros_manuales!$D$12+parametros_manuales!$E$21*(datos_base!$H$3+IF(parametros_manuales!$H$21="Todos",datos_base!$H$10,0))*parametros_manuales!$D$100+parametros_manuales!$E$21*(datos_base!$H$19+IF(parametros_manuales!$H$21="Todos",datos_base!$H$24,0))*parametros_manuales!$D$13+parametros_manuales!$F$21*(datos_base!$H$4+IF(parametros_manuales!$H$21="Todos",datos_base!$H$11,0))*parametros_manuales!$D$105+parametros_manuales!$F$21*(datos_base!$H$20+IF(parametros_manuales!$H$21="Todos",datos_base!$H$25,0))*parametros_manuales!$D$14+parametros_manuales!$G$21*(datos_base!$H$5+IF(parametros_manuales!$H$21="Todos",datos_base!$H$12,0))*parametros_manuales!$D$110+parametros_manuales!$G$21*(datos_base!$H$21+IF(parametros_manuales!$H$21="Todos",datos_base!$H$26,0))*parametros_manuales!$D$15)*parametros_manuales!$I$21*parametros_manuales!$J$21</f>
        <v>9733.8522608</v>
      </c>
      <c r="E166" s="9" t="n">
        <f aca="false">(parametros_manuales!$D$21*(datos_base!$H$2+IF(parametros_manuales!$H$21="Todos",datos_base!$H$9,0))*parametros_manuales!$E$95+parametros_manuales!$D$21*(datos_base!$H$18+IF(parametros_manuales!$H$21="Todos",datos_base!$H$23,0))*parametros_manuales!$E$12+parametros_manuales!$E$21*(datos_base!$H$3+IF(parametros_manuales!$H$21="Todos",datos_base!$H$10,0))*parametros_manuales!$E$100+parametros_manuales!$E$21*(datos_base!$H$19+IF(parametros_manuales!$H$21="Todos",datos_base!$H$24,0))*parametros_manuales!$E$13+parametros_manuales!$F$21*(datos_base!$H$4+IF(parametros_manuales!$H$21="Todos",datos_base!$H$11,0))*parametros_manuales!$E$105+parametros_manuales!$F$21*(datos_base!$H$20+IF(parametros_manuales!$H$21="Todos",datos_base!$H$25,0))*parametros_manuales!$E$14+parametros_manuales!$G$21*(datos_base!$H$5+IF(parametros_manuales!$H$21="Todos",datos_base!$H$12,0))*parametros_manuales!$E$110+parametros_manuales!$G$21*(datos_base!$H$21+IF(parametros_manuales!$H$21="Todos",datos_base!$H$26,0))*parametros_manuales!$E$15)*parametros_manuales!$I$21*parametros_manuales!$J$21</f>
        <v>9125.4864945</v>
      </c>
      <c r="F166" s="9" t="n">
        <f aca="false">(parametros_manuales!$D$21*(datos_base!$H$2+IF(parametros_manuales!$H$21="Todos",datos_base!$H$9,0))*parametros_manuales!$F$95+parametros_manuales!$D$21*(datos_base!$H$18+IF(parametros_manuales!$H$21="Todos",datos_base!$H$23,0))*parametros_manuales!$F$12+parametros_manuales!$E$21*(datos_base!$H$3+IF(parametros_manuales!$H$21="Todos",datos_base!$H$10,0))*parametros_manuales!$F$100+parametros_manuales!$E$21*(datos_base!$H$19+IF(parametros_manuales!$H$21="Todos",datos_base!$H$24,0))*parametros_manuales!$F$13+parametros_manuales!$F$21*(datos_base!$H$4+IF(parametros_manuales!$H$21="Todos",datos_base!$H$11,0))*parametros_manuales!$F$105+parametros_manuales!$F$21*(datos_base!$H$20+IF(parametros_manuales!$H$21="Todos",datos_base!$H$25,0))*parametros_manuales!$F$14+parametros_manuales!$G$21*(datos_base!$H$5+IF(parametros_manuales!$H$21="Todos",datos_base!$H$12,0))*parametros_manuales!$F$110+parametros_manuales!$G$21*(datos_base!$H$21+IF(parametros_manuales!$H$21="Todos",datos_base!$H$26,0))*parametros_manuales!$F$15)*parametros_manuales!$I$21*parametros_manuales!$J$21</f>
        <v>8517.1207282</v>
      </c>
      <c r="G166" s="9" t="n">
        <f aca="false">(parametros_manuales!$D$21*(datos_base!$H$2+IF(parametros_manuales!$H$21="Todos",datos_base!$H$9,0))*parametros_manuales!$G$95+parametros_manuales!$D$21*(datos_base!$H$18+IF(parametros_manuales!$H$21="Todos",datos_base!$H$23,0))*parametros_manuales!$G$12+parametros_manuales!$E$21*(datos_base!$H$3+IF(parametros_manuales!$H$21="Todos",datos_base!$H$10,0))*parametros_manuales!$G$100+parametros_manuales!$E$21*(datos_base!$H$19+IF(parametros_manuales!$H$21="Todos",datos_base!$H$24,0))*parametros_manuales!$G$13+parametros_manuales!$F$21*(datos_base!$H$4+IF(parametros_manuales!$H$21="Todos",datos_base!$H$11,0))*parametros_manuales!$G$105+parametros_manuales!$F$21*(datos_base!$H$20+IF(parametros_manuales!$H$21="Todos",datos_base!$H$25,0))*parametros_manuales!$G$14+parametros_manuales!$G$21*(datos_base!$H$5+IF(parametros_manuales!$H$21="Todos",datos_base!$H$12,0))*parametros_manuales!$G$110+parametros_manuales!$G$21*(datos_base!$H$21+IF(parametros_manuales!$H$21="Todos",datos_base!$H$26,0))*parametros_manuales!$G$15)*parametros_manuales!$I$21*parametros_manuales!$J$21</f>
        <v>8517.1207282</v>
      </c>
      <c r="H166" s="9" t="n">
        <f aca="false">(parametros_manuales!$D$21*(datos_base!$H$2+IF(parametros_manuales!$H$21="Todos",datos_base!$H$9,0))*parametros_manuales!$H$95+parametros_manuales!$D$21*(datos_base!$H$18+IF(parametros_manuales!$H$21="Todos",datos_base!$H$23,0))*parametros_manuales!$H$12+parametros_manuales!$E$21*(datos_base!$H$3+IF(parametros_manuales!$H$21="Todos",datos_base!$H$10,0))*parametros_manuales!$H$100+parametros_manuales!$E$21*(datos_base!$H$19+IF(parametros_manuales!$H$21="Todos",datos_base!$H$24,0))*parametros_manuales!$H$13+parametros_manuales!$F$21*(datos_base!$H$4+IF(parametros_manuales!$H$21="Todos",datos_base!$H$11,0))*parametros_manuales!$H$105+parametros_manuales!$F$21*(datos_base!$H$20+IF(parametros_manuales!$H$21="Todos",datos_base!$H$25,0))*parametros_manuales!$H$14+parametros_manuales!$G$21*(datos_base!$H$5+IF(parametros_manuales!$H$21="Todos",datos_base!$H$12,0))*parametros_manuales!$H$110+parametros_manuales!$G$21*(datos_base!$H$21+IF(parametros_manuales!$H$21="Todos",datos_base!$H$26,0))*parametros_manuales!$H$15)*parametros_manuales!$I$21*parametros_manuales!$J$21</f>
        <v>9125.4864945</v>
      </c>
      <c r="I166" s="9" t="n">
        <f aca="false">(parametros_manuales!$D$21*(datos_base!$H$2+IF(parametros_manuales!$H$21="Todos",datos_base!$H$9,0))*parametros_manuales!$I$95+parametros_manuales!$D$21*(datos_base!$H$18+IF(parametros_manuales!$H$21="Todos",datos_base!$H$23,0))*parametros_manuales!$I$12+parametros_manuales!$E$21*(datos_base!$H$3+IF(parametros_manuales!$H$21="Todos",datos_base!$H$10,0))*parametros_manuales!$I$100+parametros_manuales!$E$21*(datos_base!$H$19+IF(parametros_manuales!$H$21="Todos",datos_base!$H$24,0))*parametros_manuales!$I$13+parametros_manuales!$F$21*(datos_base!$H$4+IF(parametros_manuales!$H$21="Todos",datos_base!$H$11,0))*parametros_manuales!$I$105+parametros_manuales!$F$21*(datos_base!$H$20+IF(parametros_manuales!$H$21="Todos",datos_base!$H$25,0))*parametros_manuales!$I$14+parametros_manuales!$G$21*(datos_base!$H$5+IF(parametros_manuales!$H$21="Todos",datos_base!$H$12,0))*parametros_manuales!$I$110+parametros_manuales!$G$21*(datos_base!$H$21+IF(parametros_manuales!$H$21="Todos",datos_base!$H$26,0))*parametros_manuales!$I$15)*parametros_manuales!$I$21*parametros_manuales!$J$21</f>
        <v>10950.5837934</v>
      </c>
      <c r="J166" s="9" t="n">
        <f aca="false">(parametros_manuales!$D$21*(datos_base!$H$2+IF(parametros_manuales!$H$21="Todos",datos_base!$H$9,0))*parametros_manuales!$J$95+parametros_manuales!$D$21*(datos_base!$H$18+IF(parametros_manuales!$H$21="Todos",datos_base!$H$23,0))*parametros_manuales!$J$12+parametros_manuales!$E$21*(datos_base!$H$3+IF(parametros_manuales!$H$21="Todos",datos_base!$H$10,0))*parametros_manuales!$J$100+parametros_manuales!$E$21*(datos_base!$H$19+IF(parametros_manuales!$H$21="Todos",datos_base!$H$24,0))*parametros_manuales!$J$13+parametros_manuales!$F$21*(datos_base!$H$4+IF(parametros_manuales!$H$21="Todos",datos_base!$H$11,0))*parametros_manuales!$J$105+parametros_manuales!$F$21*(datos_base!$H$20+IF(parametros_manuales!$H$21="Todos",datos_base!$H$25,0))*parametros_manuales!$J$14+parametros_manuales!$G$21*(datos_base!$H$5+IF(parametros_manuales!$H$21="Todos",datos_base!$H$12,0))*parametros_manuales!$J$110+parametros_manuales!$G$21*(datos_base!$H$21+IF(parametros_manuales!$H$21="Todos",datos_base!$H$26,0))*parametros_manuales!$J$15)*parametros_manuales!$I$21*parametros_manuales!$J$21</f>
        <v>10950.5837934</v>
      </c>
      <c r="K166" s="9" t="n">
        <f aca="false">(parametros_manuales!$D$21*(datos_base!$H$2+IF(parametros_manuales!$H$21="Todos",datos_base!$H$9,0))*parametros_manuales!$K$95+parametros_manuales!$D$21*(datos_base!$H$18+IF(parametros_manuales!$H$21="Todos",datos_base!$H$23,0))*parametros_manuales!$K$12+parametros_manuales!$E$21*(datos_base!$H$3+IF(parametros_manuales!$H$21="Todos",datos_base!$H$10,0))*parametros_manuales!$K$100+parametros_manuales!$E$21*(datos_base!$H$19+IF(parametros_manuales!$H$21="Todos",datos_base!$H$24,0))*parametros_manuales!$K$13+parametros_manuales!$F$21*(datos_base!$H$4+IF(parametros_manuales!$H$21="Todos",datos_base!$H$11,0))*parametros_manuales!$K$105+parametros_manuales!$F$21*(datos_base!$H$20+IF(parametros_manuales!$H$21="Todos",datos_base!$H$25,0))*parametros_manuales!$K$14+parametros_manuales!$G$21*(datos_base!$H$5+IF(parametros_manuales!$H$21="Todos",datos_base!$H$12,0))*parametros_manuales!$K$110+parametros_manuales!$G$21*(datos_base!$H$21+IF(parametros_manuales!$H$21="Todos",datos_base!$H$26,0))*parametros_manuales!$K$15)*parametros_manuales!$I$21*parametros_manuales!$J$21</f>
        <v>10950.5837934</v>
      </c>
      <c r="L166" s="9" t="n">
        <f aca="false">(parametros_manuales!$D$21*(datos_base!$H$2+IF(parametros_manuales!$H$21="Todos",datos_base!$H$9,0))*parametros_manuales!$L$95+parametros_manuales!$D$21*(datos_base!$H$18+IF(parametros_manuales!$H$21="Todos",datos_base!$H$23,0))*parametros_manuales!$L$12+parametros_manuales!$E$21*(datos_base!$H$3+IF(parametros_manuales!$H$21="Todos",datos_base!$H$10,0))*parametros_manuales!$L$100+parametros_manuales!$E$21*(datos_base!$H$19+IF(parametros_manuales!$H$21="Todos",datos_base!$H$24,0))*parametros_manuales!$L$13+parametros_manuales!$F$21*(datos_base!$H$4+IF(parametros_manuales!$H$21="Todos",datos_base!$H$11,0))*parametros_manuales!$L$105+parametros_manuales!$F$21*(datos_base!$H$20+IF(parametros_manuales!$H$21="Todos",datos_base!$H$25,0))*parametros_manuales!$L$14+parametros_manuales!$G$21*(datos_base!$H$5+IF(parametros_manuales!$H$21="Todos",datos_base!$H$12,0))*parametros_manuales!$L$110+parametros_manuales!$G$21*(datos_base!$H$21+IF(parametros_manuales!$H$21="Todos",datos_base!$H$26,0))*parametros_manuales!$L$15)*parametros_manuales!$I$21*parametros_manuales!$J$21</f>
        <v>10950.5837934</v>
      </c>
      <c r="M166" s="9" t="n">
        <f aca="false">(parametros_manuales!$D$21*(datos_base!$H$2+IF(parametros_manuales!$H$21="Todos",datos_base!$H$9,0))*parametros_manuales!$M$95+parametros_manuales!$D$21*(datos_base!$H$18+IF(parametros_manuales!$H$21="Todos",datos_base!$H$23,0))*parametros_manuales!$M$12+parametros_manuales!$E$21*(datos_base!$H$3+IF(parametros_manuales!$H$21="Todos",datos_base!$H$10,0))*parametros_manuales!$M$100+parametros_manuales!$E$21*(datos_base!$H$19+IF(parametros_manuales!$H$21="Todos",datos_base!$H$24,0))*parametros_manuales!$M$13+parametros_manuales!$F$21*(datos_base!$H$4+IF(parametros_manuales!$H$21="Todos",datos_base!$H$11,0))*parametros_manuales!$M$105+parametros_manuales!$F$21*(datos_base!$H$20+IF(parametros_manuales!$H$21="Todos",datos_base!$H$25,0))*parametros_manuales!$M$14+parametros_manuales!$G$21*(datos_base!$H$5+IF(parametros_manuales!$H$21="Todos",datos_base!$H$12,0))*parametros_manuales!$M$110+parametros_manuales!$G$21*(datos_base!$H$21+IF(parametros_manuales!$H$21="Todos",datos_base!$H$26,0))*parametros_manuales!$M$15)*parametros_manuales!$I$21*parametros_manuales!$J$21</f>
        <v>10950.5837934</v>
      </c>
      <c r="N166" s="9" t="n">
        <f aca="false">SUM(B166:M166)</f>
        <v>121673.15326</v>
      </c>
      <c r="O166" s="9" t="n">
        <f aca="false">MAX(B166:M166)</f>
        <v>10950.5837934</v>
      </c>
      <c r="P166" s="44" t="n">
        <f aca="false">O166/(parametros_manuales!$B$7)</f>
        <v>73.003891956</v>
      </c>
      <c r="Q166" s="8" t="str">
        <f aca="false">IF(O166=0,"-",INDEX($B$163:$M$163,MATCH(O166,B166:M166,0)))</f>
        <v>Ene</v>
      </c>
    </row>
    <row r="167" customFormat="false" ht="14.25" hidden="false" customHeight="true" outlineLevel="0" collapsed="false">
      <c r="A167" s="8" t="str">
        <f aca="false">parametros_manuales!$B$22</f>
        <v>Corte de disco y embutido (cúpula y fondo)</v>
      </c>
      <c r="B167" s="9" t="n">
        <f aca="false">(parametros_manuales!$D$22*(datos_base!$H$2+IF(parametros_manuales!$H$22="Todos",datos_base!$H$9,0))*parametros_manuales!$B$95+parametros_manuales!$D$22*(datos_base!$H$18+IF(parametros_manuales!$H$22="Todos",datos_base!$H$23,0))*parametros_manuales!$B$12+parametros_manuales!$E$22*(datos_base!$H$3+IF(parametros_manuales!$H$22="Todos",datos_base!$H$10,0))*parametros_manuales!$B$100+parametros_manuales!$E$22*(datos_base!$H$19+IF(parametros_manuales!$H$22="Todos",datos_base!$H$24,0))*parametros_manuales!$B$13+parametros_manuales!$F$22*(datos_base!$H$4+IF(parametros_manuales!$H$22="Todos",datos_base!$H$11,0))*parametros_manuales!$B$105+parametros_manuales!$F$22*(datos_base!$H$20+IF(parametros_manuales!$H$22="Todos",datos_base!$H$25,0))*parametros_manuales!$B$14+parametros_manuales!$G$22*(datos_base!$H$5+IF(parametros_manuales!$H$22="Todos",datos_base!$H$12,0))*parametros_manuales!$B$110+parametros_manuales!$G$22*(datos_base!$H$21+IF(parametros_manuales!$H$22="Todos",datos_base!$H$26,0))*parametros_manuales!$B$15)*parametros_manuales!$I$22*parametros_manuales!$J$22</f>
        <v>30734.38605042</v>
      </c>
      <c r="C167" s="9" t="n">
        <f aca="false">(parametros_manuales!$D$22*(datos_base!$H$2+IF(parametros_manuales!$H$22="Todos",datos_base!$H$9,0))*parametros_manuales!$C$95+parametros_manuales!$D$22*(datos_base!$H$18+IF(parametros_manuales!$H$22="Todos",datos_base!$H$23,0))*parametros_manuales!$C$12+parametros_manuales!$E$22*(datos_base!$H$3+IF(parametros_manuales!$H$22="Todos",datos_base!$H$10,0))*parametros_manuales!$C$100+parametros_manuales!$E$22*(datos_base!$H$19+IF(parametros_manuales!$H$22="Todos",datos_base!$H$24,0))*parametros_manuales!$C$13+parametros_manuales!$F$22*(datos_base!$H$4+IF(parametros_manuales!$H$22="Todos",datos_base!$H$11,0))*parametros_manuales!$C$105+parametros_manuales!$F$22*(datos_base!$H$20+IF(parametros_manuales!$H$22="Todos",datos_base!$H$25,0))*parametros_manuales!$C$14+parametros_manuales!$G$22*(datos_base!$H$5+IF(parametros_manuales!$H$22="Todos",datos_base!$H$12,0))*parametros_manuales!$C$110+parametros_manuales!$G$22*(datos_base!$H$21+IF(parametros_manuales!$H$22="Todos",datos_base!$H$26,0))*parametros_manuales!$C$15)*parametros_manuales!$I$22*parametros_manuales!$J$22</f>
        <v>29748.93013224</v>
      </c>
      <c r="D167" s="9" t="n">
        <f aca="false">(parametros_manuales!$D$22*(datos_base!$H$2+IF(parametros_manuales!$H$22="Todos",datos_base!$H$9,0))*parametros_manuales!$D$95+parametros_manuales!$D$22*(datos_base!$H$18+IF(parametros_manuales!$H$22="Todos",datos_base!$H$23,0))*parametros_manuales!$D$12+parametros_manuales!$E$22*(datos_base!$H$3+IF(parametros_manuales!$H$22="Todos",datos_base!$H$10,0))*parametros_manuales!$D$100+parametros_manuales!$E$22*(datos_base!$H$19+IF(parametros_manuales!$H$22="Todos",datos_base!$H$24,0))*parametros_manuales!$D$13+parametros_manuales!$F$22*(datos_base!$H$4+IF(parametros_manuales!$H$22="Todos",datos_base!$H$11,0))*parametros_manuales!$D$105+parametros_manuales!$F$22*(datos_base!$H$20+IF(parametros_manuales!$H$22="Todos",datos_base!$H$25,0))*parametros_manuales!$D$14+parametros_manuales!$G$22*(datos_base!$H$5+IF(parametros_manuales!$H$22="Todos",datos_base!$H$12,0))*parametros_manuales!$D$110+parametros_manuales!$G$22*(datos_base!$H$21+IF(parametros_manuales!$H$22="Todos",datos_base!$H$26,0))*parametros_manuales!$D$15)*parametros_manuales!$I$22*parametros_manuales!$J$22</f>
        <v>27805.95222613</v>
      </c>
      <c r="E167" s="9" t="n">
        <f aca="false">(parametros_manuales!$D$22*(datos_base!$H$2+IF(parametros_manuales!$H$22="Todos",datos_base!$H$9,0))*parametros_manuales!$E$95+parametros_manuales!$D$22*(datos_base!$H$18+IF(parametros_manuales!$H$22="Todos",datos_base!$H$23,0))*parametros_manuales!$E$12+parametros_manuales!$E$22*(datos_base!$H$3+IF(parametros_manuales!$H$22="Todos",datos_base!$H$10,0))*parametros_manuales!$E$100+parametros_manuales!$E$22*(datos_base!$H$19+IF(parametros_manuales!$H$22="Todos",datos_base!$H$24,0))*parametros_manuales!$E$13+parametros_manuales!$F$22*(datos_base!$H$4+IF(parametros_manuales!$H$22="Todos",datos_base!$H$11,0))*parametros_manuales!$E$105+parametros_manuales!$F$22*(datos_base!$H$20+IF(parametros_manuales!$H$22="Todos",datos_base!$H$25,0))*parametros_manuales!$E$14+parametros_manuales!$G$22*(datos_base!$H$5+IF(parametros_manuales!$H$22="Todos",datos_base!$H$12,0))*parametros_manuales!$E$110+parametros_manuales!$G$22*(datos_base!$H$21+IF(parametros_manuales!$H$22="Todos",datos_base!$H$26,0))*parametros_manuales!$E$15)*parametros_manuales!$I$22*parametros_manuales!$J$22</f>
        <v>26589.22069353</v>
      </c>
      <c r="F167" s="9" t="n">
        <f aca="false">(parametros_manuales!$D$22*(datos_base!$H$2+IF(parametros_manuales!$H$22="Todos",datos_base!$H$9,0))*parametros_manuales!$F$95+parametros_manuales!$D$22*(datos_base!$H$18+IF(parametros_manuales!$H$22="Todos",datos_base!$H$23,0))*parametros_manuales!$F$12+parametros_manuales!$E$22*(datos_base!$H$3+IF(parametros_manuales!$H$22="Todos",datos_base!$H$10,0))*parametros_manuales!$F$100+parametros_manuales!$E$22*(datos_base!$H$19+IF(parametros_manuales!$H$22="Todos",datos_base!$H$24,0))*parametros_manuales!$F$13+parametros_manuales!$F$22*(datos_base!$H$4+IF(parametros_manuales!$H$22="Todos",datos_base!$H$11,0))*parametros_manuales!$F$105+parametros_manuales!$F$22*(datos_base!$H$20+IF(parametros_manuales!$H$22="Todos",datos_base!$H$25,0))*parametros_manuales!$F$14+parametros_manuales!$G$22*(datos_base!$H$5+IF(parametros_manuales!$H$22="Todos",datos_base!$H$12,0))*parametros_manuales!$F$110+parametros_manuales!$G$22*(datos_base!$H$21+IF(parametros_manuales!$H$22="Todos",datos_base!$H$26,0))*parametros_manuales!$F$15)*parametros_manuales!$I$22*parametros_manuales!$J$22</f>
        <v>24882.00400184</v>
      </c>
      <c r="G167" s="9" t="n">
        <f aca="false">(parametros_manuales!$D$22*(datos_base!$H$2+IF(parametros_manuales!$H$22="Todos",datos_base!$H$9,0))*parametros_manuales!$G$95+parametros_manuales!$D$22*(datos_base!$H$18+IF(parametros_manuales!$H$22="Todos",datos_base!$H$23,0))*parametros_manuales!$G$12+parametros_manuales!$E$22*(datos_base!$H$3+IF(parametros_manuales!$H$22="Todos",datos_base!$H$10,0))*parametros_manuales!$G$100+parametros_manuales!$E$22*(datos_base!$H$19+IF(parametros_manuales!$H$22="Todos",datos_base!$H$24,0))*parametros_manuales!$G$13+parametros_manuales!$F$22*(datos_base!$H$4+IF(parametros_manuales!$H$22="Todos",datos_base!$H$11,0))*parametros_manuales!$G$105+parametros_manuales!$F$22*(datos_base!$H$20+IF(parametros_manuales!$H$22="Todos",datos_base!$H$25,0))*parametros_manuales!$G$14+parametros_manuales!$G$22*(datos_base!$H$5+IF(parametros_manuales!$H$22="Todos",datos_base!$H$12,0))*parametros_manuales!$G$110+parametros_manuales!$G$22*(datos_base!$H$21+IF(parametros_manuales!$H$22="Todos",datos_base!$H$26,0))*parametros_manuales!$G$15)*parametros_manuales!$I$22*parametros_manuales!$J$22</f>
        <v>24391.51884275</v>
      </c>
      <c r="H167" s="9" t="n">
        <f aca="false">(parametros_manuales!$D$22*(datos_base!$H$2+IF(parametros_manuales!$H$22="Todos",datos_base!$H$9,0))*parametros_manuales!$H$95+parametros_manuales!$D$22*(datos_base!$H$18+IF(parametros_manuales!$H$22="Todos",datos_base!$H$23,0))*parametros_manuales!$H$12+parametros_manuales!$E$22*(datos_base!$H$3+IF(parametros_manuales!$H$22="Todos",datos_base!$H$10,0))*parametros_manuales!$H$100+parametros_manuales!$E$22*(datos_base!$H$19+IF(parametros_manuales!$H$22="Todos",datos_base!$H$24,0))*parametros_manuales!$H$13+parametros_manuales!$F$22*(datos_base!$H$4+IF(parametros_manuales!$H$22="Todos",datos_base!$H$11,0))*parametros_manuales!$H$105+parametros_manuales!$F$22*(datos_base!$H$20+IF(parametros_manuales!$H$22="Todos",datos_base!$H$25,0))*parametros_manuales!$H$14+parametros_manuales!$G$22*(datos_base!$H$5+IF(parametros_manuales!$H$22="Todos",datos_base!$H$12,0))*parametros_manuales!$H$110+parametros_manuales!$G$22*(datos_base!$H$21+IF(parametros_manuales!$H$22="Todos",datos_base!$H$26,0))*parametros_manuales!$H$15)*parametros_manuales!$I$22*parametros_manuales!$J$22</f>
        <v>26098.73553444</v>
      </c>
      <c r="I167" s="9" t="n">
        <f aca="false">(parametros_manuales!$D$22*(datos_base!$H$2+IF(parametros_manuales!$H$22="Todos",datos_base!$H$9,0))*parametros_manuales!$I$95+parametros_manuales!$D$22*(datos_base!$H$18+IF(parametros_manuales!$H$22="Todos",datos_base!$H$23,0))*parametros_manuales!$I$12+parametros_manuales!$E$22*(datos_base!$H$3+IF(parametros_manuales!$H$22="Todos",datos_base!$H$10,0))*parametros_manuales!$I$100+parametros_manuales!$E$22*(datos_base!$H$19+IF(parametros_manuales!$H$22="Todos",datos_base!$H$24,0))*parametros_manuales!$I$13+parametros_manuales!$F$22*(datos_base!$H$4+IF(parametros_manuales!$H$22="Todos",datos_base!$H$11,0))*parametros_manuales!$I$105+parametros_manuales!$F$22*(datos_base!$H$20+IF(parametros_manuales!$H$22="Todos",datos_base!$H$25,0))*parametros_manuales!$I$14+parametros_manuales!$G$22*(datos_base!$H$5+IF(parametros_manuales!$H$22="Todos",datos_base!$H$12,0))*parametros_manuales!$I$110+parametros_manuales!$G$22*(datos_base!$H$21+IF(parametros_manuales!$H$22="Todos",datos_base!$H$26,0))*parametros_manuales!$I$15)*parametros_manuales!$I$22*parametros_manuales!$J$22</f>
        <v>29748.93013224</v>
      </c>
      <c r="J167" s="9" t="n">
        <f aca="false">(parametros_manuales!$D$22*(datos_base!$H$2+IF(parametros_manuales!$H$22="Todos",datos_base!$H$9,0))*parametros_manuales!$J$95+parametros_manuales!$D$22*(datos_base!$H$18+IF(parametros_manuales!$H$22="Todos",datos_base!$H$23,0))*parametros_manuales!$J$12+parametros_manuales!$E$22*(datos_base!$H$3+IF(parametros_manuales!$H$22="Todos",datos_base!$H$10,0))*parametros_manuales!$J$100+parametros_manuales!$E$22*(datos_base!$H$19+IF(parametros_manuales!$H$22="Todos",datos_base!$H$24,0))*parametros_manuales!$J$13+parametros_manuales!$F$22*(datos_base!$H$4+IF(parametros_manuales!$H$22="Todos",datos_base!$H$11,0))*parametros_manuales!$J$105+parametros_manuales!$F$22*(datos_base!$H$20+IF(parametros_manuales!$H$22="Todos",datos_base!$H$25,0))*parametros_manuales!$J$14+parametros_manuales!$G$22*(datos_base!$H$5+IF(parametros_manuales!$H$22="Todos",datos_base!$H$12,0))*parametros_manuales!$J$110+parametros_manuales!$G$22*(datos_base!$H$21+IF(parametros_manuales!$H$22="Todos",datos_base!$H$26,0))*parametros_manuales!$J$15)*parametros_manuales!$I$22*parametros_manuales!$J$22</f>
        <v>29748.93013224</v>
      </c>
      <c r="K167" s="9" t="n">
        <f aca="false">(parametros_manuales!$D$22*(datos_base!$H$2+IF(parametros_manuales!$H$22="Todos",datos_base!$H$9,0))*parametros_manuales!$K$95+parametros_manuales!$D$22*(datos_base!$H$18+IF(parametros_manuales!$H$22="Todos",datos_base!$H$23,0))*parametros_manuales!$K$12+parametros_manuales!$E$22*(datos_base!$H$3+IF(parametros_manuales!$H$22="Todos",datos_base!$H$10,0))*parametros_manuales!$K$100+parametros_manuales!$E$22*(datos_base!$H$19+IF(parametros_manuales!$H$22="Todos",datos_base!$H$24,0))*parametros_manuales!$K$13+parametros_manuales!$F$22*(datos_base!$H$4+IF(parametros_manuales!$H$22="Todos",datos_base!$H$11,0))*parametros_manuales!$K$105+parametros_manuales!$F$22*(datos_base!$H$20+IF(parametros_manuales!$H$22="Todos",datos_base!$H$25,0))*parametros_manuales!$K$14+parametros_manuales!$G$22*(datos_base!$H$5+IF(parametros_manuales!$H$22="Todos",datos_base!$H$12,0))*parametros_manuales!$K$110+parametros_manuales!$G$22*(datos_base!$H$21+IF(parametros_manuales!$H$22="Todos",datos_base!$H$26,0))*parametros_manuales!$K$15)*parametros_manuales!$I$22*parametros_manuales!$J$22</f>
        <v>30234.92969133</v>
      </c>
      <c r="L167" s="9" t="n">
        <f aca="false">(parametros_manuales!$D$22*(datos_base!$H$2+IF(parametros_manuales!$H$22="Todos",datos_base!$H$9,0))*parametros_manuales!$L$95+parametros_manuales!$D$22*(datos_base!$H$18+IF(parametros_manuales!$H$22="Todos",datos_base!$H$23,0))*parametros_manuales!$L$12+parametros_manuales!$E$22*(datos_base!$H$3+IF(parametros_manuales!$H$22="Todos",datos_base!$H$10,0))*parametros_manuales!$L$100+parametros_manuales!$E$22*(datos_base!$H$19+IF(parametros_manuales!$H$22="Todos",datos_base!$H$24,0))*parametros_manuales!$L$13+parametros_manuales!$F$22*(datos_base!$H$4+IF(parametros_manuales!$H$22="Todos",datos_base!$H$11,0))*parametros_manuales!$L$105+parametros_manuales!$F$22*(datos_base!$H$20+IF(parametros_manuales!$H$22="Todos",datos_base!$H$25,0))*parametros_manuales!$L$14+parametros_manuales!$G$22*(datos_base!$H$5+IF(parametros_manuales!$H$22="Todos",datos_base!$H$12,0))*parametros_manuales!$L$110+parametros_manuales!$G$22*(datos_base!$H$21+IF(parametros_manuales!$H$22="Todos",datos_base!$H$26,0))*parametros_manuales!$L$15)*parametros_manuales!$I$22*parametros_manuales!$J$22</f>
        <v>30720.92925042</v>
      </c>
      <c r="M167" s="9" t="n">
        <f aca="false">(parametros_manuales!$D$22*(datos_base!$H$2+IF(parametros_manuales!$H$22="Todos",datos_base!$H$9,0))*parametros_manuales!$M$95+parametros_manuales!$D$22*(datos_base!$H$18+IF(parametros_manuales!$H$22="Todos",datos_base!$H$23,0))*parametros_manuales!$M$12+parametros_manuales!$E$22*(datos_base!$H$3+IF(parametros_manuales!$H$22="Todos",datos_base!$H$10,0))*parametros_manuales!$M$100+parametros_manuales!$E$22*(datos_base!$H$19+IF(parametros_manuales!$H$22="Todos",datos_base!$H$24,0))*parametros_manuales!$M$13+parametros_manuales!$F$22*(datos_base!$H$4+IF(parametros_manuales!$H$22="Todos",datos_base!$H$11,0))*parametros_manuales!$M$105+parametros_manuales!$F$22*(datos_base!$H$20+IF(parametros_manuales!$H$22="Todos",datos_base!$H$25,0))*parametros_manuales!$M$14+parametros_manuales!$G$22*(datos_base!$H$5+IF(parametros_manuales!$H$22="Todos",datos_base!$H$12,0))*parametros_manuales!$M$110+parametros_manuales!$G$22*(datos_base!$H$21+IF(parametros_manuales!$H$22="Todos",datos_base!$H$26,0))*parametros_manuales!$M$15)*parametros_manuales!$I$22*parametros_manuales!$J$22</f>
        <v>30738.87165042</v>
      </c>
      <c r="N167" s="9" t="n">
        <f aca="false">SUM(B167:M167)</f>
        <v>341443.338338</v>
      </c>
      <c r="O167" s="9" t="n">
        <f aca="false">MAX(B167:M167)</f>
        <v>30738.87165042</v>
      </c>
      <c r="P167" s="44" t="n">
        <f aca="false">O167/(parametros_manuales!$B$7)</f>
        <v>204.9258110028</v>
      </c>
      <c r="Q167" s="8" t="str">
        <f aca="false">IF(O167=0,"-",INDEX($B$163:$M$163,MATCH(O167,B167:M167,0)))</f>
        <v>Dic</v>
      </c>
    </row>
    <row r="168" customFormat="false" ht="14.25" hidden="false" customHeight="true" outlineLevel="0" collapsed="false">
      <c r="A168" s="8" t="str">
        <f aca="false">parametros_manuales!$B$23</f>
        <v>Preparación de cuello</v>
      </c>
      <c r="B168" s="9" t="n">
        <f aca="false">(parametros_manuales!$D$23*(datos_base!$H$2+IF(parametros_manuales!$H$23="Todos",datos_base!$H$9,0))*parametros_manuales!$B$95+parametros_manuales!$D$23*(datos_base!$H$18+IF(parametros_manuales!$H$23="Todos",datos_base!$H$23,0))*parametros_manuales!$B$12+parametros_manuales!$E$23*(datos_base!$H$3+IF(parametros_manuales!$H$23="Todos",datos_base!$H$10,0))*parametros_manuales!$B$100+parametros_manuales!$E$23*(datos_base!$H$19+IF(parametros_manuales!$H$23="Todos",datos_base!$H$24,0))*parametros_manuales!$B$13+parametros_manuales!$F$23*(datos_base!$H$4+IF(parametros_manuales!$H$23="Todos",datos_base!$H$11,0))*parametros_manuales!$B$105+parametros_manuales!$F$23*(datos_base!$H$20+IF(parametros_manuales!$H$23="Todos",datos_base!$H$25,0))*parametros_manuales!$B$14+parametros_manuales!$G$23*(datos_base!$H$5+IF(parametros_manuales!$H$23="Todos",datos_base!$H$12,0))*parametros_manuales!$B$110+parametros_manuales!$G$23*(datos_base!$H$21+IF(parametros_manuales!$H$23="Todos",datos_base!$H$26,0))*parametros_manuales!$B$15)*parametros_manuales!$I$23*parametros_manuales!$J$23</f>
        <v>15367.19302521</v>
      </c>
      <c r="C168" s="9" t="n">
        <f aca="false">(parametros_manuales!$D$23*(datos_base!$H$2+IF(parametros_manuales!$H$23="Todos",datos_base!$H$9,0))*parametros_manuales!$C$95+parametros_manuales!$D$23*(datos_base!$H$18+IF(parametros_manuales!$H$23="Todos",datos_base!$H$23,0))*parametros_manuales!$C$12+parametros_manuales!$E$23*(datos_base!$H$3+IF(parametros_manuales!$H$23="Todos",datos_base!$H$10,0))*parametros_manuales!$C$100+parametros_manuales!$E$23*(datos_base!$H$19+IF(parametros_manuales!$H$23="Todos",datos_base!$H$24,0))*parametros_manuales!$C$13+parametros_manuales!$F$23*(datos_base!$H$4+IF(parametros_manuales!$H$23="Todos",datos_base!$H$11,0))*parametros_manuales!$C$105+parametros_manuales!$F$23*(datos_base!$H$20+IF(parametros_manuales!$H$23="Todos",datos_base!$H$25,0))*parametros_manuales!$C$14+parametros_manuales!$G$23*(datos_base!$H$5+IF(parametros_manuales!$H$23="Todos",datos_base!$H$12,0))*parametros_manuales!$C$110+parametros_manuales!$G$23*(datos_base!$H$21+IF(parametros_manuales!$H$23="Todos",datos_base!$H$26,0))*parametros_manuales!$C$15)*parametros_manuales!$I$23*parametros_manuales!$J$23</f>
        <v>14874.46506612</v>
      </c>
      <c r="D168" s="9" t="n">
        <f aca="false">(parametros_manuales!$D$23*(datos_base!$H$2+IF(parametros_manuales!$H$23="Todos",datos_base!$H$9,0))*parametros_manuales!$D$95+parametros_manuales!$D$23*(datos_base!$H$18+IF(parametros_manuales!$H$23="Todos",datos_base!$H$23,0))*parametros_manuales!$D$12+parametros_manuales!$E$23*(datos_base!$H$3+IF(parametros_manuales!$H$23="Todos",datos_base!$H$10,0))*parametros_manuales!$D$100+parametros_manuales!$E$23*(datos_base!$H$19+IF(parametros_manuales!$H$23="Todos",datos_base!$H$24,0))*parametros_manuales!$D$13+parametros_manuales!$F$23*(datos_base!$H$4+IF(parametros_manuales!$H$23="Todos",datos_base!$H$11,0))*parametros_manuales!$D$105+parametros_manuales!$F$23*(datos_base!$H$20+IF(parametros_manuales!$H$23="Todos",datos_base!$H$25,0))*parametros_manuales!$D$14+parametros_manuales!$G$23*(datos_base!$H$5+IF(parametros_manuales!$H$23="Todos",datos_base!$H$12,0))*parametros_manuales!$D$110+parametros_manuales!$G$23*(datos_base!$H$21+IF(parametros_manuales!$H$23="Todos",datos_base!$H$26,0))*parametros_manuales!$D$15)*parametros_manuales!$I$23*parametros_manuales!$J$23</f>
        <v>13902.976113065</v>
      </c>
      <c r="E168" s="9" t="n">
        <f aca="false">(parametros_manuales!$D$23*(datos_base!$H$2+IF(parametros_manuales!$H$23="Todos",datos_base!$H$9,0))*parametros_manuales!$E$95+parametros_manuales!$D$23*(datos_base!$H$18+IF(parametros_manuales!$H$23="Todos",datos_base!$H$23,0))*parametros_manuales!$E$12+parametros_manuales!$E$23*(datos_base!$H$3+IF(parametros_manuales!$H$23="Todos",datos_base!$H$10,0))*parametros_manuales!$E$100+parametros_manuales!$E$23*(datos_base!$H$19+IF(parametros_manuales!$H$23="Todos",datos_base!$H$24,0))*parametros_manuales!$E$13+parametros_manuales!$F$23*(datos_base!$H$4+IF(parametros_manuales!$H$23="Todos",datos_base!$H$11,0))*parametros_manuales!$E$105+parametros_manuales!$F$23*(datos_base!$H$20+IF(parametros_manuales!$H$23="Todos",datos_base!$H$25,0))*parametros_manuales!$E$14+parametros_manuales!$G$23*(datos_base!$H$5+IF(parametros_manuales!$H$23="Todos",datos_base!$H$12,0))*parametros_manuales!$E$110+parametros_manuales!$G$23*(datos_base!$H$21+IF(parametros_manuales!$H$23="Todos",datos_base!$H$26,0))*parametros_manuales!$E$15)*parametros_manuales!$I$23*parametros_manuales!$J$23</f>
        <v>13294.610346765</v>
      </c>
      <c r="F168" s="9" t="n">
        <f aca="false">(parametros_manuales!$D$23*(datos_base!$H$2+IF(parametros_manuales!$H$23="Todos",datos_base!$H$9,0))*parametros_manuales!$F$95+parametros_manuales!$D$23*(datos_base!$H$18+IF(parametros_manuales!$H$23="Todos",datos_base!$H$23,0))*parametros_manuales!$F$12+parametros_manuales!$E$23*(datos_base!$H$3+IF(parametros_manuales!$H$23="Todos",datos_base!$H$10,0))*parametros_manuales!$F$100+parametros_manuales!$E$23*(datos_base!$H$19+IF(parametros_manuales!$H$23="Todos",datos_base!$H$24,0))*parametros_manuales!$F$13+parametros_manuales!$F$23*(datos_base!$H$4+IF(parametros_manuales!$H$23="Todos",datos_base!$H$11,0))*parametros_manuales!$F$105+parametros_manuales!$F$23*(datos_base!$H$20+IF(parametros_manuales!$H$23="Todos",datos_base!$H$25,0))*parametros_manuales!$F$14+parametros_manuales!$G$23*(datos_base!$H$5+IF(parametros_manuales!$H$23="Todos",datos_base!$H$12,0))*parametros_manuales!$F$110+parametros_manuales!$G$23*(datos_base!$H$21+IF(parametros_manuales!$H$23="Todos",datos_base!$H$26,0))*parametros_manuales!$F$15)*parametros_manuales!$I$23*parametros_manuales!$J$23</f>
        <v>12441.00200092</v>
      </c>
      <c r="G168" s="9" t="n">
        <f aca="false">(parametros_manuales!$D$23*(datos_base!$H$2+IF(parametros_manuales!$H$23="Todos",datos_base!$H$9,0))*parametros_manuales!$G$95+parametros_manuales!$D$23*(datos_base!$H$18+IF(parametros_manuales!$H$23="Todos",datos_base!$H$23,0))*parametros_manuales!$G$12+parametros_manuales!$E$23*(datos_base!$H$3+IF(parametros_manuales!$H$23="Todos",datos_base!$H$10,0))*parametros_manuales!$G$100+parametros_manuales!$E$23*(datos_base!$H$19+IF(parametros_manuales!$H$23="Todos",datos_base!$H$24,0))*parametros_manuales!$G$13+parametros_manuales!$F$23*(datos_base!$H$4+IF(parametros_manuales!$H$23="Todos",datos_base!$H$11,0))*parametros_manuales!$G$105+parametros_manuales!$F$23*(datos_base!$H$20+IF(parametros_manuales!$H$23="Todos",datos_base!$H$25,0))*parametros_manuales!$G$14+parametros_manuales!$G$23*(datos_base!$H$5+IF(parametros_manuales!$H$23="Todos",datos_base!$H$12,0))*parametros_manuales!$G$110+parametros_manuales!$G$23*(datos_base!$H$21+IF(parametros_manuales!$H$23="Todos",datos_base!$H$26,0))*parametros_manuales!$G$15)*parametros_manuales!$I$23*parametros_manuales!$J$23</f>
        <v>12195.759421375</v>
      </c>
      <c r="H168" s="9" t="n">
        <f aca="false">(parametros_manuales!$D$23*(datos_base!$H$2+IF(parametros_manuales!$H$23="Todos",datos_base!$H$9,0))*parametros_manuales!$H$95+parametros_manuales!$D$23*(datos_base!$H$18+IF(parametros_manuales!$H$23="Todos",datos_base!$H$23,0))*parametros_manuales!$H$12+parametros_manuales!$E$23*(datos_base!$H$3+IF(parametros_manuales!$H$23="Todos",datos_base!$H$10,0))*parametros_manuales!$H$100+parametros_manuales!$E$23*(datos_base!$H$19+IF(parametros_manuales!$H$23="Todos",datos_base!$H$24,0))*parametros_manuales!$H$13+parametros_manuales!$F$23*(datos_base!$H$4+IF(parametros_manuales!$H$23="Todos",datos_base!$H$11,0))*parametros_manuales!$H$105+parametros_manuales!$F$23*(datos_base!$H$20+IF(parametros_manuales!$H$23="Todos",datos_base!$H$25,0))*parametros_manuales!$H$14+parametros_manuales!$G$23*(datos_base!$H$5+IF(parametros_manuales!$H$23="Todos",datos_base!$H$12,0))*parametros_manuales!$H$110+parametros_manuales!$G$23*(datos_base!$H$21+IF(parametros_manuales!$H$23="Todos",datos_base!$H$26,0))*parametros_manuales!$H$15)*parametros_manuales!$I$23*parametros_manuales!$J$23</f>
        <v>13049.36776722</v>
      </c>
      <c r="I168" s="9" t="n">
        <f aca="false">(parametros_manuales!$D$23*(datos_base!$H$2+IF(parametros_manuales!$H$23="Todos",datos_base!$H$9,0))*parametros_manuales!$I$95+parametros_manuales!$D$23*(datos_base!$H$18+IF(parametros_manuales!$H$23="Todos",datos_base!$H$23,0))*parametros_manuales!$I$12+parametros_manuales!$E$23*(datos_base!$H$3+IF(parametros_manuales!$H$23="Todos",datos_base!$H$10,0))*parametros_manuales!$I$100+parametros_manuales!$E$23*(datos_base!$H$19+IF(parametros_manuales!$H$23="Todos",datos_base!$H$24,0))*parametros_manuales!$I$13+parametros_manuales!$F$23*(datos_base!$H$4+IF(parametros_manuales!$H$23="Todos",datos_base!$H$11,0))*parametros_manuales!$I$105+parametros_manuales!$F$23*(datos_base!$H$20+IF(parametros_manuales!$H$23="Todos",datos_base!$H$25,0))*parametros_manuales!$I$14+parametros_manuales!$G$23*(datos_base!$H$5+IF(parametros_manuales!$H$23="Todos",datos_base!$H$12,0))*parametros_manuales!$I$110+parametros_manuales!$G$23*(datos_base!$H$21+IF(parametros_manuales!$H$23="Todos",datos_base!$H$26,0))*parametros_manuales!$I$15)*parametros_manuales!$I$23*parametros_manuales!$J$23</f>
        <v>14874.46506612</v>
      </c>
      <c r="J168" s="9" t="n">
        <f aca="false">(parametros_manuales!$D$23*(datos_base!$H$2+IF(parametros_manuales!$H$23="Todos",datos_base!$H$9,0))*parametros_manuales!$J$95+parametros_manuales!$D$23*(datos_base!$H$18+IF(parametros_manuales!$H$23="Todos",datos_base!$H$23,0))*parametros_manuales!$J$12+parametros_manuales!$E$23*(datos_base!$H$3+IF(parametros_manuales!$H$23="Todos",datos_base!$H$10,0))*parametros_manuales!$J$100+parametros_manuales!$E$23*(datos_base!$H$19+IF(parametros_manuales!$H$23="Todos",datos_base!$H$24,0))*parametros_manuales!$J$13+parametros_manuales!$F$23*(datos_base!$H$4+IF(parametros_manuales!$H$23="Todos",datos_base!$H$11,0))*parametros_manuales!$J$105+parametros_manuales!$F$23*(datos_base!$H$20+IF(parametros_manuales!$H$23="Todos",datos_base!$H$25,0))*parametros_manuales!$J$14+parametros_manuales!$G$23*(datos_base!$H$5+IF(parametros_manuales!$H$23="Todos",datos_base!$H$12,0))*parametros_manuales!$J$110+parametros_manuales!$G$23*(datos_base!$H$21+IF(parametros_manuales!$H$23="Todos",datos_base!$H$26,0))*parametros_manuales!$J$15)*parametros_manuales!$I$23*parametros_manuales!$J$23</f>
        <v>14874.46506612</v>
      </c>
      <c r="K168" s="9" t="n">
        <f aca="false">(parametros_manuales!$D$23*(datos_base!$H$2+IF(parametros_manuales!$H$23="Todos",datos_base!$H$9,0))*parametros_manuales!$K$95+parametros_manuales!$D$23*(datos_base!$H$18+IF(parametros_manuales!$H$23="Todos",datos_base!$H$23,0))*parametros_manuales!$K$12+parametros_manuales!$E$23*(datos_base!$H$3+IF(parametros_manuales!$H$23="Todos",datos_base!$H$10,0))*parametros_manuales!$K$100+parametros_manuales!$E$23*(datos_base!$H$19+IF(parametros_manuales!$H$23="Todos",datos_base!$H$24,0))*parametros_manuales!$K$13+parametros_manuales!$F$23*(datos_base!$H$4+IF(parametros_manuales!$H$23="Todos",datos_base!$H$11,0))*parametros_manuales!$K$105+parametros_manuales!$F$23*(datos_base!$H$20+IF(parametros_manuales!$H$23="Todos",datos_base!$H$25,0))*parametros_manuales!$K$14+parametros_manuales!$G$23*(datos_base!$H$5+IF(parametros_manuales!$H$23="Todos",datos_base!$H$12,0))*parametros_manuales!$K$110+parametros_manuales!$G$23*(datos_base!$H$21+IF(parametros_manuales!$H$23="Todos",datos_base!$H$26,0))*parametros_manuales!$K$15)*parametros_manuales!$I$23*parametros_manuales!$J$23</f>
        <v>15117.464845665</v>
      </c>
      <c r="L168" s="9" t="n">
        <f aca="false">(parametros_manuales!$D$23*(datos_base!$H$2+IF(parametros_manuales!$H$23="Todos",datos_base!$H$9,0))*parametros_manuales!$L$95+parametros_manuales!$D$23*(datos_base!$H$18+IF(parametros_manuales!$H$23="Todos",datos_base!$H$23,0))*parametros_manuales!$L$12+parametros_manuales!$E$23*(datos_base!$H$3+IF(parametros_manuales!$H$23="Todos",datos_base!$H$10,0))*parametros_manuales!$L$100+parametros_manuales!$E$23*(datos_base!$H$19+IF(parametros_manuales!$H$23="Todos",datos_base!$H$24,0))*parametros_manuales!$L$13+parametros_manuales!$F$23*(datos_base!$H$4+IF(parametros_manuales!$H$23="Todos",datos_base!$H$11,0))*parametros_manuales!$L$105+parametros_manuales!$F$23*(datos_base!$H$20+IF(parametros_manuales!$H$23="Todos",datos_base!$H$25,0))*parametros_manuales!$L$14+parametros_manuales!$G$23*(datos_base!$H$5+IF(parametros_manuales!$H$23="Todos",datos_base!$H$12,0))*parametros_manuales!$L$110+parametros_manuales!$G$23*(datos_base!$H$21+IF(parametros_manuales!$H$23="Todos",datos_base!$H$26,0))*parametros_manuales!$L$15)*parametros_manuales!$I$23*parametros_manuales!$J$23</f>
        <v>15360.46462521</v>
      </c>
      <c r="M168" s="9" t="n">
        <f aca="false">(parametros_manuales!$D$23*(datos_base!$H$2+IF(parametros_manuales!$H$23="Todos",datos_base!$H$9,0))*parametros_manuales!$M$95+parametros_manuales!$D$23*(datos_base!$H$18+IF(parametros_manuales!$H$23="Todos",datos_base!$H$23,0))*parametros_manuales!$M$12+parametros_manuales!$E$23*(datos_base!$H$3+IF(parametros_manuales!$H$23="Todos",datos_base!$H$10,0))*parametros_manuales!$M$100+parametros_manuales!$E$23*(datos_base!$H$19+IF(parametros_manuales!$H$23="Todos",datos_base!$H$24,0))*parametros_manuales!$M$13+parametros_manuales!$F$23*(datos_base!$H$4+IF(parametros_manuales!$H$23="Todos",datos_base!$H$11,0))*parametros_manuales!$M$105+parametros_manuales!$F$23*(datos_base!$H$20+IF(parametros_manuales!$H$23="Todos",datos_base!$H$25,0))*parametros_manuales!$M$14+parametros_manuales!$G$23*(datos_base!$H$5+IF(parametros_manuales!$H$23="Todos",datos_base!$H$12,0))*parametros_manuales!$M$110+parametros_manuales!$G$23*(datos_base!$H$21+IF(parametros_manuales!$H$23="Todos",datos_base!$H$26,0))*parametros_manuales!$M$15)*parametros_manuales!$I$23*parametros_manuales!$J$23</f>
        <v>15369.43582521</v>
      </c>
      <c r="N168" s="9" t="n">
        <f aca="false">SUM(B168:M168)</f>
        <v>170721.669169</v>
      </c>
      <c r="O168" s="9" t="n">
        <f aca="false">MAX(B168:M168)</f>
        <v>15369.43582521</v>
      </c>
      <c r="P168" s="44" t="n">
        <f aca="false">O168/(parametros_manuales!$B$7)</f>
        <v>102.4629055014</v>
      </c>
      <c r="Q168" s="8" t="str">
        <f aca="false">IF(O168=0,"-",INDEX($B$163:$M$163,MATCH(O168,B168:M168,0)))</f>
        <v>Dic</v>
      </c>
    </row>
    <row r="169" customFormat="false" ht="14.25" hidden="false" customHeight="true" outlineLevel="0" collapsed="false">
      <c r="A169" s="8" t="str">
        <f aca="false">parametros_manuales!$B$24</f>
        <v>Numerado de cúpula</v>
      </c>
      <c r="B169" s="9" t="n">
        <f aca="false">(parametros_manuales!$D$24*(datos_base!$H$2+IF(parametros_manuales!$H$24="Todos",datos_base!$H$9,0))*parametros_manuales!$B$95+parametros_manuales!$D$24*(datos_base!$H$18+IF(parametros_manuales!$H$24="Todos",datos_base!$H$23,0))*parametros_manuales!$B$12+parametros_manuales!$E$24*(datos_base!$H$3+IF(parametros_manuales!$H$24="Todos",datos_base!$H$10,0))*parametros_manuales!$B$100+parametros_manuales!$E$24*(datos_base!$H$19+IF(parametros_manuales!$H$24="Todos",datos_base!$H$24,0))*parametros_manuales!$B$13+parametros_manuales!$F$24*(datos_base!$H$4+IF(parametros_manuales!$H$24="Todos",datos_base!$H$11,0))*parametros_manuales!$B$105+parametros_manuales!$F$24*(datos_base!$H$20+IF(parametros_manuales!$H$24="Todos",datos_base!$H$25,0))*parametros_manuales!$B$14+parametros_manuales!$G$24*(datos_base!$H$5+IF(parametros_manuales!$H$24="Todos",datos_base!$H$12,0))*parametros_manuales!$B$110+parametros_manuales!$G$24*(datos_base!$H$21+IF(parametros_manuales!$H$24="Todos",datos_base!$H$26,0))*parametros_manuales!$B$15)*parametros_manuales!$I$24*parametros_manuales!$J$24</f>
        <v>15367.19302521</v>
      </c>
      <c r="C169" s="9" t="n">
        <f aca="false">(parametros_manuales!$D$24*(datos_base!$H$2+IF(parametros_manuales!$H$24="Todos",datos_base!$H$9,0))*parametros_manuales!$C$95+parametros_manuales!$D$24*(datos_base!$H$18+IF(parametros_manuales!$H$24="Todos",datos_base!$H$23,0))*parametros_manuales!$C$12+parametros_manuales!$E$24*(datos_base!$H$3+IF(parametros_manuales!$H$24="Todos",datos_base!$H$10,0))*parametros_manuales!$C$100+parametros_manuales!$E$24*(datos_base!$H$19+IF(parametros_manuales!$H$24="Todos",datos_base!$H$24,0))*parametros_manuales!$C$13+parametros_manuales!$F$24*(datos_base!$H$4+IF(parametros_manuales!$H$24="Todos",datos_base!$H$11,0))*parametros_manuales!$C$105+parametros_manuales!$F$24*(datos_base!$H$20+IF(parametros_manuales!$H$24="Todos",datos_base!$H$25,0))*parametros_manuales!$C$14+parametros_manuales!$G$24*(datos_base!$H$5+IF(parametros_manuales!$H$24="Todos",datos_base!$H$12,0))*parametros_manuales!$C$110+parametros_manuales!$G$24*(datos_base!$H$21+IF(parametros_manuales!$H$24="Todos",datos_base!$H$26,0))*parametros_manuales!$C$15)*parametros_manuales!$I$24*parametros_manuales!$J$24</f>
        <v>14874.46506612</v>
      </c>
      <c r="D169" s="9" t="n">
        <f aca="false">(parametros_manuales!$D$24*(datos_base!$H$2+IF(parametros_manuales!$H$24="Todos",datos_base!$H$9,0))*parametros_manuales!$D$95+parametros_manuales!$D$24*(datos_base!$H$18+IF(parametros_manuales!$H$24="Todos",datos_base!$H$23,0))*parametros_manuales!$D$12+parametros_manuales!$E$24*(datos_base!$H$3+IF(parametros_manuales!$H$24="Todos",datos_base!$H$10,0))*parametros_manuales!$D$100+parametros_manuales!$E$24*(datos_base!$H$19+IF(parametros_manuales!$H$24="Todos",datos_base!$H$24,0))*parametros_manuales!$D$13+parametros_manuales!$F$24*(datos_base!$H$4+IF(parametros_manuales!$H$24="Todos",datos_base!$H$11,0))*parametros_manuales!$D$105+parametros_manuales!$F$24*(datos_base!$H$20+IF(parametros_manuales!$H$24="Todos",datos_base!$H$25,0))*parametros_manuales!$D$14+parametros_manuales!$G$24*(datos_base!$H$5+IF(parametros_manuales!$H$24="Todos",datos_base!$H$12,0))*parametros_manuales!$D$110+parametros_manuales!$G$24*(datos_base!$H$21+IF(parametros_manuales!$H$24="Todos",datos_base!$H$26,0))*parametros_manuales!$D$15)*parametros_manuales!$I$24*parametros_manuales!$J$24</f>
        <v>13902.976113065</v>
      </c>
      <c r="E169" s="9" t="n">
        <f aca="false">(parametros_manuales!$D$24*(datos_base!$H$2+IF(parametros_manuales!$H$24="Todos",datos_base!$H$9,0))*parametros_manuales!$E$95+parametros_manuales!$D$24*(datos_base!$H$18+IF(parametros_manuales!$H$24="Todos",datos_base!$H$23,0))*parametros_manuales!$E$12+parametros_manuales!$E$24*(datos_base!$H$3+IF(parametros_manuales!$H$24="Todos",datos_base!$H$10,0))*parametros_manuales!$E$100+parametros_manuales!$E$24*(datos_base!$H$19+IF(parametros_manuales!$H$24="Todos",datos_base!$H$24,0))*parametros_manuales!$E$13+parametros_manuales!$F$24*(datos_base!$H$4+IF(parametros_manuales!$H$24="Todos",datos_base!$H$11,0))*parametros_manuales!$E$105+parametros_manuales!$F$24*(datos_base!$H$20+IF(parametros_manuales!$H$24="Todos",datos_base!$H$25,0))*parametros_manuales!$E$14+parametros_manuales!$G$24*(datos_base!$H$5+IF(parametros_manuales!$H$24="Todos",datos_base!$H$12,0))*parametros_manuales!$E$110+parametros_manuales!$G$24*(datos_base!$H$21+IF(parametros_manuales!$H$24="Todos",datos_base!$H$26,0))*parametros_manuales!$E$15)*parametros_manuales!$I$24*parametros_manuales!$J$24</f>
        <v>13294.610346765</v>
      </c>
      <c r="F169" s="9" t="n">
        <f aca="false">(parametros_manuales!$D$24*(datos_base!$H$2+IF(parametros_manuales!$H$24="Todos",datos_base!$H$9,0))*parametros_manuales!$F$95+parametros_manuales!$D$24*(datos_base!$H$18+IF(parametros_manuales!$H$24="Todos",datos_base!$H$23,0))*parametros_manuales!$F$12+parametros_manuales!$E$24*(datos_base!$H$3+IF(parametros_manuales!$H$24="Todos",datos_base!$H$10,0))*parametros_manuales!$F$100+parametros_manuales!$E$24*(datos_base!$H$19+IF(parametros_manuales!$H$24="Todos",datos_base!$H$24,0))*parametros_manuales!$F$13+parametros_manuales!$F$24*(datos_base!$H$4+IF(parametros_manuales!$H$24="Todos",datos_base!$H$11,0))*parametros_manuales!$F$105+parametros_manuales!$F$24*(datos_base!$H$20+IF(parametros_manuales!$H$24="Todos",datos_base!$H$25,0))*parametros_manuales!$F$14+parametros_manuales!$G$24*(datos_base!$H$5+IF(parametros_manuales!$H$24="Todos",datos_base!$H$12,0))*parametros_manuales!$F$110+parametros_manuales!$G$24*(datos_base!$H$21+IF(parametros_manuales!$H$24="Todos",datos_base!$H$26,0))*parametros_manuales!$F$15)*parametros_manuales!$I$24*parametros_manuales!$J$24</f>
        <v>12441.00200092</v>
      </c>
      <c r="G169" s="9" t="n">
        <f aca="false">(parametros_manuales!$D$24*(datos_base!$H$2+IF(parametros_manuales!$H$24="Todos",datos_base!$H$9,0))*parametros_manuales!$G$95+parametros_manuales!$D$24*(datos_base!$H$18+IF(parametros_manuales!$H$24="Todos",datos_base!$H$23,0))*parametros_manuales!$G$12+parametros_manuales!$E$24*(datos_base!$H$3+IF(parametros_manuales!$H$24="Todos",datos_base!$H$10,0))*parametros_manuales!$G$100+parametros_manuales!$E$24*(datos_base!$H$19+IF(parametros_manuales!$H$24="Todos",datos_base!$H$24,0))*parametros_manuales!$G$13+parametros_manuales!$F$24*(datos_base!$H$4+IF(parametros_manuales!$H$24="Todos",datos_base!$H$11,0))*parametros_manuales!$G$105+parametros_manuales!$F$24*(datos_base!$H$20+IF(parametros_manuales!$H$24="Todos",datos_base!$H$25,0))*parametros_manuales!$G$14+parametros_manuales!$G$24*(datos_base!$H$5+IF(parametros_manuales!$H$24="Todos",datos_base!$H$12,0))*parametros_manuales!$G$110+parametros_manuales!$G$24*(datos_base!$H$21+IF(parametros_manuales!$H$24="Todos",datos_base!$H$26,0))*parametros_manuales!$G$15)*parametros_manuales!$I$24*parametros_manuales!$J$24</f>
        <v>12195.759421375</v>
      </c>
      <c r="H169" s="9" t="n">
        <f aca="false">(parametros_manuales!$D$24*(datos_base!$H$2+IF(parametros_manuales!$H$24="Todos",datos_base!$H$9,0))*parametros_manuales!$H$95+parametros_manuales!$D$24*(datos_base!$H$18+IF(parametros_manuales!$H$24="Todos",datos_base!$H$23,0))*parametros_manuales!$H$12+parametros_manuales!$E$24*(datos_base!$H$3+IF(parametros_manuales!$H$24="Todos",datos_base!$H$10,0))*parametros_manuales!$H$100+parametros_manuales!$E$24*(datos_base!$H$19+IF(parametros_manuales!$H$24="Todos",datos_base!$H$24,0))*parametros_manuales!$H$13+parametros_manuales!$F$24*(datos_base!$H$4+IF(parametros_manuales!$H$24="Todos",datos_base!$H$11,0))*parametros_manuales!$H$105+parametros_manuales!$F$24*(datos_base!$H$20+IF(parametros_manuales!$H$24="Todos",datos_base!$H$25,0))*parametros_manuales!$H$14+parametros_manuales!$G$24*(datos_base!$H$5+IF(parametros_manuales!$H$24="Todos",datos_base!$H$12,0))*parametros_manuales!$H$110+parametros_manuales!$G$24*(datos_base!$H$21+IF(parametros_manuales!$H$24="Todos",datos_base!$H$26,0))*parametros_manuales!$H$15)*parametros_manuales!$I$24*parametros_manuales!$J$24</f>
        <v>13049.36776722</v>
      </c>
      <c r="I169" s="9" t="n">
        <f aca="false">(parametros_manuales!$D$24*(datos_base!$H$2+IF(parametros_manuales!$H$24="Todos",datos_base!$H$9,0))*parametros_manuales!$I$95+parametros_manuales!$D$24*(datos_base!$H$18+IF(parametros_manuales!$H$24="Todos",datos_base!$H$23,0))*parametros_manuales!$I$12+parametros_manuales!$E$24*(datos_base!$H$3+IF(parametros_manuales!$H$24="Todos",datos_base!$H$10,0))*parametros_manuales!$I$100+parametros_manuales!$E$24*(datos_base!$H$19+IF(parametros_manuales!$H$24="Todos",datos_base!$H$24,0))*parametros_manuales!$I$13+parametros_manuales!$F$24*(datos_base!$H$4+IF(parametros_manuales!$H$24="Todos",datos_base!$H$11,0))*parametros_manuales!$I$105+parametros_manuales!$F$24*(datos_base!$H$20+IF(parametros_manuales!$H$24="Todos",datos_base!$H$25,0))*parametros_manuales!$I$14+parametros_manuales!$G$24*(datos_base!$H$5+IF(parametros_manuales!$H$24="Todos",datos_base!$H$12,0))*parametros_manuales!$I$110+parametros_manuales!$G$24*(datos_base!$H$21+IF(parametros_manuales!$H$24="Todos",datos_base!$H$26,0))*parametros_manuales!$I$15)*parametros_manuales!$I$24*parametros_manuales!$J$24</f>
        <v>14874.46506612</v>
      </c>
      <c r="J169" s="9" t="n">
        <f aca="false">(parametros_manuales!$D$24*(datos_base!$H$2+IF(parametros_manuales!$H$24="Todos",datos_base!$H$9,0))*parametros_manuales!$J$95+parametros_manuales!$D$24*(datos_base!$H$18+IF(parametros_manuales!$H$24="Todos",datos_base!$H$23,0))*parametros_manuales!$J$12+parametros_manuales!$E$24*(datos_base!$H$3+IF(parametros_manuales!$H$24="Todos",datos_base!$H$10,0))*parametros_manuales!$J$100+parametros_manuales!$E$24*(datos_base!$H$19+IF(parametros_manuales!$H$24="Todos",datos_base!$H$24,0))*parametros_manuales!$J$13+parametros_manuales!$F$24*(datos_base!$H$4+IF(parametros_manuales!$H$24="Todos",datos_base!$H$11,0))*parametros_manuales!$J$105+parametros_manuales!$F$24*(datos_base!$H$20+IF(parametros_manuales!$H$24="Todos",datos_base!$H$25,0))*parametros_manuales!$J$14+parametros_manuales!$G$24*(datos_base!$H$5+IF(parametros_manuales!$H$24="Todos",datos_base!$H$12,0))*parametros_manuales!$J$110+parametros_manuales!$G$24*(datos_base!$H$21+IF(parametros_manuales!$H$24="Todos",datos_base!$H$26,0))*parametros_manuales!$J$15)*parametros_manuales!$I$24*parametros_manuales!$J$24</f>
        <v>14874.46506612</v>
      </c>
      <c r="K169" s="9" t="n">
        <f aca="false">(parametros_manuales!$D$24*(datos_base!$H$2+IF(parametros_manuales!$H$24="Todos",datos_base!$H$9,0))*parametros_manuales!$K$95+parametros_manuales!$D$24*(datos_base!$H$18+IF(parametros_manuales!$H$24="Todos",datos_base!$H$23,0))*parametros_manuales!$K$12+parametros_manuales!$E$24*(datos_base!$H$3+IF(parametros_manuales!$H$24="Todos",datos_base!$H$10,0))*parametros_manuales!$K$100+parametros_manuales!$E$24*(datos_base!$H$19+IF(parametros_manuales!$H$24="Todos",datos_base!$H$24,0))*parametros_manuales!$K$13+parametros_manuales!$F$24*(datos_base!$H$4+IF(parametros_manuales!$H$24="Todos",datos_base!$H$11,0))*parametros_manuales!$K$105+parametros_manuales!$F$24*(datos_base!$H$20+IF(parametros_manuales!$H$24="Todos",datos_base!$H$25,0))*parametros_manuales!$K$14+parametros_manuales!$G$24*(datos_base!$H$5+IF(parametros_manuales!$H$24="Todos",datos_base!$H$12,0))*parametros_manuales!$K$110+parametros_manuales!$G$24*(datos_base!$H$21+IF(parametros_manuales!$H$24="Todos",datos_base!$H$26,0))*parametros_manuales!$K$15)*parametros_manuales!$I$24*parametros_manuales!$J$24</f>
        <v>15117.464845665</v>
      </c>
      <c r="L169" s="9" t="n">
        <f aca="false">(parametros_manuales!$D$24*(datos_base!$H$2+IF(parametros_manuales!$H$24="Todos",datos_base!$H$9,0))*parametros_manuales!$L$95+parametros_manuales!$D$24*(datos_base!$H$18+IF(parametros_manuales!$H$24="Todos",datos_base!$H$23,0))*parametros_manuales!$L$12+parametros_manuales!$E$24*(datos_base!$H$3+IF(parametros_manuales!$H$24="Todos",datos_base!$H$10,0))*parametros_manuales!$L$100+parametros_manuales!$E$24*(datos_base!$H$19+IF(parametros_manuales!$H$24="Todos",datos_base!$H$24,0))*parametros_manuales!$L$13+parametros_manuales!$F$24*(datos_base!$H$4+IF(parametros_manuales!$H$24="Todos",datos_base!$H$11,0))*parametros_manuales!$L$105+parametros_manuales!$F$24*(datos_base!$H$20+IF(parametros_manuales!$H$24="Todos",datos_base!$H$25,0))*parametros_manuales!$L$14+parametros_manuales!$G$24*(datos_base!$H$5+IF(parametros_manuales!$H$24="Todos",datos_base!$H$12,0))*parametros_manuales!$L$110+parametros_manuales!$G$24*(datos_base!$H$21+IF(parametros_manuales!$H$24="Todos",datos_base!$H$26,0))*parametros_manuales!$L$15)*parametros_manuales!$I$24*parametros_manuales!$J$24</f>
        <v>15360.46462521</v>
      </c>
      <c r="M169" s="9" t="n">
        <f aca="false">(parametros_manuales!$D$24*(datos_base!$H$2+IF(parametros_manuales!$H$24="Todos",datos_base!$H$9,0))*parametros_manuales!$M$95+parametros_manuales!$D$24*(datos_base!$H$18+IF(parametros_manuales!$H$24="Todos",datos_base!$H$23,0))*parametros_manuales!$M$12+parametros_manuales!$E$24*(datos_base!$H$3+IF(parametros_manuales!$H$24="Todos",datos_base!$H$10,0))*parametros_manuales!$M$100+parametros_manuales!$E$24*(datos_base!$H$19+IF(parametros_manuales!$H$24="Todos",datos_base!$H$24,0))*parametros_manuales!$M$13+parametros_manuales!$F$24*(datos_base!$H$4+IF(parametros_manuales!$H$24="Todos",datos_base!$H$11,0))*parametros_manuales!$M$105+parametros_manuales!$F$24*(datos_base!$H$20+IF(parametros_manuales!$H$24="Todos",datos_base!$H$25,0))*parametros_manuales!$M$14+parametros_manuales!$G$24*(datos_base!$H$5+IF(parametros_manuales!$H$24="Todos",datos_base!$H$12,0))*parametros_manuales!$M$110+parametros_manuales!$G$24*(datos_base!$H$21+IF(parametros_manuales!$H$24="Todos",datos_base!$H$26,0))*parametros_manuales!$M$15)*parametros_manuales!$I$24*parametros_manuales!$J$24</f>
        <v>15369.43582521</v>
      </c>
      <c r="N169" s="9" t="n">
        <f aca="false">SUM(B169:M169)</f>
        <v>170721.669169</v>
      </c>
      <c r="O169" s="9" t="n">
        <f aca="false">MAX(B169:M169)</f>
        <v>15369.43582521</v>
      </c>
      <c r="P169" s="44" t="n">
        <f aca="false">O169/(parametros_manuales!$B$7)</f>
        <v>102.4629055014</v>
      </c>
      <c r="Q169" s="8" t="str">
        <f aca="false">IF(O169=0,"-",INDEX($B$163:$M$163,MATCH(O169,B169:M169,0)))</f>
        <v>Dic</v>
      </c>
    </row>
    <row r="170" customFormat="false" ht="14.25" hidden="false" customHeight="true" outlineLevel="0" collapsed="false">
      <c r="A170" s="8" t="str">
        <f aca="false">parametros_manuales!$B$25</f>
        <v>Soldadura del cuello a la cúpula</v>
      </c>
      <c r="B170" s="9" t="n">
        <f aca="false">(parametros_manuales!$D$25*(datos_base!$H$2+IF(parametros_manuales!$H$25="Todos",datos_base!$H$9,0))*parametros_manuales!$B$95+parametros_manuales!$D$25*(datos_base!$H$18+IF(parametros_manuales!$H$25="Todos",datos_base!$H$23,0))*parametros_manuales!$B$12+parametros_manuales!$E$25*(datos_base!$H$3+IF(parametros_manuales!$H$25="Todos",datos_base!$H$10,0))*parametros_manuales!$B$100+parametros_manuales!$E$25*(datos_base!$H$19+IF(parametros_manuales!$H$25="Todos",datos_base!$H$24,0))*parametros_manuales!$B$13+parametros_manuales!$F$25*(datos_base!$H$4+IF(parametros_manuales!$H$25="Todos",datos_base!$H$11,0))*parametros_manuales!$B$105+parametros_manuales!$F$25*(datos_base!$H$20+IF(parametros_manuales!$H$25="Todos",datos_base!$H$25,0))*parametros_manuales!$B$14+parametros_manuales!$G$25*(datos_base!$H$5+IF(parametros_manuales!$H$25="Todos",datos_base!$H$12,0))*parametros_manuales!$B$110+parametros_manuales!$G$25*(datos_base!$H$21+IF(parametros_manuales!$H$25="Todos",datos_base!$H$26,0))*parametros_manuales!$B$15)*parametros_manuales!$I$25*parametros_manuales!$J$25</f>
        <v>15367.19302521</v>
      </c>
      <c r="C170" s="9" t="n">
        <f aca="false">(parametros_manuales!$D$25*(datos_base!$H$2+IF(parametros_manuales!$H$25="Todos",datos_base!$H$9,0))*parametros_manuales!$C$95+parametros_manuales!$D$25*(datos_base!$H$18+IF(parametros_manuales!$H$25="Todos",datos_base!$H$23,0))*parametros_manuales!$C$12+parametros_manuales!$E$25*(datos_base!$H$3+IF(parametros_manuales!$H$25="Todos",datos_base!$H$10,0))*parametros_manuales!$C$100+parametros_manuales!$E$25*(datos_base!$H$19+IF(parametros_manuales!$H$25="Todos",datos_base!$H$24,0))*parametros_manuales!$C$13+parametros_manuales!$F$25*(datos_base!$H$4+IF(parametros_manuales!$H$25="Todos",datos_base!$H$11,0))*parametros_manuales!$C$105+parametros_manuales!$F$25*(datos_base!$H$20+IF(parametros_manuales!$H$25="Todos",datos_base!$H$25,0))*parametros_manuales!$C$14+parametros_manuales!$G$25*(datos_base!$H$5+IF(parametros_manuales!$H$25="Todos",datos_base!$H$12,0))*parametros_manuales!$C$110+parametros_manuales!$G$25*(datos_base!$H$21+IF(parametros_manuales!$H$25="Todos",datos_base!$H$26,0))*parametros_manuales!$C$15)*parametros_manuales!$I$25*parametros_manuales!$J$25</f>
        <v>14874.46506612</v>
      </c>
      <c r="D170" s="9" t="n">
        <f aca="false">(parametros_manuales!$D$25*(datos_base!$H$2+IF(parametros_manuales!$H$25="Todos",datos_base!$H$9,0))*parametros_manuales!$D$95+parametros_manuales!$D$25*(datos_base!$H$18+IF(parametros_manuales!$H$25="Todos",datos_base!$H$23,0))*parametros_manuales!$D$12+parametros_manuales!$E$25*(datos_base!$H$3+IF(parametros_manuales!$H$25="Todos",datos_base!$H$10,0))*parametros_manuales!$D$100+parametros_manuales!$E$25*(datos_base!$H$19+IF(parametros_manuales!$H$25="Todos",datos_base!$H$24,0))*parametros_manuales!$D$13+parametros_manuales!$F$25*(datos_base!$H$4+IF(parametros_manuales!$H$25="Todos",datos_base!$H$11,0))*parametros_manuales!$D$105+parametros_manuales!$F$25*(datos_base!$H$20+IF(parametros_manuales!$H$25="Todos",datos_base!$H$25,0))*parametros_manuales!$D$14+parametros_manuales!$G$25*(datos_base!$H$5+IF(parametros_manuales!$H$25="Todos",datos_base!$H$12,0))*parametros_manuales!$D$110+parametros_manuales!$G$25*(datos_base!$H$21+IF(parametros_manuales!$H$25="Todos",datos_base!$H$26,0))*parametros_manuales!$D$15)*parametros_manuales!$I$25*parametros_manuales!$J$25</f>
        <v>13902.976113065</v>
      </c>
      <c r="E170" s="9" t="n">
        <f aca="false">(parametros_manuales!$D$25*(datos_base!$H$2+IF(parametros_manuales!$H$25="Todos",datos_base!$H$9,0))*parametros_manuales!$E$95+parametros_manuales!$D$25*(datos_base!$H$18+IF(parametros_manuales!$H$25="Todos",datos_base!$H$23,0))*parametros_manuales!$E$12+parametros_manuales!$E$25*(datos_base!$H$3+IF(parametros_manuales!$H$25="Todos",datos_base!$H$10,0))*parametros_manuales!$E$100+parametros_manuales!$E$25*(datos_base!$H$19+IF(parametros_manuales!$H$25="Todos",datos_base!$H$24,0))*parametros_manuales!$E$13+parametros_manuales!$F$25*(datos_base!$H$4+IF(parametros_manuales!$H$25="Todos",datos_base!$H$11,0))*parametros_manuales!$E$105+parametros_manuales!$F$25*(datos_base!$H$20+IF(parametros_manuales!$H$25="Todos",datos_base!$H$25,0))*parametros_manuales!$E$14+parametros_manuales!$G$25*(datos_base!$H$5+IF(parametros_manuales!$H$25="Todos",datos_base!$H$12,0))*parametros_manuales!$E$110+parametros_manuales!$G$25*(datos_base!$H$21+IF(parametros_manuales!$H$25="Todos",datos_base!$H$26,0))*parametros_manuales!$E$15)*parametros_manuales!$I$25*parametros_manuales!$J$25</f>
        <v>13294.610346765</v>
      </c>
      <c r="F170" s="9" t="n">
        <f aca="false">(parametros_manuales!$D$25*(datos_base!$H$2+IF(parametros_manuales!$H$25="Todos",datos_base!$H$9,0))*parametros_manuales!$F$95+parametros_manuales!$D$25*(datos_base!$H$18+IF(parametros_manuales!$H$25="Todos",datos_base!$H$23,0))*parametros_manuales!$F$12+parametros_manuales!$E$25*(datos_base!$H$3+IF(parametros_manuales!$H$25="Todos",datos_base!$H$10,0))*parametros_manuales!$F$100+parametros_manuales!$E$25*(datos_base!$H$19+IF(parametros_manuales!$H$25="Todos",datos_base!$H$24,0))*parametros_manuales!$F$13+parametros_manuales!$F$25*(datos_base!$H$4+IF(parametros_manuales!$H$25="Todos",datos_base!$H$11,0))*parametros_manuales!$F$105+parametros_manuales!$F$25*(datos_base!$H$20+IF(parametros_manuales!$H$25="Todos",datos_base!$H$25,0))*parametros_manuales!$F$14+parametros_manuales!$G$25*(datos_base!$H$5+IF(parametros_manuales!$H$25="Todos",datos_base!$H$12,0))*parametros_manuales!$F$110+parametros_manuales!$G$25*(datos_base!$H$21+IF(parametros_manuales!$H$25="Todos",datos_base!$H$26,0))*parametros_manuales!$F$15)*parametros_manuales!$I$25*parametros_manuales!$J$25</f>
        <v>12441.00200092</v>
      </c>
      <c r="G170" s="9" t="n">
        <f aca="false">(parametros_manuales!$D$25*(datos_base!$H$2+IF(parametros_manuales!$H$25="Todos",datos_base!$H$9,0))*parametros_manuales!$G$95+parametros_manuales!$D$25*(datos_base!$H$18+IF(parametros_manuales!$H$25="Todos",datos_base!$H$23,0))*parametros_manuales!$G$12+parametros_manuales!$E$25*(datos_base!$H$3+IF(parametros_manuales!$H$25="Todos",datos_base!$H$10,0))*parametros_manuales!$G$100+parametros_manuales!$E$25*(datos_base!$H$19+IF(parametros_manuales!$H$25="Todos",datos_base!$H$24,0))*parametros_manuales!$G$13+parametros_manuales!$F$25*(datos_base!$H$4+IF(parametros_manuales!$H$25="Todos",datos_base!$H$11,0))*parametros_manuales!$G$105+parametros_manuales!$F$25*(datos_base!$H$20+IF(parametros_manuales!$H$25="Todos",datos_base!$H$25,0))*parametros_manuales!$G$14+parametros_manuales!$G$25*(datos_base!$H$5+IF(parametros_manuales!$H$25="Todos",datos_base!$H$12,0))*parametros_manuales!$G$110+parametros_manuales!$G$25*(datos_base!$H$21+IF(parametros_manuales!$H$25="Todos",datos_base!$H$26,0))*parametros_manuales!$G$15)*parametros_manuales!$I$25*parametros_manuales!$J$25</f>
        <v>12195.759421375</v>
      </c>
      <c r="H170" s="9" t="n">
        <f aca="false">(parametros_manuales!$D$25*(datos_base!$H$2+IF(parametros_manuales!$H$25="Todos",datos_base!$H$9,0))*parametros_manuales!$H$95+parametros_manuales!$D$25*(datos_base!$H$18+IF(parametros_manuales!$H$25="Todos",datos_base!$H$23,0))*parametros_manuales!$H$12+parametros_manuales!$E$25*(datos_base!$H$3+IF(parametros_manuales!$H$25="Todos",datos_base!$H$10,0))*parametros_manuales!$H$100+parametros_manuales!$E$25*(datos_base!$H$19+IF(parametros_manuales!$H$25="Todos",datos_base!$H$24,0))*parametros_manuales!$H$13+parametros_manuales!$F$25*(datos_base!$H$4+IF(parametros_manuales!$H$25="Todos",datos_base!$H$11,0))*parametros_manuales!$H$105+parametros_manuales!$F$25*(datos_base!$H$20+IF(parametros_manuales!$H$25="Todos",datos_base!$H$25,0))*parametros_manuales!$H$14+parametros_manuales!$G$25*(datos_base!$H$5+IF(parametros_manuales!$H$25="Todos",datos_base!$H$12,0))*parametros_manuales!$H$110+parametros_manuales!$G$25*(datos_base!$H$21+IF(parametros_manuales!$H$25="Todos",datos_base!$H$26,0))*parametros_manuales!$H$15)*parametros_manuales!$I$25*parametros_manuales!$J$25</f>
        <v>13049.36776722</v>
      </c>
      <c r="I170" s="9" t="n">
        <f aca="false">(parametros_manuales!$D$25*(datos_base!$H$2+IF(parametros_manuales!$H$25="Todos",datos_base!$H$9,0))*parametros_manuales!$I$95+parametros_manuales!$D$25*(datos_base!$H$18+IF(parametros_manuales!$H$25="Todos",datos_base!$H$23,0))*parametros_manuales!$I$12+parametros_manuales!$E$25*(datos_base!$H$3+IF(parametros_manuales!$H$25="Todos",datos_base!$H$10,0))*parametros_manuales!$I$100+parametros_manuales!$E$25*(datos_base!$H$19+IF(parametros_manuales!$H$25="Todos",datos_base!$H$24,0))*parametros_manuales!$I$13+parametros_manuales!$F$25*(datos_base!$H$4+IF(parametros_manuales!$H$25="Todos",datos_base!$H$11,0))*parametros_manuales!$I$105+parametros_manuales!$F$25*(datos_base!$H$20+IF(parametros_manuales!$H$25="Todos",datos_base!$H$25,0))*parametros_manuales!$I$14+parametros_manuales!$G$25*(datos_base!$H$5+IF(parametros_manuales!$H$25="Todos",datos_base!$H$12,0))*parametros_manuales!$I$110+parametros_manuales!$G$25*(datos_base!$H$21+IF(parametros_manuales!$H$25="Todos",datos_base!$H$26,0))*parametros_manuales!$I$15)*parametros_manuales!$I$25*parametros_manuales!$J$25</f>
        <v>14874.46506612</v>
      </c>
      <c r="J170" s="9" t="n">
        <f aca="false">(parametros_manuales!$D$25*(datos_base!$H$2+IF(parametros_manuales!$H$25="Todos",datos_base!$H$9,0))*parametros_manuales!$J$95+parametros_manuales!$D$25*(datos_base!$H$18+IF(parametros_manuales!$H$25="Todos",datos_base!$H$23,0))*parametros_manuales!$J$12+parametros_manuales!$E$25*(datos_base!$H$3+IF(parametros_manuales!$H$25="Todos",datos_base!$H$10,0))*parametros_manuales!$J$100+parametros_manuales!$E$25*(datos_base!$H$19+IF(parametros_manuales!$H$25="Todos",datos_base!$H$24,0))*parametros_manuales!$J$13+parametros_manuales!$F$25*(datos_base!$H$4+IF(parametros_manuales!$H$25="Todos",datos_base!$H$11,0))*parametros_manuales!$J$105+parametros_manuales!$F$25*(datos_base!$H$20+IF(parametros_manuales!$H$25="Todos",datos_base!$H$25,0))*parametros_manuales!$J$14+parametros_manuales!$G$25*(datos_base!$H$5+IF(parametros_manuales!$H$25="Todos",datos_base!$H$12,0))*parametros_manuales!$J$110+parametros_manuales!$G$25*(datos_base!$H$21+IF(parametros_manuales!$H$25="Todos",datos_base!$H$26,0))*parametros_manuales!$J$15)*parametros_manuales!$I$25*parametros_manuales!$J$25</f>
        <v>14874.46506612</v>
      </c>
      <c r="K170" s="9" t="n">
        <f aca="false">(parametros_manuales!$D$25*(datos_base!$H$2+IF(parametros_manuales!$H$25="Todos",datos_base!$H$9,0))*parametros_manuales!$K$95+parametros_manuales!$D$25*(datos_base!$H$18+IF(parametros_manuales!$H$25="Todos",datos_base!$H$23,0))*parametros_manuales!$K$12+parametros_manuales!$E$25*(datos_base!$H$3+IF(parametros_manuales!$H$25="Todos",datos_base!$H$10,0))*parametros_manuales!$K$100+parametros_manuales!$E$25*(datos_base!$H$19+IF(parametros_manuales!$H$25="Todos",datos_base!$H$24,0))*parametros_manuales!$K$13+parametros_manuales!$F$25*(datos_base!$H$4+IF(parametros_manuales!$H$25="Todos",datos_base!$H$11,0))*parametros_manuales!$K$105+parametros_manuales!$F$25*(datos_base!$H$20+IF(parametros_manuales!$H$25="Todos",datos_base!$H$25,0))*parametros_manuales!$K$14+parametros_manuales!$G$25*(datos_base!$H$5+IF(parametros_manuales!$H$25="Todos",datos_base!$H$12,0))*parametros_manuales!$K$110+parametros_manuales!$G$25*(datos_base!$H$21+IF(parametros_manuales!$H$25="Todos",datos_base!$H$26,0))*parametros_manuales!$K$15)*parametros_manuales!$I$25*parametros_manuales!$J$25</f>
        <v>15117.464845665</v>
      </c>
      <c r="L170" s="9" t="n">
        <f aca="false">(parametros_manuales!$D$25*(datos_base!$H$2+IF(parametros_manuales!$H$25="Todos",datos_base!$H$9,0))*parametros_manuales!$L$95+parametros_manuales!$D$25*(datos_base!$H$18+IF(parametros_manuales!$H$25="Todos",datos_base!$H$23,0))*parametros_manuales!$L$12+parametros_manuales!$E$25*(datos_base!$H$3+IF(parametros_manuales!$H$25="Todos",datos_base!$H$10,0))*parametros_manuales!$L$100+parametros_manuales!$E$25*(datos_base!$H$19+IF(parametros_manuales!$H$25="Todos",datos_base!$H$24,0))*parametros_manuales!$L$13+parametros_manuales!$F$25*(datos_base!$H$4+IF(parametros_manuales!$H$25="Todos",datos_base!$H$11,0))*parametros_manuales!$L$105+parametros_manuales!$F$25*(datos_base!$H$20+IF(parametros_manuales!$H$25="Todos",datos_base!$H$25,0))*parametros_manuales!$L$14+parametros_manuales!$G$25*(datos_base!$H$5+IF(parametros_manuales!$H$25="Todos",datos_base!$H$12,0))*parametros_manuales!$L$110+parametros_manuales!$G$25*(datos_base!$H$21+IF(parametros_manuales!$H$25="Todos",datos_base!$H$26,0))*parametros_manuales!$L$15)*parametros_manuales!$I$25*parametros_manuales!$J$25</f>
        <v>15360.46462521</v>
      </c>
      <c r="M170" s="9" t="n">
        <f aca="false">(parametros_manuales!$D$25*(datos_base!$H$2+IF(parametros_manuales!$H$25="Todos",datos_base!$H$9,0))*parametros_manuales!$M$95+parametros_manuales!$D$25*(datos_base!$H$18+IF(parametros_manuales!$H$25="Todos",datos_base!$H$23,0))*parametros_manuales!$M$12+parametros_manuales!$E$25*(datos_base!$H$3+IF(parametros_manuales!$H$25="Todos",datos_base!$H$10,0))*parametros_manuales!$M$100+parametros_manuales!$E$25*(datos_base!$H$19+IF(parametros_manuales!$H$25="Todos",datos_base!$H$24,0))*parametros_manuales!$M$13+parametros_manuales!$F$25*(datos_base!$H$4+IF(parametros_manuales!$H$25="Todos",datos_base!$H$11,0))*parametros_manuales!$M$105+parametros_manuales!$F$25*(datos_base!$H$20+IF(parametros_manuales!$H$25="Todos",datos_base!$H$25,0))*parametros_manuales!$M$14+parametros_manuales!$G$25*(datos_base!$H$5+IF(parametros_manuales!$H$25="Todos",datos_base!$H$12,0))*parametros_manuales!$M$110+parametros_manuales!$G$25*(datos_base!$H$21+IF(parametros_manuales!$H$25="Todos",datos_base!$H$26,0))*parametros_manuales!$M$15)*parametros_manuales!$I$25*parametros_manuales!$J$25</f>
        <v>15369.43582521</v>
      </c>
      <c r="N170" s="9" t="n">
        <f aca="false">SUM(B170:M170)</f>
        <v>170721.669169</v>
      </c>
      <c r="O170" s="9" t="n">
        <f aca="false">MAX(B170:M170)</f>
        <v>15369.43582521</v>
      </c>
      <c r="P170" s="44" t="n">
        <f aca="false">O170/(parametros_manuales!$B$7)</f>
        <v>102.4629055014</v>
      </c>
      <c r="Q170" s="8" t="str">
        <f aca="false">IF(O170=0,"-",INDEX($B$163:$M$163,MATCH(O170,B170:M170,0)))</f>
        <v>Dic</v>
      </c>
    </row>
    <row r="171" customFormat="false" ht="14.25" hidden="false" customHeight="true" outlineLevel="0" collapsed="false">
      <c r="A171" s="8" t="str">
        <f aca="false">parametros_manuales!$B$26</f>
        <v>Cilindrado</v>
      </c>
      <c r="B171" s="9" t="n">
        <f aca="false">(parametros_manuales!$D$26*(datos_base!$H$2+IF(parametros_manuales!$H$26="Todos",datos_base!$H$9,0))*parametros_manuales!$B$95+parametros_manuales!$D$26*(datos_base!$H$18+IF(parametros_manuales!$H$26="Todos",datos_base!$H$23,0))*parametros_manuales!$B$12+parametros_manuales!$E$26*(datos_base!$H$3+IF(parametros_manuales!$H$26="Todos",datos_base!$H$10,0))*parametros_manuales!$B$100+parametros_manuales!$E$26*(datos_base!$H$19+IF(parametros_manuales!$H$26="Todos",datos_base!$H$24,0))*parametros_manuales!$B$13+parametros_manuales!$F$26*(datos_base!$H$4+IF(parametros_manuales!$H$26="Todos",datos_base!$H$11,0))*parametros_manuales!$B$105+parametros_manuales!$F$26*(datos_base!$H$20+IF(parametros_manuales!$H$26="Todos",datos_base!$H$25,0))*parametros_manuales!$B$14+parametros_manuales!$G$26*(datos_base!$H$5+IF(parametros_manuales!$H$26="Todos",datos_base!$H$12,0))*parametros_manuales!$B$110+parametros_manuales!$G$26*(datos_base!$H$21+IF(parametros_manuales!$H$26="Todos",datos_base!$H$26,0))*parametros_manuales!$B$15)*parametros_manuales!$I$26*parametros_manuales!$J$26</f>
        <v>4416.60923181</v>
      </c>
      <c r="C171" s="9" t="n">
        <f aca="false">(parametros_manuales!$D$26*(datos_base!$H$2+IF(parametros_manuales!$H$26="Todos",datos_base!$H$9,0))*parametros_manuales!$C$95+parametros_manuales!$D$26*(datos_base!$H$18+IF(parametros_manuales!$H$26="Todos",datos_base!$H$23,0))*parametros_manuales!$C$12+parametros_manuales!$E$26*(datos_base!$H$3+IF(parametros_manuales!$H$26="Todos",datos_base!$H$10,0))*parametros_manuales!$C$100+parametros_manuales!$E$26*(datos_base!$H$19+IF(parametros_manuales!$H$26="Todos",datos_base!$H$24,0))*parametros_manuales!$C$13+parametros_manuales!$F$26*(datos_base!$H$4+IF(parametros_manuales!$H$26="Todos",datos_base!$H$11,0))*parametros_manuales!$C$105+parametros_manuales!$F$26*(datos_base!$H$20+IF(parametros_manuales!$H$26="Todos",datos_base!$H$25,0))*parametros_manuales!$C$14+parametros_manuales!$G$26*(datos_base!$H$5+IF(parametros_manuales!$H$26="Todos",datos_base!$H$12,0))*parametros_manuales!$C$110+parametros_manuales!$G$26*(datos_base!$H$21+IF(parametros_manuales!$H$26="Todos",datos_base!$H$26,0))*parametros_manuales!$C$15)*parametros_manuales!$I$26*parametros_manuales!$J$26</f>
        <v>3923.88127272</v>
      </c>
      <c r="D171" s="9" t="n">
        <f aca="false">(parametros_manuales!$D$26*(datos_base!$H$2+IF(parametros_manuales!$H$26="Todos",datos_base!$H$9,0))*parametros_manuales!$D$95+parametros_manuales!$D$26*(datos_base!$H$18+IF(parametros_manuales!$H$26="Todos",datos_base!$H$23,0))*parametros_manuales!$D$12+parametros_manuales!$E$26*(datos_base!$H$3+IF(parametros_manuales!$H$26="Todos",datos_base!$H$10,0))*parametros_manuales!$D$100+parametros_manuales!$E$26*(datos_base!$H$19+IF(parametros_manuales!$H$26="Todos",datos_base!$H$24,0))*parametros_manuales!$D$13+parametros_manuales!$F$26*(datos_base!$H$4+IF(parametros_manuales!$H$26="Todos",datos_base!$H$11,0))*parametros_manuales!$D$105+parametros_manuales!$F$26*(datos_base!$H$20+IF(parametros_manuales!$H$26="Todos",datos_base!$H$25,0))*parametros_manuales!$D$14+parametros_manuales!$G$26*(datos_base!$H$5+IF(parametros_manuales!$H$26="Todos",datos_base!$H$12,0))*parametros_manuales!$D$110+parametros_manuales!$G$26*(datos_base!$H$21+IF(parametros_manuales!$H$26="Todos",datos_base!$H$26,0))*parametros_manuales!$D$15)*parametros_manuales!$I$26*parametros_manuales!$J$26</f>
        <v>4169.123852265</v>
      </c>
      <c r="E171" s="9" t="n">
        <f aca="false">(parametros_manuales!$D$26*(datos_base!$H$2+IF(parametros_manuales!$H$26="Todos",datos_base!$H$9,0))*parametros_manuales!$E$95+parametros_manuales!$D$26*(datos_base!$H$18+IF(parametros_manuales!$H$26="Todos",datos_base!$H$23,0))*parametros_manuales!$E$12+parametros_manuales!$E$26*(datos_base!$H$3+IF(parametros_manuales!$H$26="Todos",datos_base!$H$10,0))*parametros_manuales!$E$100+parametros_manuales!$E$26*(datos_base!$H$19+IF(parametros_manuales!$H$26="Todos",datos_base!$H$24,0))*parametros_manuales!$E$13+parametros_manuales!$F$26*(datos_base!$H$4+IF(parametros_manuales!$H$26="Todos",datos_base!$H$11,0))*parametros_manuales!$E$105+parametros_manuales!$F$26*(datos_base!$H$20+IF(parametros_manuales!$H$26="Todos",datos_base!$H$25,0))*parametros_manuales!$E$14+parametros_manuales!$G$26*(datos_base!$H$5+IF(parametros_manuales!$H$26="Todos",datos_base!$H$12,0))*parametros_manuales!$E$110+parametros_manuales!$G$26*(datos_base!$H$21+IF(parametros_manuales!$H$26="Todos",datos_base!$H$26,0))*parametros_manuales!$E$15)*parametros_manuales!$I$26*parametros_manuales!$J$26</f>
        <v>4169.123852265</v>
      </c>
      <c r="F171" s="9" t="n">
        <f aca="false">(parametros_manuales!$D$26*(datos_base!$H$2+IF(parametros_manuales!$H$26="Todos",datos_base!$H$9,0))*parametros_manuales!$F$95+parametros_manuales!$D$26*(datos_base!$H$18+IF(parametros_manuales!$H$26="Todos",datos_base!$H$23,0))*parametros_manuales!$F$12+parametros_manuales!$E$26*(datos_base!$H$3+IF(parametros_manuales!$H$26="Todos",datos_base!$H$10,0))*parametros_manuales!$F$100+parametros_manuales!$E$26*(datos_base!$H$19+IF(parametros_manuales!$H$26="Todos",datos_base!$H$24,0))*parametros_manuales!$F$13+parametros_manuales!$F$26*(datos_base!$H$4+IF(parametros_manuales!$H$26="Todos",datos_base!$H$11,0))*parametros_manuales!$F$105+parametros_manuales!$F$26*(datos_base!$H$20+IF(parametros_manuales!$H$26="Todos",datos_base!$H$25,0))*parametros_manuales!$F$14+parametros_manuales!$G$26*(datos_base!$H$5+IF(parametros_manuales!$H$26="Todos",datos_base!$H$12,0))*parametros_manuales!$F$110+parametros_manuales!$G$26*(datos_base!$H$21+IF(parametros_manuales!$H$26="Todos",datos_base!$H$26,0))*parametros_manuales!$F$15)*parametros_manuales!$I$26*parametros_manuales!$J$26</f>
        <v>3923.88127272</v>
      </c>
      <c r="G171" s="9" t="n">
        <f aca="false">(parametros_manuales!$D$26*(datos_base!$H$2+IF(parametros_manuales!$H$26="Todos",datos_base!$H$9,0))*parametros_manuales!$G$95+parametros_manuales!$D$26*(datos_base!$H$18+IF(parametros_manuales!$H$26="Todos",datos_base!$H$23,0))*parametros_manuales!$G$12+parametros_manuales!$E$26*(datos_base!$H$3+IF(parametros_manuales!$H$26="Todos",datos_base!$H$10,0))*parametros_manuales!$G$100+parametros_manuales!$E$26*(datos_base!$H$19+IF(parametros_manuales!$H$26="Todos",datos_base!$H$24,0))*parametros_manuales!$G$13+parametros_manuales!$F$26*(datos_base!$H$4+IF(parametros_manuales!$H$26="Todos",datos_base!$H$11,0))*parametros_manuales!$G$105+parametros_manuales!$F$26*(datos_base!$H$20+IF(parametros_manuales!$H$26="Todos",datos_base!$H$25,0))*parametros_manuales!$G$14+parametros_manuales!$G$26*(datos_base!$H$5+IF(parametros_manuales!$H$26="Todos",datos_base!$H$12,0))*parametros_manuales!$G$110+parametros_manuales!$G$26*(datos_base!$H$21+IF(parametros_manuales!$H$26="Todos",datos_base!$H$26,0))*parametros_manuales!$G$15)*parametros_manuales!$I$26*parametros_manuales!$J$26</f>
        <v>3678.638693175</v>
      </c>
      <c r="H171" s="9" t="n">
        <f aca="false">(parametros_manuales!$D$26*(datos_base!$H$2+IF(parametros_manuales!$H$26="Todos",datos_base!$H$9,0))*parametros_manuales!$H$95+parametros_manuales!$D$26*(datos_base!$H$18+IF(parametros_manuales!$H$26="Todos",datos_base!$H$23,0))*parametros_manuales!$H$12+parametros_manuales!$E$26*(datos_base!$H$3+IF(parametros_manuales!$H$26="Todos",datos_base!$H$10,0))*parametros_manuales!$H$100+parametros_manuales!$E$26*(datos_base!$H$19+IF(parametros_manuales!$H$26="Todos",datos_base!$H$24,0))*parametros_manuales!$H$13+parametros_manuales!$F$26*(datos_base!$H$4+IF(parametros_manuales!$H$26="Todos",datos_base!$H$11,0))*parametros_manuales!$H$105+parametros_manuales!$F$26*(datos_base!$H$20+IF(parametros_manuales!$H$26="Todos",datos_base!$H$25,0))*parametros_manuales!$H$14+parametros_manuales!$G$26*(datos_base!$H$5+IF(parametros_manuales!$H$26="Todos",datos_base!$H$12,0))*parametros_manuales!$H$110+parametros_manuales!$G$26*(datos_base!$H$21+IF(parametros_manuales!$H$26="Todos",datos_base!$H$26,0))*parametros_manuales!$H$15)*parametros_manuales!$I$26*parametros_manuales!$J$26</f>
        <v>3923.88127272</v>
      </c>
      <c r="I171" s="9" t="n">
        <f aca="false">(parametros_manuales!$D$26*(datos_base!$H$2+IF(parametros_manuales!$H$26="Todos",datos_base!$H$9,0))*parametros_manuales!$I$95+parametros_manuales!$D$26*(datos_base!$H$18+IF(parametros_manuales!$H$26="Todos",datos_base!$H$23,0))*parametros_manuales!$I$12+parametros_manuales!$E$26*(datos_base!$H$3+IF(parametros_manuales!$H$26="Todos",datos_base!$H$10,0))*parametros_manuales!$I$100+parametros_manuales!$E$26*(datos_base!$H$19+IF(parametros_manuales!$H$26="Todos",datos_base!$H$24,0))*parametros_manuales!$I$13+parametros_manuales!$F$26*(datos_base!$H$4+IF(parametros_manuales!$H$26="Todos",datos_base!$H$11,0))*parametros_manuales!$I$105+parametros_manuales!$F$26*(datos_base!$H$20+IF(parametros_manuales!$H$26="Todos",datos_base!$H$25,0))*parametros_manuales!$I$14+parametros_manuales!$G$26*(datos_base!$H$5+IF(parametros_manuales!$H$26="Todos",datos_base!$H$12,0))*parametros_manuales!$I$110+parametros_manuales!$G$26*(datos_base!$H$21+IF(parametros_manuales!$H$26="Todos",datos_base!$H$26,0))*parametros_manuales!$I$15)*parametros_manuales!$I$26*parametros_manuales!$J$26</f>
        <v>3923.88127272</v>
      </c>
      <c r="J171" s="9" t="n">
        <f aca="false">(parametros_manuales!$D$26*(datos_base!$H$2+IF(parametros_manuales!$H$26="Todos",datos_base!$H$9,0))*parametros_manuales!$J$95+parametros_manuales!$D$26*(datos_base!$H$18+IF(parametros_manuales!$H$26="Todos",datos_base!$H$23,0))*parametros_manuales!$J$12+parametros_manuales!$E$26*(datos_base!$H$3+IF(parametros_manuales!$H$26="Todos",datos_base!$H$10,0))*parametros_manuales!$J$100+parametros_manuales!$E$26*(datos_base!$H$19+IF(parametros_manuales!$H$26="Todos",datos_base!$H$24,0))*parametros_manuales!$J$13+parametros_manuales!$F$26*(datos_base!$H$4+IF(parametros_manuales!$H$26="Todos",datos_base!$H$11,0))*parametros_manuales!$J$105+parametros_manuales!$F$26*(datos_base!$H$20+IF(parametros_manuales!$H$26="Todos",datos_base!$H$25,0))*parametros_manuales!$J$14+parametros_manuales!$G$26*(datos_base!$H$5+IF(parametros_manuales!$H$26="Todos",datos_base!$H$12,0))*parametros_manuales!$J$110+parametros_manuales!$G$26*(datos_base!$H$21+IF(parametros_manuales!$H$26="Todos",datos_base!$H$26,0))*parametros_manuales!$J$15)*parametros_manuales!$I$26*parametros_manuales!$J$26</f>
        <v>3923.88127272</v>
      </c>
      <c r="K171" s="9" t="n">
        <f aca="false">(parametros_manuales!$D$26*(datos_base!$H$2+IF(parametros_manuales!$H$26="Todos",datos_base!$H$9,0))*parametros_manuales!$K$95+parametros_manuales!$D$26*(datos_base!$H$18+IF(parametros_manuales!$H$26="Todos",datos_base!$H$23,0))*parametros_manuales!$K$12+parametros_manuales!$E$26*(datos_base!$H$3+IF(parametros_manuales!$H$26="Todos",datos_base!$H$10,0))*parametros_manuales!$K$100+parametros_manuales!$E$26*(datos_base!$H$19+IF(parametros_manuales!$H$26="Todos",datos_base!$H$24,0))*parametros_manuales!$K$13+parametros_manuales!$F$26*(datos_base!$H$4+IF(parametros_manuales!$H$26="Todos",datos_base!$H$11,0))*parametros_manuales!$K$105+parametros_manuales!$F$26*(datos_base!$H$20+IF(parametros_manuales!$H$26="Todos",datos_base!$H$25,0))*parametros_manuales!$K$14+parametros_manuales!$G$26*(datos_base!$H$5+IF(parametros_manuales!$H$26="Todos",datos_base!$H$12,0))*parametros_manuales!$K$110+parametros_manuales!$G$26*(datos_base!$H$21+IF(parametros_manuales!$H$26="Todos",datos_base!$H$26,0))*parametros_manuales!$K$15)*parametros_manuales!$I$26*parametros_manuales!$J$26</f>
        <v>4166.881052265</v>
      </c>
      <c r="L171" s="9" t="n">
        <f aca="false">(parametros_manuales!$D$26*(datos_base!$H$2+IF(parametros_manuales!$H$26="Todos",datos_base!$H$9,0))*parametros_manuales!$L$95+parametros_manuales!$D$26*(datos_base!$H$18+IF(parametros_manuales!$H$26="Todos",datos_base!$H$23,0))*parametros_manuales!$L$12+parametros_manuales!$E$26*(datos_base!$H$3+IF(parametros_manuales!$H$26="Todos",datos_base!$H$10,0))*parametros_manuales!$L$100+parametros_manuales!$E$26*(datos_base!$H$19+IF(parametros_manuales!$H$26="Todos",datos_base!$H$24,0))*parametros_manuales!$L$13+parametros_manuales!$F$26*(datos_base!$H$4+IF(parametros_manuales!$H$26="Todos",datos_base!$H$11,0))*parametros_manuales!$L$105+parametros_manuales!$F$26*(datos_base!$H$20+IF(parametros_manuales!$H$26="Todos",datos_base!$H$25,0))*parametros_manuales!$L$14+parametros_manuales!$G$26*(datos_base!$H$5+IF(parametros_manuales!$H$26="Todos",datos_base!$H$12,0))*parametros_manuales!$L$110+parametros_manuales!$G$26*(datos_base!$H$21+IF(parametros_manuales!$H$26="Todos",datos_base!$H$26,0))*parametros_manuales!$L$15)*parametros_manuales!$I$26*parametros_manuales!$J$26</f>
        <v>4409.88083181</v>
      </c>
      <c r="M171" s="9" t="n">
        <f aca="false">(parametros_manuales!$D$26*(datos_base!$H$2+IF(parametros_manuales!$H$26="Todos",datos_base!$H$9,0))*parametros_manuales!$M$95+parametros_manuales!$D$26*(datos_base!$H$18+IF(parametros_manuales!$H$26="Todos",datos_base!$H$23,0))*parametros_manuales!$M$12+parametros_manuales!$E$26*(datos_base!$H$3+IF(parametros_manuales!$H$26="Todos",datos_base!$H$10,0))*parametros_manuales!$M$100+parametros_manuales!$E$26*(datos_base!$H$19+IF(parametros_manuales!$H$26="Todos",datos_base!$H$24,0))*parametros_manuales!$M$13+parametros_manuales!$F$26*(datos_base!$H$4+IF(parametros_manuales!$H$26="Todos",datos_base!$H$11,0))*parametros_manuales!$M$105+parametros_manuales!$F$26*(datos_base!$H$20+IF(parametros_manuales!$H$26="Todos",datos_base!$H$25,0))*parametros_manuales!$M$14+parametros_manuales!$G$26*(datos_base!$H$5+IF(parametros_manuales!$H$26="Todos",datos_base!$H$12,0))*parametros_manuales!$M$110+parametros_manuales!$G$26*(datos_base!$H$21+IF(parametros_manuales!$H$26="Todos",datos_base!$H$26,0))*parametros_manuales!$M$15)*parametros_manuales!$I$26*parametros_manuales!$J$26</f>
        <v>4418.85203181</v>
      </c>
      <c r="N171" s="9" t="n">
        <f aca="false">SUM(B171:M171)</f>
        <v>49048.515909</v>
      </c>
      <c r="O171" s="9" t="n">
        <f aca="false">MAX(B171:M171)</f>
        <v>4418.85203181</v>
      </c>
      <c r="P171" s="44" t="n">
        <f aca="false">O171/(parametros_manuales!$B$7)</f>
        <v>29.4590135454</v>
      </c>
      <c r="Q171" s="8" t="str">
        <f aca="false">IF(O171=0,"-",INDEX($B$163:$M$163,MATCH(O171,B171:M171,0)))</f>
        <v>Dic</v>
      </c>
    </row>
    <row r="172" customFormat="false" ht="14.25" hidden="false" customHeight="true" outlineLevel="0" collapsed="false">
      <c r="A172" s="8" t="str">
        <f aca="false">parametros_manuales!$B$27</f>
        <v>Soldadura longitudinal</v>
      </c>
      <c r="B172" s="9" t="n">
        <f aca="false">(parametros_manuales!$D$27*(datos_base!$H$2+IF(parametros_manuales!$H$27="Todos",datos_base!$H$9,0))*parametros_manuales!$B$95+parametros_manuales!$D$27*(datos_base!$H$18+IF(parametros_manuales!$H$27="Todos",datos_base!$H$23,0))*parametros_manuales!$B$12+parametros_manuales!$E$27*(datos_base!$H$3+IF(parametros_manuales!$H$27="Todos",datos_base!$H$10,0))*parametros_manuales!$B$100+parametros_manuales!$E$27*(datos_base!$H$19+IF(parametros_manuales!$H$27="Todos",datos_base!$H$24,0))*parametros_manuales!$B$13+parametros_manuales!$F$27*(datos_base!$H$4+IF(parametros_manuales!$H$27="Todos",datos_base!$H$11,0))*parametros_manuales!$B$105+parametros_manuales!$F$27*(datos_base!$H$20+IF(parametros_manuales!$H$27="Todos",datos_base!$H$25,0))*parametros_manuales!$B$14+parametros_manuales!$G$27*(datos_base!$H$5+IF(parametros_manuales!$H$27="Todos",datos_base!$H$12,0))*parametros_manuales!$B$110+parametros_manuales!$G$27*(datos_base!$H$21+IF(parametros_manuales!$H$27="Todos",datos_base!$H$26,0))*parametros_manuales!$B$15)*parametros_manuales!$I$27*parametros_manuales!$J$27</f>
        <v>4416.60923181</v>
      </c>
      <c r="C172" s="9" t="n">
        <f aca="false">(parametros_manuales!$D$27*(datos_base!$H$2+IF(parametros_manuales!$H$27="Todos",datos_base!$H$9,0))*parametros_manuales!$C$95+parametros_manuales!$D$27*(datos_base!$H$18+IF(parametros_manuales!$H$27="Todos",datos_base!$H$23,0))*parametros_manuales!$C$12+parametros_manuales!$E$27*(datos_base!$H$3+IF(parametros_manuales!$H$27="Todos",datos_base!$H$10,0))*parametros_manuales!$C$100+parametros_manuales!$E$27*(datos_base!$H$19+IF(parametros_manuales!$H$27="Todos",datos_base!$H$24,0))*parametros_manuales!$C$13+parametros_manuales!$F$27*(datos_base!$H$4+IF(parametros_manuales!$H$27="Todos",datos_base!$H$11,0))*parametros_manuales!$C$105+parametros_manuales!$F$27*(datos_base!$H$20+IF(parametros_manuales!$H$27="Todos",datos_base!$H$25,0))*parametros_manuales!$C$14+parametros_manuales!$G$27*(datos_base!$H$5+IF(parametros_manuales!$H$27="Todos",datos_base!$H$12,0))*parametros_manuales!$C$110+parametros_manuales!$G$27*(datos_base!$H$21+IF(parametros_manuales!$H$27="Todos",datos_base!$H$26,0))*parametros_manuales!$C$15)*parametros_manuales!$I$27*parametros_manuales!$J$27</f>
        <v>3923.88127272</v>
      </c>
      <c r="D172" s="9" t="n">
        <f aca="false">(parametros_manuales!$D$27*(datos_base!$H$2+IF(parametros_manuales!$H$27="Todos",datos_base!$H$9,0))*parametros_manuales!$D$95+parametros_manuales!$D$27*(datos_base!$H$18+IF(parametros_manuales!$H$27="Todos",datos_base!$H$23,0))*parametros_manuales!$D$12+parametros_manuales!$E$27*(datos_base!$H$3+IF(parametros_manuales!$H$27="Todos",datos_base!$H$10,0))*parametros_manuales!$D$100+parametros_manuales!$E$27*(datos_base!$H$19+IF(parametros_manuales!$H$27="Todos",datos_base!$H$24,0))*parametros_manuales!$D$13+parametros_manuales!$F$27*(datos_base!$H$4+IF(parametros_manuales!$H$27="Todos",datos_base!$H$11,0))*parametros_manuales!$D$105+parametros_manuales!$F$27*(datos_base!$H$20+IF(parametros_manuales!$H$27="Todos",datos_base!$H$25,0))*parametros_manuales!$D$14+parametros_manuales!$G$27*(datos_base!$H$5+IF(parametros_manuales!$H$27="Todos",datos_base!$H$12,0))*parametros_manuales!$D$110+parametros_manuales!$G$27*(datos_base!$H$21+IF(parametros_manuales!$H$27="Todos",datos_base!$H$26,0))*parametros_manuales!$D$15)*parametros_manuales!$I$27*parametros_manuales!$J$27</f>
        <v>4169.123852265</v>
      </c>
      <c r="E172" s="9" t="n">
        <f aca="false">(parametros_manuales!$D$27*(datos_base!$H$2+IF(parametros_manuales!$H$27="Todos",datos_base!$H$9,0))*parametros_manuales!$E$95+parametros_manuales!$D$27*(datos_base!$H$18+IF(parametros_manuales!$H$27="Todos",datos_base!$H$23,0))*parametros_manuales!$E$12+parametros_manuales!$E$27*(datos_base!$H$3+IF(parametros_manuales!$H$27="Todos",datos_base!$H$10,0))*parametros_manuales!$E$100+parametros_manuales!$E$27*(datos_base!$H$19+IF(parametros_manuales!$H$27="Todos",datos_base!$H$24,0))*parametros_manuales!$E$13+parametros_manuales!$F$27*(datos_base!$H$4+IF(parametros_manuales!$H$27="Todos",datos_base!$H$11,0))*parametros_manuales!$E$105+parametros_manuales!$F$27*(datos_base!$H$20+IF(parametros_manuales!$H$27="Todos",datos_base!$H$25,0))*parametros_manuales!$E$14+parametros_manuales!$G$27*(datos_base!$H$5+IF(parametros_manuales!$H$27="Todos",datos_base!$H$12,0))*parametros_manuales!$E$110+parametros_manuales!$G$27*(datos_base!$H$21+IF(parametros_manuales!$H$27="Todos",datos_base!$H$26,0))*parametros_manuales!$E$15)*parametros_manuales!$I$27*parametros_manuales!$J$27</f>
        <v>4169.123852265</v>
      </c>
      <c r="F172" s="9" t="n">
        <f aca="false">(parametros_manuales!$D$27*(datos_base!$H$2+IF(parametros_manuales!$H$27="Todos",datos_base!$H$9,0))*parametros_manuales!$F$95+parametros_manuales!$D$27*(datos_base!$H$18+IF(parametros_manuales!$H$27="Todos",datos_base!$H$23,0))*parametros_manuales!$F$12+parametros_manuales!$E$27*(datos_base!$H$3+IF(parametros_manuales!$H$27="Todos",datos_base!$H$10,0))*parametros_manuales!$F$100+parametros_manuales!$E$27*(datos_base!$H$19+IF(parametros_manuales!$H$27="Todos",datos_base!$H$24,0))*parametros_manuales!$F$13+parametros_manuales!$F$27*(datos_base!$H$4+IF(parametros_manuales!$H$27="Todos",datos_base!$H$11,0))*parametros_manuales!$F$105+parametros_manuales!$F$27*(datos_base!$H$20+IF(parametros_manuales!$H$27="Todos",datos_base!$H$25,0))*parametros_manuales!$F$14+parametros_manuales!$G$27*(datos_base!$H$5+IF(parametros_manuales!$H$27="Todos",datos_base!$H$12,0))*parametros_manuales!$F$110+parametros_manuales!$G$27*(datos_base!$H$21+IF(parametros_manuales!$H$27="Todos",datos_base!$H$26,0))*parametros_manuales!$F$15)*parametros_manuales!$I$27*parametros_manuales!$J$27</f>
        <v>3923.88127272</v>
      </c>
      <c r="G172" s="9" t="n">
        <f aca="false">(parametros_manuales!$D$27*(datos_base!$H$2+IF(parametros_manuales!$H$27="Todos",datos_base!$H$9,0))*parametros_manuales!$G$95+parametros_manuales!$D$27*(datos_base!$H$18+IF(parametros_manuales!$H$27="Todos",datos_base!$H$23,0))*parametros_manuales!$G$12+parametros_manuales!$E$27*(datos_base!$H$3+IF(parametros_manuales!$H$27="Todos",datos_base!$H$10,0))*parametros_manuales!$G$100+parametros_manuales!$E$27*(datos_base!$H$19+IF(parametros_manuales!$H$27="Todos",datos_base!$H$24,0))*parametros_manuales!$G$13+parametros_manuales!$F$27*(datos_base!$H$4+IF(parametros_manuales!$H$27="Todos",datos_base!$H$11,0))*parametros_manuales!$G$105+parametros_manuales!$F$27*(datos_base!$H$20+IF(parametros_manuales!$H$27="Todos",datos_base!$H$25,0))*parametros_manuales!$G$14+parametros_manuales!$G$27*(datos_base!$H$5+IF(parametros_manuales!$H$27="Todos",datos_base!$H$12,0))*parametros_manuales!$G$110+parametros_manuales!$G$27*(datos_base!$H$21+IF(parametros_manuales!$H$27="Todos",datos_base!$H$26,0))*parametros_manuales!$G$15)*parametros_manuales!$I$27*parametros_manuales!$J$27</f>
        <v>3678.638693175</v>
      </c>
      <c r="H172" s="9" t="n">
        <f aca="false">(parametros_manuales!$D$27*(datos_base!$H$2+IF(parametros_manuales!$H$27="Todos",datos_base!$H$9,0))*parametros_manuales!$H$95+parametros_manuales!$D$27*(datos_base!$H$18+IF(parametros_manuales!$H$27="Todos",datos_base!$H$23,0))*parametros_manuales!$H$12+parametros_manuales!$E$27*(datos_base!$H$3+IF(parametros_manuales!$H$27="Todos",datos_base!$H$10,0))*parametros_manuales!$H$100+parametros_manuales!$E$27*(datos_base!$H$19+IF(parametros_manuales!$H$27="Todos",datos_base!$H$24,0))*parametros_manuales!$H$13+parametros_manuales!$F$27*(datos_base!$H$4+IF(parametros_manuales!$H$27="Todos",datos_base!$H$11,0))*parametros_manuales!$H$105+parametros_manuales!$F$27*(datos_base!$H$20+IF(parametros_manuales!$H$27="Todos",datos_base!$H$25,0))*parametros_manuales!$H$14+parametros_manuales!$G$27*(datos_base!$H$5+IF(parametros_manuales!$H$27="Todos",datos_base!$H$12,0))*parametros_manuales!$H$110+parametros_manuales!$G$27*(datos_base!$H$21+IF(parametros_manuales!$H$27="Todos",datos_base!$H$26,0))*parametros_manuales!$H$15)*parametros_manuales!$I$27*parametros_manuales!$J$27</f>
        <v>3923.88127272</v>
      </c>
      <c r="I172" s="9" t="n">
        <f aca="false">(parametros_manuales!$D$27*(datos_base!$H$2+IF(parametros_manuales!$H$27="Todos",datos_base!$H$9,0))*parametros_manuales!$I$95+parametros_manuales!$D$27*(datos_base!$H$18+IF(parametros_manuales!$H$27="Todos",datos_base!$H$23,0))*parametros_manuales!$I$12+parametros_manuales!$E$27*(datos_base!$H$3+IF(parametros_manuales!$H$27="Todos",datos_base!$H$10,0))*parametros_manuales!$I$100+parametros_manuales!$E$27*(datos_base!$H$19+IF(parametros_manuales!$H$27="Todos",datos_base!$H$24,0))*parametros_manuales!$I$13+parametros_manuales!$F$27*(datos_base!$H$4+IF(parametros_manuales!$H$27="Todos",datos_base!$H$11,0))*parametros_manuales!$I$105+parametros_manuales!$F$27*(datos_base!$H$20+IF(parametros_manuales!$H$27="Todos",datos_base!$H$25,0))*parametros_manuales!$I$14+parametros_manuales!$G$27*(datos_base!$H$5+IF(parametros_manuales!$H$27="Todos",datos_base!$H$12,0))*parametros_manuales!$I$110+parametros_manuales!$G$27*(datos_base!$H$21+IF(parametros_manuales!$H$27="Todos",datos_base!$H$26,0))*parametros_manuales!$I$15)*parametros_manuales!$I$27*parametros_manuales!$J$27</f>
        <v>3923.88127272</v>
      </c>
      <c r="J172" s="9" t="n">
        <f aca="false">(parametros_manuales!$D$27*(datos_base!$H$2+IF(parametros_manuales!$H$27="Todos",datos_base!$H$9,0))*parametros_manuales!$J$95+parametros_manuales!$D$27*(datos_base!$H$18+IF(parametros_manuales!$H$27="Todos",datos_base!$H$23,0))*parametros_manuales!$J$12+parametros_manuales!$E$27*(datos_base!$H$3+IF(parametros_manuales!$H$27="Todos",datos_base!$H$10,0))*parametros_manuales!$J$100+parametros_manuales!$E$27*(datos_base!$H$19+IF(parametros_manuales!$H$27="Todos",datos_base!$H$24,0))*parametros_manuales!$J$13+parametros_manuales!$F$27*(datos_base!$H$4+IF(parametros_manuales!$H$27="Todos",datos_base!$H$11,0))*parametros_manuales!$J$105+parametros_manuales!$F$27*(datos_base!$H$20+IF(parametros_manuales!$H$27="Todos",datos_base!$H$25,0))*parametros_manuales!$J$14+parametros_manuales!$G$27*(datos_base!$H$5+IF(parametros_manuales!$H$27="Todos",datos_base!$H$12,0))*parametros_manuales!$J$110+parametros_manuales!$G$27*(datos_base!$H$21+IF(parametros_manuales!$H$27="Todos",datos_base!$H$26,0))*parametros_manuales!$J$15)*parametros_manuales!$I$27*parametros_manuales!$J$27</f>
        <v>3923.88127272</v>
      </c>
      <c r="K172" s="9" t="n">
        <f aca="false">(parametros_manuales!$D$27*(datos_base!$H$2+IF(parametros_manuales!$H$27="Todos",datos_base!$H$9,0))*parametros_manuales!$K$95+parametros_manuales!$D$27*(datos_base!$H$18+IF(parametros_manuales!$H$27="Todos",datos_base!$H$23,0))*parametros_manuales!$K$12+parametros_manuales!$E$27*(datos_base!$H$3+IF(parametros_manuales!$H$27="Todos",datos_base!$H$10,0))*parametros_manuales!$K$100+parametros_manuales!$E$27*(datos_base!$H$19+IF(parametros_manuales!$H$27="Todos",datos_base!$H$24,0))*parametros_manuales!$K$13+parametros_manuales!$F$27*(datos_base!$H$4+IF(parametros_manuales!$H$27="Todos",datos_base!$H$11,0))*parametros_manuales!$K$105+parametros_manuales!$F$27*(datos_base!$H$20+IF(parametros_manuales!$H$27="Todos",datos_base!$H$25,0))*parametros_manuales!$K$14+parametros_manuales!$G$27*(datos_base!$H$5+IF(parametros_manuales!$H$27="Todos",datos_base!$H$12,0))*parametros_manuales!$K$110+parametros_manuales!$G$27*(datos_base!$H$21+IF(parametros_manuales!$H$27="Todos",datos_base!$H$26,0))*parametros_manuales!$K$15)*parametros_manuales!$I$27*parametros_manuales!$J$27</f>
        <v>4166.881052265</v>
      </c>
      <c r="L172" s="9" t="n">
        <f aca="false">(parametros_manuales!$D$27*(datos_base!$H$2+IF(parametros_manuales!$H$27="Todos",datos_base!$H$9,0))*parametros_manuales!$L$95+parametros_manuales!$D$27*(datos_base!$H$18+IF(parametros_manuales!$H$27="Todos",datos_base!$H$23,0))*parametros_manuales!$L$12+parametros_manuales!$E$27*(datos_base!$H$3+IF(parametros_manuales!$H$27="Todos",datos_base!$H$10,0))*parametros_manuales!$L$100+parametros_manuales!$E$27*(datos_base!$H$19+IF(parametros_manuales!$H$27="Todos",datos_base!$H$24,0))*parametros_manuales!$L$13+parametros_manuales!$F$27*(datos_base!$H$4+IF(parametros_manuales!$H$27="Todos",datos_base!$H$11,0))*parametros_manuales!$L$105+parametros_manuales!$F$27*(datos_base!$H$20+IF(parametros_manuales!$H$27="Todos",datos_base!$H$25,0))*parametros_manuales!$L$14+parametros_manuales!$G$27*(datos_base!$H$5+IF(parametros_manuales!$H$27="Todos",datos_base!$H$12,0))*parametros_manuales!$L$110+parametros_manuales!$G$27*(datos_base!$H$21+IF(parametros_manuales!$H$27="Todos",datos_base!$H$26,0))*parametros_manuales!$L$15)*parametros_manuales!$I$27*parametros_manuales!$J$27</f>
        <v>4409.88083181</v>
      </c>
      <c r="M172" s="9" t="n">
        <f aca="false">(parametros_manuales!$D$27*(datos_base!$H$2+IF(parametros_manuales!$H$27="Todos",datos_base!$H$9,0))*parametros_manuales!$M$95+parametros_manuales!$D$27*(datos_base!$H$18+IF(parametros_manuales!$H$27="Todos",datos_base!$H$23,0))*parametros_manuales!$M$12+parametros_manuales!$E$27*(datos_base!$H$3+IF(parametros_manuales!$H$27="Todos",datos_base!$H$10,0))*parametros_manuales!$M$100+parametros_manuales!$E$27*(datos_base!$H$19+IF(parametros_manuales!$H$27="Todos",datos_base!$H$24,0))*parametros_manuales!$M$13+parametros_manuales!$F$27*(datos_base!$H$4+IF(parametros_manuales!$H$27="Todos",datos_base!$H$11,0))*parametros_manuales!$M$105+parametros_manuales!$F$27*(datos_base!$H$20+IF(parametros_manuales!$H$27="Todos",datos_base!$H$25,0))*parametros_manuales!$M$14+parametros_manuales!$G$27*(datos_base!$H$5+IF(parametros_manuales!$H$27="Todos",datos_base!$H$12,0))*parametros_manuales!$M$110+parametros_manuales!$G$27*(datos_base!$H$21+IF(parametros_manuales!$H$27="Todos",datos_base!$H$26,0))*parametros_manuales!$M$15)*parametros_manuales!$I$27*parametros_manuales!$J$27</f>
        <v>4418.85203181</v>
      </c>
      <c r="N172" s="9" t="n">
        <f aca="false">SUM(B172:M172)</f>
        <v>49048.515909</v>
      </c>
      <c r="O172" s="9" t="n">
        <f aca="false">MAX(B172:M172)</f>
        <v>4418.85203181</v>
      </c>
      <c r="P172" s="44" t="n">
        <f aca="false">O172/(parametros_manuales!$B$7)</f>
        <v>29.4590135454</v>
      </c>
      <c r="Q172" s="8" t="str">
        <f aca="false">IF(O172=0,"-",INDEX($B$163:$M$163,MATCH(O172,B172:M172,0)))</f>
        <v>Dic</v>
      </c>
    </row>
    <row r="173" customFormat="false" ht="14.25" hidden="false" customHeight="true" outlineLevel="0" collapsed="false">
      <c r="A173" s="8" t="str">
        <f aca="false">parametros_manuales!$B$28</f>
        <v>Encastre de fondo</v>
      </c>
      <c r="B173" s="9" t="n">
        <f aca="false">(parametros_manuales!$D$28*(datos_base!$H$2+IF(parametros_manuales!$H$28="Todos",datos_base!$H$9,0))*parametros_manuales!$B$95+parametros_manuales!$D$28*(datos_base!$H$18+IF(parametros_manuales!$H$28="Todos",datos_base!$H$23,0))*parametros_manuales!$B$12+parametros_manuales!$E$28*(datos_base!$H$3+IF(parametros_manuales!$H$28="Todos",datos_base!$H$10,0))*parametros_manuales!$B$100+parametros_manuales!$E$28*(datos_base!$H$19+IF(parametros_manuales!$H$28="Todos",datos_base!$H$24,0))*parametros_manuales!$B$13+parametros_manuales!$F$28*(datos_base!$H$4+IF(parametros_manuales!$H$28="Todos",datos_base!$H$11,0))*parametros_manuales!$B$105+parametros_manuales!$F$28*(datos_base!$H$20+IF(parametros_manuales!$H$28="Todos",datos_base!$H$25,0))*parametros_manuales!$B$14+parametros_manuales!$G$28*(datos_base!$H$5+IF(parametros_manuales!$H$28="Todos",datos_base!$H$12,0))*parametros_manuales!$B$110+parametros_manuales!$G$28*(datos_base!$H$21+IF(parametros_manuales!$H$28="Todos",datos_base!$H$26,0))*parametros_manuales!$B$15)*parametros_manuales!$I$28*parametros_manuales!$J$28</f>
        <v>15367.19302521</v>
      </c>
      <c r="C173" s="9" t="n">
        <f aca="false">(parametros_manuales!$D$28*(datos_base!$H$2+IF(parametros_manuales!$H$28="Todos",datos_base!$H$9,0))*parametros_manuales!$C$95+parametros_manuales!$D$28*(datos_base!$H$18+IF(parametros_manuales!$H$28="Todos",datos_base!$H$23,0))*parametros_manuales!$C$12+parametros_manuales!$E$28*(datos_base!$H$3+IF(parametros_manuales!$H$28="Todos",datos_base!$H$10,0))*parametros_manuales!$C$100+parametros_manuales!$E$28*(datos_base!$H$19+IF(parametros_manuales!$H$28="Todos",datos_base!$H$24,0))*parametros_manuales!$C$13+parametros_manuales!$F$28*(datos_base!$H$4+IF(parametros_manuales!$H$28="Todos",datos_base!$H$11,0))*parametros_manuales!$C$105+parametros_manuales!$F$28*(datos_base!$H$20+IF(parametros_manuales!$H$28="Todos",datos_base!$H$25,0))*parametros_manuales!$C$14+parametros_manuales!$G$28*(datos_base!$H$5+IF(parametros_manuales!$H$28="Todos",datos_base!$H$12,0))*parametros_manuales!$C$110+parametros_manuales!$G$28*(datos_base!$H$21+IF(parametros_manuales!$H$28="Todos",datos_base!$H$26,0))*parametros_manuales!$C$15)*parametros_manuales!$I$28*parametros_manuales!$J$28</f>
        <v>14874.46506612</v>
      </c>
      <c r="D173" s="9" t="n">
        <f aca="false">(parametros_manuales!$D$28*(datos_base!$H$2+IF(parametros_manuales!$H$28="Todos",datos_base!$H$9,0))*parametros_manuales!$D$95+parametros_manuales!$D$28*(datos_base!$H$18+IF(parametros_manuales!$H$28="Todos",datos_base!$H$23,0))*parametros_manuales!$D$12+parametros_manuales!$E$28*(datos_base!$H$3+IF(parametros_manuales!$H$28="Todos",datos_base!$H$10,0))*parametros_manuales!$D$100+parametros_manuales!$E$28*(datos_base!$H$19+IF(parametros_manuales!$H$28="Todos",datos_base!$H$24,0))*parametros_manuales!$D$13+parametros_manuales!$F$28*(datos_base!$H$4+IF(parametros_manuales!$H$28="Todos",datos_base!$H$11,0))*parametros_manuales!$D$105+parametros_manuales!$F$28*(datos_base!$H$20+IF(parametros_manuales!$H$28="Todos",datos_base!$H$25,0))*parametros_manuales!$D$14+parametros_manuales!$G$28*(datos_base!$H$5+IF(parametros_manuales!$H$28="Todos",datos_base!$H$12,0))*parametros_manuales!$D$110+parametros_manuales!$G$28*(datos_base!$H$21+IF(parametros_manuales!$H$28="Todos",datos_base!$H$26,0))*parametros_manuales!$D$15)*parametros_manuales!$I$28*parametros_manuales!$J$28</f>
        <v>13902.976113065</v>
      </c>
      <c r="E173" s="9" t="n">
        <f aca="false">(parametros_manuales!$D$28*(datos_base!$H$2+IF(parametros_manuales!$H$28="Todos",datos_base!$H$9,0))*parametros_manuales!$E$95+parametros_manuales!$D$28*(datos_base!$H$18+IF(parametros_manuales!$H$28="Todos",datos_base!$H$23,0))*parametros_manuales!$E$12+parametros_manuales!$E$28*(datos_base!$H$3+IF(parametros_manuales!$H$28="Todos",datos_base!$H$10,0))*parametros_manuales!$E$100+parametros_manuales!$E$28*(datos_base!$H$19+IF(parametros_manuales!$H$28="Todos",datos_base!$H$24,0))*parametros_manuales!$E$13+parametros_manuales!$F$28*(datos_base!$H$4+IF(parametros_manuales!$H$28="Todos",datos_base!$H$11,0))*parametros_manuales!$E$105+parametros_manuales!$F$28*(datos_base!$H$20+IF(parametros_manuales!$H$28="Todos",datos_base!$H$25,0))*parametros_manuales!$E$14+parametros_manuales!$G$28*(datos_base!$H$5+IF(parametros_manuales!$H$28="Todos",datos_base!$H$12,0))*parametros_manuales!$E$110+parametros_manuales!$G$28*(datos_base!$H$21+IF(parametros_manuales!$H$28="Todos",datos_base!$H$26,0))*parametros_manuales!$E$15)*parametros_manuales!$I$28*parametros_manuales!$J$28</f>
        <v>13294.610346765</v>
      </c>
      <c r="F173" s="9" t="n">
        <f aca="false">(parametros_manuales!$D$28*(datos_base!$H$2+IF(parametros_manuales!$H$28="Todos",datos_base!$H$9,0))*parametros_manuales!$F$95+parametros_manuales!$D$28*(datos_base!$H$18+IF(parametros_manuales!$H$28="Todos",datos_base!$H$23,0))*parametros_manuales!$F$12+parametros_manuales!$E$28*(datos_base!$H$3+IF(parametros_manuales!$H$28="Todos",datos_base!$H$10,0))*parametros_manuales!$F$100+parametros_manuales!$E$28*(datos_base!$H$19+IF(parametros_manuales!$H$28="Todos",datos_base!$H$24,0))*parametros_manuales!$F$13+parametros_manuales!$F$28*(datos_base!$H$4+IF(parametros_manuales!$H$28="Todos",datos_base!$H$11,0))*parametros_manuales!$F$105+parametros_manuales!$F$28*(datos_base!$H$20+IF(parametros_manuales!$H$28="Todos",datos_base!$H$25,0))*parametros_manuales!$F$14+parametros_manuales!$G$28*(datos_base!$H$5+IF(parametros_manuales!$H$28="Todos",datos_base!$H$12,0))*parametros_manuales!$F$110+parametros_manuales!$G$28*(datos_base!$H$21+IF(parametros_manuales!$H$28="Todos",datos_base!$H$26,0))*parametros_manuales!$F$15)*parametros_manuales!$I$28*parametros_manuales!$J$28</f>
        <v>12441.00200092</v>
      </c>
      <c r="G173" s="9" t="n">
        <f aca="false">(parametros_manuales!$D$28*(datos_base!$H$2+IF(parametros_manuales!$H$28="Todos",datos_base!$H$9,0))*parametros_manuales!$G$95+parametros_manuales!$D$28*(datos_base!$H$18+IF(parametros_manuales!$H$28="Todos",datos_base!$H$23,0))*parametros_manuales!$G$12+parametros_manuales!$E$28*(datos_base!$H$3+IF(parametros_manuales!$H$28="Todos",datos_base!$H$10,0))*parametros_manuales!$G$100+parametros_manuales!$E$28*(datos_base!$H$19+IF(parametros_manuales!$H$28="Todos",datos_base!$H$24,0))*parametros_manuales!$G$13+parametros_manuales!$F$28*(datos_base!$H$4+IF(parametros_manuales!$H$28="Todos",datos_base!$H$11,0))*parametros_manuales!$G$105+parametros_manuales!$F$28*(datos_base!$H$20+IF(parametros_manuales!$H$28="Todos",datos_base!$H$25,0))*parametros_manuales!$G$14+parametros_manuales!$G$28*(datos_base!$H$5+IF(parametros_manuales!$H$28="Todos",datos_base!$H$12,0))*parametros_manuales!$G$110+parametros_manuales!$G$28*(datos_base!$H$21+IF(parametros_manuales!$H$28="Todos",datos_base!$H$26,0))*parametros_manuales!$G$15)*parametros_manuales!$I$28*parametros_manuales!$J$28</f>
        <v>12195.759421375</v>
      </c>
      <c r="H173" s="9" t="n">
        <f aca="false">(parametros_manuales!$D$28*(datos_base!$H$2+IF(parametros_manuales!$H$28="Todos",datos_base!$H$9,0))*parametros_manuales!$H$95+parametros_manuales!$D$28*(datos_base!$H$18+IF(parametros_manuales!$H$28="Todos",datos_base!$H$23,0))*parametros_manuales!$H$12+parametros_manuales!$E$28*(datos_base!$H$3+IF(parametros_manuales!$H$28="Todos",datos_base!$H$10,0))*parametros_manuales!$H$100+parametros_manuales!$E$28*(datos_base!$H$19+IF(parametros_manuales!$H$28="Todos",datos_base!$H$24,0))*parametros_manuales!$H$13+parametros_manuales!$F$28*(datos_base!$H$4+IF(parametros_manuales!$H$28="Todos",datos_base!$H$11,0))*parametros_manuales!$H$105+parametros_manuales!$F$28*(datos_base!$H$20+IF(parametros_manuales!$H$28="Todos",datos_base!$H$25,0))*parametros_manuales!$H$14+parametros_manuales!$G$28*(datos_base!$H$5+IF(parametros_manuales!$H$28="Todos",datos_base!$H$12,0))*parametros_manuales!$H$110+parametros_manuales!$G$28*(datos_base!$H$21+IF(parametros_manuales!$H$28="Todos",datos_base!$H$26,0))*parametros_manuales!$H$15)*parametros_manuales!$I$28*parametros_manuales!$J$28</f>
        <v>13049.36776722</v>
      </c>
      <c r="I173" s="9" t="n">
        <f aca="false">(parametros_manuales!$D$28*(datos_base!$H$2+IF(parametros_manuales!$H$28="Todos",datos_base!$H$9,0))*parametros_manuales!$I$95+parametros_manuales!$D$28*(datos_base!$H$18+IF(parametros_manuales!$H$28="Todos",datos_base!$H$23,0))*parametros_manuales!$I$12+parametros_manuales!$E$28*(datos_base!$H$3+IF(parametros_manuales!$H$28="Todos",datos_base!$H$10,0))*parametros_manuales!$I$100+parametros_manuales!$E$28*(datos_base!$H$19+IF(parametros_manuales!$H$28="Todos",datos_base!$H$24,0))*parametros_manuales!$I$13+parametros_manuales!$F$28*(datos_base!$H$4+IF(parametros_manuales!$H$28="Todos",datos_base!$H$11,0))*parametros_manuales!$I$105+parametros_manuales!$F$28*(datos_base!$H$20+IF(parametros_manuales!$H$28="Todos",datos_base!$H$25,0))*parametros_manuales!$I$14+parametros_manuales!$G$28*(datos_base!$H$5+IF(parametros_manuales!$H$28="Todos",datos_base!$H$12,0))*parametros_manuales!$I$110+parametros_manuales!$G$28*(datos_base!$H$21+IF(parametros_manuales!$H$28="Todos",datos_base!$H$26,0))*parametros_manuales!$I$15)*parametros_manuales!$I$28*parametros_manuales!$J$28</f>
        <v>14874.46506612</v>
      </c>
      <c r="J173" s="9" t="n">
        <f aca="false">(parametros_manuales!$D$28*(datos_base!$H$2+IF(parametros_manuales!$H$28="Todos",datos_base!$H$9,0))*parametros_manuales!$J$95+parametros_manuales!$D$28*(datos_base!$H$18+IF(parametros_manuales!$H$28="Todos",datos_base!$H$23,0))*parametros_manuales!$J$12+parametros_manuales!$E$28*(datos_base!$H$3+IF(parametros_manuales!$H$28="Todos",datos_base!$H$10,0))*parametros_manuales!$J$100+parametros_manuales!$E$28*(datos_base!$H$19+IF(parametros_manuales!$H$28="Todos",datos_base!$H$24,0))*parametros_manuales!$J$13+parametros_manuales!$F$28*(datos_base!$H$4+IF(parametros_manuales!$H$28="Todos",datos_base!$H$11,0))*parametros_manuales!$J$105+parametros_manuales!$F$28*(datos_base!$H$20+IF(parametros_manuales!$H$28="Todos",datos_base!$H$25,0))*parametros_manuales!$J$14+parametros_manuales!$G$28*(datos_base!$H$5+IF(parametros_manuales!$H$28="Todos",datos_base!$H$12,0))*parametros_manuales!$J$110+parametros_manuales!$G$28*(datos_base!$H$21+IF(parametros_manuales!$H$28="Todos",datos_base!$H$26,0))*parametros_manuales!$J$15)*parametros_manuales!$I$28*parametros_manuales!$J$28</f>
        <v>14874.46506612</v>
      </c>
      <c r="K173" s="9" t="n">
        <f aca="false">(parametros_manuales!$D$28*(datos_base!$H$2+IF(parametros_manuales!$H$28="Todos",datos_base!$H$9,0))*parametros_manuales!$K$95+parametros_manuales!$D$28*(datos_base!$H$18+IF(parametros_manuales!$H$28="Todos",datos_base!$H$23,0))*parametros_manuales!$K$12+parametros_manuales!$E$28*(datos_base!$H$3+IF(parametros_manuales!$H$28="Todos",datos_base!$H$10,0))*parametros_manuales!$K$100+parametros_manuales!$E$28*(datos_base!$H$19+IF(parametros_manuales!$H$28="Todos",datos_base!$H$24,0))*parametros_manuales!$K$13+parametros_manuales!$F$28*(datos_base!$H$4+IF(parametros_manuales!$H$28="Todos",datos_base!$H$11,0))*parametros_manuales!$K$105+parametros_manuales!$F$28*(datos_base!$H$20+IF(parametros_manuales!$H$28="Todos",datos_base!$H$25,0))*parametros_manuales!$K$14+parametros_manuales!$G$28*(datos_base!$H$5+IF(parametros_manuales!$H$28="Todos",datos_base!$H$12,0))*parametros_manuales!$K$110+parametros_manuales!$G$28*(datos_base!$H$21+IF(parametros_manuales!$H$28="Todos",datos_base!$H$26,0))*parametros_manuales!$K$15)*parametros_manuales!$I$28*parametros_manuales!$J$28</f>
        <v>15117.464845665</v>
      </c>
      <c r="L173" s="9" t="n">
        <f aca="false">(parametros_manuales!$D$28*(datos_base!$H$2+IF(parametros_manuales!$H$28="Todos",datos_base!$H$9,0))*parametros_manuales!$L$95+parametros_manuales!$D$28*(datos_base!$H$18+IF(parametros_manuales!$H$28="Todos",datos_base!$H$23,0))*parametros_manuales!$L$12+parametros_manuales!$E$28*(datos_base!$H$3+IF(parametros_manuales!$H$28="Todos",datos_base!$H$10,0))*parametros_manuales!$L$100+parametros_manuales!$E$28*(datos_base!$H$19+IF(parametros_manuales!$H$28="Todos",datos_base!$H$24,0))*parametros_manuales!$L$13+parametros_manuales!$F$28*(datos_base!$H$4+IF(parametros_manuales!$H$28="Todos",datos_base!$H$11,0))*parametros_manuales!$L$105+parametros_manuales!$F$28*(datos_base!$H$20+IF(parametros_manuales!$H$28="Todos",datos_base!$H$25,0))*parametros_manuales!$L$14+parametros_manuales!$G$28*(datos_base!$H$5+IF(parametros_manuales!$H$28="Todos",datos_base!$H$12,0))*parametros_manuales!$L$110+parametros_manuales!$G$28*(datos_base!$H$21+IF(parametros_manuales!$H$28="Todos",datos_base!$H$26,0))*parametros_manuales!$L$15)*parametros_manuales!$I$28*parametros_manuales!$J$28</f>
        <v>15360.46462521</v>
      </c>
      <c r="M173" s="9" t="n">
        <f aca="false">(parametros_manuales!$D$28*(datos_base!$H$2+IF(parametros_manuales!$H$28="Todos",datos_base!$H$9,0))*parametros_manuales!$M$95+parametros_manuales!$D$28*(datos_base!$H$18+IF(parametros_manuales!$H$28="Todos",datos_base!$H$23,0))*parametros_manuales!$M$12+parametros_manuales!$E$28*(datos_base!$H$3+IF(parametros_manuales!$H$28="Todos",datos_base!$H$10,0))*parametros_manuales!$M$100+parametros_manuales!$E$28*(datos_base!$H$19+IF(parametros_manuales!$H$28="Todos",datos_base!$H$24,0))*parametros_manuales!$M$13+parametros_manuales!$F$28*(datos_base!$H$4+IF(parametros_manuales!$H$28="Todos",datos_base!$H$11,0))*parametros_manuales!$M$105+parametros_manuales!$F$28*(datos_base!$H$20+IF(parametros_manuales!$H$28="Todos",datos_base!$H$25,0))*parametros_manuales!$M$14+parametros_manuales!$G$28*(datos_base!$H$5+IF(parametros_manuales!$H$28="Todos",datos_base!$H$12,0))*parametros_manuales!$M$110+parametros_manuales!$G$28*(datos_base!$H$21+IF(parametros_manuales!$H$28="Todos",datos_base!$H$26,0))*parametros_manuales!$M$15)*parametros_manuales!$I$28*parametros_manuales!$J$28</f>
        <v>15369.43582521</v>
      </c>
      <c r="N173" s="9" t="n">
        <f aca="false">SUM(B173:M173)</f>
        <v>170721.669169</v>
      </c>
      <c r="O173" s="9" t="n">
        <f aca="false">MAX(B173:M173)</f>
        <v>15369.43582521</v>
      </c>
      <c r="P173" s="44" t="n">
        <f aca="false">O173/(parametros_manuales!$B$7)</f>
        <v>102.4629055014</v>
      </c>
      <c r="Q173" s="8" t="str">
        <f aca="false">IF(O173=0,"-",INDEX($B$163:$M$163,MATCH(O173,B173:M173,0)))</f>
        <v>Dic</v>
      </c>
    </row>
    <row r="174" customFormat="false" ht="14.25" hidden="false" customHeight="true" outlineLevel="0" collapsed="false">
      <c r="A174" s="8" t="str">
        <f aca="false">parametros_manuales!$B$29</f>
        <v>Bordoneado</v>
      </c>
      <c r="B174" s="9" t="n">
        <f aca="false">(parametros_manuales!$D$29*(datos_base!$H$2+IF(parametros_manuales!$H$29="Todos",datos_base!$H$9,0))*parametros_manuales!$B$95+parametros_manuales!$D$29*(datos_base!$H$18+IF(parametros_manuales!$H$29="Todos",datos_base!$H$23,0))*parametros_manuales!$B$12+parametros_manuales!$E$29*(datos_base!$H$3+IF(parametros_manuales!$H$29="Todos",datos_base!$H$10,0))*parametros_manuales!$B$100+parametros_manuales!$E$29*(datos_base!$H$19+IF(parametros_manuales!$H$29="Todos",datos_base!$H$24,0))*parametros_manuales!$B$13+parametros_manuales!$F$29*(datos_base!$H$4+IF(parametros_manuales!$H$29="Todos",datos_base!$H$11,0))*parametros_manuales!$B$105+parametros_manuales!$F$29*(datos_base!$H$20+IF(parametros_manuales!$H$29="Todos",datos_base!$H$25,0))*parametros_manuales!$B$14+parametros_manuales!$G$29*(datos_base!$H$5+IF(parametros_manuales!$H$29="Todos",datos_base!$H$12,0))*parametros_manuales!$B$110+parametros_manuales!$G$29*(datos_base!$H$21+IF(parametros_manuales!$H$29="Todos",datos_base!$H$26,0))*parametros_manuales!$B$15)*parametros_manuales!$I$29*parametros_manuales!$J$29</f>
        <v>15367.19302521</v>
      </c>
      <c r="C174" s="9" t="n">
        <f aca="false">(parametros_manuales!$D$29*(datos_base!$H$2+IF(parametros_manuales!$H$29="Todos",datos_base!$H$9,0))*parametros_manuales!$C$95+parametros_manuales!$D$29*(datos_base!$H$18+IF(parametros_manuales!$H$29="Todos",datos_base!$H$23,0))*parametros_manuales!$C$12+parametros_manuales!$E$29*(datos_base!$H$3+IF(parametros_manuales!$H$29="Todos",datos_base!$H$10,0))*parametros_manuales!$C$100+parametros_manuales!$E$29*(datos_base!$H$19+IF(parametros_manuales!$H$29="Todos",datos_base!$H$24,0))*parametros_manuales!$C$13+parametros_manuales!$F$29*(datos_base!$H$4+IF(parametros_manuales!$H$29="Todos",datos_base!$H$11,0))*parametros_manuales!$C$105+parametros_manuales!$F$29*(datos_base!$H$20+IF(parametros_manuales!$H$29="Todos",datos_base!$H$25,0))*parametros_manuales!$C$14+parametros_manuales!$G$29*(datos_base!$H$5+IF(parametros_manuales!$H$29="Todos",datos_base!$H$12,0))*parametros_manuales!$C$110+parametros_manuales!$G$29*(datos_base!$H$21+IF(parametros_manuales!$H$29="Todos",datos_base!$H$26,0))*parametros_manuales!$C$15)*parametros_manuales!$I$29*parametros_manuales!$J$29</f>
        <v>14874.46506612</v>
      </c>
      <c r="D174" s="9" t="n">
        <f aca="false">(parametros_manuales!$D$29*(datos_base!$H$2+IF(parametros_manuales!$H$29="Todos",datos_base!$H$9,0))*parametros_manuales!$D$95+parametros_manuales!$D$29*(datos_base!$H$18+IF(parametros_manuales!$H$29="Todos",datos_base!$H$23,0))*parametros_manuales!$D$12+parametros_manuales!$E$29*(datos_base!$H$3+IF(parametros_manuales!$H$29="Todos",datos_base!$H$10,0))*parametros_manuales!$D$100+parametros_manuales!$E$29*(datos_base!$H$19+IF(parametros_manuales!$H$29="Todos",datos_base!$H$24,0))*parametros_manuales!$D$13+parametros_manuales!$F$29*(datos_base!$H$4+IF(parametros_manuales!$H$29="Todos",datos_base!$H$11,0))*parametros_manuales!$D$105+parametros_manuales!$F$29*(datos_base!$H$20+IF(parametros_manuales!$H$29="Todos",datos_base!$H$25,0))*parametros_manuales!$D$14+parametros_manuales!$G$29*(datos_base!$H$5+IF(parametros_manuales!$H$29="Todos",datos_base!$H$12,0))*parametros_manuales!$D$110+parametros_manuales!$G$29*(datos_base!$H$21+IF(parametros_manuales!$H$29="Todos",datos_base!$H$26,0))*parametros_manuales!$D$15)*parametros_manuales!$I$29*parametros_manuales!$J$29</f>
        <v>13902.976113065</v>
      </c>
      <c r="E174" s="9" t="n">
        <f aca="false">(parametros_manuales!$D$29*(datos_base!$H$2+IF(parametros_manuales!$H$29="Todos",datos_base!$H$9,0))*parametros_manuales!$E$95+parametros_manuales!$D$29*(datos_base!$H$18+IF(parametros_manuales!$H$29="Todos",datos_base!$H$23,0))*parametros_manuales!$E$12+parametros_manuales!$E$29*(datos_base!$H$3+IF(parametros_manuales!$H$29="Todos",datos_base!$H$10,0))*parametros_manuales!$E$100+parametros_manuales!$E$29*(datos_base!$H$19+IF(parametros_manuales!$H$29="Todos",datos_base!$H$24,0))*parametros_manuales!$E$13+parametros_manuales!$F$29*(datos_base!$H$4+IF(parametros_manuales!$H$29="Todos",datos_base!$H$11,0))*parametros_manuales!$E$105+parametros_manuales!$F$29*(datos_base!$H$20+IF(parametros_manuales!$H$29="Todos",datos_base!$H$25,0))*parametros_manuales!$E$14+parametros_manuales!$G$29*(datos_base!$H$5+IF(parametros_manuales!$H$29="Todos",datos_base!$H$12,0))*parametros_manuales!$E$110+parametros_manuales!$G$29*(datos_base!$H$21+IF(parametros_manuales!$H$29="Todos",datos_base!$H$26,0))*parametros_manuales!$E$15)*parametros_manuales!$I$29*parametros_manuales!$J$29</f>
        <v>13294.610346765</v>
      </c>
      <c r="F174" s="9" t="n">
        <f aca="false">(parametros_manuales!$D$29*(datos_base!$H$2+IF(parametros_manuales!$H$29="Todos",datos_base!$H$9,0))*parametros_manuales!$F$95+parametros_manuales!$D$29*(datos_base!$H$18+IF(parametros_manuales!$H$29="Todos",datos_base!$H$23,0))*parametros_manuales!$F$12+parametros_manuales!$E$29*(datos_base!$H$3+IF(parametros_manuales!$H$29="Todos",datos_base!$H$10,0))*parametros_manuales!$F$100+parametros_manuales!$E$29*(datos_base!$H$19+IF(parametros_manuales!$H$29="Todos",datos_base!$H$24,0))*parametros_manuales!$F$13+parametros_manuales!$F$29*(datos_base!$H$4+IF(parametros_manuales!$H$29="Todos",datos_base!$H$11,0))*parametros_manuales!$F$105+parametros_manuales!$F$29*(datos_base!$H$20+IF(parametros_manuales!$H$29="Todos",datos_base!$H$25,0))*parametros_manuales!$F$14+parametros_manuales!$G$29*(datos_base!$H$5+IF(parametros_manuales!$H$29="Todos",datos_base!$H$12,0))*parametros_manuales!$F$110+parametros_manuales!$G$29*(datos_base!$H$21+IF(parametros_manuales!$H$29="Todos",datos_base!$H$26,0))*parametros_manuales!$F$15)*parametros_manuales!$I$29*parametros_manuales!$J$29</f>
        <v>12441.00200092</v>
      </c>
      <c r="G174" s="9" t="n">
        <f aca="false">(parametros_manuales!$D$29*(datos_base!$H$2+IF(parametros_manuales!$H$29="Todos",datos_base!$H$9,0))*parametros_manuales!$G$95+parametros_manuales!$D$29*(datos_base!$H$18+IF(parametros_manuales!$H$29="Todos",datos_base!$H$23,0))*parametros_manuales!$G$12+parametros_manuales!$E$29*(datos_base!$H$3+IF(parametros_manuales!$H$29="Todos",datos_base!$H$10,0))*parametros_manuales!$G$100+parametros_manuales!$E$29*(datos_base!$H$19+IF(parametros_manuales!$H$29="Todos",datos_base!$H$24,0))*parametros_manuales!$G$13+parametros_manuales!$F$29*(datos_base!$H$4+IF(parametros_manuales!$H$29="Todos",datos_base!$H$11,0))*parametros_manuales!$G$105+parametros_manuales!$F$29*(datos_base!$H$20+IF(parametros_manuales!$H$29="Todos",datos_base!$H$25,0))*parametros_manuales!$G$14+parametros_manuales!$G$29*(datos_base!$H$5+IF(parametros_manuales!$H$29="Todos",datos_base!$H$12,0))*parametros_manuales!$G$110+parametros_manuales!$G$29*(datos_base!$H$21+IF(parametros_manuales!$H$29="Todos",datos_base!$H$26,0))*parametros_manuales!$G$15)*parametros_manuales!$I$29*parametros_manuales!$J$29</f>
        <v>12195.759421375</v>
      </c>
      <c r="H174" s="9" t="n">
        <f aca="false">(parametros_manuales!$D$29*(datos_base!$H$2+IF(parametros_manuales!$H$29="Todos",datos_base!$H$9,0))*parametros_manuales!$H$95+parametros_manuales!$D$29*(datos_base!$H$18+IF(parametros_manuales!$H$29="Todos",datos_base!$H$23,0))*parametros_manuales!$H$12+parametros_manuales!$E$29*(datos_base!$H$3+IF(parametros_manuales!$H$29="Todos",datos_base!$H$10,0))*parametros_manuales!$H$100+parametros_manuales!$E$29*(datos_base!$H$19+IF(parametros_manuales!$H$29="Todos",datos_base!$H$24,0))*parametros_manuales!$H$13+parametros_manuales!$F$29*(datos_base!$H$4+IF(parametros_manuales!$H$29="Todos",datos_base!$H$11,0))*parametros_manuales!$H$105+parametros_manuales!$F$29*(datos_base!$H$20+IF(parametros_manuales!$H$29="Todos",datos_base!$H$25,0))*parametros_manuales!$H$14+parametros_manuales!$G$29*(datos_base!$H$5+IF(parametros_manuales!$H$29="Todos",datos_base!$H$12,0))*parametros_manuales!$H$110+parametros_manuales!$G$29*(datos_base!$H$21+IF(parametros_manuales!$H$29="Todos",datos_base!$H$26,0))*parametros_manuales!$H$15)*parametros_manuales!$I$29*parametros_manuales!$J$29</f>
        <v>13049.36776722</v>
      </c>
      <c r="I174" s="9" t="n">
        <f aca="false">(parametros_manuales!$D$29*(datos_base!$H$2+IF(parametros_manuales!$H$29="Todos",datos_base!$H$9,0))*parametros_manuales!$I$95+parametros_manuales!$D$29*(datos_base!$H$18+IF(parametros_manuales!$H$29="Todos",datos_base!$H$23,0))*parametros_manuales!$I$12+parametros_manuales!$E$29*(datos_base!$H$3+IF(parametros_manuales!$H$29="Todos",datos_base!$H$10,0))*parametros_manuales!$I$100+parametros_manuales!$E$29*(datos_base!$H$19+IF(parametros_manuales!$H$29="Todos",datos_base!$H$24,0))*parametros_manuales!$I$13+parametros_manuales!$F$29*(datos_base!$H$4+IF(parametros_manuales!$H$29="Todos",datos_base!$H$11,0))*parametros_manuales!$I$105+parametros_manuales!$F$29*(datos_base!$H$20+IF(parametros_manuales!$H$29="Todos",datos_base!$H$25,0))*parametros_manuales!$I$14+parametros_manuales!$G$29*(datos_base!$H$5+IF(parametros_manuales!$H$29="Todos",datos_base!$H$12,0))*parametros_manuales!$I$110+parametros_manuales!$G$29*(datos_base!$H$21+IF(parametros_manuales!$H$29="Todos",datos_base!$H$26,0))*parametros_manuales!$I$15)*parametros_manuales!$I$29*parametros_manuales!$J$29</f>
        <v>14874.46506612</v>
      </c>
      <c r="J174" s="9" t="n">
        <f aca="false">(parametros_manuales!$D$29*(datos_base!$H$2+IF(parametros_manuales!$H$29="Todos",datos_base!$H$9,0))*parametros_manuales!$J$95+parametros_manuales!$D$29*(datos_base!$H$18+IF(parametros_manuales!$H$29="Todos",datos_base!$H$23,0))*parametros_manuales!$J$12+parametros_manuales!$E$29*(datos_base!$H$3+IF(parametros_manuales!$H$29="Todos",datos_base!$H$10,0))*parametros_manuales!$J$100+parametros_manuales!$E$29*(datos_base!$H$19+IF(parametros_manuales!$H$29="Todos",datos_base!$H$24,0))*parametros_manuales!$J$13+parametros_manuales!$F$29*(datos_base!$H$4+IF(parametros_manuales!$H$29="Todos",datos_base!$H$11,0))*parametros_manuales!$J$105+parametros_manuales!$F$29*(datos_base!$H$20+IF(parametros_manuales!$H$29="Todos",datos_base!$H$25,0))*parametros_manuales!$J$14+parametros_manuales!$G$29*(datos_base!$H$5+IF(parametros_manuales!$H$29="Todos",datos_base!$H$12,0))*parametros_manuales!$J$110+parametros_manuales!$G$29*(datos_base!$H$21+IF(parametros_manuales!$H$29="Todos",datos_base!$H$26,0))*parametros_manuales!$J$15)*parametros_manuales!$I$29*parametros_manuales!$J$29</f>
        <v>14874.46506612</v>
      </c>
      <c r="K174" s="9" t="n">
        <f aca="false">(parametros_manuales!$D$29*(datos_base!$H$2+IF(parametros_manuales!$H$29="Todos",datos_base!$H$9,0))*parametros_manuales!$K$95+parametros_manuales!$D$29*(datos_base!$H$18+IF(parametros_manuales!$H$29="Todos",datos_base!$H$23,0))*parametros_manuales!$K$12+parametros_manuales!$E$29*(datos_base!$H$3+IF(parametros_manuales!$H$29="Todos",datos_base!$H$10,0))*parametros_manuales!$K$100+parametros_manuales!$E$29*(datos_base!$H$19+IF(parametros_manuales!$H$29="Todos",datos_base!$H$24,0))*parametros_manuales!$K$13+parametros_manuales!$F$29*(datos_base!$H$4+IF(parametros_manuales!$H$29="Todos",datos_base!$H$11,0))*parametros_manuales!$K$105+parametros_manuales!$F$29*(datos_base!$H$20+IF(parametros_manuales!$H$29="Todos",datos_base!$H$25,0))*parametros_manuales!$K$14+parametros_manuales!$G$29*(datos_base!$H$5+IF(parametros_manuales!$H$29="Todos",datos_base!$H$12,0))*parametros_manuales!$K$110+parametros_manuales!$G$29*(datos_base!$H$21+IF(parametros_manuales!$H$29="Todos",datos_base!$H$26,0))*parametros_manuales!$K$15)*parametros_manuales!$I$29*parametros_manuales!$J$29</f>
        <v>15117.464845665</v>
      </c>
      <c r="L174" s="9" t="n">
        <f aca="false">(parametros_manuales!$D$29*(datos_base!$H$2+IF(parametros_manuales!$H$29="Todos",datos_base!$H$9,0))*parametros_manuales!$L$95+parametros_manuales!$D$29*(datos_base!$H$18+IF(parametros_manuales!$H$29="Todos",datos_base!$H$23,0))*parametros_manuales!$L$12+parametros_manuales!$E$29*(datos_base!$H$3+IF(parametros_manuales!$H$29="Todos",datos_base!$H$10,0))*parametros_manuales!$L$100+parametros_manuales!$E$29*(datos_base!$H$19+IF(parametros_manuales!$H$29="Todos",datos_base!$H$24,0))*parametros_manuales!$L$13+parametros_manuales!$F$29*(datos_base!$H$4+IF(parametros_manuales!$H$29="Todos",datos_base!$H$11,0))*parametros_manuales!$L$105+parametros_manuales!$F$29*(datos_base!$H$20+IF(parametros_manuales!$H$29="Todos",datos_base!$H$25,0))*parametros_manuales!$L$14+parametros_manuales!$G$29*(datos_base!$H$5+IF(parametros_manuales!$H$29="Todos",datos_base!$H$12,0))*parametros_manuales!$L$110+parametros_manuales!$G$29*(datos_base!$H$21+IF(parametros_manuales!$H$29="Todos",datos_base!$H$26,0))*parametros_manuales!$L$15)*parametros_manuales!$I$29*parametros_manuales!$J$29</f>
        <v>15360.46462521</v>
      </c>
      <c r="M174" s="9" t="n">
        <f aca="false">(parametros_manuales!$D$29*(datos_base!$H$2+IF(parametros_manuales!$H$29="Todos",datos_base!$H$9,0))*parametros_manuales!$M$95+parametros_manuales!$D$29*(datos_base!$H$18+IF(parametros_manuales!$H$29="Todos",datos_base!$H$23,0))*parametros_manuales!$M$12+parametros_manuales!$E$29*(datos_base!$H$3+IF(parametros_manuales!$H$29="Todos",datos_base!$H$10,0))*parametros_manuales!$M$100+parametros_manuales!$E$29*(datos_base!$H$19+IF(parametros_manuales!$H$29="Todos",datos_base!$H$24,0))*parametros_manuales!$M$13+parametros_manuales!$F$29*(datos_base!$H$4+IF(parametros_manuales!$H$29="Todos",datos_base!$H$11,0))*parametros_manuales!$M$105+parametros_manuales!$F$29*(datos_base!$H$20+IF(parametros_manuales!$H$29="Todos",datos_base!$H$25,0))*parametros_manuales!$M$14+parametros_manuales!$G$29*(datos_base!$H$5+IF(parametros_manuales!$H$29="Todos",datos_base!$H$12,0))*parametros_manuales!$M$110+parametros_manuales!$G$29*(datos_base!$H$21+IF(parametros_manuales!$H$29="Todos",datos_base!$H$26,0))*parametros_manuales!$M$15)*parametros_manuales!$I$29*parametros_manuales!$J$29</f>
        <v>15369.43582521</v>
      </c>
      <c r="N174" s="9" t="n">
        <f aca="false">SUM(B174:M174)</f>
        <v>170721.669169</v>
      </c>
      <c r="O174" s="9" t="n">
        <f aca="false">MAX(B174:M174)</f>
        <v>15369.43582521</v>
      </c>
      <c r="P174" s="44" t="n">
        <f aca="false">O174/(parametros_manuales!$B$7)</f>
        <v>102.4629055014</v>
      </c>
      <c r="Q174" s="8" t="str">
        <f aca="false">IF(O174=0,"-",INDEX($B$163:$M$163,MATCH(O174,B174:M174,0)))</f>
        <v>Dic</v>
      </c>
    </row>
    <row r="175" customFormat="false" ht="14.25" hidden="false" customHeight="true" outlineLevel="0" collapsed="false">
      <c r="A175" s="8" t="str">
        <f aca="false">parametros_manuales!$B$30</f>
        <v>Soldadura circunferencial de cúpula y fondo</v>
      </c>
      <c r="B175" s="9" t="n">
        <f aca="false">(parametros_manuales!$D$30*(datos_base!$H$2+IF(parametros_manuales!$H$30="Todos",datos_base!$H$9,0))*parametros_manuales!$B$95+parametros_manuales!$D$30*(datos_base!$H$18+IF(parametros_manuales!$H$30="Todos",datos_base!$H$23,0))*parametros_manuales!$B$12+parametros_manuales!$E$30*(datos_base!$H$3+IF(parametros_manuales!$H$30="Todos",datos_base!$H$10,0))*parametros_manuales!$B$100+parametros_manuales!$E$30*(datos_base!$H$19+IF(parametros_manuales!$H$30="Todos",datos_base!$H$24,0))*parametros_manuales!$B$13+parametros_manuales!$F$30*(datos_base!$H$4+IF(parametros_manuales!$H$30="Todos",datos_base!$H$11,0))*parametros_manuales!$B$105+parametros_manuales!$F$30*(datos_base!$H$20+IF(parametros_manuales!$H$30="Todos",datos_base!$H$25,0))*parametros_manuales!$B$14+parametros_manuales!$G$30*(datos_base!$H$5+IF(parametros_manuales!$H$30="Todos",datos_base!$H$12,0))*parametros_manuales!$B$110+parametros_manuales!$G$30*(datos_base!$H$21+IF(parametros_manuales!$H$30="Todos",datos_base!$H$26,0))*parametros_manuales!$B$15)*parametros_manuales!$I$30*parametros_manuales!$J$30</f>
        <v>15367.19302521</v>
      </c>
      <c r="C175" s="9" t="n">
        <f aca="false">(parametros_manuales!$D$30*(datos_base!$H$2+IF(parametros_manuales!$H$30="Todos",datos_base!$H$9,0))*parametros_manuales!$C$95+parametros_manuales!$D$30*(datos_base!$H$18+IF(parametros_manuales!$H$30="Todos",datos_base!$H$23,0))*parametros_manuales!$C$12+parametros_manuales!$E$30*(datos_base!$H$3+IF(parametros_manuales!$H$30="Todos",datos_base!$H$10,0))*parametros_manuales!$C$100+parametros_manuales!$E$30*(datos_base!$H$19+IF(parametros_manuales!$H$30="Todos",datos_base!$H$24,0))*parametros_manuales!$C$13+parametros_manuales!$F$30*(datos_base!$H$4+IF(parametros_manuales!$H$30="Todos",datos_base!$H$11,0))*parametros_manuales!$C$105+parametros_manuales!$F$30*(datos_base!$H$20+IF(parametros_manuales!$H$30="Todos",datos_base!$H$25,0))*parametros_manuales!$C$14+parametros_manuales!$G$30*(datos_base!$H$5+IF(parametros_manuales!$H$30="Todos",datos_base!$H$12,0))*parametros_manuales!$C$110+parametros_manuales!$G$30*(datos_base!$H$21+IF(parametros_manuales!$H$30="Todos",datos_base!$H$26,0))*parametros_manuales!$C$15)*parametros_manuales!$I$30*parametros_manuales!$J$30</f>
        <v>14874.46506612</v>
      </c>
      <c r="D175" s="9" t="n">
        <f aca="false">(parametros_manuales!$D$30*(datos_base!$H$2+IF(parametros_manuales!$H$30="Todos",datos_base!$H$9,0))*parametros_manuales!$D$95+parametros_manuales!$D$30*(datos_base!$H$18+IF(parametros_manuales!$H$30="Todos",datos_base!$H$23,0))*parametros_manuales!$D$12+parametros_manuales!$E$30*(datos_base!$H$3+IF(parametros_manuales!$H$30="Todos",datos_base!$H$10,0))*parametros_manuales!$D$100+parametros_manuales!$E$30*(datos_base!$H$19+IF(parametros_manuales!$H$30="Todos",datos_base!$H$24,0))*parametros_manuales!$D$13+parametros_manuales!$F$30*(datos_base!$H$4+IF(parametros_manuales!$H$30="Todos",datos_base!$H$11,0))*parametros_manuales!$D$105+parametros_manuales!$F$30*(datos_base!$H$20+IF(parametros_manuales!$H$30="Todos",datos_base!$H$25,0))*parametros_manuales!$D$14+parametros_manuales!$G$30*(datos_base!$H$5+IF(parametros_manuales!$H$30="Todos",datos_base!$H$12,0))*parametros_manuales!$D$110+parametros_manuales!$G$30*(datos_base!$H$21+IF(parametros_manuales!$H$30="Todos",datos_base!$H$26,0))*parametros_manuales!$D$15)*parametros_manuales!$I$30*parametros_manuales!$J$30</f>
        <v>13902.976113065</v>
      </c>
      <c r="E175" s="9" t="n">
        <f aca="false">(parametros_manuales!$D$30*(datos_base!$H$2+IF(parametros_manuales!$H$30="Todos",datos_base!$H$9,0))*parametros_manuales!$E$95+parametros_manuales!$D$30*(datos_base!$H$18+IF(parametros_manuales!$H$30="Todos",datos_base!$H$23,0))*parametros_manuales!$E$12+parametros_manuales!$E$30*(datos_base!$H$3+IF(parametros_manuales!$H$30="Todos",datos_base!$H$10,0))*parametros_manuales!$E$100+parametros_manuales!$E$30*(datos_base!$H$19+IF(parametros_manuales!$H$30="Todos",datos_base!$H$24,0))*parametros_manuales!$E$13+parametros_manuales!$F$30*(datos_base!$H$4+IF(parametros_manuales!$H$30="Todos",datos_base!$H$11,0))*parametros_manuales!$E$105+parametros_manuales!$F$30*(datos_base!$H$20+IF(parametros_manuales!$H$30="Todos",datos_base!$H$25,0))*parametros_manuales!$E$14+parametros_manuales!$G$30*(datos_base!$H$5+IF(parametros_manuales!$H$30="Todos",datos_base!$H$12,0))*parametros_manuales!$E$110+parametros_manuales!$G$30*(datos_base!$H$21+IF(parametros_manuales!$H$30="Todos",datos_base!$H$26,0))*parametros_manuales!$E$15)*parametros_manuales!$I$30*parametros_manuales!$J$30</f>
        <v>13294.610346765</v>
      </c>
      <c r="F175" s="9" t="n">
        <f aca="false">(parametros_manuales!$D$30*(datos_base!$H$2+IF(parametros_manuales!$H$30="Todos",datos_base!$H$9,0))*parametros_manuales!$F$95+parametros_manuales!$D$30*(datos_base!$H$18+IF(parametros_manuales!$H$30="Todos",datos_base!$H$23,0))*parametros_manuales!$F$12+parametros_manuales!$E$30*(datos_base!$H$3+IF(parametros_manuales!$H$30="Todos",datos_base!$H$10,0))*parametros_manuales!$F$100+parametros_manuales!$E$30*(datos_base!$H$19+IF(parametros_manuales!$H$30="Todos",datos_base!$H$24,0))*parametros_manuales!$F$13+parametros_manuales!$F$30*(datos_base!$H$4+IF(parametros_manuales!$H$30="Todos",datos_base!$H$11,0))*parametros_manuales!$F$105+parametros_manuales!$F$30*(datos_base!$H$20+IF(parametros_manuales!$H$30="Todos",datos_base!$H$25,0))*parametros_manuales!$F$14+parametros_manuales!$G$30*(datos_base!$H$5+IF(parametros_manuales!$H$30="Todos",datos_base!$H$12,0))*parametros_manuales!$F$110+parametros_manuales!$G$30*(datos_base!$H$21+IF(parametros_manuales!$H$30="Todos",datos_base!$H$26,0))*parametros_manuales!$F$15)*parametros_manuales!$I$30*parametros_manuales!$J$30</f>
        <v>12441.00200092</v>
      </c>
      <c r="G175" s="9" t="n">
        <f aca="false">(parametros_manuales!$D$30*(datos_base!$H$2+IF(parametros_manuales!$H$30="Todos",datos_base!$H$9,0))*parametros_manuales!$G$95+parametros_manuales!$D$30*(datos_base!$H$18+IF(parametros_manuales!$H$30="Todos",datos_base!$H$23,0))*parametros_manuales!$G$12+parametros_manuales!$E$30*(datos_base!$H$3+IF(parametros_manuales!$H$30="Todos",datos_base!$H$10,0))*parametros_manuales!$G$100+parametros_manuales!$E$30*(datos_base!$H$19+IF(parametros_manuales!$H$30="Todos",datos_base!$H$24,0))*parametros_manuales!$G$13+parametros_manuales!$F$30*(datos_base!$H$4+IF(parametros_manuales!$H$30="Todos",datos_base!$H$11,0))*parametros_manuales!$G$105+parametros_manuales!$F$30*(datos_base!$H$20+IF(parametros_manuales!$H$30="Todos",datos_base!$H$25,0))*parametros_manuales!$G$14+parametros_manuales!$G$30*(datos_base!$H$5+IF(parametros_manuales!$H$30="Todos",datos_base!$H$12,0))*parametros_manuales!$G$110+parametros_manuales!$G$30*(datos_base!$H$21+IF(parametros_manuales!$H$30="Todos",datos_base!$H$26,0))*parametros_manuales!$G$15)*parametros_manuales!$I$30*parametros_manuales!$J$30</f>
        <v>12195.759421375</v>
      </c>
      <c r="H175" s="9" t="n">
        <f aca="false">(parametros_manuales!$D$30*(datos_base!$H$2+IF(parametros_manuales!$H$30="Todos",datos_base!$H$9,0))*parametros_manuales!$H$95+parametros_manuales!$D$30*(datos_base!$H$18+IF(parametros_manuales!$H$30="Todos",datos_base!$H$23,0))*parametros_manuales!$H$12+parametros_manuales!$E$30*(datos_base!$H$3+IF(parametros_manuales!$H$30="Todos",datos_base!$H$10,0))*parametros_manuales!$H$100+parametros_manuales!$E$30*(datos_base!$H$19+IF(parametros_manuales!$H$30="Todos",datos_base!$H$24,0))*parametros_manuales!$H$13+parametros_manuales!$F$30*(datos_base!$H$4+IF(parametros_manuales!$H$30="Todos",datos_base!$H$11,0))*parametros_manuales!$H$105+parametros_manuales!$F$30*(datos_base!$H$20+IF(parametros_manuales!$H$30="Todos",datos_base!$H$25,0))*parametros_manuales!$H$14+parametros_manuales!$G$30*(datos_base!$H$5+IF(parametros_manuales!$H$30="Todos",datos_base!$H$12,0))*parametros_manuales!$H$110+parametros_manuales!$G$30*(datos_base!$H$21+IF(parametros_manuales!$H$30="Todos",datos_base!$H$26,0))*parametros_manuales!$H$15)*parametros_manuales!$I$30*parametros_manuales!$J$30</f>
        <v>13049.36776722</v>
      </c>
      <c r="I175" s="9" t="n">
        <f aca="false">(parametros_manuales!$D$30*(datos_base!$H$2+IF(parametros_manuales!$H$30="Todos",datos_base!$H$9,0))*parametros_manuales!$I$95+parametros_manuales!$D$30*(datos_base!$H$18+IF(parametros_manuales!$H$30="Todos",datos_base!$H$23,0))*parametros_manuales!$I$12+parametros_manuales!$E$30*(datos_base!$H$3+IF(parametros_manuales!$H$30="Todos",datos_base!$H$10,0))*parametros_manuales!$I$100+parametros_manuales!$E$30*(datos_base!$H$19+IF(parametros_manuales!$H$30="Todos",datos_base!$H$24,0))*parametros_manuales!$I$13+parametros_manuales!$F$30*(datos_base!$H$4+IF(parametros_manuales!$H$30="Todos",datos_base!$H$11,0))*parametros_manuales!$I$105+parametros_manuales!$F$30*(datos_base!$H$20+IF(parametros_manuales!$H$30="Todos",datos_base!$H$25,0))*parametros_manuales!$I$14+parametros_manuales!$G$30*(datos_base!$H$5+IF(parametros_manuales!$H$30="Todos",datos_base!$H$12,0))*parametros_manuales!$I$110+parametros_manuales!$G$30*(datos_base!$H$21+IF(parametros_manuales!$H$30="Todos",datos_base!$H$26,0))*parametros_manuales!$I$15)*parametros_manuales!$I$30*parametros_manuales!$J$30</f>
        <v>14874.46506612</v>
      </c>
      <c r="J175" s="9" t="n">
        <f aca="false">(parametros_manuales!$D$30*(datos_base!$H$2+IF(parametros_manuales!$H$30="Todos",datos_base!$H$9,0))*parametros_manuales!$J$95+parametros_manuales!$D$30*(datos_base!$H$18+IF(parametros_manuales!$H$30="Todos",datos_base!$H$23,0))*parametros_manuales!$J$12+parametros_manuales!$E$30*(datos_base!$H$3+IF(parametros_manuales!$H$30="Todos",datos_base!$H$10,0))*parametros_manuales!$J$100+parametros_manuales!$E$30*(datos_base!$H$19+IF(parametros_manuales!$H$30="Todos",datos_base!$H$24,0))*parametros_manuales!$J$13+parametros_manuales!$F$30*(datos_base!$H$4+IF(parametros_manuales!$H$30="Todos",datos_base!$H$11,0))*parametros_manuales!$J$105+parametros_manuales!$F$30*(datos_base!$H$20+IF(parametros_manuales!$H$30="Todos",datos_base!$H$25,0))*parametros_manuales!$J$14+parametros_manuales!$G$30*(datos_base!$H$5+IF(parametros_manuales!$H$30="Todos",datos_base!$H$12,0))*parametros_manuales!$J$110+parametros_manuales!$G$30*(datos_base!$H$21+IF(parametros_manuales!$H$30="Todos",datos_base!$H$26,0))*parametros_manuales!$J$15)*parametros_manuales!$I$30*parametros_manuales!$J$30</f>
        <v>14874.46506612</v>
      </c>
      <c r="K175" s="9" t="n">
        <f aca="false">(parametros_manuales!$D$30*(datos_base!$H$2+IF(parametros_manuales!$H$30="Todos",datos_base!$H$9,0))*parametros_manuales!$K$95+parametros_manuales!$D$30*(datos_base!$H$18+IF(parametros_manuales!$H$30="Todos",datos_base!$H$23,0))*parametros_manuales!$K$12+parametros_manuales!$E$30*(datos_base!$H$3+IF(parametros_manuales!$H$30="Todos",datos_base!$H$10,0))*parametros_manuales!$K$100+parametros_manuales!$E$30*(datos_base!$H$19+IF(parametros_manuales!$H$30="Todos",datos_base!$H$24,0))*parametros_manuales!$K$13+parametros_manuales!$F$30*(datos_base!$H$4+IF(parametros_manuales!$H$30="Todos",datos_base!$H$11,0))*parametros_manuales!$K$105+parametros_manuales!$F$30*(datos_base!$H$20+IF(parametros_manuales!$H$30="Todos",datos_base!$H$25,0))*parametros_manuales!$K$14+parametros_manuales!$G$30*(datos_base!$H$5+IF(parametros_manuales!$H$30="Todos",datos_base!$H$12,0))*parametros_manuales!$K$110+parametros_manuales!$G$30*(datos_base!$H$21+IF(parametros_manuales!$H$30="Todos",datos_base!$H$26,0))*parametros_manuales!$K$15)*parametros_manuales!$I$30*parametros_manuales!$J$30</f>
        <v>15117.464845665</v>
      </c>
      <c r="L175" s="9" t="n">
        <f aca="false">(parametros_manuales!$D$30*(datos_base!$H$2+IF(parametros_manuales!$H$30="Todos",datos_base!$H$9,0))*parametros_manuales!$L$95+parametros_manuales!$D$30*(datos_base!$H$18+IF(parametros_manuales!$H$30="Todos",datos_base!$H$23,0))*parametros_manuales!$L$12+parametros_manuales!$E$30*(datos_base!$H$3+IF(parametros_manuales!$H$30="Todos",datos_base!$H$10,0))*parametros_manuales!$L$100+parametros_manuales!$E$30*(datos_base!$H$19+IF(parametros_manuales!$H$30="Todos",datos_base!$H$24,0))*parametros_manuales!$L$13+parametros_manuales!$F$30*(datos_base!$H$4+IF(parametros_manuales!$H$30="Todos",datos_base!$H$11,0))*parametros_manuales!$L$105+parametros_manuales!$F$30*(datos_base!$H$20+IF(parametros_manuales!$H$30="Todos",datos_base!$H$25,0))*parametros_manuales!$L$14+parametros_manuales!$G$30*(datos_base!$H$5+IF(parametros_manuales!$H$30="Todos",datos_base!$H$12,0))*parametros_manuales!$L$110+parametros_manuales!$G$30*(datos_base!$H$21+IF(parametros_manuales!$H$30="Todos",datos_base!$H$26,0))*parametros_manuales!$L$15)*parametros_manuales!$I$30*parametros_manuales!$J$30</f>
        <v>15360.46462521</v>
      </c>
      <c r="M175" s="9" t="n">
        <f aca="false">(parametros_manuales!$D$30*(datos_base!$H$2+IF(parametros_manuales!$H$30="Todos",datos_base!$H$9,0))*parametros_manuales!$M$95+parametros_manuales!$D$30*(datos_base!$H$18+IF(parametros_manuales!$H$30="Todos",datos_base!$H$23,0))*parametros_manuales!$M$12+parametros_manuales!$E$30*(datos_base!$H$3+IF(parametros_manuales!$H$30="Todos",datos_base!$H$10,0))*parametros_manuales!$M$100+parametros_manuales!$E$30*(datos_base!$H$19+IF(parametros_manuales!$H$30="Todos",datos_base!$H$24,0))*parametros_manuales!$M$13+parametros_manuales!$F$30*(datos_base!$H$4+IF(parametros_manuales!$H$30="Todos",datos_base!$H$11,0))*parametros_manuales!$M$105+parametros_manuales!$F$30*(datos_base!$H$20+IF(parametros_manuales!$H$30="Todos",datos_base!$H$25,0))*parametros_manuales!$M$14+parametros_manuales!$G$30*(datos_base!$H$5+IF(parametros_manuales!$H$30="Todos",datos_base!$H$12,0))*parametros_manuales!$M$110+parametros_manuales!$G$30*(datos_base!$H$21+IF(parametros_manuales!$H$30="Todos",datos_base!$H$26,0))*parametros_manuales!$M$15)*parametros_manuales!$I$30*parametros_manuales!$J$30</f>
        <v>15369.43582521</v>
      </c>
      <c r="N175" s="9" t="n">
        <f aca="false">SUM(B175:M175)</f>
        <v>170721.669169</v>
      </c>
      <c r="O175" s="9" t="n">
        <f aca="false">MAX(B175:M175)</f>
        <v>15369.43582521</v>
      </c>
      <c r="P175" s="44" t="n">
        <f aca="false">O175/(parametros_manuales!$B$7)</f>
        <v>102.4629055014</v>
      </c>
      <c r="Q175" s="8" t="str">
        <f aca="false">IF(O175=0,"-",INDEX($B$163:$M$163,MATCH(O175,B175:M175,0)))</f>
        <v>Dic</v>
      </c>
    </row>
    <row r="176" customFormat="false" ht="14.25" hidden="false" customHeight="true" outlineLevel="0" collapsed="false">
      <c r="A176" s="8" t="str">
        <f aca="false">parametros_manuales!$B$31</f>
        <v>Control de calidad — Espesor</v>
      </c>
      <c r="B176" s="9" t="n">
        <f aca="false">(parametros_manuales!$D$31*(datos_base!$H$2+IF(parametros_manuales!$H$31="Todos",datos_base!$H$9,0))*parametros_manuales!$B$95+parametros_manuales!$D$31*(datos_base!$H$18+IF(parametros_manuales!$H$31="Todos",datos_base!$H$23,0))*parametros_manuales!$B$12+parametros_manuales!$E$31*(datos_base!$H$3+IF(parametros_manuales!$H$31="Todos",datos_base!$H$10,0))*parametros_manuales!$B$100+parametros_manuales!$E$31*(datos_base!$H$19+IF(parametros_manuales!$H$31="Todos",datos_base!$H$24,0))*parametros_manuales!$B$13+parametros_manuales!$F$31*(datos_base!$H$4+IF(parametros_manuales!$H$31="Todos",datos_base!$H$11,0))*parametros_manuales!$B$105+parametros_manuales!$F$31*(datos_base!$H$20+IF(parametros_manuales!$H$31="Todos",datos_base!$H$25,0))*parametros_manuales!$B$14+parametros_manuales!$G$31*(datos_base!$H$5+IF(parametros_manuales!$H$31="Todos",datos_base!$H$12,0))*parametros_manuales!$B$110+parametros_manuales!$G$31*(datos_base!$H$21+IF(parametros_manuales!$H$31="Todos",datos_base!$H$26,0))*parametros_manuales!$B$15)*parametros_manuales!$I$31*parametros_manuales!$J$31</f>
        <v>307.3438605042</v>
      </c>
      <c r="C176" s="9" t="n">
        <f aca="false">(parametros_manuales!$D$31*(datos_base!$H$2+IF(parametros_manuales!$H$31="Todos",datos_base!$H$9,0))*parametros_manuales!$C$95+parametros_manuales!$D$31*(datos_base!$H$18+IF(parametros_manuales!$H$31="Todos",datos_base!$H$23,0))*parametros_manuales!$C$12+parametros_manuales!$E$31*(datos_base!$H$3+IF(parametros_manuales!$H$31="Todos",datos_base!$H$10,0))*parametros_manuales!$C$100+parametros_manuales!$E$31*(datos_base!$H$19+IF(parametros_manuales!$H$31="Todos",datos_base!$H$24,0))*parametros_manuales!$C$13+parametros_manuales!$F$31*(datos_base!$H$4+IF(parametros_manuales!$H$31="Todos",datos_base!$H$11,0))*parametros_manuales!$C$105+parametros_manuales!$F$31*(datos_base!$H$20+IF(parametros_manuales!$H$31="Todos",datos_base!$H$25,0))*parametros_manuales!$C$14+parametros_manuales!$G$31*(datos_base!$H$5+IF(parametros_manuales!$H$31="Todos",datos_base!$H$12,0))*parametros_manuales!$C$110+parametros_manuales!$G$31*(datos_base!$H$21+IF(parametros_manuales!$H$31="Todos",datos_base!$H$26,0))*parametros_manuales!$C$15)*parametros_manuales!$I$31*parametros_manuales!$J$31</f>
        <v>297.4893013224</v>
      </c>
      <c r="D176" s="9" t="n">
        <f aca="false">(parametros_manuales!$D$31*(datos_base!$H$2+IF(parametros_manuales!$H$31="Todos",datos_base!$H$9,0))*parametros_manuales!$D$95+parametros_manuales!$D$31*(datos_base!$H$18+IF(parametros_manuales!$H$31="Todos",datos_base!$H$23,0))*parametros_manuales!$D$12+parametros_manuales!$E$31*(datos_base!$H$3+IF(parametros_manuales!$H$31="Todos",datos_base!$H$10,0))*parametros_manuales!$D$100+parametros_manuales!$E$31*(datos_base!$H$19+IF(parametros_manuales!$H$31="Todos",datos_base!$H$24,0))*parametros_manuales!$D$13+parametros_manuales!$F$31*(datos_base!$H$4+IF(parametros_manuales!$H$31="Todos",datos_base!$H$11,0))*parametros_manuales!$D$105+parametros_manuales!$F$31*(datos_base!$H$20+IF(parametros_manuales!$H$31="Todos",datos_base!$H$25,0))*parametros_manuales!$D$14+parametros_manuales!$G$31*(datos_base!$H$5+IF(parametros_manuales!$H$31="Todos",datos_base!$H$12,0))*parametros_manuales!$D$110+parametros_manuales!$G$31*(datos_base!$H$21+IF(parametros_manuales!$H$31="Todos",datos_base!$H$26,0))*parametros_manuales!$D$15)*parametros_manuales!$I$31*parametros_manuales!$J$31</f>
        <v>278.0595222613</v>
      </c>
      <c r="E176" s="9" t="n">
        <f aca="false">(parametros_manuales!$D$31*(datos_base!$H$2+IF(parametros_manuales!$H$31="Todos",datos_base!$H$9,0))*parametros_manuales!$E$95+parametros_manuales!$D$31*(datos_base!$H$18+IF(parametros_manuales!$H$31="Todos",datos_base!$H$23,0))*parametros_manuales!$E$12+parametros_manuales!$E$31*(datos_base!$H$3+IF(parametros_manuales!$H$31="Todos",datos_base!$H$10,0))*parametros_manuales!$E$100+parametros_manuales!$E$31*(datos_base!$H$19+IF(parametros_manuales!$H$31="Todos",datos_base!$H$24,0))*parametros_manuales!$E$13+parametros_manuales!$F$31*(datos_base!$H$4+IF(parametros_manuales!$H$31="Todos",datos_base!$H$11,0))*parametros_manuales!$E$105+parametros_manuales!$F$31*(datos_base!$H$20+IF(parametros_manuales!$H$31="Todos",datos_base!$H$25,0))*parametros_manuales!$E$14+parametros_manuales!$G$31*(datos_base!$H$5+IF(parametros_manuales!$H$31="Todos",datos_base!$H$12,0))*parametros_manuales!$E$110+parametros_manuales!$G$31*(datos_base!$H$21+IF(parametros_manuales!$H$31="Todos",datos_base!$H$26,0))*parametros_manuales!$E$15)*parametros_manuales!$I$31*parametros_manuales!$J$31</f>
        <v>265.8922069353</v>
      </c>
      <c r="F176" s="9" t="n">
        <f aca="false">(parametros_manuales!$D$31*(datos_base!$H$2+IF(parametros_manuales!$H$31="Todos",datos_base!$H$9,0))*parametros_manuales!$F$95+parametros_manuales!$D$31*(datos_base!$H$18+IF(parametros_manuales!$H$31="Todos",datos_base!$H$23,0))*parametros_manuales!$F$12+parametros_manuales!$E$31*(datos_base!$H$3+IF(parametros_manuales!$H$31="Todos",datos_base!$H$10,0))*parametros_manuales!$F$100+parametros_manuales!$E$31*(datos_base!$H$19+IF(parametros_manuales!$H$31="Todos",datos_base!$H$24,0))*parametros_manuales!$F$13+parametros_manuales!$F$31*(datos_base!$H$4+IF(parametros_manuales!$H$31="Todos",datos_base!$H$11,0))*parametros_manuales!$F$105+parametros_manuales!$F$31*(datos_base!$H$20+IF(parametros_manuales!$H$31="Todos",datos_base!$H$25,0))*parametros_manuales!$F$14+parametros_manuales!$G$31*(datos_base!$H$5+IF(parametros_manuales!$H$31="Todos",datos_base!$H$12,0))*parametros_manuales!$F$110+parametros_manuales!$G$31*(datos_base!$H$21+IF(parametros_manuales!$H$31="Todos",datos_base!$H$26,0))*parametros_manuales!$F$15)*parametros_manuales!$I$31*parametros_manuales!$J$31</f>
        <v>248.8200400184</v>
      </c>
      <c r="G176" s="9" t="n">
        <f aca="false">(parametros_manuales!$D$31*(datos_base!$H$2+IF(parametros_manuales!$H$31="Todos",datos_base!$H$9,0))*parametros_manuales!$G$95+parametros_manuales!$D$31*(datos_base!$H$18+IF(parametros_manuales!$H$31="Todos",datos_base!$H$23,0))*parametros_manuales!$G$12+parametros_manuales!$E$31*(datos_base!$H$3+IF(parametros_manuales!$H$31="Todos",datos_base!$H$10,0))*parametros_manuales!$G$100+parametros_manuales!$E$31*(datos_base!$H$19+IF(parametros_manuales!$H$31="Todos",datos_base!$H$24,0))*parametros_manuales!$G$13+parametros_manuales!$F$31*(datos_base!$H$4+IF(parametros_manuales!$H$31="Todos",datos_base!$H$11,0))*parametros_manuales!$G$105+parametros_manuales!$F$31*(datos_base!$H$20+IF(parametros_manuales!$H$31="Todos",datos_base!$H$25,0))*parametros_manuales!$G$14+parametros_manuales!$G$31*(datos_base!$H$5+IF(parametros_manuales!$H$31="Todos",datos_base!$H$12,0))*parametros_manuales!$G$110+parametros_manuales!$G$31*(datos_base!$H$21+IF(parametros_manuales!$H$31="Todos",datos_base!$H$26,0))*parametros_manuales!$G$15)*parametros_manuales!$I$31*parametros_manuales!$J$31</f>
        <v>243.9151884275</v>
      </c>
      <c r="H176" s="9" t="n">
        <f aca="false">(parametros_manuales!$D$31*(datos_base!$H$2+IF(parametros_manuales!$H$31="Todos",datos_base!$H$9,0))*parametros_manuales!$H$95+parametros_manuales!$D$31*(datos_base!$H$18+IF(parametros_manuales!$H$31="Todos",datos_base!$H$23,0))*parametros_manuales!$H$12+parametros_manuales!$E$31*(datos_base!$H$3+IF(parametros_manuales!$H$31="Todos",datos_base!$H$10,0))*parametros_manuales!$H$100+parametros_manuales!$E$31*(datos_base!$H$19+IF(parametros_manuales!$H$31="Todos",datos_base!$H$24,0))*parametros_manuales!$H$13+parametros_manuales!$F$31*(datos_base!$H$4+IF(parametros_manuales!$H$31="Todos",datos_base!$H$11,0))*parametros_manuales!$H$105+parametros_manuales!$F$31*(datos_base!$H$20+IF(parametros_manuales!$H$31="Todos",datos_base!$H$25,0))*parametros_manuales!$H$14+parametros_manuales!$G$31*(datos_base!$H$5+IF(parametros_manuales!$H$31="Todos",datos_base!$H$12,0))*parametros_manuales!$H$110+parametros_manuales!$G$31*(datos_base!$H$21+IF(parametros_manuales!$H$31="Todos",datos_base!$H$26,0))*parametros_manuales!$H$15)*parametros_manuales!$I$31*parametros_manuales!$J$31</f>
        <v>260.9873553444</v>
      </c>
      <c r="I176" s="9" t="n">
        <f aca="false">(parametros_manuales!$D$31*(datos_base!$H$2+IF(parametros_manuales!$H$31="Todos",datos_base!$H$9,0))*parametros_manuales!$I$95+parametros_manuales!$D$31*(datos_base!$H$18+IF(parametros_manuales!$H$31="Todos",datos_base!$H$23,0))*parametros_manuales!$I$12+parametros_manuales!$E$31*(datos_base!$H$3+IF(parametros_manuales!$H$31="Todos",datos_base!$H$10,0))*parametros_manuales!$I$100+parametros_manuales!$E$31*(datos_base!$H$19+IF(parametros_manuales!$H$31="Todos",datos_base!$H$24,0))*parametros_manuales!$I$13+parametros_manuales!$F$31*(datos_base!$H$4+IF(parametros_manuales!$H$31="Todos",datos_base!$H$11,0))*parametros_manuales!$I$105+parametros_manuales!$F$31*(datos_base!$H$20+IF(parametros_manuales!$H$31="Todos",datos_base!$H$25,0))*parametros_manuales!$I$14+parametros_manuales!$G$31*(datos_base!$H$5+IF(parametros_manuales!$H$31="Todos",datos_base!$H$12,0))*parametros_manuales!$I$110+parametros_manuales!$G$31*(datos_base!$H$21+IF(parametros_manuales!$H$31="Todos",datos_base!$H$26,0))*parametros_manuales!$I$15)*parametros_manuales!$I$31*parametros_manuales!$J$31</f>
        <v>297.4893013224</v>
      </c>
      <c r="J176" s="9" t="n">
        <f aca="false">(parametros_manuales!$D$31*(datos_base!$H$2+IF(parametros_manuales!$H$31="Todos",datos_base!$H$9,0))*parametros_manuales!$J$95+parametros_manuales!$D$31*(datos_base!$H$18+IF(parametros_manuales!$H$31="Todos",datos_base!$H$23,0))*parametros_manuales!$J$12+parametros_manuales!$E$31*(datos_base!$H$3+IF(parametros_manuales!$H$31="Todos",datos_base!$H$10,0))*parametros_manuales!$J$100+parametros_manuales!$E$31*(datos_base!$H$19+IF(parametros_manuales!$H$31="Todos",datos_base!$H$24,0))*parametros_manuales!$J$13+parametros_manuales!$F$31*(datos_base!$H$4+IF(parametros_manuales!$H$31="Todos",datos_base!$H$11,0))*parametros_manuales!$J$105+parametros_manuales!$F$31*(datos_base!$H$20+IF(parametros_manuales!$H$31="Todos",datos_base!$H$25,0))*parametros_manuales!$J$14+parametros_manuales!$G$31*(datos_base!$H$5+IF(parametros_manuales!$H$31="Todos",datos_base!$H$12,0))*parametros_manuales!$J$110+parametros_manuales!$G$31*(datos_base!$H$21+IF(parametros_manuales!$H$31="Todos",datos_base!$H$26,0))*parametros_manuales!$J$15)*parametros_manuales!$I$31*parametros_manuales!$J$31</f>
        <v>297.4893013224</v>
      </c>
      <c r="K176" s="9" t="n">
        <f aca="false">(parametros_manuales!$D$31*(datos_base!$H$2+IF(parametros_manuales!$H$31="Todos",datos_base!$H$9,0))*parametros_manuales!$K$95+parametros_manuales!$D$31*(datos_base!$H$18+IF(parametros_manuales!$H$31="Todos",datos_base!$H$23,0))*parametros_manuales!$K$12+parametros_manuales!$E$31*(datos_base!$H$3+IF(parametros_manuales!$H$31="Todos",datos_base!$H$10,0))*parametros_manuales!$K$100+parametros_manuales!$E$31*(datos_base!$H$19+IF(parametros_manuales!$H$31="Todos",datos_base!$H$24,0))*parametros_manuales!$K$13+parametros_manuales!$F$31*(datos_base!$H$4+IF(parametros_manuales!$H$31="Todos",datos_base!$H$11,0))*parametros_manuales!$K$105+parametros_manuales!$F$31*(datos_base!$H$20+IF(parametros_manuales!$H$31="Todos",datos_base!$H$25,0))*parametros_manuales!$K$14+parametros_manuales!$G$31*(datos_base!$H$5+IF(parametros_manuales!$H$31="Todos",datos_base!$H$12,0))*parametros_manuales!$K$110+parametros_manuales!$G$31*(datos_base!$H$21+IF(parametros_manuales!$H$31="Todos",datos_base!$H$26,0))*parametros_manuales!$K$15)*parametros_manuales!$I$31*parametros_manuales!$J$31</f>
        <v>302.3492969133</v>
      </c>
      <c r="L176" s="9" t="n">
        <f aca="false">(parametros_manuales!$D$31*(datos_base!$H$2+IF(parametros_manuales!$H$31="Todos",datos_base!$H$9,0))*parametros_manuales!$L$95+parametros_manuales!$D$31*(datos_base!$H$18+IF(parametros_manuales!$H$31="Todos",datos_base!$H$23,0))*parametros_manuales!$L$12+parametros_manuales!$E$31*(datos_base!$H$3+IF(parametros_manuales!$H$31="Todos",datos_base!$H$10,0))*parametros_manuales!$L$100+parametros_manuales!$E$31*(datos_base!$H$19+IF(parametros_manuales!$H$31="Todos",datos_base!$H$24,0))*parametros_manuales!$L$13+parametros_manuales!$F$31*(datos_base!$H$4+IF(parametros_manuales!$H$31="Todos",datos_base!$H$11,0))*parametros_manuales!$L$105+parametros_manuales!$F$31*(datos_base!$H$20+IF(parametros_manuales!$H$31="Todos",datos_base!$H$25,0))*parametros_manuales!$L$14+parametros_manuales!$G$31*(datos_base!$H$5+IF(parametros_manuales!$H$31="Todos",datos_base!$H$12,0))*parametros_manuales!$L$110+parametros_manuales!$G$31*(datos_base!$H$21+IF(parametros_manuales!$H$31="Todos",datos_base!$H$26,0))*parametros_manuales!$L$15)*parametros_manuales!$I$31*parametros_manuales!$J$31</f>
        <v>307.2092925042</v>
      </c>
      <c r="M176" s="9" t="n">
        <f aca="false">(parametros_manuales!$D$31*(datos_base!$H$2+IF(parametros_manuales!$H$31="Todos",datos_base!$H$9,0))*parametros_manuales!$M$95+parametros_manuales!$D$31*(datos_base!$H$18+IF(parametros_manuales!$H$31="Todos",datos_base!$H$23,0))*parametros_manuales!$M$12+parametros_manuales!$E$31*(datos_base!$H$3+IF(parametros_manuales!$H$31="Todos",datos_base!$H$10,0))*parametros_manuales!$M$100+parametros_manuales!$E$31*(datos_base!$H$19+IF(parametros_manuales!$H$31="Todos",datos_base!$H$24,0))*parametros_manuales!$M$13+parametros_manuales!$F$31*(datos_base!$H$4+IF(parametros_manuales!$H$31="Todos",datos_base!$H$11,0))*parametros_manuales!$M$105+parametros_manuales!$F$31*(datos_base!$H$20+IF(parametros_manuales!$H$31="Todos",datos_base!$H$25,0))*parametros_manuales!$M$14+parametros_manuales!$G$31*(datos_base!$H$5+IF(parametros_manuales!$H$31="Todos",datos_base!$H$12,0))*parametros_manuales!$M$110+parametros_manuales!$G$31*(datos_base!$H$21+IF(parametros_manuales!$H$31="Todos",datos_base!$H$26,0))*parametros_manuales!$M$15)*parametros_manuales!$I$31*parametros_manuales!$J$31</f>
        <v>307.3887165042</v>
      </c>
      <c r="N176" s="9" t="n">
        <f aca="false">SUM(B176:M176)</f>
        <v>3414.43338338</v>
      </c>
      <c r="O176" s="9" t="n">
        <f aca="false">MAX(B176:M176)</f>
        <v>307.3887165042</v>
      </c>
      <c r="P176" s="44" t="n">
        <f aca="false">O176/(parametros_manuales!$B$7)</f>
        <v>2.049258110028</v>
      </c>
      <c r="Q176" s="8" t="str">
        <f aca="false">IF(O176=0,"-",INDEX($B$163:$M$163,MATCH(O176,B176:M176,0)))</f>
        <v>Dic</v>
      </c>
    </row>
    <row r="177" customFormat="false" ht="14.25" hidden="false" customHeight="true" outlineLevel="0" collapsed="false">
      <c r="A177" s="8" t="str">
        <f aca="false">parametros_manuales!$B$32</f>
        <v>Prueba hidráulica</v>
      </c>
      <c r="B177" s="9" t="n">
        <f aca="false">(parametros_manuales!$D$32*(datos_base!$H$2+IF(parametros_manuales!$H$32="Todos",datos_base!$H$9,0))*parametros_manuales!$B$95+parametros_manuales!$D$32*(datos_base!$H$18+IF(parametros_manuales!$H$32="Todos",datos_base!$H$23,0))*parametros_manuales!$B$12+parametros_manuales!$E$32*(datos_base!$H$3+IF(parametros_manuales!$H$32="Todos",datos_base!$H$10,0))*parametros_manuales!$B$100+parametros_manuales!$E$32*(datos_base!$H$19+IF(parametros_manuales!$H$32="Todos",datos_base!$H$24,0))*parametros_manuales!$B$13+parametros_manuales!$F$32*(datos_base!$H$4+IF(parametros_manuales!$H$32="Todos",datos_base!$H$11,0))*parametros_manuales!$B$105+parametros_manuales!$F$32*(datos_base!$H$20+IF(parametros_manuales!$H$32="Todos",datos_base!$H$25,0))*parametros_manuales!$B$14+parametros_manuales!$G$32*(datos_base!$H$5+IF(parametros_manuales!$H$32="Todos",datos_base!$H$12,0))*parametros_manuales!$B$110+parametros_manuales!$G$32*(datos_base!$H$21+IF(parametros_manuales!$H$32="Todos",datos_base!$H$26,0))*parametros_manuales!$B$15)*parametros_manuales!$I$32*parametros_manuales!$J$32</f>
        <v>15367.19302521</v>
      </c>
      <c r="C177" s="9" t="n">
        <f aca="false">(parametros_manuales!$D$32*(datos_base!$H$2+IF(parametros_manuales!$H$32="Todos",datos_base!$H$9,0))*parametros_manuales!$C$95+parametros_manuales!$D$32*(datos_base!$H$18+IF(parametros_manuales!$H$32="Todos",datos_base!$H$23,0))*parametros_manuales!$C$12+parametros_manuales!$E$32*(datos_base!$H$3+IF(parametros_manuales!$H$32="Todos",datos_base!$H$10,0))*parametros_manuales!$C$100+parametros_manuales!$E$32*(datos_base!$H$19+IF(parametros_manuales!$H$32="Todos",datos_base!$H$24,0))*parametros_manuales!$C$13+parametros_manuales!$F$32*(datos_base!$H$4+IF(parametros_manuales!$H$32="Todos",datos_base!$H$11,0))*parametros_manuales!$C$105+parametros_manuales!$F$32*(datos_base!$H$20+IF(parametros_manuales!$H$32="Todos",datos_base!$H$25,0))*parametros_manuales!$C$14+parametros_manuales!$G$32*(datos_base!$H$5+IF(parametros_manuales!$H$32="Todos",datos_base!$H$12,0))*parametros_manuales!$C$110+parametros_manuales!$G$32*(datos_base!$H$21+IF(parametros_manuales!$H$32="Todos",datos_base!$H$26,0))*parametros_manuales!$C$15)*parametros_manuales!$I$32*parametros_manuales!$J$32</f>
        <v>14874.46506612</v>
      </c>
      <c r="D177" s="9" t="n">
        <f aca="false">(parametros_manuales!$D$32*(datos_base!$H$2+IF(parametros_manuales!$H$32="Todos",datos_base!$H$9,0))*parametros_manuales!$D$95+parametros_manuales!$D$32*(datos_base!$H$18+IF(parametros_manuales!$H$32="Todos",datos_base!$H$23,0))*parametros_manuales!$D$12+parametros_manuales!$E$32*(datos_base!$H$3+IF(parametros_manuales!$H$32="Todos",datos_base!$H$10,0))*parametros_manuales!$D$100+parametros_manuales!$E$32*(datos_base!$H$19+IF(parametros_manuales!$H$32="Todos",datos_base!$H$24,0))*parametros_manuales!$D$13+parametros_manuales!$F$32*(datos_base!$H$4+IF(parametros_manuales!$H$32="Todos",datos_base!$H$11,0))*parametros_manuales!$D$105+parametros_manuales!$F$32*(datos_base!$H$20+IF(parametros_manuales!$H$32="Todos",datos_base!$H$25,0))*parametros_manuales!$D$14+parametros_manuales!$G$32*(datos_base!$H$5+IF(parametros_manuales!$H$32="Todos",datos_base!$H$12,0))*parametros_manuales!$D$110+parametros_manuales!$G$32*(datos_base!$H$21+IF(parametros_manuales!$H$32="Todos",datos_base!$H$26,0))*parametros_manuales!$D$15)*parametros_manuales!$I$32*parametros_manuales!$J$32</f>
        <v>13902.976113065</v>
      </c>
      <c r="E177" s="9" t="n">
        <f aca="false">(parametros_manuales!$D$32*(datos_base!$H$2+IF(parametros_manuales!$H$32="Todos",datos_base!$H$9,0))*parametros_manuales!$E$95+parametros_manuales!$D$32*(datos_base!$H$18+IF(parametros_manuales!$H$32="Todos",datos_base!$H$23,0))*parametros_manuales!$E$12+parametros_manuales!$E$32*(datos_base!$H$3+IF(parametros_manuales!$H$32="Todos",datos_base!$H$10,0))*parametros_manuales!$E$100+parametros_manuales!$E$32*(datos_base!$H$19+IF(parametros_manuales!$H$32="Todos",datos_base!$H$24,0))*parametros_manuales!$E$13+parametros_manuales!$F$32*(datos_base!$H$4+IF(parametros_manuales!$H$32="Todos",datos_base!$H$11,0))*parametros_manuales!$E$105+parametros_manuales!$F$32*(datos_base!$H$20+IF(parametros_manuales!$H$32="Todos",datos_base!$H$25,0))*parametros_manuales!$E$14+parametros_manuales!$G$32*(datos_base!$H$5+IF(parametros_manuales!$H$32="Todos",datos_base!$H$12,0))*parametros_manuales!$E$110+parametros_manuales!$G$32*(datos_base!$H$21+IF(parametros_manuales!$H$32="Todos",datos_base!$H$26,0))*parametros_manuales!$E$15)*parametros_manuales!$I$32*parametros_manuales!$J$32</f>
        <v>13294.610346765</v>
      </c>
      <c r="F177" s="9" t="n">
        <f aca="false">(parametros_manuales!$D$32*(datos_base!$H$2+IF(parametros_manuales!$H$32="Todos",datos_base!$H$9,0))*parametros_manuales!$F$95+parametros_manuales!$D$32*(datos_base!$H$18+IF(parametros_manuales!$H$32="Todos",datos_base!$H$23,0))*parametros_manuales!$F$12+parametros_manuales!$E$32*(datos_base!$H$3+IF(parametros_manuales!$H$32="Todos",datos_base!$H$10,0))*parametros_manuales!$F$100+parametros_manuales!$E$32*(datos_base!$H$19+IF(parametros_manuales!$H$32="Todos",datos_base!$H$24,0))*parametros_manuales!$F$13+parametros_manuales!$F$32*(datos_base!$H$4+IF(parametros_manuales!$H$32="Todos",datos_base!$H$11,0))*parametros_manuales!$F$105+parametros_manuales!$F$32*(datos_base!$H$20+IF(parametros_manuales!$H$32="Todos",datos_base!$H$25,0))*parametros_manuales!$F$14+parametros_manuales!$G$32*(datos_base!$H$5+IF(parametros_manuales!$H$32="Todos",datos_base!$H$12,0))*parametros_manuales!$F$110+parametros_manuales!$G$32*(datos_base!$H$21+IF(parametros_manuales!$H$32="Todos",datos_base!$H$26,0))*parametros_manuales!$F$15)*parametros_manuales!$I$32*parametros_manuales!$J$32</f>
        <v>12441.00200092</v>
      </c>
      <c r="G177" s="9" t="n">
        <f aca="false">(parametros_manuales!$D$32*(datos_base!$H$2+IF(parametros_manuales!$H$32="Todos",datos_base!$H$9,0))*parametros_manuales!$G$95+parametros_manuales!$D$32*(datos_base!$H$18+IF(parametros_manuales!$H$32="Todos",datos_base!$H$23,0))*parametros_manuales!$G$12+parametros_manuales!$E$32*(datos_base!$H$3+IF(parametros_manuales!$H$32="Todos",datos_base!$H$10,0))*parametros_manuales!$G$100+parametros_manuales!$E$32*(datos_base!$H$19+IF(parametros_manuales!$H$32="Todos",datos_base!$H$24,0))*parametros_manuales!$G$13+parametros_manuales!$F$32*(datos_base!$H$4+IF(parametros_manuales!$H$32="Todos",datos_base!$H$11,0))*parametros_manuales!$G$105+parametros_manuales!$F$32*(datos_base!$H$20+IF(parametros_manuales!$H$32="Todos",datos_base!$H$25,0))*parametros_manuales!$G$14+parametros_manuales!$G$32*(datos_base!$H$5+IF(parametros_manuales!$H$32="Todos",datos_base!$H$12,0))*parametros_manuales!$G$110+parametros_manuales!$G$32*(datos_base!$H$21+IF(parametros_manuales!$H$32="Todos",datos_base!$H$26,0))*parametros_manuales!$G$15)*parametros_manuales!$I$32*parametros_manuales!$J$32</f>
        <v>12195.759421375</v>
      </c>
      <c r="H177" s="9" t="n">
        <f aca="false">(parametros_manuales!$D$32*(datos_base!$H$2+IF(parametros_manuales!$H$32="Todos",datos_base!$H$9,0))*parametros_manuales!$H$95+parametros_manuales!$D$32*(datos_base!$H$18+IF(parametros_manuales!$H$32="Todos",datos_base!$H$23,0))*parametros_manuales!$H$12+parametros_manuales!$E$32*(datos_base!$H$3+IF(parametros_manuales!$H$32="Todos",datos_base!$H$10,0))*parametros_manuales!$H$100+parametros_manuales!$E$32*(datos_base!$H$19+IF(parametros_manuales!$H$32="Todos",datos_base!$H$24,0))*parametros_manuales!$H$13+parametros_manuales!$F$32*(datos_base!$H$4+IF(parametros_manuales!$H$32="Todos",datos_base!$H$11,0))*parametros_manuales!$H$105+parametros_manuales!$F$32*(datos_base!$H$20+IF(parametros_manuales!$H$32="Todos",datos_base!$H$25,0))*parametros_manuales!$H$14+parametros_manuales!$G$32*(datos_base!$H$5+IF(parametros_manuales!$H$32="Todos",datos_base!$H$12,0))*parametros_manuales!$H$110+parametros_manuales!$G$32*(datos_base!$H$21+IF(parametros_manuales!$H$32="Todos",datos_base!$H$26,0))*parametros_manuales!$H$15)*parametros_manuales!$I$32*parametros_manuales!$J$32</f>
        <v>13049.36776722</v>
      </c>
      <c r="I177" s="9" t="n">
        <f aca="false">(parametros_manuales!$D$32*(datos_base!$H$2+IF(parametros_manuales!$H$32="Todos",datos_base!$H$9,0))*parametros_manuales!$I$95+parametros_manuales!$D$32*(datos_base!$H$18+IF(parametros_manuales!$H$32="Todos",datos_base!$H$23,0))*parametros_manuales!$I$12+parametros_manuales!$E$32*(datos_base!$H$3+IF(parametros_manuales!$H$32="Todos",datos_base!$H$10,0))*parametros_manuales!$I$100+parametros_manuales!$E$32*(datos_base!$H$19+IF(parametros_manuales!$H$32="Todos",datos_base!$H$24,0))*parametros_manuales!$I$13+parametros_manuales!$F$32*(datos_base!$H$4+IF(parametros_manuales!$H$32="Todos",datos_base!$H$11,0))*parametros_manuales!$I$105+parametros_manuales!$F$32*(datos_base!$H$20+IF(parametros_manuales!$H$32="Todos",datos_base!$H$25,0))*parametros_manuales!$I$14+parametros_manuales!$G$32*(datos_base!$H$5+IF(parametros_manuales!$H$32="Todos",datos_base!$H$12,0))*parametros_manuales!$I$110+parametros_manuales!$G$32*(datos_base!$H$21+IF(parametros_manuales!$H$32="Todos",datos_base!$H$26,0))*parametros_manuales!$I$15)*parametros_manuales!$I$32*parametros_manuales!$J$32</f>
        <v>14874.46506612</v>
      </c>
      <c r="J177" s="9" t="n">
        <f aca="false">(parametros_manuales!$D$32*(datos_base!$H$2+IF(parametros_manuales!$H$32="Todos",datos_base!$H$9,0))*parametros_manuales!$J$95+parametros_manuales!$D$32*(datos_base!$H$18+IF(parametros_manuales!$H$32="Todos",datos_base!$H$23,0))*parametros_manuales!$J$12+parametros_manuales!$E$32*(datos_base!$H$3+IF(parametros_manuales!$H$32="Todos",datos_base!$H$10,0))*parametros_manuales!$J$100+parametros_manuales!$E$32*(datos_base!$H$19+IF(parametros_manuales!$H$32="Todos",datos_base!$H$24,0))*parametros_manuales!$J$13+parametros_manuales!$F$32*(datos_base!$H$4+IF(parametros_manuales!$H$32="Todos",datos_base!$H$11,0))*parametros_manuales!$J$105+parametros_manuales!$F$32*(datos_base!$H$20+IF(parametros_manuales!$H$32="Todos",datos_base!$H$25,0))*parametros_manuales!$J$14+parametros_manuales!$G$32*(datos_base!$H$5+IF(parametros_manuales!$H$32="Todos",datos_base!$H$12,0))*parametros_manuales!$J$110+parametros_manuales!$G$32*(datos_base!$H$21+IF(parametros_manuales!$H$32="Todos",datos_base!$H$26,0))*parametros_manuales!$J$15)*parametros_manuales!$I$32*parametros_manuales!$J$32</f>
        <v>14874.46506612</v>
      </c>
      <c r="K177" s="9" t="n">
        <f aca="false">(parametros_manuales!$D$32*(datos_base!$H$2+IF(parametros_manuales!$H$32="Todos",datos_base!$H$9,0))*parametros_manuales!$K$95+parametros_manuales!$D$32*(datos_base!$H$18+IF(parametros_manuales!$H$32="Todos",datos_base!$H$23,0))*parametros_manuales!$K$12+parametros_manuales!$E$32*(datos_base!$H$3+IF(parametros_manuales!$H$32="Todos",datos_base!$H$10,0))*parametros_manuales!$K$100+parametros_manuales!$E$32*(datos_base!$H$19+IF(parametros_manuales!$H$32="Todos",datos_base!$H$24,0))*parametros_manuales!$K$13+parametros_manuales!$F$32*(datos_base!$H$4+IF(parametros_manuales!$H$32="Todos",datos_base!$H$11,0))*parametros_manuales!$K$105+parametros_manuales!$F$32*(datos_base!$H$20+IF(parametros_manuales!$H$32="Todos",datos_base!$H$25,0))*parametros_manuales!$K$14+parametros_manuales!$G$32*(datos_base!$H$5+IF(parametros_manuales!$H$32="Todos",datos_base!$H$12,0))*parametros_manuales!$K$110+parametros_manuales!$G$32*(datos_base!$H$21+IF(parametros_manuales!$H$32="Todos",datos_base!$H$26,0))*parametros_manuales!$K$15)*parametros_manuales!$I$32*parametros_manuales!$J$32</f>
        <v>15117.464845665</v>
      </c>
      <c r="L177" s="9" t="n">
        <f aca="false">(parametros_manuales!$D$32*(datos_base!$H$2+IF(parametros_manuales!$H$32="Todos",datos_base!$H$9,0))*parametros_manuales!$L$95+parametros_manuales!$D$32*(datos_base!$H$18+IF(parametros_manuales!$H$32="Todos",datos_base!$H$23,0))*parametros_manuales!$L$12+parametros_manuales!$E$32*(datos_base!$H$3+IF(parametros_manuales!$H$32="Todos",datos_base!$H$10,0))*parametros_manuales!$L$100+parametros_manuales!$E$32*(datos_base!$H$19+IF(parametros_manuales!$H$32="Todos",datos_base!$H$24,0))*parametros_manuales!$L$13+parametros_manuales!$F$32*(datos_base!$H$4+IF(parametros_manuales!$H$32="Todos",datos_base!$H$11,0))*parametros_manuales!$L$105+parametros_manuales!$F$32*(datos_base!$H$20+IF(parametros_manuales!$H$32="Todos",datos_base!$H$25,0))*parametros_manuales!$L$14+parametros_manuales!$G$32*(datos_base!$H$5+IF(parametros_manuales!$H$32="Todos",datos_base!$H$12,0))*parametros_manuales!$L$110+parametros_manuales!$G$32*(datos_base!$H$21+IF(parametros_manuales!$H$32="Todos",datos_base!$H$26,0))*parametros_manuales!$L$15)*parametros_manuales!$I$32*parametros_manuales!$J$32</f>
        <v>15360.46462521</v>
      </c>
      <c r="M177" s="9" t="n">
        <f aca="false">(parametros_manuales!$D$32*(datos_base!$H$2+IF(parametros_manuales!$H$32="Todos",datos_base!$H$9,0))*parametros_manuales!$M$95+parametros_manuales!$D$32*(datos_base!$H$18+IF(parametros_manuales!$H$32="Todos",datos_base!$H$23,0))*parametros_manuales!$M$12+parametros_manuales!$E$32*(datos_base!$H$3+IF(parametros_manuales!$H$32="Todos",datos_base!$H$10,0))*parametros_manuales!$M$100+parametros_manuales!$E$32*(datos_base!$H$19+IF(parametros_manuales!$H$32="Todos",datos_base!$H$24,0))*parametros_manuales!$M$13+parametros_manuales!$F$32*(datos_base!$H$4+IF(parametros_manuales!$H$32="Todos",datos_base!$H$11,0))*parametros_manuales!$M$105+parametros_manuales!$F$32*(datos_base!$H$20+IF(parametros_manuales!$H$32="Todos",datos_base!$H$25,0))*parametros_manuales!$M$14+parametros_manuales!$G$32*(datos_base!$H$5+IF(parametros_manuales!$H$32="Todos",datos_base!$H$12,0))*parametros_manuales!$M$110+parametros_manuales!$G$32*(datos_base!$H$21+IF(parametros_manuales!$H$32="Todos",datos_base!$H$26,0))*parametros_manuales!$M$15)*parametros_manuales!$I$32*parametros_manuales!$J$32</f>
        <v>15369.43582521</v>
      </c>
      <c r="N177" s="9" t="n">
        <f aca="false">SUM(B177:M177)</f>
        <v>170721.669169</v>
      </c>
      <c r="O177" s="9" t="n">
        <f aca="false">MAX(B177:M177)</f>
        <v>15369.43582521</v>
      </c>
      <c r="P177" s="44" t="n">
        <f aca="false">O177/(parametros_manuales!$B$7)</f>
        <v>102.4629055014</v>
      </c>
      <c r="Q177" s="8" t="str">
        <f aca="false">IF(O177=0,"-",INDEX($B$163:$M$163,MATCH(O177,B177:M177,0)))</f>
        <v>Dic</v>
      </c>
    </row>
    <row r="178" customFormat="false" ht="14.25" hidden="false" customHeight="true" outlineLevel="0" collapsed="false">
      <c r="A178" s="8" t="str">
        <f aca="false">parametros_manuales!$B$33</f>
        <v>Secado</v>
      </c>
      <c r="B178" s="9" t="n">
        <f aca="false">(parametros_manuales!$D$33*(datos_base!$H$2+IF(parametros_manuales!$H$33="Todos",datos_base!$H$9,0))*parametros_manuales!$B$95+parametros_manuales!$D$33*(datos_base!$H$18+IF(parametros_manuales!$H$33="Todos",datos_base!$H$23,0))*parametros_manuales!$B$12+parametros_manuales!$E$33*(datos_base!$H$3+IF(parametros_manuales!$H$33="Todos",datos_base!$H$10,0))*parametros_manuales!$B$100+parametros_manuales!$E$33*(datos_base!$H$19+IF(parametros_manuales!$H$33="Todos",datos_base!$H$24,0))*parametros_manuales!$B$13+parametros_manuales!$F$33*(datos_base!$H$4+IF(parametros_manuales!$H$33="Todos",datos_base!$H$11,0))*parametros_manuales!$B$105+parametros_manuales!$F$33*(datos_base!$H$20+IF(parametros_manuales!$H$33="Todos",datos_base!$H$25,0))*parametros_manuales!$B$14+parametros_manuales!$G$33*(datos_base!$H$5+IF(parametros_manuales!$H$33="Todos",datos_base!$H$12,0))*parametros_manuales!$B$110+parametros_manuales!$G$33*(datos_base!$H$21+IF(parametros_manuales!$H$33="Todos",datos_base!$H$26,0))*parametros_manuales!$B$15)*parametros_manuales!$I$33*parametros_manuales!$J$33</f>
        <v>15367.19302521</v>
      </c>
      <c r="C178" s="9" t="n">
        <f aca="false">(parametros_manuales!$D$33*(datos_base!$H$2+IF(parametros_manuales!$H$33="Todos",datos_base!$H$9,0))*parametros_manuales!$C$95+parametros_manuales!$D$33*(datos_base!$H$18+IF(parametros_manuales!$H$33="Todos",datos_base!$H$23,0))*parametros_manuales!$C$12+parametros_manuales!$E$33*(datos_base!$H$3+IF(parametros_manuales!$H$33="Todos",datos_base!$H$10,0))*parametros_manuales!$C$100+parametros_manuales!$E$33*(datos_base!$H$19+IF(parametros_manuales!$H$33="Todos",datos_base!$H$24,0))*parametros_manuales!$C$13+parametros_manuales!$F$33*(datos_base!$H$4+IF(parametros_manuales!$H$33="Todos",datos_base!$H$11,0))*parametros_manuales!$C$105+parametros_manuales!$F$33*(datos_base!$H$20+IF(parametros_manuales!$H$33="Todos",datos_base!$H$25,0))*parametros_manuales!$C$14+parametros_manuales!$G$33*(datos_base!$H$5+IF(parametros_manuales!$H$33="Todos",datos_base!$H$12,0))*parametros_manuales!$C$110+parametros_manuales!$G$33*(datos_base!$H$21+IF(parametros_manuales!$H$33="Todos",datos_base!$H$26,0))*parametros_manuales!$C$15)*parametros_manuales!$I$33*parametros_manuales!$J$33</f>
        <v>14874.46506612</v>
      </c>
      <c r="D178" s="9" t="n">
        <f aca="false">(parametros_manuales!$D$33*(datos_base!$H$2+IF(parametros_manuales!$H$33="Todos",datos_base!$H$9,0))*parametros_manuales!$D$95+parametros_manuales!$D$33*(datos_base!$H$18+IF(parametros_manuales!$H$33="Todos",datos_base!$H$23,0))*parametros_manuales!$D$12+parametros_manuales!$E$33*(datos_base!$H$3+IF(parametros_manuales!$H$33="Todos",datos_base!$H$10,0))*parametros_manuales!$D$100+parametros_manuales!$E$33*(datos_base!$H$19+IF(parametros_manuales!$H$33="Todos",datos_base!$H$24,0))*parametros_manuales!$D$13+parametros_manuales!$F$33*(datos_base!$H$4+IF(parametros_manuales!$H$33="Todos",datos_base!$H$11,0))*parametros_manuales!$D$105+parametros_manuales!$F$33*(datos_base!$H$20+IF(parametros_manuales!$H$33="Todos",datos_base!$H$25,0))*parametros_manuales!$D$14+parametros_manuales!$G$33*(datos_base!$H$5+IF(parametros_manuales!$H$33="Todos",datos_base!$H$12,0))*parametros_manuales!$D$110+parametros_manuales!$G$33*(datos_base!$H$21+IF(parametros_manuales!$H$33="Todos",datos_base!$H$26,0))*parametros_manuales!$D$15)*parametros_manuales!$I$33*parametros_manuales!$J$33</f>
        <v>13902.976113065</v>
      </c>
      <c r="E178" s="9" t="n">
        <f aca="false">(parametros_manuales!$D$33*(datos_base!$H$2+IF(parametros_manuales!$H$33="Todos",datos_base!$H$9,0))*parametros_manuales!$E$95+parametros_manuales!$D$33*(datos_base!$H$18+IF(parametros_manuales!$H$33="Todos",datos_base!$H$23,0))*parametros_manuales!$E$12+parametros_manuales!$E$33*(datos_base!$H$3+IF(parametros_manuales!$H$33="Todos",datos_base!$H$10,0))*parametros_manuales!$E$100+parametros_manuales!$E$33*(datos_base!$H$19+IF(parametros_manuales!$H$33="Todos",datos_base!$H$24,0))*parametros_manuales!$E$13+parametros_manuales!$F$33*(datos_base!$H$4+IF(parametros_manuales!$H$33="Todos",datos_base!$H$11,0))*parametros_manuales!$E$105+parametros_manuales!$F$33*(datos_base!$H$20+IF(parametros_manuales!$H$33="Todos",datos_base!$H$25,0))*parametros_manuales!$E$14+parametros_manuales!$G$33*(datos_base!$H$5+IF(parametros_manuales!$H$33="Todos",datos_base!$H$12,0))*parametros_manuales!$E$110+parametros_manuales!$G$33*(datos_base!$H$21+IF(parametros_manuales!$H$33="Todos",datos_base!$H$26,0))*parametros_manuales!$E$15)*parametros_manuales!$I$33*parametros_manuales!$J$33</f>
        <v>13294.610346765</v>
      </c>
      <c r="F178" s="9" t="n">
        <f aca="false">(parametros_manuales!$D$33*(datos_base!$H$2+IF(parametros_manuales!$H$33="Todos",datos_base!$H$9,0))*parametros_manuales!$F$95+parametros_manuales!$D$33*(datos_base!$H$18+IF(parametros_manuales!$H$33="Todos",datos_base!$H$23,0))*parametros_manuales!$F$12+parametros_manuales!$E$33*(datos_base!$H$3+IF(parametros_manuales!$H$33="Todos",datos_base!$H$10,0))*parametros_manuales!$F$100+parametros_manuales!$E$33*(datos_base!$H$19+IF(parametros_manuales!$H$33="Todos",datos_base!$H$24,0))*parametros_manuales!$F$13+parametros_manuales!$F$33*(datos_base!$H$4+IF(parametros_manuales!$H$33="Todos",datos_base!$H$11,0))*parametros_manuales!$F$105+parametros_manuales!$F$33*(datos_base!$H$20+IF(parametros_manuales!$H$33="Todos",datos_base!$H$25,0))*parametros_manuales!$F$14+parametros_manuales!$G$33*(datos_base!$H$5+IF(parametros_manuales!$H$33="Todos",datos_base!$H$12,0))*parametros_manuales!$F$110+parametros_manuales!$G$33*(datos_base!$H$21+IF(parametros_manuales!$H$33="Todos",datos_base!$H$26,0))*parametros_manuales!$F$15)*parametros_manuales!$I$33*parametros_manuales!$J$33</f>
        <v>12441.00200092</v>
      </c>
      <c r="G178" s="9" t="n">
        <f aca="false">(parametros_manuales!$D$33*(datos_base!$H$2+IF(parametros_manuales!$H$33="Todos",datos_base!$H$9,0))*parametros_manuales!$G$95+parametros_manuales!$D$33*(datos_base!$H$18+IF(parametros_manuales!$H$33="Todos",datos_base!$H$23,0))*parametros_manuales!$G$12+parametros_manuales!$E$33*(datos_base!$H$3+IF(parametros_manuales!$H$33="Todos",datos_base!$H$10,0))*parametros_manuales!$G$100+parametros_manuales!$E$33*(datos_base!$H$19+IF(parametros_manuales!$H$33="Todos",datos_base!$H$24,0))*parametros_manuales!$G$13+parametros_manuales!$F$33*(datos_base!$H$4+IF(parametros_manuales!$H$33="Todos",datos_base!$H$11,0))*parametros_manuales!$G$105+parametros_manuales!$F$33*(datos_base!$H$20+IF(parametros_manuales!$H$33="Todos",datos_base!$H$25,0))*parametros_manuales!$G$14+parametros_manuales!$G$33*(datos_base!$H$5+IF(parametros_manuales!$H$33="Todos",datos_base!$H$12,0))*parametros_manuales!$G$110+parametros_manuales!$G$33*(datos_base!$H$21+IF(parametros_manuales!$H$33="Todos",datos_base!$H$26,0))*parametros_manuales!$G$15)*parametros_manuales!$I$33*parametros_manuales!$J$33</f>
        <v>12195.759421375</v>
      </c>
      <c r="H178" s="9" t="n">
        <f aca="false">(parametros_manuales!$D$33*(datos_base!$H$2+IF(parametros_manuales!$H$33="Todos",datos_base!$H$9,0))*parametros_manuales!$H$95+parametros_manuales!$D$33*(datos_base!$H$18+IF(parametros_manuales!$H$33="Todos",datos_base!$H$23,0))*parametros_manuales!$H$12+parametros_manuales!$E$33*(datos_base!$H$3+IF(parametros_manuales!$H$33="Todos",datos_base!$H$10,0))*parametros_manuales!$H$100+parametros_manuales!$E$33*(datos_base!$H$19+IF(parametros_manuales!$H$33="Todos",datos_base!$H$24,0))*parametros_manuales!$H$13+parametros_manuales!$F$33*(datos_base!$H$4+IF(parametros_manuales!$H$33="Todos",datos_base!$H$11,0))*parametros_manuales!$H$105+parametros_manuales!$F$33*(datos_base!$H$20+IF(parametros_manuales!$H$33="Todos",datos_base!$H$25,0))*parametros_manuales!$H$14+parametros_manuales!$G$33*(datos_base!$H$5+IF(parametros_manuales!$H$33="Todos",datos_base!$H$12,0))*parametros_manuales!$H$110+parametros_manuales!$G$33*(datos_base!$H$21+IF(parametros_manuales!$H$33="Todos",datos_base!$H$26,0))*parametros_manuales!$H$15)*parametros_manuales!$I$33*parametros_manuales!$J$33</f>
        <v>13049.36776722</v>
      </c>
      <c r="I178" s="9" t="n">
        <f aca="false">(parametros_manuales!$D$33*(datos_base!$H$2+IF(parametros_manuales!$H$33="Todos",datos_base!$H$9,0))*parametros_manuales!$I$95+parametros_manuales!$D$33*(datos_base!$H$18+IF(parametros_manuales!$H$33="Todos",datos_base!$H$23,0))*parametros_manuales!$I$12+parametros_manuales!$E$33*(datos_base!$H$3+IF(parametros_manuales!$H$33="Todos",datos_base!$H$10,0))*parametros_manuales!$I$100+parametros_manuales!$E$33*(datos_base!$H$19+IF(parametros_manuales!$H$33="Todos",datos_base!$H$24,0))*parametros_manuales!$I$13+parametros_manuales!$F$33*(datos_base!$H$4+IF(parametros_manuales!$H$33="Todos",datos_base!$H$11,0))*parametros_manuales!$I$105+parametros_manuales!$F$33*(datos_base!$H$20+IF(parametros_manuales!$H$33="Todos",datos_base!$H$25,0))*parametros_manuales!$I$14+parametros_manuales!$G$33*(datos_base!$H$5+IF(parametros_manuales!$H$33="Todos",datos_base!$H$12,0))*parametros_manuales!$I$110+parametros_manuales!$G$33*(datos_base!$H$21+IF(parametros_manuales!$H$33="Todos",datos_base!$H$26,0))*parametros_manuales!$I$15)*parametros_manuales!$I$33*parametros_manuales!$J$33</f>
        <v>14874.46506612</v>
      </c>
      <c r="J178" s="9" t="n">
        <f aca="false">(parametros_manuales!$D$33*(datos_base!$H$2+IF(parametros_manuales!$H$33="Todos",datos_base!$H$9,0))*parametros_manuales!$J$95+parametros_manuales!$D$33*(datos_base!$H$18+IF(parametros_manuales!$H$33="Todos",datos_base!$H$23,0))*parametros_manuales!$J$12+parametros_manuales!$E$33*(datos_base!$H$3+IF(parametros_manuales!$H$33="Todos",datos_base!$H$10,0))*parametros_manuales!$J$100+parametros_manuales!$E$33*(datos_base!$H$19+IF(parametros_manuales!$H$33="Todos",datos_base!$H$24,0))*parametros_manuales!$J$13+parametros_manuales!$F$33*(datos_base!$H$4+IF(parametros_manuales!$H$33="Todos",datos_base!$H$11,0))*parametros_manuales!$J$105+parametros_manuales!$F$33*(datos_base!$H$20+IF(parametros_manuales!$H$33="Todos",datos_base!$H$25,0))*parametros_manuales!$J$14+parametros_manuales!$G$33*(datos_base!$H$5+IF(parametros_manuales!$H$33="Todos",datos_base!$H$12,0))*parametros_manuales!$J$110+parametros_manuales!$G$33*(datos_base!$H$21+IF(parametros_manuales!$H$33="Todos",datos_base!$H$26,0))*parametros_manuales!$J$15)*parametros_manuales!$I$33*parametros_manuales!$J$33</f>
        <v>14874.46506612</v>
      </c>
      <c r="K178" s="9" t="n">
        <f aca="false">(parametros_manuales!$D$33*(datos_base!$H$2+IF(parametros_manuales!$H$33="Todos",datos_base!$H$9,0))*parametros_manuales!$K$95+parametros_manuales!$D$33*(datos_base!$H$18+IF(parametros_manuales!$H$33="Todos",datos_base!$H$23,0))*parametros_manuales!$K$12+parametros_manuales!$E$33*(datos_base!$H$3+IF(parametros_manuales!$H$33="Todos",datos_base!$H$10,0))*parametros_manuales!$K$100+parametros_manuales!$E$33*(datos_base!$H$19+IF(parametros_manuales!$H$33="Todos",datos_base!$H$24,0))*parametros_manuales!$K$13+parametros_manuales!$F$33*(datos_base!$H$4+IF(parametros_manuales!$H$33="Todos",datos_base!$H$11,0))*parametros_manuales!$K$105+parametros_manuales!$F$33*(datos_base!$H$20+IF(parametros_manuales!$H$33="Todos",datos_base!$H$25,0))*parametros_manuales!$K$14+parametros_manuales!$G$33*(datos_base!$H$5+IF(parametros_manuales!$H$33="Todos",datos_base!$H$12,0))*parametros_manuales!$K$110+parametros_manuales!$G$33*(datos_base!$H$21+IF(parametros_manuales!$H$33="Todos",datos_base!$H$26,0))*parametros_manuales!$K$15)*parametros_manuales!$I$33*parametros_manuales!$J$33</f>
        <v>15117.464845665</v>
      </c>
      <c r="L178" s="9" t="n">
        <f aca="false">(parametros_manuales!$D$33*(datos_base!$H$2+IF(parametros_manuales!$H$33="Todos",datos_base!$H$9,0))*parametros_manuales!$L$95+parametros_manuales!$D$33*(datos_base!$H$18+IF(parametros_manuales!$H$33="Todos",datos_base!$H$23,0))*parametros_manuales!$L$12+parametros_manuales!$E$33*(datos_base!$H$3+IF(parametros_manuales!$H$33="Todos",datos_base!$H$10,0))*parametros_manuales!$L$100+parametros_manuales!$E$33*(datos_base!$H$19+IF(parametros_manuales!$H$33="Todos",datos_base!$H$24,0))*parametros_manuales!$L$13+parametros_manuales!$F$33*(datos_base!$H$4+IF(parametros_manuales!$H$33="Todos",datos_base!$H$11,0))*parametros_manuales!$L$105+parametros_manuales!$F$33*(datos_base!$H$20+IF(parametros_manuales!$H$33="Todos",datos_base!$H$25,0))*parametros_manuales!$L$14+parametros_manuales!$G$33*(datos_base!$H$5+IF(parametros_manuales!$H$33="Todos",datos_base!$H$12,0))*parametros_manuales!$L$110+parametros_manuales!$G$33*(datos_base!$H$21+IF(parametros_manuales!$H$33="Todos",datos_base!$H$26,0))*parametros_manuales!$L$15)*parametros_manuales!$I$33*parametros_manuales!$J$33</f>
        <v>15360.46462521</v>
      </c>
      <c r="M178" s="9" t="n">
        <f aca="false">(parametros_manuales!$D$33*(datos_base!$H$2+IF(parametros_manuales!$H$33="Todos",datos_base!$H$9,0))*parametros_manuales!$M$95+parametros_manuales!$D$33*(datos_base!$H$18+IF(parametros_manuales!$H$33="Todos",datos_base!$H$23,0))*parametros_manuales!$M$12+parametros_manuales!$E$33*(datos_base!$H$3+IF(parametros_manuales!$H$33="Todos",datos_base!$H$10,0))*parametros_manuales!$M$100+parametros_manuales!$E$33*(datos_base!$H$19+IF(parametros_manuales!$H$33="Todos",datos_base!$H$24,0))*parametros_manuales!$M$13+parametros_manuales!$F$33*(datos_base!$H$4+IF(parametros_manuales!$H$33="Todos",datos_base!$H$11,0))*parametros_manuales!$M$105+parametros_manuales!$F$33*(datos_base!$H$20+IF(parametros_manuales!$H$33="Todos",datos_base!$H$25,0))*parametros_manuales!$M$14+parametros_manuales!$G$33*(datos_base!$H$5+IF(parametros_manuales!$H$33="Todos",datos_base!$H$12,0))*parametros_manuales!$M$110+parametros_manuales!$G$33*(datos_base!$H$21+IF(parametros_manuales!$H$33="Todos",datos_base!$H$26,0))*parametros_manuales!$M$15)*parametros_manuales!$I$33*parametros_manuales!$J$33</f>
        <v>15369.43582521</v>
      </c>
      <c r="N178" s="9" t="n">
        <f aca="false">SUM(B178:M178)</f>
        <v>170721.669169</v>
      </c>
      <c r="O178" s="9" t="n">
        <f aca="false">MAX(B178:M178)</f>
        <v>15369.43582521</v>
      </c>
      <c r="P178" s="44" t="n">
        <f aca="false">O178/(parametros_manuales!$B$7)</f>
        <v>102.4629055014</v>
      </c>
      <c r="Q178" s="8" t="str">
        <f aca="false">IF(O178=0,"-",INDEX($B$163:$M$163,MATCH(O178,B178:M178,0)))</f>
        <v>Dic</v>
      </c>
    </row>
    <row r="179" customFormat="false" ht="14.25" hidden="false" customHeight="true" outlineLevel="0" collapsed="false">
      <c r="A179" s="8" t="str">
        <f aca="false">parametros_manuales!$B$34</f>
        <v>Granallado</v>
      </c>
      <c r="B179" s="9" t="n">
        <f aca="false">(parametros_manuales!$D$34*(datos_base!$H$2+IF(parametros_manuales!$H$34="Todos",datos_base!$H$9,0))*parametros_manuales!$B$95+parametros_manuales!$D$34*(datos_base!$H$18+IF(parametros_manuales!$H$34="Todos",datos_base!$H$23,0))*parametros_manuales!$B$12+parametros_manuales!$E$34*(datos_base!$H$3+IF(parametros_manuales!$H$34="Todos",datos_base!$H$10,0))*parametros_manuales!$B$100+parametros_manuales!$E$34*(datos_base!$H$19+IF(parametros_manuales!$H$34="Todos",datos_base!$H$24,0))*parametros_manuales!$B$13+parametros_manuales!$F$34*(datos_base!$H$4+IF(parametros_manuales!$H$34="Todos",datos_base!$H$11,0))*parametros_manuales!$B$105+parametros_manuales!$F$34*(datos_base!$H$20+IF(parametros_manuales!$H$34="Todos",datos_base!$H$25,0))*parametros_manuales!$B$14+parametros_manuales!$G$34*(datos_base!$H$5+IF(parametros_manuales!$H$34="Todos",datos_base!$H$12,0))*parametros_manuales!$B$110+parametros_manuales!$G$34*(datos_base!$H$21+IF(parametros_manuales!$H$34="Todos",datos_base!$H$26,0))*parametros_manuales!$B$15)*parametros_manuales!$I$34*parametros_manuales!$J$34</f>
        <v>15367.19302521</v>
      </c>
      <c r="C179" s="9" t="n">
        <f aca="false">(parametros_manuales!$D$34*(datos_base!$H$2+IF(parametros_manuales!$H$34="Todos",datos_base!$H$9,0))*parametros_manuales!$C$95+parametros_manuales!$D$34*(datos_base!$H$18+IF(parametros_manuales!$H$34="Todos",datos_base!$H$23,0))*parametros_manuales!$C$12+parametros_manuales!$E$34*(datos_base!$H$3+IF(parametros_manuales!$H$34="Todos",datos_base!$H$10,0))*parametros_manuales!$C$100+parametros_manuales!$E$34*(datos_base!$H$19+IF(parametros_manuales!$H$34="Todos",datos_base!$H$24,0))*parametros_manuales!$C$13+parametros_manuales!$F$34*(datos_base!$H$4+IF(parametros_manuales!$H$34="Todos",datos_base!$H$11,0))*parametros_manuales!$C$105+parametros_manuales!$F$34*(datos_base!$H$20+IF(parametros_manuales!$H$34="Todos",datos_base!$H$25,0))*parametros_manuales!$C$14+parametros_manuales!$G$34*(datos_base!$H$5+IF(parametros_manuales!$H$34="Todos",datos_base!$H$12,0))*parametros_manuales!$C$110+parametros_manuales!$G$34*(datos_base!$H$21+IF(parametros_manuales!$H$34="Todos",datos_base!$H$26,0))*parametros_manuales!$C$15)*parametros_manuales!$I$34*parametros_manuales!$J$34</f>
        <v>14874.46506612</v>
      </c>
      <c r="D179" s="9" t="n">
        <f aca="false">(parametros_manuales!$D$34*(datos_base!$H$2+IF(parametros_manuales!$H$34="Todos",datos_base!$H$9,0))*parametros_manuales!$D$95+parametros_manuales!$D$34*(datos_base!$H$18+IF(parametros_manuales!$H$34="Todos",datos_base!$H$23,0))*parametros_manuales!$D$12+parametros_manuales!$E$34*(datos_base!$H$3+IF(parametros_manuales!$H$34="Todos",datos_base!$H$10,0))*parametros_manuales!$D$100+parametros_manuales!$E$34*(datos_base!$H$19+IF(parametros_manuales!$H$34="Todos",datos_base!$H$24,0))*parametros_manuales!$D$13+parametros_manuales!$F$34*(datos_base!$H$4+IF(parametros_manuales!$H$34="Todos",datos_base!$H$11,0))*parametros_manuales!$D$105+parametros_manuales!$F$34*(datos_base!$H$20+IF(parametros_manuales!$H$34="Todos",datos_base!$H$25,0))*parametros_manuales!$D$14+parametros_manuales!$G$34*(datos_base!$H$5+IF(parametros_manuales!$H$34="Todos",datos_base!$H$12,0))*parametros_manuales!$D$110+parametros_manuales!$G$34*(datos_base!$H$21+IF(parametros_manuales!$H$34="Todos",datos_base!$H$26,0))*parametros_manuales!$D$15)*parametros_manuales!$I$34*parametros_manuales!$J$34</f>
        <v>13902.976113065</v>
      </c>
      <c r="E179" s="9" t="n">
        <f aca="false">(parametros_manuales!$D$34*(datos_base!$H$2+IF(parametros_manuales!$H$34="Todos",datos_base!$H$9,0))*parametros_manuales!$E$95+parametros_manuales!$D$34*(datos_base!$H$18+IF(parametros_manuales!$H$34="Todos",datos_base!$H$23,0))*parametros_manuales!$E$12+parametros_manuales!$E$34*(datos_base!$H$3+IF(parametros_manuales!$H$34="Todos",datos_base!$H$10,0))*parametros_manuales!$E$100+parametros_manuales!$E$34*(datos_base!$H$19+IF(parametros_manuales!$H$34="Todos",datos_base!$H$24,0))*parametros_manuales!$E$13+parametros_manuales!$F$34*(datos_base!$H$4+IF(parametros_manuales!$H$34="Todos",datos_base!$H$11,0))*parametros_manuales!$E$105+parametros_manuales!$F$34*(datos_base!$H$20+IF(parametros_manuales!$H$34="Todos",datos_base!$H$25,0))*parametros_manuales!$E$14+parametros_manuales!$G$34*(datos_base!$H$5+IF(parametros_manuales!$H$34="Todos",datos_base!$H$12,0))*parametros_manuales!$E$110+parametros_manuales!$G$34*(datos_base!$H$21+IF(parametros_manuales!$H$34="Todos",datos_base!$H$26,0))*parametros_manuales!$E$15)*parametros_manuales!$I$34*parametros_manuales!$J$34</f>
        <v>13294.610346765</v>
      </c>
      <c r="F179" s="9" t="n">
        <f aca="false">(parametros_manuales!$D$34*(datos_base!$H$2+IF(parametros_manuales!$H$34="Todos",datos_base!$H$9,0))*parametros_manuales!$F$95+parametros_manuales!$D$34*(datos_base!$H$18+IF(parametros_manuales!$H$34="Todos",datos_base!$H$23,0))*parametros_manuales!$F$12+parametros_manuales!$E$34*(datos_base!$H$3+IF(parametros_manuales!$H$34="Todos",datos_base!$H$10,0))*parametros_manuales!$F$100+parametros_manuales!$E$34*(datos_base!$H$19+IF(parametros_manuales!$H$34="Todos",datos_base!$H$24,0))*parametros_manuales!$F$13+parametros_manuales!$F$34*(datos_base!$H$4+IF(parametros_manuales!$H$34="Todos",datos_base!$H$11,0))*parametros_manuales!$F$105+parametros_manuales!$F$34*(datos_base!$H$20+IF(parametros_manuales!$H$34="Todos",datos_base!$H$25,0))*parametros_manuales!$F$14+parametros_manuales!$G$34*(datos_base!$H$5+IF(parametros_manuales!$H$34="Todos",datos_base!$H$12,0))*parametros_manuales!$F$110+parametros_manuales!$G$34*(datos_base!$H$21+IF(parametros_manuales!$H$34="Todos",datos_base!$H$26,0))*parametros_manuales!$F$15)*parametros_manuales!$I$34*parametros_manuales!$J$34</f>
        <v>12441.00200092</v>
      </c>
      <c r="G179" s="9" t="n">
        <f aca="false">(parametros_manuales!$D$34*(datos_base!$H$2+IF(parametros_manuales!$H$34="Todos",datos_base!$H$9,0))*parametros_manuales!$G$95+parametros_manuales!$D$34*(datos_base!$H$18+IF(parametros_manuales!$H$34="Todos",datos_base!$H$23,0))*parametros_manuales!$G$12+parametros_manuales!$E$34*(datos_base!$H$3+IF(parametros_manuales!$H$34="Todos",datos_base!$H$10,0))*parametros_manuales!$G$100+parametros_manuales!$E$34*(datos_base!$H$19+IF(parametros_manuales!$H$34="Todos",datos_base!$H$24,0))*parametros_manuales!$G$13+parametros_manuales!$F$34*(datos_base!$H$4+IF(parametros_manuales!$H$34="Todos",datos_base!$H$11,0))*parametros_manuales!$G$105+parametros_manuales!$F$34*(datos_base!$H$20+IF(parametros_manuales!$H$34="Todos",datos_base!$H$25,0))*parametros_manuales!$G$14+parametros_manuales!$G$34*(datos_base!$H$5+IF(parametros_manuales!$H$34="Todos",datos_base!$H$12,0))*parametros_manuales!$G$110+parametros_manuales!$G$34*(datos_base!$H$21+IF(parametros_manuales!$H$34="Todos",datos_base!$H$26,0))*parametros_manuales!$G$15)*parametros_manuales!$I$34*parametros_manuales!$J$34</f>
        <v>12195.759421375</v>
      </c>
      <c r="H179" s="9" t="n">
        <f aca="false">(parametros_manuales!$D$34*(datos_base!$H$2+IF(parametros_manuales!$H$34="Todos",datos_base!$H$9,0))*parametros_manuales!$H$95+parametros_manuales!$D$34*(datos_base!$H$18+IF(parametros_manuales!$H$34="Todos",datos_base!$H$23,0))*parametros_manuales!$H$12+parametros_manuales!$E$34*(datos_base!$H$3+IF(parametros_manuales!$H$34="Todos",datos_base!$H$10,0))*parametros_manuales!$H$100+parametros_manuales!$E$34*(datos_base!$H$19+IF(parametros_manuales!$H$34="Todos",datos_base!$H$24,0))*parametros_manuales!$H$13+parametros_manuales!$F$34*(datos_base!$H$4+IF(parametros_manuales!$H$34="Todos",datos_base!$H$11,0))*parametros_manuales!$H$105+parametros_manuales!$F$34*(datos_base!$H$20+IF(parametros_manuales!$H$34="Todos",datos_base!$H$25,0))*parametros_manuales!$H$14+parametros_manuales!$G$34*(datos_base!$H$5+IF(parametros_manuales!$H$34="Todos",datos_base!$H$12,0))*parametros_manuales!$H$110+parametros_manuales!$G$34*(datos_base!$H$21+IF(parametros_manuales!$H$34="Todos",datos_base!$H$26,0))*parametros_manuales!$H$15)*parametros_manuales!$I$34*parametros_manuales!$J$34</f>
        <v>13049.36776722</v>
      </c>
      <c r="I179" s="9" t="n">
        <f aca="false">(parametros_manuales!$D$34*(datos_base!$H$2+IF(parametros_manuales!$H$34="Todos",datos_base!$H$9,0))*parametros_manuales!$I$95+parametros_manuales!$D$34*(datos_base!$H$18+IF(parametros_manuales!$H$34="Todos",datos_base!$H$23,0))*parametros_manuales!$I$12+parametros_manuales!$E$34*(datos_base!$H$3+IF(parametros_manuales!$H$34="Todos",datos_base!$H$10,0))*parametros_manuales!$I$100+parametros_manuales!$E$34*(datos_base!$H$19+IF(parametros_manuales!$H$34="Todos",datos_base!$H$24,0))*parametros_manuales!$I$13+parametros_manuales!$F$34*(datos_base!$H$4+IF(parametros_manuales!$H$34="Todos",datos_base!$H$11,0))*parametros_manuales!$I$105+parametros_manuales!$F$34*(datos_base!$H$20+IF(parametros_manuales!$H$34="Todos",datos_base!$H$25,0))*parametros_manuales!$I$14+parametros_manuales!$G$34*(datos_base!$H$5+IF(parametros_manuales!$H$34="Todos",datos_base!$H$12,0))*parametros_manuales!$I$110+parametros_manuales!$G$34*(datos_base!$H$21+IF(parametros_manuales!$H$34="Todos",datos_base!$H$26,0))*parametros_manuales!$I$15)*parametros_manuales!$I$34*parametros_manuales!$J$34</f>
        <v>14874.46506612</v>
      </c>
      <c r="J179" s="9" t="n">
        <f aca="false">(parametros_manuales!$D$34*(datos_base!$H$2+IF(parametros_manuales!$H$34="Todos",datos_base!$H$9,0))*parametros_manuales!$J$95+parametros_manuales!$D$34*(datos_base!$H$18+IF(parametros_manuales!$H$34="Todos",datos_base!$H$23,0))*parametros_manuales!$J$12+parametros_manuales!$E$34*(datos_base!$H$3+IF(parametros_manuales!$H$34="Todos",datos_base!$H$10,0))*parametros_manuales!$J$100+parametros_manuales!$E$34*(datos_base!$H$19+IF(parametros_manuales!$H$34="Todos",datos_base!$H$24,0))*parametros_manuales!$J$13+parametros_manuales!$F$34*(datos_base!$H$4+IF(parametros_manuales!$H$34="Todos",datos_base!$H$11,0))*parametros_manuales!$J$105+parametros_manuales!$F$34*(datos_base!$H$20+IF(parametros_manuales!$H$34="Todos",datos_base!$H$25,0))*parametros_manuales!$J$14+parametros_manuales!$G$34*(datos_base!$H$5+IF(parametros_manuales!$H$34="Todos",datos_base!$H$12,0))*parametros_manuales!$J$110+parametros_manuales!$G$34*(datos_base!$H$21+IF(parametros_manuales!$H$34="Todos",datos_base!$H$26,0))*parametros_manuales!$J$15)*parametros_manuales!$I$34*parametros_manuales!$J$34</f>
        <v>14874.46506612</v>
      </c>
      <c r="K179" s="9" t="n">
        <f aca="false">(parametros_manuales!$D$34*(datos_base!$H$2+IF(parametros_manuales!$H$34="Todos",datos_base!$H$9,0))*parametros_manuales!$K$95+parametros_manuales!$D$34*(datos_base!$H$18+IF(parametros_manuales!$H$34="Todos",datos_base!$H$23,0))*parametros_manuales!$K$12+parametros_manuales!$E$34*(datos_base!$H$3+IF(parametros_manuales!$H$34="Todos",datos_base!$H$10,0))*parametros_manuales!$K$100+parametros_manuales!$E$34*(datos_base!$H$19+IF(parametros_manuales!$H$34="Todos",datos_base!$H$24,0))*parametros_manuales!$K$13+parametros_manuales!$F$34*(datos_base!$H$4+IF(parametros_manuales!$H$34="Todos",datos_base!$H$11,0))*parametros_manuales!$K$105+parametros_manuales!$F$34*(datos_base!$H$20+IF(parametros_manuales!$H$34="Todos",datos_base!$H$25,0))*parametros_manuales!$K$14+parametros_manuales!$G$34*(datos_base!$H$5+IF(parametros_manuales!$H$34="Todos",datos_base!$H$12,0))*parametros_manuales!$K$110+parametros_manuales!$G$34*(datos_base!$H$21+IF(parametros_manuales!$H$34="Todos",datos_base!$H$26,0))*parametros_manuales!$K$15)*parametros_manuales!$I$34*parametros_manuales!$J$34</f>
        <v>15117.464845665</v>
      </c>
      <c r="L179" s="9" t="n">
        <f aca="false">(parametros_manuales!$D$34*(datos_base!$H$2+IF(parametros_manuales!$H$34="Todos",datos_base!$H$9,0))*parametros_manuales!$L$95+parametros_manuales!$D$34*(datos_base!$H$18+IF(parametros_manuales!$H$34="Todos",datos_base!$H$23,0))*parametros_manuales!$L$12+parametros_manuales!$E$34*(datos_base!$H$3+IF(parametros_manuales!$H$34="Todos",datos_base!$H$10,0))*parametros_manuales!$L$100+parametros_manuales!$E$34*(datos_base!$H$19+IF(parametros_manuales!$H$34="Todos",datos_base!$H$24,0))*parametros_manuales!$L$13+parametros_manuales!$F$34*(datos_base!$H$4+IF(parametros_manuales!$H$34="Todos",datos_base!$H$11,0))*parametros_manuales!$L$105+parametros_manuales!$F$34*(datos_base!$H$20+IF(parametros_manuales!$H$34="Todos",datos_base!$H$25,0))*parametros_manuales!$L$14+parametros_manuales!$G$34*(datos_base!$H$5+IF(parametros_manuales!$H$34="Todos",datos_base!$H$12,0))*parametros_manuales!$L$110+parametros_manuales!$G$34*(datos_base!$H$21+IF(parametros_manuales!$H$34="Todos",datos_base!$H$26,0))*parametros_manuales!$L$15)*parametros_manuales!$I$34*parametros_manuales!$J$34</f>
        <v>15360.46462521</v>
      </c>
      <c r="M179" s="9" t="n">
        <f aca="false">(parametros_manuales!$D$34*(datos_base!$H$2+IF(parametros_manuales!$H$34="Todos",datos_base!$H$9,0))*parametros_manuales!$M$95+parametros_manuales!$D$34*(datos_base!$H$18+IF(parametros_manuales!$H$34="Todos",datos_base!$H$23,0))*parametros_manuales!$M$12+parametros_manuales!$E$34*(datos_base!$H$3+IF(parametros_manuales!$H$34="Todos",datos_base!$H$10,0))*parametros_manuales!$M$100+parametros_manuales!$E$34*(datos_base!$H$19+IF(parametros_manuales!$H$34="Todos",datos_base!$H$24,0))*parametros_manuales!$M$13+parametros_manuales!$F$34*(datos_base!$H$4+IF(parametros_manuales!$H$34="Todos",datos_base!$H$11,0))*parametros_manuales!$M$105+parametros_manuales!$F$34*(datos_base!$H$20+IF(parametros_manuales!$H$34="Todos",datos_base!$H$25,0))*parametros_manuales!$M$14+parametros_manuales!$G$34*(datos_base!$H$5+IF(parametros_manuales!$H$34="Todos",datos_base!$H$12,0))*parametros_manuales!$M$110+parametros_manuales!$G$34*(datos_base!$H$21+IF(parametros_manuales!$H$34="Todos",datos_base!$H$26,0))*parametros_manuales!$M$15)*parametros_manuales!$I$34*parametros_manuales!$J$34</f>
        <v>15369.43582521</v>
      </c>
      <c r="N179" s="9" t="n">
        <f aca="false">SUM(B179:M179)</f>
        <v>170721.669169</v>
      </c>
      <c r="O179" s="9" t="n">
        <f aca="false">MAX(B179:M179)</f>
        <v>15369.43582521</v>
      </c>
      <c r="P179" s="44" t="n">
        <f aca="false">O179/(parametros_manuales!$B$7)</f>
        <v>102.4629055014</v>
      </c>
      <c r="Q179" s="8" t="str">
        <f aca="false">IF(O179=0,"-",INDEX($B$163:$M$163,MATCH(O179,B179:M179,0)))</f>
        <v>Dic</v>
      </c>
    </row>
    <row r="180" customFormat="false" ht="14.25" hidden="false" customHeight="true" outlineLevel="0" collapsed="false">
      <c r="A180" s="8" t="str">
        <f aca="false">parametros_manuales!$B$35</f>
        <v>Detección de defectos</v>
      </c>
      <c r="B180" s="9" t="n">
        <f aca="false">(parametros_manuales!$D$35*(datos_base!$H$2+IF(parametros_manuales!$H$35="Todos",datos_base!$H$9,0))*parametros_manuales!$B$95+parametros_manuales!$D$35*(datos_base!$H$18+IF(parametros_manuales!$H$35="Todos",datos_base!$H$23,0))*parametros_manuales!$B$12+parametros_manuales!$E$35*(datos_base!$H$3+IF(parametros_manuales!$H$35="Todos",datos_base!$H$10,0))*parametros_manuales!$B$100+parametros_manuales!$E$35*(datos_base!$H$19+IF(parametros_manuales!$H$35="Todos",datos_base!$H$24,0))*parametros_manuales!$B$13+parametros_manuales!$F$35*(datos_base!$H$4+IF(parametros_manuales!$H$35="Todos",datos_base!$H$11,0))*parametros_manuales!$B$105+parametros_manuales!$F$35*(datos_base!$H$20+IF(parametros_manuales!$H$35="Todos",datos_base!$H$25,0))*parametros_manuales!$B$14+parametros_manuales!$G$35*(datos_base!$H$5+IF(parametros_manuales!$H$35="Todos",datos_base!$H$12,0))*parametros_manuales!$B$110+parametros_manuales!$G$35*(datos_base!$H$21+IF(parametros_manuales!$H$35="Todos",datos_base!$H$26,0))*parametros_manuales!$B$15)*parametros_manuales!$I$35*parametros_manuales!$J$35</f>
        <v>15367.19302521</v>
      </c>
      <c r="C180" s="9" t="n">
        <f aca="false">(parametros_manuales!$D$35*(datos_base!$H$2+IF(parametros_manuales!$H$35="Todos",datos_base!$H$9,0))*parametros_manuales!$C$95+parametros_manuales!$D$35*(datos_base!$H$18+IF(parametros_manuales!$H$35="Todos",datos_base!$H$23,0))*parametros_manuales!$C$12+parametros_manuales!$E$35*(datos_base!$H$3+IF(parametros_manuales!$H$35="Todos",datos_base!$H$10,0))*parametros_manuales!$C$100+parametros_manuales!$E$35*(datos_base!$H$19+IF(parametros_manuales!$H$35="Todos",datos_base!$H$24,0))*parametros_manuales!$C$13+parametros_manuales!$F$35*(datos_base!$H$4+IF(parametros_manuales!$H$35="Todos",datos_base!$H$11,0))*parametros_manuales!$C$105+parametros_manuales!$F$35*(datos_base!$H$20+IF(parametros_manuales!$H$35="Todos",datos_base!$H$25,0))*parametros_manuales!$C$14+parametros_manuales!$G$35*(datos_base!$H$5+IF(parametros_manuales!$H$35="Todos",datos_base!$H$12,0))*parametros_manuales!$C$110+parametros_manuales!$G$35*(datos_base!$H$21+IF(parametros_manuales!$H$35="Todos",datos_base!$H$26,0))*parametros_manuales!$C$15)*parametros_manuales!$I$35*parametros_manuales!$J$35</f>
        <v>14874.46506612</v>
      </c>
      <c r="D180" s="9" t="n">
        <f aca="false">(parametros_manuales!$D$35*(datos_base!$H$2+IF(parametros_manuales!$H$35="Todos",datos_base!$H$9,0))*parametros_manuales!$D$95+parametros_manuales!$D$35*(datos_base!$H$18+IF(parametros_manuales!$H$35="Todos",datos_base!$H$23,0))*parametros_manuales!$D$12+parametros_manuales!$E$35*(datos_base!$H$3+IF(parametros_manuales!$H$35="Todos",datos_base!$H$10,0))*parametros_manuales!$D$100+parametros_manuales!$E$35*(datos_base!$H$19+IF(parametros_manuales!$H$35="Todos",datos_base!$H$24,0))*parametros_manuales!$D$13+parametros_manuales!$F$35*(datos_base!$H$4+IF(parametros_manuales!$H$35="Todos",datos_base!$H$11,0))*parametros_manuales!$D$105+parametros_manuales!$F$35*(datos_base!$H$20+IF(parametros_manuales!$H$35="Todos",datos_base!$H$25,0))*parametros_manuales!$D$14+parametros_manuales!$G$35*(datos_base!$H$5+IF(parametros_manuales!$H$35="Todos",datos_base!$H$12,0))*parametros_manuales!$D$110+parametros_manuales!$G$35*(datos_base!$H$21+IF(parametros_manuales!$H$35="Todos",datos_base!$H$26,0))*parametros_manuales!$D$15)*parametros_manuales!$I$35*parametros_manuales!$J$35</f>
        <v>13902.976113065</v>
      </c>
      <c r="E180" s="9" t="n">
        <f aca="false">(parametros_manuales!$D$35*(datos_base!$H$2+IF(parametros_manuales!$H$35="Todos",datos_base!$H$9,0))*parametros_manuales!$E$95+parametros_manuales!$D$35*(datos_base!$H$18+IF(parametros_manuales!$H$35="Todos",datos_base!$H$23,0))*parametros_manuales!$E$12+parametros_manuales!$E$35*(datos_base!$H$3+IF(parametros_manuales!$H$35="Todos",datos_base!$H$10,0))*parametros_manuales!$E$100+parametros_manuales!$E$35*(datos_base!$H$19+IF(parametros_manuales!$H$35="Todos",datos_base!$H$24,0))*parametros_manuales!$E$13+parametros_manuales!$F$35*(datos_base!$H$4+IF(parametros_manuales!$H$35="Todos",datos_base!$H$11,0))*parametros_manuales!$E$105+parametros_manuales!$F$35*(datos_base!$H$20+IF(parametros_manuales!$H$35="Todos",datos_base!$H$25,0))*parametros_manuales!$E$14+parametros_manuales!$G$35*(datos_base!$H$5+IF(parametros_manuales!$H$35="Todos",datos_base!$H$12,0))*parametros_manuales!$E$110+parametros_manuales!$G$35*(datos_base!$H$21+IF(parametros_manuales!$H$35="Todos",datos_base!$H$26,0))*parametros_manuales!$E$15)*parametros_manuales!$I$35*parametros_manuales!$J$35</f>
        <v>13294.610346765</v>
      </c>
      <c r="F180" s="9" t="n">
        <f aca="false">(parametros_manuales!$D$35*(datos_base!$H$2+IF(parametros_manuales!$H$35="Todos",datos_base!$H$9,0))*parametros_manuales!$F$95+parametros_manuales!$D$35*(datos_base!$H$18+IF(parametros_manuales!$H$35="Todos",datos_base!$H$23,0))*parametros_manuales!$F$12+parametros_manuales!$E$35*(datos_base!$H$3+IF(parametros_manuales!$H$35="Todos",datos_base!$H$10,0))*parametros_manuales!$F$100+parametros_manuales!$E$35*(datos_base!$H$19+IF(parametros_manuales!$H$35="Todos",datos_base!$H$24,0))*parametros_manuales!$F$13+parametros_manuales!$F$35*(datos_base!$H$4+IF(parametros_manuales!$H$35="Todos",datos_base!$H$11,0))*parametros_manuales!$F$105+parametros_manuales!$F$35*(datos_base!$H$20+IF(parametros_manuales!$H$35="Todos",datos_base!$H$25,0))*parametros_manuales!$F$14+parametros_manuales!$G$35*(datos_base!$H$5+IF(parametros_manuales!$H$35="Todos",datos_base!$H$12,0))*parametros_manuales!$F$110+parametros_manuales!$G$35*(datos_base!$H$21+IF(parametros_manuales!$H$35="Todos",datos_base!$H$26,0))*parametros_manuales!$F$15)*parametros_manuales!$I$35*parametros_manuales!$J$35</f>
        <v>12441.00200092</v>
      </c>
      <c r="G180" s="9" t="n">
        <f aca="false">(parametros_manuales!$D$35*(datos_base!$H$2+IF(parametros_manuales!$H$35="Todos",datos_base!$H$9,0))*parametros_manuales!$G$95+parametros_manuales!$D$35*(datos_base!$H$18+IF(parametros_manuales!$H$35="Todos",datos_base!$H$23,0))*parametros_manuales!$G$12+parametros_manuales!$E$35*(datos_base!$H$3+IF(parametros_manuales!$H$35="Todos",datos_base!$H$10,0))*parametros_manuales!$G$100+parametros_manuales!$E$35*(datos_base!$H$19+IF(parametros_manuales!$H$35="Todos",datos_base!$H$24,0))*parametros_manuales!$G$13+parametros_manuales!$F$35*(datos_base!$H$4+IF(parametros_manuales!$H$35="Todos",datos_base!$H$11,0))*parametros_manuales!$G$105+parametros_manuales!$F$35*(datos_base!$H$20+IF(parametros_manuales!$H$35="Todos",datos_base!$H$25,0))*parametros_manuales!$G$14+parametros_manuales!$G$35*(datos_base!$H$5+IF(parametros_manuales!$H$35="Todos",datos_base!$H$12,0))*parametros_manuales!$G$110+parametros_manuales!$G$35*(datos_base!$H$21+IF(parametros_manuales!$H$35="Todos",datos_base!$H$26,0))*parametros_manuales!$G$15)*parametros_manuales!$I$35*parametros_manuales!$J$35</f>
        <v>12195.759421375</v>
      </c>
      <c r="H180" s="9" t="n">
        <f aca="false">(parametros_manuales!$D$35*(datos_base!$H$2+IF(parametros_manuales!$H$35="Todos",datos_base!$H$9,0))*parametros_manuales!$H$95+parametros_manuales!$D$35*(datos_base!$H$18+IF(parametros_manuales!$H$35="Todos",datos_base!$H$23,0))*parametros_manuales!$H$12+parametros_manuales!$E$35*(datos_base!$H$3+IF(parametros_manuales!$H$35="Todos",datos_base!$H$10,0))*parametros_manuales!$H$100+parametros_manuales!$E$35*(datos_base!$H$19+IF(parametros_manuales!$H$35="Todos",datos_base!$H$24,0))*parametros_manuales!$H$13+parametros_manuales!$F$35*(datos_base!$H$4+IF(parametros_manuales!$H$35="Todos",datos_base!$H$11,0))*parametros_manuales!$H$105+parametros_manuales!$F$35*(datos_base!$H$20+IF(parametros_manuales!$H$35="Todos",datos_base!$H$25,0))*parametros_manuales!$H$14+parametros_manuales!$G$35*(datos_base!$H$5+IF(parametros_manuales!$H$35="Todos",datos_base!$H$12,0))*parametros_manuales!$H$110+parametros_manuales!$G$35*(datos_base!$H$21+IF(parametros_manuales!$H$35="Todos",datos_base!$H$26,0))*parametros_manuales!$H$15)*parametros_manuales!$I$35*parametros_manuales!$J$35</f>
        <v>13049.36776722</v>
      </c>
      <c r="I180" s="9" t="n">
        <f aca="false">(parametros_manuales!$D$35*(datos_base!$H$2+IF(parametros_manuales!$H$35="Todos",datos_base!$H$9,0))*parametros_manuales!$I$95+parametros_manuales!$D$35*(datos_base!$H$18+IF(parametros_manuales!$H$35="Todos",datos_base!$H$23,0))*parametros_manuales!$I$12+parametros_manuales!$E$35*(datos_base!$H$3+IF(parametros_manuales!$H$35="Todos",datos_base!$H$10,0))*parametros_manuales!$I$100+parametros_manuales!$E$35*(datos_base!$H$19+IF(parametros_manuales!$H$35="Todos",datos_base!$H$24,0))*parametros_manuales!$I$13+parametros_manuales!$F$35*(datos_base!$H$4+IF(parametros_manuales!$H$35="Todos",datos_base!$H$11,0))*parametros_manuales!$I$105+parametros_manuales!$F$35*(datos_base!$H$20+IF(parametros_manuales!$H$35="Todos",datos_base!$H$25,0))*parametros_manuales!$I$14+parametros_manuales!$G$35*(datos_base!$H$5+IF(parametros_manuales!$H$35="Todos",datos_base!$H$12,0))*parametros_manuales!$I$110+parametros_manuales!$G$35*(datos_base!$H$21+IF(parametros_manuales!$H$35="Todos",datos_base!$H$26,0))*parametros_manuales!$I$15)*parametros_manuales!$I$35*parametros_manuales!$J$35</f>
        <v>14874.46506612</v>
      </c>
      <c r="J180" s="9" t="n">
        <f aca="false">(parametros_manuales!$D$35*(datos_base!$H$2+IF(parametros_manuales!$H$35="Todos",datos_base!$H$9,0))*parametros_manuales!$J$95+parametros_manuales!$D$35*(datos_base!$H$18+IF(parametros_manuales!$H$35="Todos",datos_base!$H$23,0))*parametros_manuales!$J$12+parametros_manuales!$E$35*(datos_base!$H$3+IF(parametros_manuales!$H$35="Todos",datos_base!$H$10,0))*parametros_manuales!$J$100+parametros_manuales!$E$35*(datos_base!$H$19+IF(parametros_manuales!$H$35="Todos",datos_base!$H$24,0))*parametros_manuales!$J$13+parametros_manuales!$F$35*(datos_base!$H$4+IF(parametros_manuales!$H$35="Todos",datos_base!$H$11,0))*parametros_manuales!$J$105+parametros_manuales!$F$35*(datos_base!$H$20+IF(parametros_manuales!$H$35="Todos",datos_base!$H$25,0))*parametros_manuales!$J$14+parametros_manuales!$G$35*(datos_base!$H$5+IF(parametros_manuales!$H$35="Todos",datos_base!$H$12,0))*parametros_manuales!$J$110+parametros_manuales!$G$35*(datos_base!$H$21+IF(parametros_manuales!$H$35="Todos",datos_base!$H$26,0))*parametros_manuales!$J$15)*parametros_manuales!$I$35*parametros_manuales!$J$35</f>
        <v>14874.46506612</v>
      </c>
      <c r="K180" s="9" t="n">
        <f aca="false">(parametros_manuales!$D$35*(datos_base!$H$2+IF(parametros_manuales!$H$35="Todos",datos_base!$H$9,0))*parametros_manuales!$K$95+parametros_manuales!$D$35*(datos_base!$H$18+IF(parametros_manuales!$H$35="Todos",datos_base!$H$23,0))*parametros_manuales!$K$12+parametros_manuales!$E$35*(datos_base!$H$3+IF(parametros_manuales!$H$35="Todos",datos_base!$H$10,0))*parametros_manuales!$K$100+parametros_manuales!$E$35*(datos_base!$H$19+IF(parametros_manuales!$H$35="Todos",datos_base!$H$24,0))*parametros_manuales!$K$13+parametros_manuales!$F$35*(datos_base!$H$4+IF(parametros_manuales!$H$35="Todos",datos_base!$H$11,0))*parametros_manuales!$K$105+parametros_manuales!$F$35*(datos_base!$H$20+IF(parametros_manuales!$H$35="Todos",datos_base!$H$25,0))*parametros_manuales!$K$14+parametros_manuales!$G$35*(datos_base!$H$5+IF(parametros_manuales!$H$35="Todos",datos_base!$H$12,0))*parametros_manuales!$K$110+parametros_manuales!$G$35*(datos_base!$H$21+IF(parametros_manuales!$H$35="Todos",datos_base!$H$26,0))*parametros_manuales!$K$15)*parametros_manuales!$I$35*parametros_manuales!$J$35</f>
        <v>15117.464845665</v>
      </c>
      <c r="L180" s="9" t="n">
        <f aca="false">(parametros_manuales!$D$35*(datos_base!$H$2+IF(parametros_manuales!$H$35="Todos",datos_base!$H$9,0))*parametros_manuales!$L$95+parametros_manuales!$D$35*(datos_base!$H$18+IF(parametros_manuales!$H$35="Todos",datos_base!$H$23,0))*parametros_manuales!$L$12+parametros_manuales!$E$35*(datos_base!$H$3+IF(parametros_manuales!$H$35="Todos",datos_base!$H$10,0))*parametros_manuales!$L$100+parametros_manuales!$E$35*(datos_base!$H$19+IF(parametros_manuales!$H$35="Todos",datos_base!$H$24,0))*parametros_manuales!$L$13+parametros_manuales!$F$35*(datos_base!$H$4+IF(parametros_manuales!$H$35="Todos",datos_base!$H$11,0))*parametros_manuales!$L$105+parametros_manuales!$F$35*(datos_base!$H$20+IF(parametros_manuales!$H$35="Todos",datos_base!$H$25,0))*parametros_manuales!$L$14+parametros_manuales!$G$35*(datos_base!$H$5+IF(parametros_manuales!$H$35="Todos",datos_base!$H$12,0))*parametros_manuales!$L$110+parametros_manuales!$G$35*(datos_base!$H$21+IF(parametros_manuales!$H$35="Todos",datos_base!$H$26,0))*parametros_manuales!$L$15)*parametros_manuales!$I$35*parametros_manuales!$J$35</f>
        <v>15360.46462521</v>
      </c>
      <c r="M180" s="9" t="n">
        <f aca="false">(parametros_manuales!$D$35*(datos_base!$H$2+IF(parametros_manuales!$H$35="Todos",datos_base!$H$9,0))*parametros_manuales!$M$95+parametros_manuales!$D$35*(datos_base!$H$18+IF(parametros_manuales!$H$35="Todos",datos_base!$H$23,0))*parametros_manuales!$M$12+parametros_manuales!$E$35*(datos_base!$H$3+IF(parametros_manuales!$H$35="Todos",datos_base!$H$10,0))*parametros_manuales!$M$100+parametros_manuales!$E$35*(datos_base!$H$19+IF(parametros_manuales!$H$35="Todos",datos_base!$H$24,0))*parametros_manuales!$M$13+parametros_manuales!$F$35*(datos_base!$H$4+IF(parametros_manuales!$H$35="Todos",datos_base!$H$11,0))*parametros_manuales!$M$105+parametros_manuales!$F$35*(datos_base!$H$20+IF(parametros_manuales!$H$35="Todos",datos_base!$H$25,0))*parametros_manuales!$M$14+parametros_manuales!$G$35*(datos_base!$H$5+IF(parametros_manuales!$H$35="Todos",datos_base!$H$12,0))*parametros_manuales!$M$110+parametros_manuales!$G$35*(datos_base!$H$21+IF(parametros_manuales!$H$35="Todos",datos_base!$H$26,0))*parametros_manuales!$M$15)*parametros_manuales!$I$35*parametros_manuales!$J$35</f>
        <v>15369.43582521</v>
      </c>
      <c r="N180" s="9" t="n">
        <f aca="false">SUM(B180:M180)</f>
        <v>170721.669169</v>
      </c>
      <c r="O180" s="9" t="n">
        <f aca="false">MAX(B180:M180)</f>
        <v>15369.43582521</v>
      </c>
      <c r="P180" s="44" t="n">
        <f aca="false">O180/(parametros_manuales!$B$7)</f>
        <v>102.4629055014</v>
      </c>
      <c r="Q180" s="8" t="str">
        <f aca="false">IF(O180=0,"-",INDEX($B$163:$M$163,MATCH(O180,B180:M180,0)))</f>
        <v>Dic</v>
      </c>
    </row>
    <row r="181" customFormat="false" ht="14.25" hidden="false" customHeight="true" outlineLevel="0" collapsed="false">
      <c r="A181" s="8" t="str">
        <f aca="false">parametros_manuales!$B$36</f>
        <v>Corrección de defectos</v>
      </c>
      <c r="B181" s="9" t="n">
        <f aca="false">(parametros_manuales!$D$36*(datos_base!$H$2+IF(parametros_manuales!$H$36="Todos",datos_base!$H$9,0))*parametros_manuales!$B$95+parametros_manuales!$D$36*(datos_base!$H$18+IF(parametros_manuales!$H$36="Todos",datos_base!$H$23,0))*parametros_manuales!$B$12+parametros_manuales!$E$36*(datos_base!$H$3+IF(parametros_manuales!$H$36="Todos",datos_base!$H$10,0))*parametros_manuales!$B$100+parametros_manuales!$E$36*(datos_base!$H$19+IF(parametros_manuales!$H$36="Todos",datos_base!$H$24,0))*parametros_manuales!$B$13+parametros_manuales!$F$36*(datos_base!$H$4+IF(parametros_manuales!$H$36="Todos",datos_base!$H$11,0))*parametros_manuales!$B$105+parametros_manuales!$F$36*(datos_base!$H$20+IF(parametros_manuales!$H$36="Todos",datos_base!$H$25,0))*parametros_manuales!$B$14+parametros_manuales!$G$36*(datos_base!$H$5+IF(parametros_manuales!$H$36="Todos",datos_base!$H$12,0))*parametros_manuales!$B$110+parametros_manuales!$G$36*(datos_base!$H$21+IF(parametros_manuales!$H$36="Todos",datos_base!$H$26,0))*parametros_manuales!$B$15)*parametros_manuales!$I$36*parametros_manuales!$J$36</f>
        <v>768.3596512605</v>
      </c>
      <c r="C181" s="9" t="n">
        <f aca="false">(parametros_manuales!$D$36*(datos_base!$H$2+IF(parametros_manuales!$H$36="Todos",datos_base!$H$9,0))*parametros_manuales!$C$95+parametros_manuales!$D$36*(datos_base!$H$18+IF(parametros_manuales!$H$36="Todos",datos_base!$H$23,0))*parametros_manuales!$C$12+parametros_manuales!$E$36*(datos_base!$H$3+IF(parametros_manuales!$H$36="Todos",datos_base!$H$10,0))*parametros_manuales!$C$100+parametros_manuales!$E$36*(datos_base!$H$19+IF(parametros_manuales!$H$36="Todos",datos_base!$H$24,0))*parametros_manuales!$C$13+parametros_manuales!$F$36*(datos_base!$H$4+IF(parametros_manuales!$H$36="Todos",datos_base!$H$11,0))*parametros_manuales!$C$105+parametros_manuales!$F$36*(datos_base!$H$20+IF(parametros_manuales!$H$36="Todos",datos_base!$H$25,0))*parametros_manuales!$C$14+parametros_manuales!$G$36*(datos_base!$H$5+IF(parametros_manuales!$H$36="Todos",datos_base!$H$12,0))*parametros_manuales!$C$110+parametros_manuales!$G$36*(datos_base!$H$21+IF(parametros_manuales!$H$36="Todos",datos_base!$H$26,0))*parametros_manuales!$C$15)*parametros_manuales!$I$36*parametros_manuales!$J$36</f>
        <v>743.723253306</v>
      </c>
      <c r="D181" s="9" t="n">
        <f aca="false">(parametros_manuales!$D$36*(datos_base!$H$2+IF(parametros_manuales!$H$36="Todos",datos_base!$H$9,0))*parametros_manuales!$D$95+parametros_manuales!$D$36*(datos_base!$H$18+IF(parametros_manuales!$H$36="Todos",datos_base!$H$23,0))*parametros_manuales!$D$12+parametros_manuales!$E$36*(datos_base!$H$3+IF(parametros_manuales!$H$36="Todos",datos_base!$H$10,0))*parametros_manuales!$D$100+parametros_manuales!$E$36*(datos_base!$H$19+IF(parametros_manuales!$H$36="Todos",datos_base!$H$24,0))*parametros_manuales!$D$13+parametros_manuales!$F$36*(datos_base!$H$4+IF(parametros_manuales!$H$36="Todos",datos_base!$H$11,0))*parametros_manuales!$D$105+parametros_manuales!$F$36*(datos_base!$H$20+IF(parametros_manuales!$H$36="Todos",datos_base!$H$25,0))*parametros_manuales!$D$14+parametros_manuales!$G$36*(datos_base!$H$5+IF(parametros_manuales!$H$36="Todos",datos_base!$H$12,0))*parametros_manuales!$D$110+parametros_manuales!$G$36*(datos_base!$H$21+IF(parametros_manuales!$H$36="Todos",datos_base!$H$26,0))*parametros_manuales!$D$15)*parametros_manuales!$I$36*parametros_manuales!$J$36</f>
        <v>695.14880565325</v>
      </c>
      <c r="E181" s="9" t="n">
        <f aca="false">(parametros_manuales!$D$36*(datos_base!$H$2+IF(parametros_manuales!$H$36="Todos",datos_base!$H$9,0))*parametros_manuales!$E$95+parametros_manuales!$D$36*(datos_base!$H$18+IF(parametros_manuales!$H$36="Todos",datos_base!$H$23,0))*parametros_manuales!$E$12+parametros_manuales!$E$36*(datos_base!$H$3+IF(parametros_manuales!$H$36="Todos",datos_base!$H$10,0))*parametros_manuales!$E$100+parametros_manuales!$E$36*(datos_base!$H$19+IF(parametros_manuales!$H$36="Todos",datos_base!$H$24,0))*parametros_manuales!$E$13+parametros_manuales!$F$36*(datos_base!$H$4+IF(parametros_manuales!$H$36="Todos",datos_base!$H$11,0))*parametros_manuales!$E$105+parametros_manuales!$F$36*(datos_base!$H$20+IF(parametros_manuales!$H$36="Todos",datos_base!$H$25,0))*parametros_manuales!$E$14+parametros_manuales!$G$36*(datos_base!$H$5+IF(parametros_manuales!$H$36="Todos",datos_base!$H$12,0))*parametros_manuales!$E$110+parametros_manuales!$G$36*(datos_base!$H$21+IF(parametros_manuales!$H$36="Todos",datos_base!$H$26,0))*parametros_manuales!$E$15)*parametros_manuales!$I$36*parametros_manuales!$J$36</f>
        <v>664.73051733825</v>
      </c>
      <c r="F181" s="9" t="n">
        <f aca="false">(parametros_manuales!$D$36*(datos_base!$H$2+IF(parametros_manuales!$H$36="Todos",datos_base!$H$9,0))*parametros_manuales!$F$95+parametros_manuales!$D$36*(datos_base!$H$18+IF(parametros_manuales!$H$36="Todos",datos_base!$H$23,0))*parametros_manuales!$F$12+parametros_manuales!$E$36*(datos_base!$H$3+IF(parametros_manuales!$H$36="Todos",datos_base!$H$10,0))*parametros_manuales!$F$100+parametros_manuales!$E$36*(datos_base!$H$19+IF(parametros_manuales!$H$36="Todos",datos_base!$H$24,0))*parametros_manuales!$F$13+parametros_manuales!$F$36*(datos_base!$H$4+IF(parametros_manuales!$H$36="Todos",datos_base!$H$11,0))*parametros_manuales!$F$105+parametros_manuales!$F$36*(datos_base!$H$20+IF(parametros_manuales!$H$36="Todos",datos_base!$H$25,0))*parametros_manuales!$F$14+parametros_manuales!$G$36*(datos_base!$H$5+IF(parametros_manuales!$H$36="Todos",datos_base!$H$12,0))*parametros_manuales!$F$110+parametros_manuales!$G$36*(datos_base!$H$21+IF(parametros_manuales!$H$36="Todos",datos_base!$H$26,0))*parametros_manuales!$F$15)*parametros_manuales!$I$36*parametros_manuales!$J$36</f>
        <v>622.050100046</v>
      </c>
      <c r="G181" s="9" t="n">
        <f aca="false">(parametros_manuales!$D$36*(datos_base!$H$2+IF(parametros_manuales!$H$36="Todos",datos_base!$H$9,0))*parametros_manuales!$G$95+parametros_manuales!$D$36*(datos_base!$H$18+IF(parametros_manuales!$H$36="Todos",datos_base!$H$23,0))*parametros_manuales!$G$12+parametros_manuales!$E$36*(datos_base!$H$3+IF(parametros_manuales!$H$36="Todos",datos_base!$H$10,0))*parametros_manuales!$G$100+parametros_manuales!$E$36*(datos_base!$H$19+IF(parametros_manuales!$H$36="Todos",datos_base!$H$24,0))*parametros_manuales!$G$13+parametros_manuales!$F$36*(datos_base!$H$4+IF(parametros_manuales!$H$36="Todos",datos_base!$H$11,0))*parametros_manuales!$G$105+parametros_manuales!$F$36*(datos_base!$H$20+IF(parametros_manuales!$H$36="Todos",datos_base!$H$25,0))*parametros_manuales!$G$14+parametros_manuales!$G$36*(datos_base!$H$5+IF(parametros_manuales!$H$36="Todos",datos_base!$H$12,0))*parametros_manuales!$G$110+parametros_manuales!$G$36*(datos_base!$H$21+IF(parametros_manuales!$H$36="Todos",datos_base!$H$26,0))*parametros_manuales!$G$15)*parametros_manuales!$I$36*parametros_manuales!$J$36</f>
        <v>609.78797106875</v>
      </c>
      <c r="H181" s="9" t="n">
        <f aca="false">(parametros_manuales!$D$36*(datos_base!$H$2+IF(parametros_manuales!$H$36="Todos",datos_base!$H$9,0))*parametros_manuales!$H$95+parametros_manuales!$D$36*(datos_base!$H$18+IF(parametros_manuales!$H$36="Todos",datos_base!$H$23,0))*parametros_manuales!$H$12+parametros_manuales!$E$36*(datos_base!$H$3+IF(parametros_manuales!$H$36="Todos",datos_base!$H$10,0))*parametros_manuales!$H$100+parametros_manuales!$E$36*(datos_base!$H$19+IF(parametros_manuales!$H$36="Todos",datos_base!$H$24,0))*parametros_manuales!$H$13+parametros_manuales!$F$36*(datos_base!$H$4+IF(parametros_manuales!$H$36="Todos",datos_base!$H$11,0))*parametros_manuales!$H$105+parametros_manuales!$F$36*(datos_base!$H$20+IF(parametros_manuales!$H$36="Todos",datos_base!$H$25,0))*parametros_manuales!$H$14+parametros_manuales!$G$36*(datos_base!$H$5+IF(parametros_manuales!$H$36="Todos",datos_base!$H$12,0))*parametros_manuales!$H$110+parametros_manuales!$G$36*(datos_base!$H$21+IF(parametros_manuales!$H$36="Todos",datos_base!$H$26,0))*parametros_manuales!$H$15)*parametros_manuales!$I$36*parametros_manuales!$J$36</f>
        <v>652.468388361</v>
      </c>
      <c r="I181" s="9" t="n">
        <f aca="false">(parametros_manuales!$D$36*(datos_base!$H$2+IF(parametros_manuales!$H$36="Todos",datos_base!$H$9,0))*parametros_manuales!$I$95+parametros_manuales!$D$36*(datos_base!$H$18+IF(parametros_manuales!$H$36="Todos",datos_base!$H$23,0))*parametros_manuales!$I$12+parametros_manuales!$E$36*(datos_base!$H$3+IF(parametros_manuales!$H$36="Todos",datos_base!$H$10,0))*parametros_manuales!$I$100+parametros_manuales!$E$36*(datos_base!$H$19+IF(parametros_manuales!$H$36="Todos",datos_base!$H$24,0))*parametros_manuales!$I$13+parametros_manuales!$F$36*(datos_base!$H$4+IF(parametros_manuales!$H$36="Todos",datos_base!$H$11,0))*parametros_manuales!$I$105+parametros_manuales!$F$36*(datos_base!$H$20+IF(parametros_manuales!$H$36="Todos",datos_base!$H$25,0))*parametros_manuales!$I$14+parametros_manuales!$G$36*(datos_base!$H$5+IF(parametros_manuales!$H$36="Todos",datos_base!$H$12,0))*parametros_manuales!$I$110+parametros_manuales!$G$36*(datos_base!$H$21+IF(parametros_manuales!$H$36="Todos",datos_base!$H$26,0))*parametros_manuales!$I$15)*parametros_manuales!$I$36*parametros_manuales!$J$36</f>
        <v>743.723253306</v>
      </c>
      <c r="J181" s="9" t="n">
        <f aca="false">(parametros_manuales!$D$36*(datos_base!$H$2+IF(parametros_manuales!$H$36="Todos",datos_base!$H$9,0))*parametros_manuales!$J$95+parametros_manuales!$D$36*(datos_base!$H$18+IF(parametros_manuales!$H$36="Todos",datos_base!$H$23,0))*parametros_manuales!$J$12+parametros_manuales!$E$36*(datos_base!$H$3+IF(parametros_manuales!$H$36="Todos",datos_base!$H$10,0))*parametros_manuales!$J$100+parametros_manuales!$E$36*(datos_base!$H$19+IF(parametros_manuales!$H$36="Todos",datos_base!$H$24,0))*parametros_manuales!$J$13+parametros_manuales!$F$36*(datos_base!$H$4+IF(parametros_manuales!$H$36="Todos",datos_base!$H$11,0))*parametros_manuales!$J$105+parametros_manuales!$F$36*(datos_base!$H$20+IF(parametros_manuales!$H$36="Todos",datos_base!$H$25,0))*parametros_manuales!$J$14+parametros_manuales!$G$36*(datos_base!$H$5+IF(parametros_manuales!$H$36="Todos",datos_base!$H$12,0))*parametros_manuales!$J$110+parametros_manuales!$G$36*(datos_base!$H$21+IF(parametros_manuales!$H$36="Todos",datos_base!$H$26,0))*parametros_manuales!$J$15)*parametros_manuales!$I$36*parametros_manuales!$J$36</f>
        <v>743.723253306</v>
      </c>
      <c r="K181" s="9" t="n">
        <f aca="false">(parametros_manuales!$D$36*(datos_base!$H$2+IF(parametros_manuales!$H$36="Todos",datos_base!$H$9,0))*parametros_manuales!$K$95+parametros_manuales!$D$36*(datos_base!$H$18+IF(parametros_manuales!$H$36="Todos",datos_base!$H$23,0))*parametros_manuales!$K$12+parametros_manuales!$E$36*(datos_base!$H$3+IF(parametros_manuales!$H$36="Todos",datos_base!$H$10,0))*parametros_manuales!$K$100+parametros_manuales!$E$36*(datos_base!$H$19+IF(parametros_manuales!$H$36="Todos",datos_base!$H$24,0))*parametros_manuales!$K$13+parametros_manuales!$F$36*(datos_base!$H$4+IF(parametros_manuales!$H$36="Todos",datos_base!$H$11,0))*parametros_manuales!$K$105+parametros_manuales!$F$36*(datos_base!$H$20+IF(parametros_manuales!$H$36="Todos",datos_base!$H$25,0))*parametros_manuales!$K$14+parametros_manuales!$G$36*(datos_base!$H$5+IF(parametros_manuales!$H$36="Todos",datos_base!$H$12,0))*parametros_manuales!$K$110+parametros_manuales!$G$36*(datos_base!$H$21+IF(parametros_manuales!$H$36="Todos",datos_base!$H$26,0))*parametros_manuales!$K$15)*parametros_manuales!$I$36*parametros_manuales!$J$36</f>
        <v>755.87324228325</v>
      </c>
      <c r="L181" s="9" t="n">
        <f aca="false">(parametros_manuales!$D$36*(datos_base!$H$2+IF(parametros_manuales!$H$36="Todos",datos_base!$H$9,0))*parametros_manuales!$L$95+parametros_manuales!$D$36*(datos_base!$H$18+IF(parametros_manuales!$H$36="Todos",datos_base!$H$23,0))*parametros_manuales!$L$12+parametros_manuales!$E$36*(datos_base!$H$3+IF(parametros_manuales!$H$36="Todos",datos_base!$H$10,0))*parametros_manuales!$L$100+parametros_manuales!$E$36*(datos_base!$H$19+IF(parametros_manuales!$H$36="Todos",datos_base!$H$24,0))*parametros_manuales!$L$13+parametros_manuales!$F$36*(datos_base!$H$4+IF(parametros_manuales!$H$36="Todos",datos_base!$H$11,0))*parametros_manuales!$L$105+parametros_manuales!$F$36*(datos_base!$H$20+IF(parametros_manuales!$H$36="Todos",datos_base!$H$25,0))*parametros_manuales!$L$14+parametros_manuales!$G$36*(datos_base!$H$5+IF(parametros_manuales!$H$36="Todos",datos_base!$H$12,0))*parametros_manuales!$L$110+parametros_manuales!$G$36*(datos_base!$H$21+IF(parametros_manuales!$H$36="Todos",datos_base!$H$26,0))*parametros_manuales!$L$15)*parametros_manuales!$I$36*parametros_manuales!$J$36</f>
        <v>768.0232312605</v>
      </c>
      <c r="M181" s="9" t="n">
        <f aca="false">(parametros_manuales!$D$36*(datos_base!$H$2+IF(parametros_manuales!$H$36="Todos",datos_base!$H$9,0))*parametros_manuales!$M$95+parametros_manuales!$D$36*(datos_base!$H$18+IF(parametros_manuales!$H$36="Todos",datos_base!$H$23,0))*parametros_manuales!$M$12+parametros_manuales!$E$36*(datos_base!$H$3+IF(parametros_manuales!$H$36="Todos",datos_base!$H$10,0))*parametros_manuales!$M$100+parametros_manuales!$E$36*(datos_base!$H$19+IF(parametros_manuales!$H$36="Todos",datos_base!$H$24,0))*parametros_manuales!$M$13+parametros_manuales!$F$36*(datos_base!$H$4+IF(parametros_manuales!$H$36="Todos",datos_base!$H$11,0))*parametros_manuales!$M$105+parametros_manuales!$F$36*(datos_base!$H$20+IF(parametros_manuales!$H$36="Todos",datos_base!$H$25,0))*parametros_manuales!$M$14+parametros_manuales!$G$36*(datos_base!$H$5+IF(parametros_manuales!$H$36="Todos",datos_base!$H$12,0))*parametros_manuales!$M$110+parametros_manuales!$G$36*(datos_base!$H$21+IF(parametros_manuales!$H$36="Todos",datos_base!$H$26,0))*parametros_manuales!$M$15)*parametros_manuales!$I$36*parametros_manuales!$J$36</f>
        <v>768.4717912605</v>
      </c>
      <c r="N181" s="9" t="n">
        <f aca="false">SUM(B181:M181)</f>
        <v>8536.08345845</v>
      </c>
      <c r="O181" s="9" t="n">
        <f aca="false">MAX(B181:M181)</f>
        <v>768.4717912605</v>
      </c>
      <c r="P181" s="44" t="n">
        <f aca="false">O181/(parametros_manuales!$B$7)</f>
        <v>5.12314527507</v>
      </c>
      <c r="Q181" s="8" t="str">
        <f aca="false">IF(O181=0,"-",INDEX($B$163:$M$163,MATCH(O181,B181:M181,0)))</f>
        <v>Dic</v>
      </c>
    </row>
    <row r="182" customFormat="false" ht="14.25" hidden="false" customHeight="true" outlineLevel="0" collapsed="false">
      <c r="A182" s="8" t="str">
        <f aca="false">parametros_manuales!$B$37</f>
        <v>Pintura en polvo + horno</v>
      </c>
      <c r="B182" s="9" t="n">
        <f aca="false">(parametros_manuales!$D$37*(datos_base!$H$2+IF(parametros_manuales!$H$37="Todos",datos_base!$H$9,0))*parametros_manuales!$B$95+parametros_manuales!$D$37*(datos_base!$H$18+IF(parametros_manuales!$H$37="Todos",datos_base!$H$23,0))*parametros_manuales!$B$12+parametros_manuales!$E$37*(datos_base!$H$3+IF(parametros_manuales!$H$37="Todos",datos_base!$H$10,0))*parametros_manuales!$B$100+parametros_manuales!$E$37*(datos_base!$H$19+IF(parametros_manuales!$H$37="Todos",datos_base!$H$24,0))*parametros_manuales!$B$13+parametros_manuales!$F$37*(datos_base!$H$4+IF(parametros_manuales!$H$37="Todos",datos_base!$H$11,0))*parametros_manuales!$B$105+parametros_manuales!$F$37*(datos_base!$H$20+IF(parametros_manuales!$H$37="Todos",datos_base!$H$25,0))*parametros_manuales!$B$14+parametros_manuales!$G$37*(datos_base!$H$5+IF(parametros_manuales!$H$37="Todos",datos_base!$H$12,0))*parametros_manuales!$B$110+parametros_manuales!$G$37*(datos_base!$H$21+IF(parametros_manuales!$H$37="Todos",datos_base!$H$26,0))*parametros_manuales!$B$15)*parametros_manuales!$I$37*parametros_manuales!$J$37</f>
        <v>15367.19302521</v>
      </c>
      <c r="C182" s="9" t="n">
        <f aca="false">(parametros_manuales!$D$37*(datos_base!$H$2+IF(parametros_manuales!$H$37="Todos",datos_base!$H$9,0))*parametros_manuales!$C$95+parametros_manuales!$D$37*(datos_base!$H$18+IF(parametros_manuales!$H$37="Todos",datos_base!$H$23,0))*parametros_manuales!$C$12+parametros_manuales!$E$37*(datos_base!$H$3+IF(parametros_manuales!$H$37="Todos",datos_base!$H$10,0))*parametros_manuales!$C$100+parametros_manuales!$E$37*(datos_base!$H$19+IF(parametros_manuales!$H$37="Todos",datos_base!$H$24,0))*parametros_manuales!$C$13+parametros_manuales!$F$37*(datos_base!$H$4+IF(parametros_manuales!$H$37="Todos",datos_base!$H$11,0))*parametros_manuales!$C$105+parametros_manuales!$F$37*(datos_base!$H$20+IF(parametros_manuales!$H$37="Todos",datos_base!$H$25,0))*parametros_manuales!$C$14+parametros_manuales!$G$37*(datos_base!$H$5+IF(parametros_manuales!$H$37="Todos",datos_base!$H$12,0))*parametros_manuales!$C$110+parametros_manuales!$G$37*(datos_base!$H$21+IF(parametros_manuales!$H$37="Todos",datos_base!$H$26,0))*parametros_manuales!$C$15)*parametros_manuales!$I$37*parametros_manuales!$J$37</f>
        <v>14874.46506612</v>
      </c>
      <c r="D182" s="9" t="n">
        <f aca="false">(parametros_manuales!$D$37*(datos_base!$H$2+IF(parametros_manuales!$H$37="Todos",datos_base!$H$9,0))*parametros_manuales!$D$95+parametros_manuales!$D$37*(datos_base!$H$18+IF(parametros_manuales!$H$37="Todos",datos_base!$H$23,0))*parametros_manuales!$D$12+parametros_manuales!$E$37*(datos_base!$H$3+IF(parametros_manuales!$H$37="Todos",datos_base!$H$10,0))*parametros_manuales!$D$100+parametros_manuales!$E$37*(datos_base!$H$19+IF(parametros_manuales!$H$37="Todos",datos_base!$H$24,0))*parametros_manuales!$D$13+parametros_manuales!$F$37*(datos_base!$H$4+IF(parametros_manuales!$H$37="Todos",datos_base!$H$11,0))*parametros_manuales!$D$105+parametros_manuales!$F$37*(datos_base!$H$20+IF(parametros_manuales!$H$37="Todos",datos_base!$H$25,0))*parametros_manuales!$D$14+parametros_manuales!$G$37*(datos_base!$H$5+IF(parametros_manuales!$H$37="Todos",datos_base!$H$12,0))*parametros_manuales!$D$110+parametros_manuales!$G$37*(datos_base!$H$21+IF(parametros_manuales!$H$37="Todos",datos_base!$H$26,0))*parametros_manuales!$D$15)*parametros_manuales!$I$37*parametros_manuales!$J$37</f>
        <v>13902.976113065</v>
      </c>
      <c r="E182" s="9" t="n">
        <f aca="false">(parametros_manuales!$D$37*(datos_base!$H$2+IF(parametros_manuales!$H$37="Todos",datos_base!$H$9,0))*parametros_manuales!$E$95+parametros_manuales!$D$37*(datos_base!$H$18+IF(parametros_manuales!$H$37="Todos",datos_base!$H$23,0))*parametros_manuales!$E$12+parametros_manuales!$E$37*(datos_base!$H$3+IF(parametros_manuales!$H$37="Todos",datos_base!$H$10,0))*parametros_manuales!$E$100+parametros_manuales!$E$37*(datos_base!$H$19+IF(parametros_manuales!$H$37="Todos",datos_base!$H$24,0))*parametros_manuales!$E$13+parametros_manuales!$F$37*(datos_base!$H$4+IF(parametros_manuales!$H$37="Todos",datos_base!$H$11,0))*parametros_manuales!$E$105+parametros_manuales!$F$37*(datos_base!$H$20+IF(parametros_manuales!$H$37="Todos",datos_base!$H$25,0))*parametros_manuales!$E$14+parametros_manuales!$G$37*(datos_base!$H$5+IF(parametros_manuales!$H$37="Todos",datos_base!$H$12,0))*parametros_manuales!$E$110+parametros_manuales!$G$37*(datos_base!$H$21+IF(parametros_manuales!$H$37="Todos",datos_base!$H$26,0))*parametros_manuales!$E$15)*parametros_manuales!$I$37*parametros_manuales!$J$37</f>
        <v>13294.610346765</v>
      </c>
      <c r="F182" s="9" t="n">
        <f aca="false">(parametros_manuales!$D$37*(datos_base!$H$2+IF(parametros_manuales!$H$37="Todos",datos_base!$H$9,0))*parametros_manuales!$F$95+parametros_manuales!$D$37*(datos_base!$H$18+IF(parametros_manuales!$H$37="Todos",datos_base!$H$23,0))*parametros_manuales!$F$12+parametros_manuales!$E$37*(datos_base!$H$3+IF(parametros_manuales!$H$37="Todos",datos_base!$H$10,0))*parametros_manuales!$F$100+parametros_manuales!$E$37*(datos_base!$H$19+IF(parametros_manuales!$H$37="Todos",datos_base!$H$24,0))*parametros_manuales!$F$13+parametros_manuales!$F$37*(datos_base!$H$4+IF(parametros_manuales!$H$37="Todos",datos_base!$H$11,0))*parametros_manuales!$F$105+parametros_manuales!$F$37*(datos_base!$H$20+IF(parametros_manuales!$H$37="Todos",datos_base!$H$25,0))*parametros_manuales!$F$14+parametros_manuales!$G$37*(datos_base!$H$5+IF(parametros_manuales!$H$37="Todos",datos_base!$H$12,0))*parametros_manuales!$F$110+parametros_manuales!$G$37*(datos_base!$H$21+IF(parametros_manuales!$H$37="Todos",datos_base!$H$26,0))*parametros_manuales!$F$15)*parametros_manuales!$I$37*parametros_manuales!$J$37</f>
        <v>12441.00200092</v>
      </c>
      <c r="G182" s="9" t="n">
        <f aca="false">(parametros_manuales!$D$37*(datos_base!$H$2+IF(parametros_manuales!$H$37="Todos",datos_base!$H$9,0))*parametros_manuales!$G$95+parametros_manuales!$D$37*(datos_base!$H$18+IF(parametros_manuales!$H$37="Todos",datos_base!$H$23,0))*parametros_manuales!$G$12+parametros_manuales!$E$37*(datos_base!$H$3+IF(parametros_manuales!$H$37="Todos",datos_base!$H$10,0))*parametros_manuales!$G$100+parametros_manuales!$E$37*(datos_base!$H$19+IF(parametros_manuales!$H$37="Todos",datos_base!$H$24,0))*parametros_manuales!$G$13+parametros_manuales!$F$37*(datos_base!$H$4+IF(parametros_manuales!$H$37="Todos",datos_base!$H$11,0))*parametros_manuales!$G$105+parametros_manuales!$F$37*(datos_base!$H$20+IF(parametros_manuales!$H$37="Todos",datos_base!$H$25,0))*parametros_manuales!$G$14+parametros_manuales!$G$37*(datos_base!$H$5+IF(parametros_manuales!$H$37="Todos",datos_base!$H$12,0))*parametros_manuales!$G$110+parametros_manuales!$G$37*(datos_base!$H$21+IF(parametros_manuales!$H$37="Todos",datos_base!$H$26,0))*parametros_manuales!$G$15)*parametros_manuales!$I$37*parametros_manuales!$J$37</f>
        <v>12195.759421375</v>
      </c>
      <c r="H182" s="9" t="n">
        <f aca="false">(parametros_manuales!$D$37*(datos_base!$H$2+IF(parametros_manuales!$H$37="Todos",datos_base!$H$9,0))*parametros_manuales!$H$95+parametros_manuales!$D$37*(datos_base!$H$18+IF(parametros_manuales!$H$37="Todos",datos_base!$H$23,0))*parametros_manuales!$H$12+parametros_manuales!$E$37*(datos_base!$H$3+IF(parametros_manuales!$H$37="Todos",datos_base!$H$10,0))*parametros_manuales!$H$100+parametros_manuales!$E$37*(datos_base!$H$19+IF(parametros_manuales!$H$37="Todos",datos_base!$H$24,0))*parametros_manuales!$H$13+parametros_manuales!$F$37*(datos_base!$H$4+IF(parametros_manuales!$H$37="Todos",datos_base!$H$11,0))*parametros_manuales!$H$105+parametros_manuales!$F$37*(datos_base!$H$20+IF(parametros_manuales!$H$37="Todos",datos_base!$H$25,0))*parametros_manuales!$H$14+parametros_manuales!$G$37*(datos_base!$H$5+IF(parametros_manuales!$H$37="Todos",datos_base!$H$12,0))*parametros_manuales!$H$110+parametros_manuales!$G$37*(datos_base!$H$21+IF(parametros_manuales!$H$37="Todos",datos_base!$H$26,0))*parametros_manuales!$H$15)*parametros_manuales!$I$37*parametros_manuales!$J$37</f>
        <v>13049.36776722</v>
      </c>
      <c r="I182" s="9" t="n">
        <f aca="false">(parametros_manuales!$D$37*(datos_base!$H$2+IF(parametros_manuales!$H$37="Todos",datos_base!$H$9,0))*parametros_manuales!$I$95+parametros_manuales!$D$37*(datos_base!$H$18+IF(parametros_manuales!$H$37="Todos",datos_base!$H$23,0))*parametros_manuales!$I$12+parametros_manuales!$E$37*(datos_base!$H$3+IF(parametros_manuales!$H$37="Todos",datos_base!$H$10,0))*parametros_manuales!$I$100+parametros_manuales!$E$37*(datos_base!$H$19+IF(parametros_manuales!$H$37="Todos",datos_base!$H$24,0))*parametros_manuales!$I$13+parametros_manuales!$F$37*(datos_base!$H$4+IF(parametros_manuales!$H$37="Todos",datos_base!$H$11,0))*parametros_manuales!$I$105+parametros_manuales!$F$37*(datos_base!$H$20+IF(parametros_manuales!$H$37="Todos",datos_base!$H$25,0))*parametros_manuales!$I$14+parametros_manuales!$G$37*(datos_base!$H$5+IF(parametros_manuales!$H$37="Todos",datos_base!$H$12,0))*parametros_manuales!$I$110+parametros_manuales!$G$37*(datos_base!$H$21+IF(parametros_manuales!$H$37="Todos",datos_base!$H$26,0))*parametros_manuales!$I$15)*parametros_manuales!$I$37*parametros_manuales!$J$37</f>
        <v>14874.46506612</v>
      </c>
      <c r="J182" s="9" t="n">
        <f aca="false">(parametros_manuales!$D$37*(datos_base!$H$2+IF(parametros_manuales!$H$37="Todos",datos_base!$H$9,0))*parametros_manuales!$J$95+parametros_manuales!$D$37*(datos_base!$H$18+IF(parametros_manuales!$H$37="Todos",datos_base!$H$23,0))*parametros_manuales!$J$12+parametros_manuales!$E$37*(datos_base!$H$3+IF(parametros_manuales!$H$37="Todos",datos_base!$H$10,0))*parametros_manuales!$J$100+parametros_manuales!$E$37*(datos_base!$H$19+IF(parametros_manuales!$H$37="Todos",datos_base!$H$24,0))*parametros_manuales!$J$13+parametros_manuales!$F$37*(datos_base!$H$4+IF(parametros_manuales!$H$37="Todos",datos_base!$H$11,0))*parametros_manuales!$J$105+parametros_manuales!$F$37*(datos_base!$H$20+IF(parametros_manuales!$H$37="Todos",datos_base!$H$25,0))*parametros_manuales!$J$14+parametros_manuales!$G$37*(datos_base!$H$5+IF(parametros_manuales!$H$37="Todos",datos_base!$H$12,0))*parametros_manuales!$J$110+parametros_manuales!$G$37*(datos_base!$H$21+IF(parametros_manuales!$H$37="Todos",datos_base!$H$26,0))*parametros_manuales!$J$15)*parametros_manuales!$I$37*parametros_manuales!$J$37</f>
        <v>14874.46506612</v>
      </c>
      <c r="K182" s="9" t="n">
        <f aca="false">(parametros_manuales!$D$37*(datos_base!$H$2+IF(parametros_manuales!$H$37="Todos",datos_base!$H$9,0))*parametros_manuales!$K$95+parametros_manuales!$D$37*(datos_base!$H$18+IF(parametros_manuales!$H$37="Todos",datos_base!$H$23,0))*parametros_manuales!$K$12+parametros_manuales!$E$37*(datos_base!$H$3+IF(parametros_manuales!$H$37="Todos",datos_base!$H$10,0))*parametros_manuales!$K$100+parametros_manuales!$E$37*(datos_base!$H$19+IF(parametros_manuales!$H$37="Todos",datos_base!$H$24,0))*parametros_manuales!$K$13+parametros_manuales!$F$37*(datos_base!$H$4+IF(parametros_manuales!$H$37="Todos",datos_base!$H$11,0))*parametros_manuales!$K$105+parametros_manuales!$F$37*(datos_base!$H$20+IF(parametros_manuales!$H$37="Todos",datos_base!$H$25,0))*parametros_manuales!$K$14+parametros_manuales!$G$37*(datos_base!$H$5+IF(parametros_manuales!$H$37="Todos",datos_base!$H$12,0))*parametros_manuales!$K$110+parametros_manuales!$G$37*(datos_base!$H$21+IF(parametros_manuales!$H$37="Todos",datos_base!$H$26,0))*parametros_manuales!$K$15)*parametros_manuales!$I$37*parametros_manuales!$J$37</f>
        <v>15117.464845665</v>
      </c>
      <c r="L182" s="9" t="n">
        <f aca="false">(parametros_manuales!$D$37*(datos_base!$H$2+IF(parametros_manuales!$H$37="Todos",datos_base!$H$9,0))*parametros_manuales!$L$95+parametros_manuales!$D$37*(datos_base!$H$18+IF(parametros_manuales!$H$37="Todos",datos_base!$H$23,0))*parametros_manuales!$L$12+parametros_manuales!$E$37*(datos_base!$H$3+IF(parametros_manuales!$H$37="Todos",datos_base!$H$10,0))*parametros_manuales!$L$100+parametros_manuales!$E$37*(datos_base!$H$19+IF(parametros_manuales!$H$37="Todos",datos_base!$H$24,0))*parametros_manuales!$L$13+parametros_manuales!$F$37*(datos_base!$H$4+IF(parametros_manuales!$H$37="Todos",datos_base!$H$11,0))*parametros_manuales!$L$105+parametros_manuales!$F$37*(datos_base!$H$20+IF(parametros_manuales!$H$37="Todos",datos_base!$H$25,0))*parametros_manuales!$L$14+parametros_manuales!$G$37*(datos_base!$H$5+IF(parametros_manuales!$H$37="Todos",datos_base!$H$12,0))*parametros_manuales!$L$110+parametros_manuales!$G$37*(datos_base!$H$21+IF(parametros_manuales!$H$37="Todos",datos_base!$H$26,0))*parametros_manuales!$L$15)*parametros_manuales!$I$37*parametros_manuales!$J$37</f>
        <v>15360.46462521</v>
      </c>
      <c r="M182" s="9" t="n">
        <f aca="false">(parametros_manuales!$D$37*(datos_base!$H$2+IF(parametros_manuales!$H$37="Todos",datos_base!$H$9,0))*parametros_manuales!$M$95+parametros_manuales!$D$37*(datos_base!$H$18+IF(parametros_manuales!$H$37="Todos",datos_base!$H$23,0))*parametros_manuales!$M$12+parametros_manuales!$E$37*(datos_base!$H$3+IF(parametros_manuales!$H$37="Todos",datos_base!$H$10,0))*parametros_manuales!$M$100+parametros_manuales!$E$37*(datos_base!$H$19+IF(parametros_manuales!$H$37="Todos",datos_base!$H$24,0))*parametros_manuales!$M$13+parametros_manuales!$F$37*(datos_base!$H$4+IF(parametros_manuales!$H$37="Todos",datos_base!$H$11,0))*parametros_manuales!$M$105+parametros_manuales!$F$37*(datos_base!$H$20+IF(parametros_manuales!$H$37="Todos",datos_base!$H$25,0))*parametros_manuales!$M$14+parametros_manuales!$G$37*(datos_base!$H$5+IF(parametros_manuales!$H$37="Todos",datos_base!$H$12,0))*parametros_manuales!$M$110+parametros_manuales!$G$37*(datos_base!$H$21+IF(parametros_manuales!$H$37="Todos",datos_base!$H$26,0))*parametros_manuales!$M$15)*parametros_manuales!$I$37*parametros_manuales!$J$37</f>
        <v>15369.43582521</v>
      </c>
      <c r="N182" s="9" t="n">
        <f aca="false">SUM(B182:M182)</f>
        <v>170721.669169</v>
      </c>
      <c r="O182" s="9" t="n">
        <f aca="false">MAX(B182:M182)</f>
        <v>15369.43582521</v>
      </c>
      <c r="P182" s="44" t="n">
        <f aca="false">O182/(parametros_manuales!$B$7)</f>
        <v>102.4629055014</v>
      </c>
      <c r="Q182" s="8" t="str">
        <f aca="false">IF(O182=0,"-",INDEX($B$163:$M$163,MATCH(O182,B182:M182,0)))</f>
        <v>Dic</v>
      </c>
    </row>
    <row r="183" customFormat="false" ht="14.25" hidden="false" customHeight="true" outlineLevel="0" collapsed="false">
      <c r="A183" s="8" t="str">
        <f aca="false">parametros_manuales!$B$38</f>
        <v>Carga de polvo</v>
      </c>
      <c r="B183" s="9" t="n">
        <f aca="false">(parametros_manuales!$D$38*(datos_base!$H$2+IF(parametros_manuales!$H$38="Todos",datos_base!$H$9,0))*parametros_manuales!$B$95+parametros_manuales!$D$38*(datos_base!$H$18+IF(parametros_manuales!$H$38="Todos",datos_base!$H$23,0))*parametros_manuales!$B$12+parametros_manuales!$E$38*(datos_base!$H$3+IF(parametros_manuales!$H$38="Todos",datos_base!$H$10,0))*parametros_manuales!$B$100+parametros_manuales!$E$38*(datos_base!$H$19+IF(parametros_manuales!$H$38="Todos",datos_base!$H$24,0))*parametros_manuales!$B$13+parametros_manuales!$F$38*(datos_base!$H$4+IF(parametros_manuales!$H$38="Todos",datos_base!$H$11,0))*parametros_manuales!$B$105+parametros_manuales!$F$38*(datos_base!$H$20+IF(parametros_manuales!$H$38="Todos",datos_base!$H$25,0))*parametros_manuales!$B$14+parametros_manuales!$G$38*(datos_base!$H$5+IF(parametros_manuales!$H$38="Todos",datos_base!$H$12,0))*parametros_manuales!$B$110+parametros_manuales!$G$38*(datos_base!$H$21+IF(parametros_manuales!$H$38="Todos",datos_base!$H$26,0))*parametros_manuales!$B$15)*parametros_manuales!$I$38*parametros_manuales!$J$38</f>
        <v>4007.30502521</v>
      </c>
      <c r="C183" s="9" t="n">
        <f aca="false">(parametros_manuales!$D$38*(datos_base!$H$2+IF(parametros_manuales!$H$38="Todos",datos_base!$H$9,0))*parametros_manuales!$C$95+parametros_manuales!$D$38*(datos_base!$H$18+IF(parametros_manuales!$H$38="Todos",datos_base!$H$23,0))*parametros_manuales!$C$12+parametros_manuales!$E$38*(datos_base!$H$3+IF(parametros_manuales!$H$38="Todos",datos_base!$H$10,0))*parametros_manuales!$C$100+parametros_manuales!$E$38*(datos_base!$H$19+IF(parametros_manuales!$H$38="Todos",datos_base!$H$24,0))*parametros_manuales!$C$13+parametros_manuales!$F$38*(datos_base!$H$4+IF(parametros_manuales!$H$38="Todos",datos_base!$H$11,0))*parametros_manuales!$C$105+parametros_manuales!$F$38*(datos_base!$H$20+IF(parametros_manuales!$H$38="Todos",datos_base!$H$25,0))*parametros_manuales!$C$14+parametros_manuales!$G$38*(datos_base!$H$5+IF(parametros_manuales!$H$38="Todos",datos_base!$H$12,0))*parametros_manuales!$C$110+parametros_manuales!$G$38*(datos_base!$H$21+IF(parametros_manuales!$H$38="Todos",datos_base!$H$26,0))*parametros_manuales!$C$15)*parametros_manuales!$I$38*parametros_manuales!$J$38</f>
        <v>3764.68786612</v>
      </c>
      <c r="D183" s="9" t="n">
        <f aca="false">(parametros_manuales!$D$38*(datos_base!$H$2+IF(parametros_manuales!$H$38="Todos",datos_base!$H$9,0))*parametros_manuales!$D$95+parametros_manuales!$D$38*(datos_base!$H$18+IF(parametros_manuales!$H$38="Todos",datos_base!$H$23,0))*parametros_manuales!$D$12+parametros_manuales!$E$38*(datos_base!$H$3+IF(parametros_manuales!$H$38="Todos",datos_base!$H$10,0))*parametros_manuales!$D$100+parametros_manuales!$E$38*(datos_base!$H$19+IF(parametros_manuales!$H$38="Todos",datos_base!$H$24,0))*parametros_manuales!$D$13+parametros_manuales!$F$38*(datos_base!$H$4+IF(parametros_manuales!$H$38="Todos",datos_base!$H$11,0))*parametros_manuales!$D$105+parametros_manuales!$F$38*(datos_base!$H$20+IF(parametros_manuales!$H$38="Todos",datos_base!$H$25,0))*parametros_manuales!$D$14+parametros_manuales!$G$38*(datos_base!$H$5+IF(parametros_manuales!$H$38="Todos",datos_base!$H$12,0))*parametros_manuales!$D$110+parametros_manuales!$G$38*(datos_base!$H$21+IF(parametros_manuales!$H$38="Todos",datos_base!$H$26,0))*parametros_manuales!$D$15)*parametros_manuales!$I$38*parametros_manuales!$J$38</f>
        <v>3682.284713065</v>
      </c>
      <c r="E183" s="9" t="n">
        <f aca="false">(parametros_manuales!$D$38*(datos_base!$H$2+IF(parametros_manuales!$H$38="Todos",datos_base!$H$9,0))*parametros_manuales!$E$95+parametros_manuales!$D$38*(datos_base!$H$18+IF(parametros_manuales!$H$38="Todos",datos_base!$H$23,0))*parametros_manuales!$E$12+parametros_manuales!$E$38*(datos_base!$H$3+IF(parametros_manuales!$H$38="Todos",datos_base!$H$10,0))*parametros_manuales!$E$100+parametros_manuales!$E$38*(datos_base!$H$19+IF(parametros_manuales!$H$38="Todos",datos_base!$H$24,0))*parametros_manuales!$E$13+parametros_manuales!$F$38*(datos_base!$H$4+IF(parametros_manuales!$H$38="Todos",datos_base!$H$11,0))*parametros_manuales!$E$105+parametros_manuales!$F$38*(datos_base!$H$20+IF(parametros_manuales!$H$38="Todos",datos_base!$H$25,0))*parametros_manuales!$E$14+parametros_manuales!$G$38*(datos_base!$H$5+IF(parametros_manuales!$H$38="Todos",datos_base!$H$12,0))*parametros_manuales!$E$110+parametros_manuales!$G$38*(datos_base!$H$21+IF(parametros_manuales!$H$38="Todos",datos_base!$H$26,0))*parametros_manuales!$E$15)*parametros_manuales!$I$38*parametros_manuales!$J$38</f>
        <v>3580.621946765</v>
      </c>
      <c r="F183" s="9" t="n">
        <f aca="false">(parametros_manuales!$D$38*(datos_base!$H$2+IF(parametros_manuales!$H$38="Todos",datos_base!$H$9,0))*parametros_manuales!$F$95+parametros_manuales!$D$38*(datos_base!$H$18+IF(parametros_manuales!$H$38="Todos",datos_base!$H$23,0))*parametros_manuales!$F$12+parametros_manuales!$E$38*(datos_base!$H$3+IF(parametros_manuales!$H$38="Todos",datos_base!$H$10,0))*parametros_manuales!$F$100+parametros_manuales!$E$38*(datos_base!$H$19+IF(parametros_manuales!$H$38="Todos",datos_base!$H$24,0))*parametros_manuales!$F$13+parametros_manuales!$F$38*(datos_base!$H$4+IF(parametros_manuales!$H$38="Todos",datos_base!$H$11,0))*parametros_manuales!$F$105+parametros_manuales!$F$38*(datos_base!$H$20+IF(parametros_manuales!$H$38="Todos",datos_base!$H$25,0))*parametros_manuales!$F$14+parametros_manuales!$G$38*(datos_base!$H$5+IF(parametros_manuales!$H$38="Todos",datos_base!$H$12,0))*parametros_manuales!$F$110+parametros_manuales!$G$38*(datos_base!$H$21+IF(parametros_manuales!$H$38="Todos",datos_base!$H$26,0))*parametros_manuales!$F$15)*parametros_manuales!$I$38*parametros_manuales!$J$38</f>
        <v>3358.03680092</v>
      </c>
      <c r="G183" s="9" t="n">
        <f aca="false">(parametros_manuales!$D$38*(datos_base!$H$2+IF(parametros_manuales!$H$38="Todos",datos_base!$H$9,0))*parametros_manuales!$G$95+parametros_manuales!$D$38*(datos_base!$H$18+IF(parametros_manuales!$H$38="Todos",datos_base!$H$23,0))*parametros_manuales!$G$12+parametros_manuales!$E$38*(datos_base!$H$3+IF(parametros_manuales!$H$38="Todos",datos_base!$H$10,0))*parametros_manuales!$G$100+parametros_manuales!$E$38*(datos_base!$H$19+IF(parametros_manuales!$H$38="Todos",datos_base!$H$24,0))*parametros_manuales!$G$13+parametros_manuales!$F$38*(datos_base!$H$4+IF(parametros_manuales!$H$38="Todos",datos_base!$H$11,0))*parametros_manuales!$G$105+parametros_manuales!$F$38*(datos_base!$H$20+IF(parametros_manuales!$H$38="Todos",datos_base!$H$25,0))*parametros_manuales!$G$14+parametros_manuales!$G$38*(datos_base!$H$5+IF(parametros_manuales!$H$38="Todos",datos_base!$H$12,0))*parametros_manuales!$G$110+parametros_manuales!$G$38*(datos_base!$H$21+IF(parametros_manuales!$H$38="Todos",datos_base!$H$26,0))*parametros_manuales!$G$15)*parametros_manuales!$I$38*parametros_manuales!$J$38</f>
        <v>3237.114421375</v>
      </c>
      <c r="H183" s="9" t="n">
        <f aca="false">(parametros_manuales!$D$38*(datos_base!$H$2+IF(parametros_manuales!$H$38="Todos",datos_base!$H$9,0))*parametros_manuales!$H$95+parametros_manuales!$D$38*(datos_base!$H$18+IF(parametros_manuales!$H$38="Todos",datos_base!$H$23,0))*parametros_manuales!$H$12+parametros_manuales!$E$38*(datos_base!$H$3+IF(parametros_manuales!$H$38="Todos",datos_base!$H$10,0))*parametros_manuales!$H$100+parametros_manuales!$E$38*(datos_base!$H$19+IF(parametros_manuales!$H$38="Todos",datos_base!$H$24,0))*parametros_manuales!$H$13+parametros_manuales!$F$38*(datos_base!$H$4+IF(parametros_manuales!$H$38="Todos",datos_base!$H$11,0))*parametros_manuales!$H$105+parametros_manuales!$F$38*(datos_base!$H$20+IF(parametros_manuales!$H$38="Todos",datos_base!$H$25,0))*parametros_manuales!$H$14+parametros_manuales!$G$38*(datos_base!$H$5+IF(parametros_manuales!$H$38="Todos",datos_base!$H$12,0))*parametros_manuales!$H$110+parametros_manuales!$G$38*(datos_base!$H$21+IF(parametros_manuales!$H$38="Todos",datos_base!$H$26,0))*parametros_manuales!$H$15)*parametros_manuales!$I$38*parametros_manuales!$J$38</f>
        <v>3459.69956722</v>
      </c>
      <c r="I183" s="9" t="n">
        <f aca="false">(parametros_manuales!$D$38*(datos_base!$H$2+IF(parametros_manuales!$H$38="Todos",datos_base!$H$9,0))*parametros_manuales!$I$95+parametros_manuales!$D$38*(datos_base!$H$18+IF(parametros_manuales!$H$38="Todos",datos_base!$H$23,0))*parametros_manuales!$I$12+parametros_manuales!$E$38*(datos_base!$H$3+IF(parametros_manuales!$H$38="Todos",datos_base!$H$10,0))*parametros_manuales!$I$100+parametros_manuales!$E$38*(datos_base!$H$19+IF(parametros_manuales!$H$38="Todos",datos_base!$H$24,0))*parametros_manuales!$I$13+parametros_manuales!$F$38*(datos_base!$H$4+IF(parametros_manuales!$H$38="Todos",datos_base!$H$11,0))*parametros_manuales!$I$105+parametros_manuales!$F$38*(datos_base!$H$20+IF(parametros_manuales!$H$38="Todos",datos_base!$H$25,0))*parametros_manuales!$I$14+parametros_manuales!$G$38*(datos_base!$H$5+IF(parametros_manuales!$H$38="Todos",datos_base!$H$12,0))*parametros_manuales!$I$110+parametros_manuales!$G$38*(datos_base!$H$21+IF(parametros_manuales!$H$38="Todos",datos_base!$H$26,0))*parametros_manuales!$I$15)*parametros_manuales!$I$38*parametros_manuales!$J$38</f>
        <v>3764.68786612</v>
      </c>
      <c r="J183" s="9" t="n">
        <f aca="false">(parametros_manuales!$D$38*(datos_base!$H$2+IF(parametros_manuales!$H$38="Todos",datos_base!$H$9,0))*parametros_manuales!$J$95+parametros_manuales!$D$38*(datos_base!$H$18+IF(parametros_manuales!$H$38="Todos",datos_base!$H$23,0))*parametros_manuales!$J$12+parametros_manuales!$E$38*(datos_base!$H$3+IF(parametros_manuales!$H$38="Todos",datos_base!$H$10,0))*parametros_manuales!$J$100+parametros_manuales!$E$38*(datos_base!$H$19+IF(parametros_manuales!$H$38="Todos",datos_base!$H$24,0))*parametros_manuales!$J$13+parametros_manuales!$F$38*(datos_base!$H$4+IF(parametros_manuales!$H$38="Todos",datos_base!$H$11,0))*parametros_manuales!$J$105+parametros_manuales!$F$38*(datos_base!$H$20+IF(parametros_manuales!$H$38="Todos",datos_base!$H$25,0))*parametros_manuales!$J$14+parametros_manuales!$G$38*(datos_base!$H$5+IF(parametros_manuales!$H$38="Todos",datos_base!$H$12,0))*parametros_manuales!$J$110+parametros_manuales!$G$38*(datos_base!$H$21+IF(parametros_manuales!$H$38="Todos",datos_base!$H$26,0))*parametros_manuales!$J$15)*parametros_manuales!$I$38*parametros_manuales!$J$38</f>
        <v>3764.68786612</v>
      </c>
      <c r="K183" s="9" t="n">
        <f aca="false">(parametros_manuales!$D$38*(datos_base!$H$2+IF(parametros_manuales!$H$38="Todos",datos_base!$H$9,0))*parametros_manuales!$K$95+parametros_manuales!$D$38*(datos_base!$H$18+IF(parametros_manuales!$H$38="Todos",datos_base!$H$23,0))*parametros_manuales!$K$12+parametros_manuales!$E$38*(datos_base!$H$3+IF(parametros_manuales!$H$38="Todos",datos_base!$H$10,0))*parametros_manuales!$K$100+parametros_manuales!$E$38*(datos_base!$H$19+IF(parametros_manuales!$H$38="Todos",datos_base!$H$24,0))*parametros_manuales!$K$13+parametros_manuales!$F$38*(datos_base!$H$4+IF(parametros_manuales!$H$38="Todos",datos_base!$H$11,0))*parametros_manuales!$K$105+parametros_manuales!$F$38*(datos_base!$H$20+IF(parametros_manuales!$H$38="Todos",datos_base!$H$25,0))*parametros_manuales!$K$14+parametros_manuales!$G$38*(datos_base!$H$5+IF(parametros_manuales!$H$38="Todos",datos_base!$H$12,0))*parametros_manuales!$K$110+parametros_manuales!$G$38*(datos_base!$H$21+IF(parametros_manuales!$H$38="Todos",datos_base!$H$26,0))*parametros_manuales!$K$15)*parametros_manuales!$I$38*parametros_manuales!$J$38</f>
        <v>3884.837845665</v>
      </c>
      <c r="L183" s="9" t="n">
        <f aca="false">(parametros_manuales!$D$38*(datos_base!$H$2+IF(parametros_manuales!$H$38="Todos",datos_base!$H$9,0))*parametros_manuales!$L$95+parametros_manuales!$D$38*(datos_base!$H$18+IF(parametros_manuales!$H$38="Todos",datos_base!$H$23,0))*parametros_manuales!$L$12+parametros_manuales!$E$38*(datos_base!$H$3+IF(parametros_manuales!$H$38="Todos",datos_base!$H$10,0))*parametros_manuales!$L$100+parametros_manuales!$E$38*(datos_base!$H$19+IF(parametros_manuales!$H$38="Todos",datos_base!$H$24,0))*parametros_manuales!$L$13+parametros_manuales!$F$38*(datos_base!$H$4+IF(parametros_manuales!$H$38="Todos",datos_base!$H$11,0))*parametros_manuales!$L$105+parametros_manuales!$F$38*(datos_base!$H$20+IF(parametros_manuales!$H$38="Todos",datos_base!$H$25,0))*parametros_manuales!$L$14+parametros_manuales!$G$38*(datos_base!$H$5+IF(parametros_manuales!$H$38="Todos",datos_base!$H$12,0))*parametros_manuales!$L$110+parametros_manuales!$G$38*(datos_base!$H$21+IF(parametros_manuales!$H$38="Todos",datos_base!$H$26,0))*parametros_manuales!$L$15)*parametros_manuales!$I$38*parametros_manuales!$J$38</f>
        <v>4004.98782521</v>
      </c>
      <c r="M183" s="9" t="n">
        <f aca="false">(parametros_manuales!$D$38*(datos_base!$H$2+IF(parametros_manuales!$H$38="Todos",datos_base!$H$9,0))*parametros_manuales!$M$95+parametros_manuales!$D$38*(datos_base!$H$18+IF(parametros_manuales!$H$38="Todos",datos_base!$H$23,0))*parametros_manuales!$M$12+parametros_manuales!$E$38*(datos_base!$H$3+IF(parametros_manuales!$H$38="Todos",datos_base!$H$10,0))*parametros_manuales!$M$100+parametros_manuales!$E$38*(datos_base!$H$19+IF(parametros_manuales!$H$38="Todos",datos_base!$H$24,0))*parametros_manuales!$M$13+parametros_manuales!$F$38*(datos_base!$H$4+IF(parametros_manuales!$H$38="Todos",datos_base!$H$11,0))*parametros_manuales!$M$105+parametros_manuales!$F$38*(datos_base!$H$20+IF(parametros_manuales!$H$38="Todos",datos_base!$H$25,0))*parametros_manuales!$M$14+parametros_manuales!$G$38*(datos_base!$H$5+IF(parametros_manuales!$H$38="Todos",datos_base!$H$12,0))*parametros_manuales!$M$110+parametros_manuales!$G$38*(datos_base!$H$21+IF(parametros_manuales!$H$38="Todos",datos_base!$H$26,0))*parametros_manuales!$M$15)*parametros_manuales!$I$38*parametros_manuales!$J$38</f>
        <v>4008.07742521</v>
      </c>
      <c r="N183" s="9" t="n">
        <f aca="false">SUM(B183:M183)</f>
        <v>44517.029169</v>
      </c>
      <c r="O183" s="9" t="n">
        <f aca="false">MAX(B183:M183)</f>
        <v>4008.07742521</v>
      </c>
      <c r="P183" s="44" t="n">
        <f aca="false">O183/(parametros_manuales!$B$7)</f>
        <v>26.7205161680667</v>
      </c>
      <c r="Q183" s="8" t="str">
        <f aca="false">IF(O183=0,"-",INDEX($B$163:$M$163,MATCH(O183,B183:M183,0)))</f>
        <v>Dic</v>
      </c>
    </row>
    <row r="184" customFormat="false" ht="14.25" hidden="false" customHeight="true" outlineLevel="0" collapsed="false">
      <c r="A184" s="8" t="str">
        <f aca="false">parametros_manuales!$B$39</f>
        <v>Ensamblaje</v>
      </c>
      <c r="B184" s="9" t="n">
        <f aca="false">(parametros_manuales!$D$39*(datos_base!$H$2+IF(parametros_manuales!$H$39="Todos",datos_base!$H$9,0))*parametros_manuales!$B$95+parametros_manuales!$D$39*(datos_base!$H$18+IF(parametros_manuales!$H$39="Todos",datos_base!$H$23,0))*parametros_manuales!$B$12+parametros_manuales!$E$39*(datos_base!$H$3+IF(parametros_manuales!$H$39="Todos",datos_base!$H$10,0))*parametros_manuales!$B$100+parametros_manuales!$E$39*(datos_base!$H$19+IF(parametros_manuales!$H$39="Todos",datos_base!$H$24,0))*parametros_manuales!$B$13+parametros_manuales!$F$39*(datos_base!$H$4+IF(parametros_manuales!$H$39="Todos",datos_base!$H$11,0))*parametros_manuales!$B$105+parametros_manuales!$F$39*(datos_base!$H$20+IF(parametros_manuales!$H$39="Todos",datos_base!$H$25,0))*parametros_manuales!$B$14+parametros_manuales!$G$39*(datos_base!$H$5+IF(parametros_manuales!$H$39="Todos",datos_base!$H$12,0))*parametros_manuales!$B$110+parametros_manuales!$G$39*(datos_base!$H$21+IF(parametros_manuales!$H$39="Todos",datos_base!$H$26,0))*parametros_manuales!$B$15)*parametros_manuales!$I$39*parametros_manuales!$J$39</f>
        <v>4007.30502521</v>
      </c>
      <c r="C184" s="9" t="n">
        <f aca="false">(parametros_manuales!$D$39*(datos_base!$H$2+IF(parametros_manuales!$H$39="Todos",datos_base!$H$9,0))*parametros_manuales!$C$95+parametros_manuales!$D$39*(datos_base!$H$18+IF(parametros_manuales!$H$39="Todos",datos_base!$H$23,0))*parametros_manuales!$C$12+parametros_manuales!$E$39*(datos_base!$H$3+IF(parametros_manuales!$H$39="Todos",datos_base!$H$10,0))*parametros_manuales!$C$100+parametros_manuales!$E$39*(datos_base!$H$19+IF(parametros_manuales!$H$39="Todos",datos_base!$H$24,0))*parametros_manuales!$C$13+parametros_manuales!$F$39*(datos_base!$H$4+IF(parametros_manuales!$H$39="Todos",datos_base!$H$11,0))*parametros_manuales!$C$105+parametros_manuales!$F$39*(datos_base!$H$20+IF(parametros_manuales!$H$39="Todos",datos_base!$H$25,0))*parametros_manuales!$C$14+parametros_manuales!$G$39*(datos_base!$H$5+IF(parametros_manuales!$H$39="Todos",datos_base!$H$12,0))*parametros_manuales!$C$110+parametros_manuales!$G$39*(datos_base!$H$21+IF(parametros_manuales!$H$39="Todos",datos_base!$H$26,0))*parametros_manuales!$C$15)*parametros_manuales!$I$39*parametros_manuales!$J$39</f>
        <v>3764.68786612</v>
      </c>
      <c r="D184" s="9" t="n">
        <f aca="false">(parametros_manuales!$D$39*(datos_base!$H$2+IF(parametros_manuales!$H$39="Todos",datos_base!$H$9,0))*parametros_manuales!$D$95+parametros_manuales!$D$39*(datos_base!$H$18+IF(parametros_manuales!$H$39="Todos",datos_base!$H$23,0))*parametros_manuales!$D$12+parametros_manuales!$E$39*(datos_base!$H$3+IF(parametros_manuales!$H$39="Todos",datos_base!$H$10,0))*parametros_manuales!$D$100+parametros_manuales!$E$39*(datos_base!$H$19+IF(parametros_manuales!$H$39="Todos",datos_base!$H$24,0))*parametros_manuales!$D$13+parametros_manuales!$F$39*(datos_base!$H$4+IF(parametros_manuales!$H$39="Todos",datos_base!$H$11,0))*parametros_manuales!$D$105+parametros_manuales!$F$39*(datos_base!$H$20+IF(parametros_manuales!$H$39="Todos",datos_base!$H$25,0))*parametros_manuales!$D$14+parametros_manuales!$G$39*(datos_base!$H$5+IF(parametros_manuales!$H$39="Todos",datos_base!$H$12,0))*parametros_manuales!$D$110+parametros_manuales!$G$39*(datos_base!$H$21+IF(parametros_manuales!$H$39="Todos",datos_base!$H$26,0))*parametros_manuales!$D$15)*parametros_manuales!$I$39*parametros_manuales!$J$39</f>
        <v>3682.284713065</v>
      </c>
      <c r="E184" s="9" t="n">
        <f aca="false">(parametros_manuales!$D$39*(datos_base!$H$2+IF(parametros_manuales!$H$39="Todos",datos_base!$H$9,0))*parametros_manuales!$E$95+parametros_manuales!$D$39*(datos_base!$H$18+IF(parametros_manuales!$H$39="Todos",datos_base!$H$23,0))*parametros_manuales!$E$12+parametros_manuales!$E$39*(datos_base!$H$3+IF(parametros_manuales!$H$39="Todos",datos_base!$H$10,0))*parametros_manuales!$E$100+parametros_manuales!$E$39*(datos_base!$H$19+IF(parametros_manuales!$H$39="Todos",datos_base!$H$24,0))*parametros_manuales!$E$13+parametros_manuales!$F$39*(datos_base!$H$4+IF(parametros_manuales!$H$39="Todos",datos_base!$H$11,0))*parametros_manuales!$E$105+parametros_manuales!$F$39*(datos_base!$H$20+IF(parametros_manuales!$H$39="Todos",datos_base!$H$25,0))*parametros_manuales!$E$14+parametros_manuales!$G$39*(datos_base!$H$5+IF(parametros_manuales!$H$39="Todos",datos_base!$H$12,0))*parametros_manuales!$E$110+parametros_manuales!$G$39*(datos_base!$H$21+IF(parametros_manuales!$H$39="Todos",datos_base!$H$26,0))*parametros_manuales!$E$15)*parametros_manuales!$I$39*parametros_manuales!$J$39</f>
        <v>3580.621946765</v>
      </c>
      <c r="F184" s="9" t="n">
        <f aca="false">(parametros_manuales!$D$39*(datos_base!$H$2+IF(parametros_manuales!$H$39="Todos",datos_base!$H$9,0))*parametros_manuales!$F$95+parametros_manuales!$D$39*(datos_base!$H$18+IF(parametros_manuales!$H$39="Todos",datos_base!$H$23,0))*parametros_manuales!$F$12+parametros_manuales!$E$39*(datos_base!$H$3+IF(parametros_manuales!$H$39="Todos",datos_base!$H$10,0))*parametros_manuales!$F$100+parametros_manuales!$E$39*(datos_base!$H$19+IF(parametros_manuales!$H$39="Todos",datos_base!$H$24,0))*parametros_manuales!$F$13+parametros_manuales!$F$39*(datos_base!$H$4+IF(parametros_manuales!$H$39="Todos",datos_base!$H$11,0))*parametros_manuales!$F$105+parametros_manuales!$F$39*(datos_base!$H$20+IF(parametros_manuales!$H$39="Todos",datos_base!$H$25,0))*parametros_manuales!$F$14+parametros_manuales!$G$39*(datos_base!$H$5+IF(parametros_manuales!$H$39="Todos",datos_base!$H$12,0))*parametros_manuales!$F$110+parametros_manuales!$G$39*(datos_base!$H$21+IF(parametros_manuales!$H$39="Todos",datos_base!$H$26,0))*parametros_manuales!$F$15)*parametros_manuales!$I$39*parametros_manuales!$J$39</f>
        <v>3358.03680092</v>
      </c>
      <c r="G184" s="9" t="n">
        <f aca="false">(parametros_manuales!$D$39*(datos_base!$H$2+IF(parametros_manuales!$H$39="Todos",datos_base!$H$9,0))*parametros_manuales!$G$95+parametros_manuales!$D$39*(datos_base!$H$18+IF(parametros_manuales!$H$39="Todos",datos_base!$H$23,0))*parametros_manuales!$G$12+parametros_manuales!$E$39*(datos_base!$H$3+IF(parametros_manuales!$H$39="Todos",datos_base!$H$10,0))*parametros_manuales!$G$100+parametros_manuales!$E$39*(datos_base!$H$19+IF(parametros_manuales!$H$39="Todos",datos_base!$H$24,0))*parametros_manuales!$G$13+parametros_manuales!$F$39*(datos_base!$H$4+IF(parametros_manuales!$H$39="Todos",datos_base!$H$11,0))*parametros_manuales!$G$105+parametros_manuales!$F$39*(datos_base!$H$20+IF(parametros_manuales!$H$39="Todos",datos_base!$H$25,0))*parametros_manuales!$G$14+parametros_manuales!$G$39*(datos_base!$H$5+IF(parametros_manuales!$H$39="Todos",datos_base!$H$12,0))*parametros_manuales!$G$110+parametros_manuales!$G$39*(datos_base!$H$21+IF(parametros_manuales!$H$39="Todos",datos_base!$H$26,0))*parametros_manuales!$G$15)*parametros_manuales!$I$39*parametros_manuales!$J$39</f>
        <v>3237.114421375</v>
      </c>
      <c r="H184" s="9" t="n">
        <f aca="false">(parametros_manuales!$D$39*(datos_base!$H$2+IF(parametros_manuales!$H$39="Todos",datos_base!$H$9,0))*parametros_manuales!$H$95+parametros_manuales!$D$39*(datos_base!$H$18+IF(parametros_manuales!$H$39="Todos",datos_base!$H$23,0))*parametros_manuales!$H$12+parametros_manuales!$E$39*(datos_base!$H$3+IF(parametros_manuales!$H$39="Todos",datos_base!$H$10,0))*parametros_manuales!$H$100+parametros_manuales!$E$39*(datos_base!$H$19+IF(parametros_manuales!$H$39="Todos",datos_base!$H$24,0))*parametros_manuales!$H$13+parametros_manuales!$F$39*(datos_base!$H$4+IF(parametros_manuales!$H$39="Todos",datos_base!$H$11,0))*parametros_manuales!$H$105+parametros_manuales!$F$39*(datos_base!$H$20+IF(parametros_manuales!$H$39="Todos",datos_base!$H$25,0))*parametros_manuales!$H$14+parametros_manuales!$G$39*(datos_base!$H$5+IF(parametros_manuales!$H$39="Todos",datos_base!$H$12,0))*parametros_manuales!$H$110+parametros_manuales!$G$39*(datos_base!$H$21+IF(parametros_manuales!$H$39="Todos",datos_base!$H$26,0))*parametros_manuales!$H$15)*parametros_manuales!$I$39*parametros_manuales!$J$39</f>
        <v>3459.69956722</v>
      </c>
      <c r="I184" s="9" t="n">
        <f aca="false">(parametros_manuales!$D$39*(datos_base!$H$2+IF(parametros_manuales!$H$39="Todos",datos_base!$H$9,0))*parametros_manuales!$I$95+parametros_manuales!$D$39*(datos_base!$H$18+IF(parametros_manuales!$H$39="Todos",datos_base!$H$23,0))*parametros_manuales!$I$12+parametros_manuales!$E$39*(datos_base!$H$3+IF(parametros_manuales!$H$39="Todos",datos_base!$H$10,0))*parametros_manuales!$I$100+parametros_manuales!$E$39*(datos_base!$H$19+IF(parametros_manuales!$H$39="Todos",datos_base!$H$24,0))*parametros_manuales!$I$13+parametros_manuales!$F$39*(datos_base!$H$4+IF(parametros_manuales!$H$39="Todos",datos_base!$H$11,0))*parametros_manuales!$I$105+parametros_manuales!$F$39*(datos_base!$H$20+IF(parametros_manuales!$H$39="Todos",datos_base!$H$25,0))*parametros_manuales!$I$14+parametros_manuales!$G$39*(datos_base!$H$5+IF(parametros_manuales!$H$39="Todos",datos_base!$H$12,0))*parametros_manuales!$I$110+parametros_manuales!$G$39*(datos_base!$H$21+IF(parametros_manuales!$H$39="Todos",datos_base!$H$26,0))*parametros_manuales!$I$15)*parametros_manuales!$I$39*parametros_manuales!$J$39</f>
        <v>3764.68786612</v>
      </c>
      <c r="J184" s="9" t="n">
        <f aca="false">(parametros_manuales!$D$39*(datos_base!$H$2+IF(parametros_manuales!$H$39="Todos",datos_base!$H$9,0))*parametros_manuales!$J$95+parametros_manuales!$D$39*(datos_base!$H$18+IF(parametros_manuales!$H$39="Todos",datos_base!$H$23,0))*parametros_manuales!$J$12+parametros_manuales!$E$39*(datos_base!$H$3+IF(parametros_manuales!$H$39="Todos",datos_base!$H$10,0))*parametros_manuales!$J$100+parametros_manuales!$E$39*(datos_base!$H$19+IF(parametros_manuales!$H$39="Todos",datos_base!$H$24,0))*parametros_manuales!$J$13+parametros_manuales!$F$39*(datos_base!$H$4+IF(parametros_manuales!$H$39="Todos",datos_base!$H$11,0))*parametros_manuales!$J$105+parametros_manuales!$F$39*(datos_base!$H$20+IF(parametros_manuales!$H$39="Todos",datos_base!$H$25,0))*parametros_manuales!$J$14+parametros_manuales!$G$39*(datos_base!$H$5+IF(parametros_manuales!$H$39="Todos",datos_base!$H$12,0))*parametros_manuales!$J$110+parametros_manuales!$G$39*(datos_base!$H$21+IF(parametros_manuales!$H$39="Todos",datos_base!$H$26,0))*parametros_manuales!$J$15)*parametros_manuales!$I$39*parametros_manuales!$J$39</f>
        <v>3764.68786612</v>
      </c>
      <c r="K184" s="9" t="n">
        <f aca="false">(parametros_manuales!$D$39*(datos_base!$H$2+IF(parametros_manuales!$H$39="Todos",datos_base!$H$9,0))*parametros_manuales!$K$95+parametros_manuales!$D$39*(datos_base!$H$18+IF(parametros_manuales!$H$39="Todos",datos_base!$H$23,0))*parametros_manuales!$K$12+parametros_manuales!$E$39*(datos_base!$H$3+IF(parametros_manuales!$H$39="Todos",datos_base!$H$10,0))*parametros_manuales!$K$100+parametros_manuales!$E$39*(datos_base!$H$19+IF(parametros_manuales!$H$39="Todos",datos_base!$H$24,0))*parametros_manuales!$K$13+parametros_manuales!$F$39*(datos_base!$H$4+IF(parametros_manuales!$H$39="Todos",datos_base!$H$11,0))*parametros_manuales!$K$105+parametros_manuales!$F$39*(datos_base!$H$20+IF(parametros_manuales!$H$39="Todos",datos_base!$H$25,0))*parametros_manuales!$K$14+parametros_manuales!$G$39*(datos_base!$H$5+IF(parametros_manuales!$H$39="Todos",datos_base!$H$12,0))*parametros_manuales!$K$110+parametros_manuales!$G$39*(datos_base!$H$21+IF(parametros_manuales!$H$39="Todos",datos_base!$H$26,0))*parametros_manuales!$K$15)*parametros_manuales!$I$39*parametros_manuales!$J$39</f>
        <v>3884.837845665</v>
      </c>
      <c r="L184" s="9" t="n">
        <f aca="false">(parametros_manuales!$D$39*(datos_base!$H$2+IF(parametros_manuales!$H$39="Todos",datos_base!$H$9,0))*parametros_manuales!$L$95+parametros_manuales!$D$39*(datos_base!$H$18+IF(parametros_manuales!$H$39="Todos",datos_base!$H$23,0))*parametros_manuales!$L$12+parametros_manuales!$E$39*(datos_base!$H$3+IF(parametros_manuales!$H$39="Todos",datos_base!$H$10,0))*parametros_manuales!$L$100+parametros_manuales!$E$39*(datos_base!$H$19+IF(parametros_manuales!$H$39="Todos",datos_base!$H$24,0))*parametros_manuales!$L$13+parametros_manuales!$F$39*(datos_base!$H$4+IF(parametros_manuales!$H$39="Todos",datos_base!$H$11,0))*parametros_manuales!$L$105+parametros_manuales!$F$39*(datos_base!$H$20+IF(parametros_manuales!$H$39="Todos",datos_base!$H$25,0))*parametros_manuales!$L$14+parametros_manuales!$G$39*(datos_base!$H$5+IF(parametros_manuales!$H$39="Todos",datos_base!$H$12,0))*parametros_manuales!$L$110+parametros_manuales!$G$39*(datos_base!$H$21+IF(parametros_manuales!$H$39="Todos",datos_base!$H$26,0))*parametros_manuales!$L$15)*parametros_manuales!$I$39*parametros_manuales!$J$39</f>
        <v>4004.98782521</v>
      </c>
      <c r="M184" s="9" t="n">
        <f aca="false">(parametros_manuales!$D$39*(datos_base!$H$2+IF(parametros_manuales!$H$39="Todos",datos_base!$H$9,0))*parametros_manuales!$M$95+parametros_manuales!$D$39*(datos_base!$H$18+IF(parametros_manuales!$H$39="Todos",datos_base!$H$23,0))*parametros_manuales!$M$12+parametros_manuales!$E$39*(datos_base!$H$3+IF(parametros_manuales!$H$39="Todos",datos_base!$H$10,0))*parametros_manuales!$M$100+parametros_manuales!$E$39*(datos_base!$H$19+IF(parametros_manuales!$H$39="Todos",datos_base!$H$24,0))*parametros_manuales!$M$13+parametros_manuales!$F$39*(datos_base!$H$4+IF(parametros_manuales!$H$39="Todos",datos_base!$H$11,0))*parametros_manuales!$M$105+parametros_manuales!$F$39*(datos_base!$H$20+IF(parametros_manuales!$H$39="Todos",datos_base!$H$25,0))*parametros_manuales!$M$14+parametros_manuales!$G$39*(datos_base!$H$5+IF(parametros_manuales!$H$39="Todos",datos_base!$H$12,0))*parametros_manuales!$M$110+parametros_manuales!$G$39*(datos_base!$H$21+IF(parametros_manuales!$H$39="Todos",datos_base!$H$26,0))*parametros_manuales!$M$15)*parametros_manuales!$I$39*parametros_manuales!$J$39</f>
        <v>4008.07742521</v>
      </c>
      <c r="N184" s="9" t="n">
        <f aca="false">SUM(B184:M184)</f>
        <v>44517.029169</v>
      </c>
      <c r="O184" s="9" t="n">
        <f aca="false">MAX(B184:M184)</f>
        <v>4008.07742521</v>
      </c>
      <c r="P184" s="44" t="n">
        <f aca="false">O184/(parametros_manuales!$B$7)</f>
        <v>26.7205161680667</v>
      </c>
      <c r="Q184" s="8" t="str">
        <f aca="false">IF(O184=0,"-",INDEX($B$163:$M$163,MATCH(O184,B184:M184,0)))</f>
        <v>Dic</v>
      </c>
    </row>
    <row r="185" customFormat="false" ht="14.25" hidden="false" customHeight="true" outlineLevel="0" collapsed="false">
      <c r="A185" s="8" t="str">
        <f aca="false">parametros_manuales!$B$40</f>
        <v>Presurización</v>
      </c>
      <c r="B185" s="9" t="n">
        <f aca="false">(parametros_manuales!$D$40*(datos_base!$H$2+IF(parametros_manuales!$H$40="Todos",datos_base!$H$9,0))*parametros_manuales!$B$95+parametros_manuales!$D$40*(datos_base!$H$18+IF(parametros_manuales!$H$40="Todos",datos_base!$H$23,0))*parametros_manuales!$B$12+parametros_manuales!$E$40*(datos_base!$H$3+IF(parametros_manuales!$H$40="Todos",datos_base!$H$10,0))*parametros_manuales!$B$100+parametros_manuales!$E$40*(datos_base!$H$19+IF(parametros_manuales!$H$40="Todos",datos_base!$H$24,0))*parametros_manuales!$B$13+parametros_manuales!$F$40*(datos_base!$H$4+IF(parametros_manuales!$H$40="Todos",datos_base!$H$11,0))*parametros_manuales!$B$105+parametros_manuales!$F$40*(datos_base!$H$20+IF(parametros_manuales!$H$40="Todos",datos_base!$H$25,0))*parametros_manuales!$B$14+parametros_manuales!$G$40*(datos_base!$H$5+IF(parametros_manuales!$H$40="Todos",datos_base!$H$12,0))*parametros_manuales!$B$110+parametros_manuales!$G$40*(datos_base!$H$21+IF(parametros_manuales!$H$40="Todos",datos_base!$H$26,0))*parametros_manuales!$B$15)*parametros_manuales!$I$40*parametros_manuales!$J$40</f>
        <v>4007.30502521</v>
      </c>
      <c r="C185" s="9" t="n">
        <f aca="false">(parametros_manuales!$D$40*(datos_base!$H$2+IF(parametros_manuales!$H$40="Todos",datos_base!$H$9,0))*parametros_manuales!$C$95+parametros_manuales!$D$40*(datos_base!$H$18+IF(parametros_manuales!$H$40="Todos",datos_base!$H$23,0))*parametros_manuales!$C$12+parametros_manuales!$E$40*(datos_base!$H$3+IF(parametros_manuales!$H$40="Todos",datos_base!$H$10,0))*parametros_manuales!$C$100+parametros_manuales!$E$40*(datos_base!$H$19+IF(parametros_manuales!$H$40="Todos",datos_base!$H$24,0))*parametros_manuales!$C$13+parametros_manuales!$F$40*(datos_base!$H$4+IF(parametros_manuales!$H$40="Todos",datos_base!$H$11,0))*parametros_manuales!$C$105+parametros_manuales!$F$40*(datos_base!$H$20+IF(parametros_manuales!$H$40="Todos",datos_base!$H$25,0))*parametros_manuales!$C$14+parametros_manuales!$G$40*(datos_base!$H$5+IF(parametros_manuales!$H$40="Todos",datos_base!$H$12,0))*parametros_manuales!$C$110+parametros_manuales!$G$40*(datos_base!$H$21+IF(parametros_manuales!$H$40="Todos",datos_base!$H$26,0))*parametros_manuales!$C$15)*parametros_manuales!$I$40*parametros_manuales!$J$40</f>
        <v>3764.68786612</v>
      </c>
      <c r="D185" s="9" t="n">
        <f aca="false">(parametros_manuales!$D$40*(datos_base!$H$2+IF(parametros_manuales!$H$40="Todos",datos_base!$H$9,0))*parametros_manuales!$D$95+parametros_manuales!$D$40*(datos_base!$H$18+IF(parametros_manuales!$H$40="Todos",datos_base!$H$23,0))*parametros_manuales!$D$12+parametros_manuales!$E$40*(datos_base!$H$3+IF(parametros_manuales!$H$40="Todos",datos_base!$H$10,0))*parametros_manuales!$D$100+parametros_manuales!$E$40*(datos_base!$H$19+IF(parametros_manuales!$H$40="Todos",datos_base!$H$24,0))*parametros_manuales!$D$13+parametros_manuales!$F$40*(datos_base!$H$4+IF(parametros_manuales!$H$40="Todos",datos_base!$H$11,0))*parametros_manuales!$D$105+parametros_manuales!$F$40*(datos_base!$H$20+IF(parametros_manuales!$H$40="Todos",datos_base!$H$25,0))*parametros_manuales!$D$14+parametros_manuales!$G$40*(datos_base!$H$5+IF(parametros_manuales!$H$40="Todos",datos_base!$H$12,0))*parametros_manuales!$D$110+parametros_manuales!$G$40*(datos_base!$H$21+IF(parametros_manuales!$H$40="Todos",datos_base!$H$26,0))*parametros_manuales!$D$15)*parametros_manuales!$I$40*parametros_manuales!$J$40</f>
        <v>3682.284713065</v>
      </c>
      <c r="E185" s="9" t="n">
        <f aca="false">(parametros_manuales!$D$40*(datos_base!$H$2+IF(parametros_manuales!$H$40="Todos",datos_base!$H$9,0))*parametros_manuales!$E$95+parametros_manuales!$D$40*(datos_base!$H$18+IF(parametros_manuales!$H$40="Todos",datos_base!$H$23,0))*parametros_manuales!$E$12+parametros_manuales!$E$40*(datos_base!$H$3+IF(parametros_manuales!$H$40="Todos",datos_base!$H$10,0))*parametros_manuales!$E$100+parametros_manuales!$E$40*(datos_base!$H$19+IF(parametros_manuales!$H$40="Todos",datos_base!$H$24,0))*parametros_manuales!$E$13+parametros_manuales!$F$40*(datos_base!$H$4+IF(parametros_manuales!$H$40="Todos",datos_base!$H$11,0))*parametros_manuales!$E$105+parametros_manuales!$F$40*(datos_base!$H$20+IF(parametros_manuales!$H$40="Todos",datos_base!$H$25,0))*parametros_manuales!$E$14+parametros_manuales!$G$40*(datos_base!$H$5+IF(parametros_manuales!$H$40="Todos",datos_base!$H$12,0))*parametros_manuales!$E$110+parametros_manuales!$G$40*(datos_base!$H$21+IF(parametros_manuales!$H$40="Todos",datos_base!$H$26,0))*parametros_manuales!$E$15)*parametros_manuales!$I$40*parametros_manuales!$J$40</f>
        <v>3580.621946765</v>
      </c>
      <c r="F185" s="9" t="n">
        <f aca="false">(parametros_manuales!$D$40*(datos_base!$H$2+IF(parametros_manuales!$H$40="Todos",datos_base!$H$9,0))*parametros_manuales!$F$95+parametros_manuales!$D$40*(datos_base!$H$18+IF(parametros_manuales!$H$40="Todos",datos_base!$H$23,0))*parametros_manuales!$F$12+parametros_manuales!$E$40*(datos_base!$H$3+IF(parametros_manuales!$H$40="Todos",datos_base!$H$10,0))*parametros_manuales!$F$100+parametros_manuales!$E$40*(datos_base!$H$19+IF(parametros_manuales!$H$40="Todos",datos_base!$H$24,0))*parametros_manuales!$F$13+parametros_manuales!$F$40*(datos_base!$H$4+IF(parametros_manuales!$H$40="Todos",datos_base!$H$11,0))*parametros_manuales!$F$105+parametros_manuales!$F$40*(datos_base!$H$20+IF(parametros_manuales!$H$40="Todos",datos_base!$H$25,0))*parametros_manuales!$F$14+parametros_manuales!$G$40*(datos_base!$H$5+IF(parametros_manuales!$H$40="Todos",datos_base!$H$12,0))*parametros_manuales!$F$110+parametros_manuales!$G$40*(datos_base!$H$21+IF(parametros_manuales!$H$40="Todos",datos_base!$H$26,0))*parametros_manuales!$F$15)*parametros_manuales!$I$40*parametros_manuales!$J$40</f>
        <v>3358.03680092</v>
      </c>
      <c r="G185" s="9" t="n">
        <f aca="false">(parametros_manuales!$D$40*(datos_base!$H$2+IF(parametros_manuales!$H$40="Todos",datos_base!$H$9,0))*parametros_manuales!$G$95+parametros_manuales!$D$40*(datos_base!$H$18+IF(parametros_manuales!$H$40="Todos",datos_base!$H$23,0))*parametros_manuales!$G$12+parametros_manuales!$E$40*(datos_base!$H$3+IF(parametros_manuales!$H$40="Todos",datos_base!$H$10,0))*parametros_manuales!$G$100+parametros_manuales!$E$40*(datos_base!$H$19+IF(parametros_manuales!$H$40="Todos",datos_base!$H$24,0))*parametros_manuales!$G$13+parametros_manuales!$F$40*(datos_base!$H$4+IF(parametros_manuales!$H$40="Todos",datos_base!$H$11,0))*parametros_manuales!$G$105+parametros_manuales!$F$40*(datos_base!$H$20+IF(parametros_manuales!$H$40="Todos",datos_base!$H$25,0))*parametros_manuales!$G$14+parametros_manuales!$G$40*(datos_base!$H$5+IF(parametros_manuales!$H$40="Todos",datos_base!$H$12,0))*parametros_manuales!$G$110+parametros_manuales!$G$40*(datos_base!$H$21+IF(parametros_manuales!$H$40="Todos",datos_base!$H$26,0))*parametros_manuales!$G$15)*parametros_manuales!$I$40*parametros_manuales!$J$40</f>
        <v>3237.114421375</v>
      </c>
      <c r="H185" s="9" t="n">
        <f aca="false">(parametros_manuales!$D$40*(datos_base!$H$2+IF(parametros_manuales!$H$40="Todos",datos_base!$H$9,0))*parametros_manuales!$H$95+parametros_manuales!$D$40*(datos_base!$H$18+IF(parametros_manuales!$H$40="Todos",datos_base!$H$23,0))*parametros_manuales!$H$12+parametros_manuales!$E$40*(datos_base!$H$3+IF(parametros_manuales!$H$40="Todos",datos_base!$H$10,0))*parametros_manuales!$H$100+parametros_manuales!$E$40*(datos_base!$H$19+IF(parametros_manuales!$H$40="Todos",datos_base!$H$24,0))*parametros_manuales!$H$13+parametros_manuales!$F$40*(datos_base!$H$4+IF(parametros_manuales!$H$40="Todos",datos_base!$H$11,0))*parametros_manuales!$H$105+parametros_manuales!$F$40*(datos_base!$H$20+IF(parametros_manuales!$H$40="Todos",datos_base!$H$25,0))*parametros_manuales!$H$14+parametros_manuales!$G$40*(datos_base!$H$5+IF(parametros_manuales!$H$40="Todos",datos_base!$H$12,0))*parametros_manuales!$H$110+parametros_manuales!$G$40*(datos_base!$H$21+IF(parametros_manuales!$H$40="Todos",datos_base!$H$26,0))*parametros_manuales!$H$15)*parametros_manuales!$I$40*parametros_manuales!$J$40</f>
        <v>3459.69956722</v>
      </c>
      <c r="I185" s="9" t="n">
        <f aca="false">(parametros_manuales!$D$40*(datos_base!$H$2+IF(parametros_manuales!$H$40="Todos",datos_base!$H$9,0))*parametros_manuales!$I$95+parametros_manuales!$D$40*(datos_base!$H$18+IF(parametros_manuales!$H$40="Todos",datos_base!$H$23,0))*parametros_manuales!$I$12+parametros_manuales!$E$40*(datos_base!$H$3+IF(parametros_manuales!$H$40="Todos",datos_base!$H$10,0))*parametros_manuales!$I$100+parametros_manuales!$E$40*(datos_base!$H$19+IF(parametros_manuales!$H$40="Todos",datos_base!$H$24,0))*parametros_manuales!$I$13+parametros_manuales!$F$40*(datos_base!$H$4+IF(parametros_manuales!$H$40="Todos",datos_base!$H$11,0))*parametros_manuales!$I$105+parametros_manuales!$F$40*(datos_base!$H$20+IF(parametros_manuales!$H$40="Todos",datos_base!$H$25,0))*parametros_manuales!$I$14+parametros_manuales!$G$40*(datos_base!$H$5+IF(parametros_manuales!$H$40="Todos",datos_base!$H$12,0))*parametros_manuales!$I$110+parametros_manuales!$G$40*(datos_base!$H$21+IF(parametros_manuales!$H$40="Todos",datos_base!$H$26,0))*parametros_manuales!$I$15)*parametros_manuales!$I$40*parametros_manuales!$J$40</f>
        <v>3764.68786612</v>
      </c>
      <c r="J185" s="9" t="n">
        <f aca="false">(parametros_manuales!$D$40*(datos_base!$H$2+IF(parametros_manuales!$H$40="Todos",datos_base!$H$9,0))*parametros_manuales!$J$95+parametros_manuales!$D$40*(datos_base!$H$18+IF(parametros_manuales!$H$40="Todos",datos_base!$H$23,0))*parametros_manuales!$J$12+parametros_manuales!$E$40*(datos_base!$H$3+IF(parametros_manuales!$H$40="Todos",datos_base!$H$10,0))*parametros_manuales!$J$100+parametros_manuales!$E$40*(datos_base!$H$19+IF(parametros_manuales!$H$40="Todos",datos_base!$H$24,0))*parametros_manuales!$J$13+parametros_manuales!$F$40*(datos_base!$H$4+IF(parametros_manuales!$H$40="Todos",datos_base!$H$11,0))*parametros_manuales!$J$105+parametros_manuales!$F$40*(datos_base!$H$20+IF(parametros_manuales!$H$40="Todos",datos_base!$H$25,0))*parametros_manuales!$J$14+parametros_manuales!$G$40*(datos_base!$H$5+IF(parametros_manuales!$H$40="Todos",datos_base!$H$12,0))*parametros_manuales!$J$110+parametros_manuales!$G$40*(datos_base!$H$21+IF(parametros_manuales!$H$40="Todos",datos_base!$H$26,0))*parametros_manuales!$J$15)*parametros_manuales!$I$40*parametros_manuales!$J$40</f>
        <v>3764.68786612</v>
      </c>
      <c r="K185" s="9" t="n">
        <f aca="false">(parametros_manuales!$D$40*(datos_base!$H$2+IF(parametros_manuales!$H$40="Todos",datos_base!$H$9,0))*parametros_manuales!$K$95+parametros_manuales!$D$40*(datos_base!$H$18+IF(parametros_manuales!$H$40="Todos",datos_base!$H$23,0))*parametros_manuales!$K$12+parametros_manuales!$E$40*(datos_base!$H$3+IF(parametros_manuales!$H$40="Todos",datos_base!$H$10,0))*parametros_manuales!$K$100+parametros_manuales!$E$40*(datos_base!$H$19+IF(parametros_manuales!$H$40="Todos",datos_base!$H$24,0))*parametros_manuales!$K$13+parametros_manuales!$F$40*(datos_base!$H$4+IF(parametros_manuales!$H$40="Todos",datos_base!$H$11,0))*parametros_manuales!$K$105+parametros_manuales!$F$40*(datos_base!$H$20+IF(parametros_manuales!$H$40="Todos",datos_base!$H$25,0))*parametros_manuales!$K$14+parametros_manuales!$G$40*(datos_base!$H$5+IF(parametros_manuales!$H$40="Todos",datos_base!$H$12,0))*parametros_manuales!$K$110+parametros_manuales!$G$40*(datos_base!$H$21+IF(parametros_manuales!$H$40="Todos",datos_base!$H$26,0))*parametros_manuales!$K$15)*parametros_manuales!$I$40*parametros_manuales!$J$40</f>
        <v>3884.837845665</v>
      </c>
      <c r="L185" s="9" t="n">
        <f aca="false">(parametros_manuales!$D$40*(datos_base!$H$2+IF(parametros_manuales!$H$40="Todos",datos_base!$H$9,0))*parametros_manuales!$L$95+parametros_manuales!$D$40*(datos_base!$H$18+IF(parametros_manuales!$H$40="Todos",datos_base!$H$23,0))*parametros_manuales!$L$12+parametros_manuales!$E$40*(datos_base!$H$3+IF(parametros_manuales!$H$40="Todos",datos_base!$H$10,0))*parametros_manuales!$L$100+parametros_manuales!$E$40*(datos_base!$H$19+IF(parametros_manuales!$H$40="Todos",datos_base!$H$24,0))*parametros_manuales!$L$13+parametros_manuales!$F$40*(datos_base!$H$4+IF(parametros_manuales!$H$40="Todos",datos_base!$H$11,0))*parametros_manuales!$L$105+parametros_manuales!$F$40*(datos_base!$H$20+IF(parametros_manuales!$H$40="Todos",datos_base!$H$25,0))*parametros_manuales!$L$14+parametros_manuales!$G$40*(datos_base!$H$5+IF(parametros_manuales!$H$40="Todos",datos_base!$H$12,0))*parametros_manuales!$L$110+parametros_manuales!$G$40*(datos_base!$H$21+IF(parametros_manuales!$H$40="Todos",datos_base!$H$26,0))*parametros_manuales!$L$15)*parametros_manuales!$I$40*parametros_manuales!$J$40</f>
        <v>4004.98782521</v>
      </c>
      <c r="M185" s="9" t="n">
        <f aca="false">(parametros_manuales!$D$40*(datos_base!$H$2+IF(parametros_manuales!$H$40="Todos",datos_base!$H$9,0))*parametros_manuales!$M$95+parametros_manuales!$D$40*(datos_base!$H$18+IF(parametros_manuales!$H$40="Todos",datos_base!$H$23,0))*parametros_manuales!$M$12+parametros_manuales!$E$40*(datos_base!$H$3+IF(parametros_manuales!$H$40="Todos",datos_base!$H$10,0))*parametros_manuales!$M$100+parametros_manuales!$E$40*(datos_base!$H$19+IF(parametros_manuales!$H$40="Todos",datos_base!$H$24,0))*parametros_manuales!$M$13+parametros_manuales!$F$40*(datos_base!$H$4+IF(parametros_manuales!$H$40="Todos",datos_base!$H$11,0))*parametros_manuales!$M$105+parametros_manuales!$F$40*(datos_base!$H$20+IF(parametros_manuales!$H$40="Todos",datos_base!$H$25,0))*parametros_manuales!$M$14+parametros_manuales!$G$40*(datos_base!$H$5+IF(parametros_manuales!$H$40="Todos",datos_base!$H$12,0))*parametros_manuales!$M$110+parametros_manuales!$G$40*(datos_base!$H$21+IF(parametros_manuales!$H$40="Todos",datos_base!$H$26,0))*parametros_manuales!$M$15)*parametros_manuales!$I$40*parametros_manuales!$J$40</f>
        <v>4008.07742521</v>
      </c>
      <c r="N185" s="9" t="n">
        <f aca="false">SUM(B185:M185)</f>
        <v>44517.029169</v>
      </c>
      <c r="O185" s="9" t="n">
        <f aca="false">MAX(B185:M185)</f>
        <v>4008.07742521</v>
      </c>
      <c r="P185" s="44" t="n">
        <f aca="false">O185/(parametros_manuales!$B$7)</f>
        <v>26.7205161680667</v>
      </c>
      <c r="Q185" s="8" t="str">
        <f aca="false">IF(O185=0,"-",INDEX($B$163:$M$163,MATCH(O185,B185:M185,0)))</f>
        <v>Dic</v>
      </c>
    </row>
    <row r="186" customFormat="false" ht="14.25" hidden="false" customHeight="true" outlineLevel="0" collapsed="false">
      <c r="A186" s="8" t="str">
        <f aca="false">parametros_manuales!$B$41</f>
        <v>Control de calidad — Ensayo de pérdidas</v>
      </c>
      <c r="B186" s="9" t="n">
        <f aca="false">(parametros_manuales!$D$41*(datos_base!$H$2+IF(parametros_manuales!$H$41="Todos",datos_base!$H$9,0))*parametros_manuales!$B$95+parametros_manuales!$D$41*(datos_base!$H$18+IF(parametros_manuales!$H$41="Todos",datos_base!$H$23,0))*parametros_manuales!$B$12+parametros_manuales!$E$41*(datos_base!$H$3+IF(parametros_manuales!$H$41="Todos",datos_base!$H$10,0))*parametros_manuales!$B$100+parametros_manuales!$E$41*(datos_base!$H$19+IF(parametros_manuales!$H$41="Todos",datos_base!$H$24,0))*parametros_manuales!$B$13+parametros_manuales!$F$41*(datos_base!$H$4+IF(parametros_manuales!$H$41="Todos",datos_base!$H$11,0))*parametros_manuales!$B$105+parametros_manuales!$F$41*(datos_base!$H$20+IF(parametros_manuales!$H$41="Todos",datos_base!$H$25,0))*parametros_manuales!$B$14+parametros_manuales!$G$41*(datos_base!$H$5+IF(parametros_manuales!$H$41="Todos",datos_base!$H$12,0))*parametros_manuales!$B$110+parametros_manuales!$G$41*(datos_base!$H$21+IF(parametros_manuales!$H$41="Todos",datos_base!$H$26,0))*parametros_manuales!$B$15)*parametros_manuales!$I$41*parametros_manuales!$J$41</f>
        <v>4007.30502521</v>
      </c>
      <c r="C186" s="9" t="n">
        <f aca="false">(parametros_manuales!$D$41*(datos_base!$H$2+IF(parametros_manuales!$H$41="Todos",datos_base!$H$9,0))*parametros_manuales!$C$95+parametros_manuales!$D$41*(datos_base!$H$18+IF(parametros_manuales!$H$41="Todos",datos_base!$H$23,0))*parametros_manuales!$C$12+parametros_manuales!$E$41*(datos_base!$H$3+IF(parametros_manuales!$H$41="Todos",datos_base!$H$10,0))*parametros_manuales!$C$100+parametros_manuales!$E$41*(datos_base!$H$19+IF(parametros_manuales!$H$41="Todos",datos_base!$H$24,0))*parametros_manuales!$C$13+parametros_manuales!$F$41*(datos_base!$H$4+IF(parametros_manuales!$H$41="Todos",datos_base!$H$11,0))*parametros_manuales!$C$105+parametros_manuales!$F$41*(datos_base!$H$20+IF(parametros_manuales!$H$41="Todos",datos_base!$H$25,0))*parametros_manuales!$C$14+parametros_manuales!$G$41*(datos_base!$H$5+IF(parametros_manuales!$H$41="Todos",datos_base!$H$12,0))*parametros_manuales!$C$110+parametros_manuales!$G$41*(datos_base!$H$21+IF(parametros_manuales!$H$41="Todos",datos_base!$H$26,0))*parametros_manuales!$C$15)*parametros_manuales!$I$41*parametros_manuales!$J$41</f>
        <v>3764.68786612</v>
      </c>
      <c r="D186" s="9" t="n">
        <f aca="false">(parametros_manuales!$D$41*(datos_base!$H$2+IF(parametros_manuales!$H$41="Todos",datos_base!$H$9,0))*parametros_manuales!$D$95+parametros_manuales!$D$41*(datos_base!$H$18+IF(parametros_manuales!$H$41="Todos",datos_base!$H$23,0))*parametros_manuales!$D$12+parametros_manuales!$E$41*(datos_base!$H$3+IF(parametros_manuales!$H$41="Todos",datos_base!$H$10,0))*parametros_manuales!$D$100+parametros_manuales!$E$41*(datos_base!$H$19+IF(parametros_manuales!$H$41="Todos",datos_base!$H$24,0))*parametros_manuales!$D$13+parametros_manuales!$F$41*(datos_base!$H$4+IF(parametros_manuales!$H$41="Todos",datos_base!$H$11,0))*parametros_manuales!$D$105+parametros_manuales!$F$41*(datos_base!$H$20+IF(parametros_manuales!$H$41="Todos",datos_base!$H$25,0))*parametros_manuales!$D$14+parametros_manuales!$G$41*(datos_base!$H$5+IF(parametros_manuales!$H$41="Todos",datos_base!$H$12,0))*parametros_manuales!$D$110+parametros_manuales!$G$41*(datos_base!$H$21+IF(parametros_manuales!$H$41="Todos",datos_base!$H$26,0))*parametros_manuales!$D$15)*parametros_manuales!$I$41*parametros_manuales!$J$41</f>
        <v>3682.284713065</v>
      </c>
      <c r="E186" s="9" t="n">
        <f aca="false">(parametros_manuales!$D$41*(datos_base!$H$2+IF(parametros_manuales!$H$41="Todos",datos_base!$H$9,0))*parametros_manuales!$E$95+parametros_manuales!$D$41*(datos_base!$H$18+IF(parametros_manuales!$H$41="Todos",datos_base!$H$23,0))*parametros_manuales!$E$12+parametros_manuales!$E$41*(datos_base!$H$3+IF(parametros_manuales!$H$41="Todos",datos_base!$H$10,0))*parametros_manuales!$E$100+parametros_manuales!$E$41*(datos_base!$H$19+IF(parametros_manuales!$H$41="Todos",datos_base!$H$24,0))*parametros_manuales!$E$13+parametros_manuales!$F$41*(datos_base!$H$4+IF(parametros_manuales!$H$41="Todos",datos_base!$H$11,0))*parametros_manuales!$E$105+parametros_manuales!$F$41*(datos_base!$H$20+IF(parametros_manuales!$H$41="Todos",datos_base!$H$25,0))*parametros_manuales!$E$14+parametros_manuales!$G$41*(datos_base!$H$5+IF(parametros_manuales!$H$41="Todos",datos_base!$H$12,0))*parametros_manuales!$E$110+parametros_manuales!$G$41*(datos_base!$H$21+IF(parametros_manuales!$H$41="Todos",datos_base!$H$26,0))*parametros_manuales!$E$15)*parametros_manuales!$I$41*parametros_manuales!$J$41</f>
        <v>3580.621946765</v>
      </c>
      <c r="F186" s="9" t="n">
        <f aca="false">(parametros_manuales!$D$41*(datos_base!$H$2+IF(parametros_manuales!$H$41="Todos",datos_base!$H$9,0))*parametros_manuales!$F$95+parametros_manuales!$D$41*(datos_base!$H$18+IF(parametros_manuales!$H$41="Todos",datos_base!$H$23,0))*parametros_manuales!$F$12+parametros_manuales!$E$41*(datos_base!$H$3+IF(parametros_manuales!$H$41="Todos",datos_base!$H$10,0))*parametros_manuales!$F$100+parametros_manuales!$E$41*(datos_base!$H$19+IF(parametros_manuales!$H$41="Todos",datos_base!$H$24,0))*parametros_manuales!$F$13+parametros_manuales!$F$41*(datos_base!$H$4+IF(parametros_manuales!$H$41="Todos",datos_base!$H$11,0))*parametros_manuales!$F$105+parametros_manuales!$F$41*(datos_base!$H$20+IF(parametros_manuales!$H$41="Todos",datos_base!$H$25,0))*parametros_manuales!$F$14+parametros_manuales!$G$41*(datos_base!$H$5+IF(parametros_manuales!$H$41="Todos",datos_base!$H$12,0))*parametros_manuales!$F$110+parametros_manuales!$G$41*(datos_base!$H$21+IF(parametros_manuales!$H$41="Todos",datos_base!$H$26,0))*parametros_manuales!$F$15)*parametros_manuales!$I$41*parametros_manuales!$J$41</f>
        <v>3358.03680092</v>
      </c>
      <c r="G186" s="9" t="n">
        <f aca="false">(parametros_manuales!$D$41*(datos_base!$H$2+IF(parametros_manuales!$H$41="Todos",datos_base!$H$9,0))*parametros_manuales!$G$95+parametros_manuales!$D$41*(datos_base!$H$18+IF(parametros_manuales!$H$41="Todos",datos_base!$H$23,0))*parametros_manuales!$G$12+parametros_manuales!$E$41*(datos_base!$H$3+IF(parametros_manuales!$H$41="Todos",datos_base!$H$10,0))*parametros_manuales!$G$100+parametros_manuales!$E$41*(datos_base!$H$19+IF(parametros_manuales!$H$41="Todos",datos_base!$H$24,0))*parametros_manuales!$G$13+parametros_manuales!$F$41*(datos_base!$H$4+IF(parametros_manuales!$H$41="Todos",datos_base!$H$11,0))*parametros_manuales!$G$105+parametros_manuales!$F$41*(datos_base!$H$20+IF(parametros_manuales!$H$41="Todos",datos_base!$H$25,0))*parametros_manuales!$G$14+parametros_manuales!$G$41*(datos_base!$H$5+IF(parametros_manuales!$H$41="Todos",datos_base!$H$12,0))*parametros_manuales!$G$110+parametros_manuales!$G$41*(datos_base!$H$21+IF(parametros_manuales!$H$41="Todos",datos_base!$H$26,0))*parametros_manuales!$G$15)*parametros_manuales!$I$41*parametros_manuales!$J$41</f>
        <v>3237.114421375</v>
      </c>
      <c r="H186" s="9" t="n">
        <f aca="false">(parametros_manuales!$D$41*(datos_base!$H$2+IF(parametros_manuales!$H$41="Todos",datos_base!$H$9,0))*parametros_manuales!$H$95+parametros_manuales!$D$41*(datos_base!$H$18+IF(parametros_manuales!$H$41="Todos",datos_base!$H$23,0))*parametros_manuales!$H$12+parametros_manuales!$E$41*(datos_base!$H$3+IF(parametros_manuales!$H$41="Todos",datos_base!$H$10,0))*parametros_manuales!$H$100+parametros_manuales!$E$41*(datos_base!$H$19+IF(parametros_manuales!$H$41="Todos",datos_base!$H$24,0))*parametros_manuales!$H$13+parametros_manuales!$F$41*(datos_base!$H$4+IF(parametros_manuales!$H$41="Todos",datos_base!$H$11,0))*parametros_manuales!$H$105+parametros_manuales!$F$41*(datos_base!$H$20+IF(parametros_manuales!$H$41="Todos",datos_base!$H$25,0))*parametros_manuales!$H$14+parametros_manuales!$G$41*(datos_base!$H$5+IF(parametros_manuales!$H$41="Todos",datos_base!$H$12,0))*parametros_manuales!$H$110+parametros_manuales!$G$41*(datos_base!$H$21+IF(parametros_manuales!$H$41="Todos",datos_base!$H$26,0))*parametros_manuales!$H$15)*parametros_manuales!$I$41*parametros_manuales!$J$41</f>
        <v>3459.69956722</v>
      </c>
      <c r="I186" s="9" t="n">
        <f aca="false">(parametros_manuales!$D$41*(datos_base!$H$2+IF(parametros_manuales!$H$41="Todos",datos_base!$H$9,0))*parametros_manuales!$I$95+parametros_manuales!$D$41*(datos_base!$H$18+IF(parametros_manuales!$H$41="Todos",datos_base!$H$23,0))*parametros_manuales!$I$12+parametros_manuales!$E$41*(datos_base!$H$3+IF(parametros_manuales!$H$41="Todos",datos_base!$H$10,0))*parametros_manuales!$I$100+parametros_manuales!$E$41*(datos_base!$H$19+IF(parametros_manuales!$H$41="Todos",datos_base!$H$24,0))*parametros_manuales!$I$13+parametros_manuales!$F$41*(datos_base!$H$4+IF(parametros_manuales!$H$41="Todos",datos_base!$H$11,0))*parametros_manuales!$I$105+parametros_manuales!$F$41*(datos_base!$H$20+IF(parametros_manuales!$H$41="Todos",datos_base!$H$25,0))*parametros_manuales!$I$14+parametros_manuales!$G$41*(datos_base!$H$5+IF(parametros_manuales!$H$41="Todos",datos_base!$H$12,0))*parametros_manuales!$I$110+parametros_manuales!$G$41*(datos_base!$H$21+IF(parametros_manuales!$H$41="Todos",datos_base!$H$26,0))*parametros_manuales!$I$15)*parametros_manuales!$I$41*parametros_manuales!$J$41</f>
        <v>3764.68786612</v>
      </c>
      <c r="J186" s="9" t="n">
        <f aca="false">(parametros_manuales!$D$41*(datos_base!$H$2+IF(parametros_manuales!$H$41="Todos",datos_base!$H$9,0))*parametros_manuales!$J$95+parametros_manuales!$D$41*(datos_base!$H$18+IF(parametros_manuales!$H$41="Todos",datos_base!$H$23,0))*parametros_manuales!$J$12+parametros_manuales!$E$41*(datos_base!$H$3+IF(parametros_manuales!$H$41="Todos",datos_base!$H$10,0))*parametros_manuales!$J$100+parametros_manuales!$E$41*(datos_base!$H$19+IF(parametros_manuales!$H$41="Todos",datos_base!$H$24,0))*parametros_manuales!$J$13+parametros_manuales!$F$41*(datos_base!$H$4+IF(parametros_manuales!$H$41="Todos",datos_base!$H$11,0))*parametros_manuales!$J$105+parametros_manuales!$F$41*(datos_base!$H$20+IF(parametros_manuales!$H$41="Todos",datos_base!$H$25,0))*parametros_manuales!$J$14+parametros_manuales!$G$41*(datos_base!$H$5+IF(parametros_manuales!$H$41="Todos",datos_base!$H$12,0))*parametros_manuales!$J$110+parametros_manuales!$G$41*(datos_base!$H$21+IF(parametros_manuales!$H$41="Todos",datos_base!$H$26,0))*parametros_manuales!$J$15)*parametros_manuales!$I$41*parametros_manuales!$J$41</f>
        <v>3764.68786612</v>
      </c>
      <c r="K186" s="9" t="n">
        <f aca="false">(parametros_manuales!$D$41*(datos_base!$H$2+IF(parametros_manuales!$H$41="Todos",datos_base!$H$9,0))*parametros_manuales!$K$95+parametros_manuales!$D$41*(datos_base!$H$18+IF(parametros_manuales!$H$41="Todos",datos_base!$H$23,0))*parametros_manuales!$K$12+parametros_manuales!$E$41*(datos_base!$H$3+IF(parametros_manuales!$H$41="Todos",datos_base!$H$10,0))*parametros_manuales!$K$100+parametros_manuales!$E$41*(datos_base!$H$19+IF(parametros_manuales!$H$41="Todos",datos_base!$H$24,0))*parametros_manuales!$K$13+parametros_manuales!$F$41*(datos_base!$H$4+IF(parametros_manuales!$H$41="Todos",datos_base!$H$11,0))*parametros_manuales!$K$105+parametros_manuales!$F$41*(datos_base!$H$20+IF(parametros_manuales!$H$41="Todos",datos_base!$H$25,0))*parametros_manuales!$K$14+parametros_manuales!$G$41*(datos_base!$H$5+IF(parametros_manuales!$H$41="Todos",datos_base!$H$12,0))*parametros_manuales!$K$110+parametros_manuales!$G$41*(datos_base!$H$21+IF(parametros_manuales!$H$41="Todos",datos_base!$H$26,0))*parametros_manuales!$K$15)*parametros_manuales!$I$41*parametros_manuales!$J$41</f>
        <v>3884.837845665</v>
      </c>
      <c r="L186" s="9" t="n">
        <f aca="false">(parametros_manuales!$D$41*(datos_base!$H$2+IF(parametros_manuales!$H$41="Todos",datos_base!$H$9,0))*parametros_manuales!$L$95+parametros_manuales!$D$41*(datos_base!$H$18+IF(parametros_manuales!$H$41="Todos",datos_base!$H$23,0))*parametros_manuales!$L$12+parametros_manuales!$E$41*(datos_base!$H$3+IF(parametros_manuales!$H$41="Todos",datos_base!$H$10,0))*parametros_manuales!$L$100+parametros_manuales!$E$41*(datos_base!$H$19+IF(parametros_manuales!$H$41="Todos",datos_base!$H$24,0))*parametros_manuales!$L$13+parametros_manuales!$F$41*(datos_base!$H$4+IF(parametros_manuales!$H$41="Todos",datos_base!$H$11,0))*parametros_manuales!$L$105+parametros_manuales!$F$41*(datos_base!$H$20+IF(parametros_manuales!$H$41="Todos",datos_base!$H$25,0))*parametros_manuales!$L$14+parametros_manuales!$G$41*(datos_base!$H$5+IF(parametros_manuales!$H$41="Todos",datos_base!$H$12,0))*parametros_manuales!$L$110+parametros_manuales!$G$41*(datos_base!$H$21+IF(parametros_manuales!$H$41="Todos",datos_base!$H$26,0))*parametros_manuales!$L$15)*parametros_manuales!$I$41*parametros_manuales!$J$41</f>
        <v>4004.98782521</v>
      </c>
      <c r="M186" s="9" t="n">
        <f aca="false">(parametros_manuales!$D$41*(datos_base!$H$2+IF(parametros_manuales!$H$41="Todos",datos_base!$H$9,0))*parametros_manuales!$M$95+parametros_manuales!$D$41*(datos_base!$H$18+IF(parametros_manuales!$H$41="Todos",datos_base!$H$23,0))*parametros_manuales!$M$12+parametros_manuales!$E$41*(datos_base!$H$3+IF(parametros_manuales!$H$41="Todos",datos_base!$H$10,0))*parametros_manuales!$M$100+parametros_manuales!$E$41*(datos_base!$H$19+IF(parametros_manuales!$H$41="Todos",datos_base!$H$24,0))*parametros_manuales!$M$13+parametros_manuales!$F$41*(datos_base!$H$4+IF(parametros_manuales!$H$41="Todos",datos_base!$H$11,0))*parametros_manuales!$M$105+parametros_manuales!$F$41*(datos_base!$H$20+IF(parametros_manuales!$H$41="Todos",datos_base!$H$25,0))*parametros_manuales!$M$14+parametros_manuales!$G$41*(datos_base!$H$5+IF(parametros_manuales!$H$41="Todos",datos_base!$H$12,0))*parametros_manuales!$M$110+parametros_manuales!$G$41*(datos_base!$H$21+IF(parametros_manuales!$H$41="Todos",datos_base!$H$26,0))*parametros_manuales!$M$15)*parametros_manuales!$I$41*parametros_manuales!$J$41</f>
        <v>4008.07742521</v>
      </c>
      <c r="N186" s="9" t="n">
        <f aca="false">SUM(B186:M186)</f>
        <v>44517.029169</v>
      </c>
      <c r="O186" s="9" t="n">
        <f aca="false">MAX(B186:M186)</f>
        <v>4008.07742521</v>
      </c>
      <c r="P186" s="44" t="n">
        <f aca="false">O186/(parametros_manuales!$B$7)</f>
        <v>26.7205161680667</v>
      </c>
      <c r="Q186" s="8" t="str">
        <f aca="false">IF(O186=0,"-",INDEX($B$163:$M$163,MATCH(O186,B186:M186,0)))</f>
        <v>Dic</v>
      </c>
    </row>
    <row r="187" customFormat="false" ht="14.25" hidden="false" customHeight="true" outlineLevel="0" collapsed="false">
      <c r="A187" s="8" t="str">
        <f aca="false">parametros_manuales!$B$42</f>
        <v>Etiquetado</v>
      </c>
      <c r="B187" s="9" t="n">
        <f aca="false">(parametros_manuales!$D$42*(datos_base!$H$2+IF(parametros_manuales!$H$42="Todos",datos_base!$H$9,0))*parametros_manuales!$B$95+parametros_manuales!$D$42*(datos_base!$H$18+IF(parametros_manuales!$H$42="Todos",datos_base!$H$23,0))*parametros_manuales!$B$12+parametros_manuales!$E$42*(datos_base!$H$3+IF(parametros_manuales!$H$42="Todos",datos_base!$H$10,0))*parametros_manuales!$B$100+parametros_manuales!$E$42*(datos_base!$H$19+IF(parametros_manuales!$H$42="Todos",datos_base!$H$24,0))*parametros_manuales!$B$13+parametros_manuales!$F$42*(datos_base!$H$4+IF(parametros_manuales!$H$42="Todos",datos_base!$H$11,0))*parametros_manuales!$B$105+parametros_manuales!$F$42*(datos_base!$H$20+IF(parametros_manuales!$H$42="Todos",datos_base!$H$25,0))*parametros_manuales!$B$14+parametros_manuales!$G$42*(datos_base!$H$5+IF(parametros_manuales!$H$42="Todos",datos_base!$H$12,0))*parametros_manuales!$B$110+parametros_manuales!$G$42*(datos_base!$H$21+IF(parametros_manuales!$H$42="Todos",datos_base!$H$26,0))*parametros_manuales!$B$15)*parametros_manuales!$I$42*parametros_manuales!$J$42</f>
        <v>4007.30502521</v>
      </c>
      <c r="C187" s="9" t="n">
        <f aca="false">(parametros_manuales!$D$42*(datos_base!$H$2+IF(parametros_manuales!$H$42="Todos",datos_base!$H$9,0))*parametros_manuales!$C$95+parametros_manuales!$D$42*(datos_base!$H$18+IF(parametros_manuales!$H$42="Todos",datos_base!$H$23,0))*parametros_manuales!$C$12+parametros_manuales!$E$42*(datos_base!$H$3+IF(parametros_manuales!$H$42="Todos",datos_base!$H$10,0))*parametros_manuales!$C$100+parametros_manuales!$E$42*(datos_base!$H$19+IF(parametros_manuales!$H$42="Todos",datos_base!$H$24,0))*parametros_manuales!$C$13+parametros_manuales!$F$42*(datos_base!$H$4+IF(parametros_manuales!$H$42="Todos",datos_base!$H$11,0))*parametros_manuales!$C$105+parametros_manuales!$F$42*(datos_base!$H$20+IF(parametros_manuales!$H$42="Todos",datos_base!$H$25,0))*parametros_manuales!$C$14+parametros_manuales!$G$42*(datos_base!$H$5+IF(parametros_manuales!$H$42="Todos",datos_base!$H$12,0))*parametros_manuales!$C$110+parametros_manuales!$G$42*(datos_base!$H$21+IF(parametros_manuales!$H$42="Todos",datos_base!$H$26,0))*parametros_manuales!$C$15)*parametros_manuales!$I$42*parametros_manuales!$J$42</f>
        <v>3764.68786612</v>
      </c>
      <c r="D187" s="9" t="n">
        <f aca="false">(parametros_manuales!$D$42*(datos_base!$H$2+IF(parametros_manuales!$H$42="Todos",datos_base!$H$9,0))*parametros_manuales!$D$95+parametros_manuales!$D$42*(datos_base!$H$18+IF(parametros_manuales!$H$42="Todos",datos_base!$H$23,0))*parametros_manuales!$D$12+parametros_manuales!$E$42*(datos_base!$H$3+IF(parametros_manuales!$H$42="Todos",datos_base!$H$10,0))*parametros_manuales!$D$100+parametros_manuales!$E$42*(datos_base!$H$19+IF(parametros_manuales!$H$42="Todos",datos_base!$H$24,0))*parametros_manuales!$D$13+parametros_manuales!$F$42*(datos_base!$H$4+IF(parametros_manuales!$H$42="Todos",datos_base!$H$11,0))*parametros_manuales!$D$105+parametros_manuales!$F$42*(datos_base!$H$20+IF(parametros_manuales!$H$42="Todos",datos_base!$H$25,0))*parametros_manuales!$D$14+parametros_manuales!$G$42*(datos_base!$H$5+IF(parametros_manuales!$H$42="Todos",datos_base!$H$12,0))*parametros_manuales!$D$110+parametros_manuales!$G$42*(datos_base!$H$21+IF(parametros_manuales!$H$42="Todos",datos_base!$H$26,0))*parametros_manuales!$D$15)*parametros_manuales!$I$42*parametros_manuales!$J$42</f>
        <v>3682.284713065</v>
      </c>
      <c r="E187" s="9" t="n">
        <f aca="false">(parametros_manuales!$D$42*(datos_base!$H$2+IF(parametros_manuales!$H$42="Todos",datos_base!$H$9,0))*parametros_manuales!$E$95+parametros_manuales!$D$42*(datos_base!$H$18+IF(parametros_manuales!$H$42="Todos",datos_base!$H$23,0))*parametros_manuales!$E$12+parametros_manuales!$E$42*(datos_base!$H$3+IF(parametros_manuales!$H$42="Todos",datos_base!$H$10,0))*parametros_manuales!$E$100+parametros_manuales!$E$42*(datos_base!$H$19+IF(parametros_manuales!$H$42="Todos",datos_base!$H$24,0))*parametros_manuales!$E$13+parametros_manuales!$F$42*(datos_base!$H$4+IF(parametros_manuales!$H$42="Todos",datos_base!$H$11,0))*parametros_manuales!$E$105+parametros_manuales!$F$42*(datos_base!$H$20+IF(parametros_manuales!$H$42="Todos",datos_base!$H$25,0))*parametros_manuales!$E$14+parametros_manuales!$G$42*(datos_base!$H$5+IF(parametros_manuales!$H$42="Todos",datos_base!$H$12,0))*parametros_manuales!$E$110+parametros_manuales!$G$42*(datos_base!$H$21+IF(parametros_manuales!$H$42="Todos",datos_base!$H$26,0))*parametros_manuales!$E$15)*parametros_manuales!$I$42*parametros_manuales!$J$42</f>
        <v>3580.621946765</v>
      </c>
      <c r="F187" s="9" t="n">
        <f aca="false">(parametros_manuales!$D$42*(datos_base!$H$2+IF(parametros_manuales!$H$42="Todos",datos_base!$H$9,0))*parametros_manuales!$F$95+parametros_manuales!$D$42*(datos_base!$H$18+IF(parametros_manuales!$H$42="Todos",datos_base!$H$23,0))*parametros_manuales!$F$12+parametros_manuales!$E$42*(datos_base!$H$3+IF(parametros_manuales!$H$42="Todos",datos_base!$H$10,0))*parametros_manuales!$F$100+parametros_manuales!$E$42*(datos_base!$H$19+IF(parametros_manuales!$H$42="Todos",datos_base!$H$24,0))*parametros_manuales!$F$13+parametros_manuales!$F$42*(datos_base!$H$4+IF(parametros_manuales!$H$42="Todos",datos_base!$H$11,0))*parametros_manuales!$F$105+parametros_manuales!$F$42*(datos_base!$H$20+IF(parametros_manuales!$H$42="Todos",datos_base!$H$25,0))*parametros_manuales!$F$14+parametros_manuales!$G$42*(datos_base!$H$5+IF(parametros_manuales!$H$42="Todos",datos_base!$H$12,0))*parametros_manuales!$F$110+parametros_manuales!$G$42*(datos_base!$H$21+IF(parametros_manuales!$H$42="Todos",datos_base!$H$26,0))*parametros_manuales!$F$15)*parametros_manuales!$I$42*parametros_manuales!$J$42</f>
        <v>3358.03680092</v>
      </c>
      <c r="G187" s="9" t="n">
        <f aca="false">(parametros_manuales!$D$42*(datos_base!$H$2+IF(parametros_manuales!$H$42="Todos",datos_base!$H$9,0))*parametros_manuales!$G$95+parametros_manuales!$D$42*(datos_base!$H$18+IF(parametros_manuales!$H$42="Todos",datos_base!$H$23,0))*parametros_manuales!$G$12+parametros_manuales!$E$42*(datos_base!$H$3+IF(parametros_manuales!$H$42="Todos",datos_base!$H$10,0))*parametros_manuales!$G$100+parametros_manuales!$E$42*(datos_base!$H$19+IF(parametros_manuales!$H$42="Todos",datos_base!$H$24,0))*parametros_manuales!$G$13+parametros_manuales!$F$42*(datos_base!$H$4+IF(parametros_manuales!$H$42="Todos",datos_base!$H$11,0))*parametros_manuales!$G$105+parametros_manuales!$F$42*(datos_base!$H$20+IF(parametros_manuales!$H$42="Todos",datos_base!$H$25,0))*parametros_manuales!$G$14+parametros_manuales!$G$42*(datos_base!$H$5+IF(parametros_manuales!$H$42="Todos",datos_base!$H$12,0))*parametros_manuales!$G$110+parametros_manuales!$G$42*(datos_base!$H$21+IF(parametros_manuales!$H$42="Todos",datos_base!$H$26,0))*parametros_manuales!$G$15)*parametros_manuales!$I$42*parametros_manuales!$J$42</f>
        <v>3237.114421375</v>
      </c>
      <c r="H187" s="9" t="n">
        <f aca="false">(parametros_manuales!$D$42*(datos_base!$H$2+IF(parametros_manuales!$H$42="Todos",datos_base!$H$9,0))*parametros_manuales!$H$95+parametros_manuales!$D$42*(datos_base!$H$18+IF(parametros_manuales!$H$42="Todos",datos_base!$H$23,0))*parametros_manuales!$H$12+parametros_manuales!$E$42*(datos_base!$H$3+IF(parametros_manuales!$H$42="Todos",datos_base!$H$10,0))*parametros_manuales!$H$100+parametros_manuales!$E$42*(datos_base!$H$19+IF(parametros_manuales!$H$42="Todos",datos_base!$H$24,0))*parametros_manuales!$H$13+parametros_manuales!$F$42*(datos_base!$H$4+IF(parametros_manuales!$H$42="Todos",datos_base!$H$11,0))*parametros_manuales!$H$105+parametros_manuales!$F$42*(datos_base!$H$20+IF(parametros_manuales!$H$42="Todos",datos_base!$H$25,0))*parametros_manuales!$H$14+parametros_manuales!$G$42*(datos_base!$H$5+IF(parametros_manuales!$H$42="Todos",datos_base!$H$12,0))*parametros_manuales!$H$110+parametros_manuales!$G$42*(datos_base!$H$21+IF(parametros_manuales!$H$42="Todos",datos_base!$H$26,0))*parametros_manuales!$H$15)*parametros_manuales!$I$42*parametros_manuales!$J$42</f>
        <v>3459.69956722</v>
      </c>
      <c r="I187" s="9" t="n">
        <f aca="false">(parametros_manuales!$D$42*(datos_base!$H$2+IF(parametros_manuales!$H$42="Todos",datos_base!$H$9,0))*parametros_manuales!$I$95+parametros_manuales!$D$42*(datos_base!$H$18+IF(parametros_manuales!$H$42="Todos",datos_base!$H$23,0))*parametros_manuales!$I$12+parametros_manuales!$E$42*(datos_base!$H$3+IF(parametros_manuales!$H$42="Todos",datos_base!$H$10,0))*parametros_manuales!$I$100+parametros_manuales!$E$42*(datos_base!$H$19+IF(parametros_manuales!$H$42="Todos",datos_base!$H$24,0))*parametros_manuales!$I$13+parametros_manuales!$F$42*(datos_base!$H$4+IF(parametros_manuales!$H$42="Todos",datos_base!$H$11,0))*parametros_manuales!$I$105+parametros_manuales!$F$42*(datos_base!$H$20+IF(parametros_manuales!$H$42="Todos",datos_base!$H$25,0))*parametros_manuales!$I$14+parametros_manuales!$G$42*(datos_base!$H$5+IF(parametros_manuales!$H$42="Todos",datos_base!$H$12,0))*parametros_manuales!$I$110+parametros_manuales!$G$42*(datos_base!$H$21+IF(parametros_manuales!$H$42="Todos",datos_base!$H$26,0))*parametros_manuales!$I$15)*parametros_manuales!$I$42*parametros_manuales!$J$42</f>
        <v>3764.68786612</v>
      </c>
      <c r="J187" s="9" t="n">
        <f aca="false">(parametros_manuales!$D$42*(datos_base!$H$2+IF(parametros_manuales!$H$42="Todos",datos_base!$H$9,0))*parametros_manuales!$J$95+parametros_manuales!$D$42*(datos_base!$H$18+IF(parametros_manuales!$H$42="Todos",datos_base!$H$23,0))*parametros_manuales!$J$12+parametros_manuales!$E$42*(datos_base!$H$3+IF(parametros_manuales!$H$42="Todos",datos_base!$H$10,0))*parametros_manuales!$J$100+parametros_manuales!$E$42*(datos_base!$H$19+IF(parametros_manuales!$H$42="Todos",datos_base!$H$24,0))*parametros_manuales!$J$13+parametros_manuales!$F$42*(datos_base!$H$4+IF(parametros_manuales!$H$42="Todos",datos_base!$H$11,0))*parametros_manuales!$J$105+parametros_manuales!$F$42*(datos_base!$H$20+IF(parametros_manuales!$H$42="Todos",datos_base!$H$25,0))*parametros_manuales!$J$14+parametros_manuales!$G$42*(datos_base!$H$5+IF(parametros_manuales!$H$42="Todos",datos_base!$H$12,0))*parametros_manuales!$J$110+parametros_manuales!$G$42*(datos_base!$H$21+IF(parametros_manuales!$H$42="Todos",datos_base!$H$26,0))*parametros_manuales!$J$15)*parametros_manuales!$I$42*parametros_manuales!$J$42</f>
        <v>3764.68786612</v>
      </c>
      <c r="K187" s="9" t="n">
        <f aca="false">(parametros_manuales!$D$42*(datos_base!$H$2+IF(parametros_manuales!$H$42="Todos",datos_base!$H$9,0))*parametros_manuales!$K$95+parametros_manuales!$D$42*(datos_base!$H$18+IF(parametros_manuales!$H$42="Todos",datos_base!$H$23,0))*parametros_manuales!$K$12+parametros_manuales!$E$42*(datos_base!$H$3+IF(parametros_manuales!$H$42="Todos",datos_base!$H$10,0))*parametros_manuales!$K$100+parametros_manuales!$E$42*(datos_base!$H$19+IF(parametros_manuales!$H$42="Todos",datos_base!$H$24,0))*parametros_manuales!$K$13+parametros_manuales!$F$42*(datos_base!$H$4+IF(parametros_manuales!$H$42="Todos",datos_base!$H$11,0))*parametros_manuales!$K$105+parametros_manuales!$F$42*(datos_base!$H$20+IF(parametros_manuales!$H$42="Todos",datos_base!$H$25,0))*parametros_manuales!$K$14+parametros_manuales!$G$42*(datos_base!$H$5+IF(parametros_manuales!$H$42="Todos",datos_base!$H$12,0))*parametros_manuales!$K$110+parametros_manuales!$G$42*(datos_base!$H$21+IF(parametros_manuales!$H$42="Todos",datos_base!$H$26,0))*parametros_manuales!$K$15)*parametros_manuales!$I$42*parametros_manuales!$J$42</f>
        <v>3884.837845665</v>
      </c>
      <c r="L187" s="9" t="n">
        <f aca="false">(parametros_manuales!$D$42*(datos_base!$H$2+IF(parametros_manuales!$H$42="Todos",datos_base!$H$9,0))*parametros_manuales!$L$95+parametros_manuales!$D$42*(datos_base!$H$18+IF(parametros_manuales!$H$42="Todos",datos_base!$H$23,0))*parametros_manuales!$L$12+parametros_manuales!$E$42*(datos_base!$H$3+IF(parametros_manuales!$H$42="Todos",datos_base!$H$10,0))*parametros_manuales!$L$100+parametros_manuales!$E$42*(datos_base!$H$19+IF(parametros_manuales!$H$42="Todos",datos_base!$H$24,0))*parametros_manuales!$L$13+parametros_manuales!$F$42*(datos_base!$H$4+IF(parametros_manuales!$H$42="Todos",datos_base!$H$11,0))*parametros_manuales!$L$105+parametros_manuales!$F$42*(datos_base!$H$20+IF(parametros_manuales!$H$42="Todos",datos_base!$H$25,0))*parametros_manuales!$L$14+parametros_manuales!$G$42*(datos_base!$H$5+IF(parametros_manuales!$H$42="Todos",datos_base!$H$12,0))*parametros_manuales!$L$110+parametros_manuales!$G$42*(datos_base!$H$21+IF(parametros_manuales!$H$42="Todos",datos_base!$H$26,0))*parametros_manuales!$L$15)*parametros_manuales!$I$42*parametros_manuales!$J$42</f>
        <v>4004.98782521</v>
      </c>
      <c r="M187" s="9" t="n">
        <f aca="false">(parametros_manuales!$D$42*(datos_base!$H$2+IF(parametros_manuales!$H$42="Todos",datos_base!$H$9,0))*parametros_manuales!$M$95+parametros_manuales!$D$42*(datos_base!$H$18+IF(parametros_manuales!$H$42="Todos",datos_base!$H$23,0))*parametros_manuales!$M$12+parametros_manuales!$E$42*(datos_base!$H$3+IF(parametros_manuales!$H$42="Todos",datos_base!$H$10,0))*parametros_manuales!$M$100+parametros_manuales!$E$42*(datos_base!$H$19+IF(parametros_manuales!$H$42="Todos",datos_base!$H$24,0))*parametros_manuales!$M$13+parametros_manuales!$F$42*(datos_base!$H$4+IF(parametros_manuales!$H$42="Todos",datos_base!$H$11,0))*parametros_manuales!$M$105+parametros_manuales!$F$42*(datos_base!$H$20+IF(parametros_manuales!$H$42="Todos",datos_base!$H$25,0))*parametros_manuales!$M$14+parametros_manuales!$G$42*(datos_base!$H$5+IF(parametros_manuales!$H$42="Todos",datos_base!$H$12,0))*parametros_manuales!$M$110+parametros_manuales!$G$42*(datos_base!$H$21+IF(parametros_manuales!$H$42="Todos",datos_base!$H$26,0))*parametros_manuales!$M$15)*parametros_manuales!$I$42*parametros_manuales!$J$42</f>
        <v>4008.07742521</v>
      </c>
      <c r="N187" s="9" t="n">
        <f aca="false">SUM(B187:M187)</f>
        <v>44517.029169</v>
      </c>
      <c r="O187" s="9" t="n">
        <f aca="false">MAX(B187:M187)</f>
        <v>4008.07742521</v>
      </c>
      <c r="P187" s="44" t="n">
        <f aca="false">O187/(parametros_manuales!$B$7)</f>
        <v>26.7205161680667</v>
      </c>
      <c r="Q187" s="8" t="str">
        <f aca="false">IF(O187=0,"-",INDEX($B$163:$M$163,MATCH(O187,B187:M187,0)))</f>
        <v>Dic</v>
      </c>
    </row>
    <row r="188" customFormat="false" ht="14.25" hidden="false" customHeight="true" outlineLevel="0" collapsed="false">
      <c r="A188" s="8" t="str">
        <f aca="false">parametros_manuales!$B$43</f>
        <v>Embalaje y paletizado</v>
      </c>
      <c r="B188" s="9" t="n">
        <f aca="false">(parametros_manuales!$D$43*(datos_base!$H$2+IF(parametros_manuales!$H$43="Todos",datos_base!$H$9,0))*parametros_manuales!$B$95+parametros_manuales!$D$43*(datos_base!$H$18+IF(parametros_manuales!$H$43="Todos",datos_base!$H$23,0))*parametros_manuales!$B$12+parametros_manuales!$E$43*(datos_base!$H$3+IF(parametros_manuales!$H$43="Todos",datos_base!$H$10,0))*parametros_manuales!$B$100+parametros_manuales!$E$43*(datos_base!$H$19+IF(parametros_manuales!$H$43="Todos",datos_base!$H$24,0))*parametros_manuales!$B$13+parametros_manuales!$F$43*(datos_base!$H$4+IF(parametros_manuales!$H$43="Todos",datos_base!$H$11,0))*parametros_manuales!$B$105+parametros_manuales!$F$43*(datos_base!$H$20+IF(parametros_manuales!$H$43="Todos",datos_base!$H$25,0))*parametros_manuales!$B$14+parametros_manuales!$G$43*(datos_base!$H$5+IF(parametros_manuales!$H$43="Todos",datos_base!$H$12,0))*parametros_manuales!$B$110+parametros_manuales!$G$43*(datos_base!$H$21+IF(parametros_manuales!$H$43="Todos",datos_base!$H$26,0))*parametros_manuales!$B$15)*parametros_manuales!$I$43*parametros_manuales!$J$43</f>
        <v>15367.19302521</v>
      </c>
      <c r="C188" s="9" t="n">
        <f aca="false">(parametros_manuales!$D$43*(datos_base!$H$2+IF(parametros_manuales!$H$43="Todos",datos_base!$H$9,0))*parametros_manuales!$C$95+parametros_manuales!$D$43*(datos_base!$H$18+IF(parametros_manuales!$H$43="Todos",datos_base!$H$23,0))*parametros_manuales!$C$12+parametros_manuales!$E$43*(datos_base!$H$3+IF(parametros_manuales!$H$43="Todos",datos_base!$H$10,0))*parametros_manuales!$C$100+parametros_manuales!$E$43*(datos_base!$H$19+IF(parametros_manuales!$H$43="Todos",datos_base!$H$24,0))*parametros_manuales!$C$13+parametros_manuales!$F$43*(datos_base!$H$4+IF(parametros_manuales!$H$43="Todos",datos_base!$H$11,0))*parametros_manuales!$C$105+parametros_manuales!$F$43*(datos_base!$H$20+IF(parametros_manuales!$H$43="Todos",datos_base!$H$25,0))*parametros_manuales!$C$14+parametros_manuales!$G$43*(datos_base!$H$5+IF(parametros_manuales!$H$43="Todos",datos_base!$H$12,0))*parametros_manuales!$C$110+parametros_manuales!$G$43*(datos_base!$H$21+IF(parametros_manuales!$H$43="Todos",datos_base!$H$26,0))*parametros_manuales!$C$15)*parametros_manuales!$I$43*parametros_manuales!$J$43</f>
        <v>14874.46506612</v>
      </c>
      <c r="D188" s="9" t="n">
        <f aca="false">(parametros_manuales!$D$43*(datos_base!$H$2+IF(parametros_manuales!$H$43="Todos",datos_base!$H$9,0))*parametros_manuales!$D$95+parametros_manuales!$D$43*(datos_base!$H$18+IF(parametros_manuales!$H$43="Todos",datos_base!$H$23,0))*parametros_manuales!$D$12+parametros_manuales!$E$43*(datos_base!$H$3+IF(parametros_manuales!$H$43="Todos",datos_base!$H$10,0))*parametros_manuales!$D$100+parametros_manuales!$E$43*(datos_base!$H$19+IF(parametros_manuales!$H$43="Todos",datos_base!$H$24,0))*parametros_manuales!$D$13+parametros_manuales!$F$43*(datos_base!$H$4+IF(parametros_manuales!$H$43="Todos",datos_base!$H$11,0))*parametros_manuales!$D$105+parametros_manuales!$F$43*(datos_base!$H$20+IF(parametros_manuales!$H$43="Todos",datos_base!$H$25,0))*parametros_manuales!$D$14+parametros_manuales!$G$43*(datos_base!$H$5+IF(parametros_manuales!$H$43="Todos",datos_base!$H$12,0))*parametros_manuales!$D$110+parametros_manuales!$G$43*(datos_base!$H$21+IF(parametros_manuales!$H$43="Todos",datos_base!$H$26,0))*parametros_manuales!$D$15)*parametros_manuales!$I$43*parametros_manuales!$J$43</f>
        <v>13902.976113065</v>
      </c>
      <c r="E188" s="9" t="n">
        <f aca="false">(parametros_manuales!$D$43*(datos_base!$H$2+IF(parametros_manuales!$H$43="Todos",datos_base!$H$9,0))*parametros_manuales!$E$95+parametros_manuales!$D$43*(datos_base!$H$18+IF(parametros_manuales!$H$43="Todos",datos_base!$H$23,0))*parametros_manuales!$E$12+parametros_manuales!$E$43*(datos_base!$H$3+IF(parametros_manuales!$H$43="Todos",datos_base!$H$10,0))*parametros_manuales!$E$100+parametros_manuales!$E$43*(datos_base!$H$19+IF(parametros_manuales!$H$43="Todos",datos_base!$H$24,0))*parametros_manuales!$E$13+parametros_manuales!$F$43*(datos_base!$H$4+IF(parametros_manuales!$H$43="Todos",datos_base!$H$11,0))*parametros_manuales!$E$105+parametros_manuales!$F$43*(datos_base!$H$20+IF(parametros_manuales!$H$43="Todos",datos_base!$H$25,0))*parametros_manuales!$E$14+parametros_manuales!$G$43*(datos_base!$H$5+IF(parametros_manuales!$H$43="Todos",datos_base!$H$12,0))*parametros_manuales!$E$110+parametros_manuales!$G$43*(datos_base!$H$21+IF(parametros_manuales!$H$43="Todos",datos_base!$H$26,0))*parametros_manuales!$E$15)*parametros_manuales!$I$43*parametros_manuales!$J$43</f>
        <v>13294.610346765</v>
      </c>
      <c r="F188" s="9" t="n">
        <f aca="false">(parametros_manuales!$D$43*(datos_base!$H$2+IF(parametros_manuales!$H$43="Todos",datos_base!$H$9,0))*parametros_manuales!$F$95+parametros_manuales!$D$43*(datos_base!$H$18+IF(parametros_manuales!$H$43="Todos",datos_base!$H$23,0))*parametros_manuales!$F$12+parametros_manuales!$E$43*(datos_base!$H$3+IF(parametros_manuales!$H$43="Todos",datos_base!$H$10,0))*parametros_manuales!$F$100+parametros_manuales!$E$43*(datos_base!$H$19+IF(parametros_manuales!$H$43="Todos",datos_base!$H$24,0))*parametros_manuales!$F$13+parametros_manuales!$F$43*(datos_base!$H$4+IF(parametros_manuales!$H$43="Todos",datos_base!$H$11,0))*parametros_manuales!$F$105+parametros_manuales!$F$43*(datos_base!$H$20+IF(parametros_manuales!$H$43="Todos",datos_base!$H$25,0))*parametros_manuales!$F$14+parametros_manuales!$G$43*(datos_base!$H$5+IF(parametros_manuales!$H$43="Todos",datos_base!$H$12,0))*parametros_manuales!$F$110+parametros_manuales!$G$43*(datos_base!$H$21+IF(parametros_manuales!$H$43="Todos",datos_base!$H$26,0))*parametros_manuales!$F$15)*parametros_manuales!$I$43*parametros_manuales!$J$43</f>
        <v>12441.00200092</v>
      </c>
      <c r="G188" s="9" t="n">
        <f aca="false">(parametros_manuales!$D$43*(datos_base!$H$2+IF(parametros_manuales!$H$43="Todos",datos_base!$H$9,0))*parametros_manuales!$G$95+parametros_manuales!$D$43*(datos_base!$H$18+IF(parametros_manuales!$H$43="Todos",datos_base!$H$23,0))*parametros_manuales!$G$12+parametros_manuales!$E$43*(datos_base!$H$3+IF(parametros_manuales!$H$43="Todos",datos_base!$H$10,0))*parametros_manuales!$G$100+parametros_manuales!$E$43*(datos_base!$H$19+IF(parametros_manuales!$H$43="Todos",datos_base!$H$24,0))*parametros_manuales!$G$13+parametros_manuales!$F$43*(datos_base!$H$4+IF(parametros_manuales!$H$43="Todos",datos_base!$H$11,0))*parametros_manuales!$G$105+parametros_manuales!$F$43*(datos_base!$H$20+IF(parametros_manuales!$H$43="Todos",datos_base!$H$25,0))*parametros_manuales!$G$14+parametros_manuales!$G$43*(datos_base!$H$5+IF(parametros_manuales!$H$43="Todos",datos_base!$H$12,0))*parametros_manuales!$G$110+parametros_manuales!$G$43*(datos_base!$H$21+IF(parametros_manuales!$H$43="Todos",datos_base!$H$26,0))*parametros_manuales!$G$15)*parametros_manuales!$I$43*parametros_manuales!$J$43</f>
        <v>12195.759421375</v>
      </c>
      <c r="H188" s="9" t="n">
        <f aca="false">(parametros_manuales!$D$43*(datos_base!$H$2+IF(parametros_manuales!$H$43="Todos",datos_base!$H$9,0))*parametros_manuales!$H$95+parametros_manuales!$D$43*(datos_base!$H$18+IF(parametros_manuales!$H$43="Todos",datos_base!$H$23,0))*parametros_manuales!$H$12+parametros_manuales!$E$43*(datos_base!$H$3+IF(parametros_manuales!$H$43="Todos",datos_base!$H$10,0))*parametros_manuales!$H$100+parametros_manuales!$E$43*(datos_base!$H$19+IF(parametros_manuales!$H$43="Todos",datos_base!$H$24,0))*parametros_manuales!$H$13+parametros_manuales!$F$43*(datos_base!$H$4+IF(parametros_manuales!$H$43="Todos",datos_base!$H$11,0))*parametros_manuales!$H$105+parametros_manuales!$F$43*(datos_base!$H$20+IF(parametros_manuales!$H$43="Todos",datos_base!$H$25,0))*parametros_manuales!$H$14+parametros_manuales!$G$43*(datos_base!$H$5+IF(parametros_manuales!$H$43="Todos",datos_base!$H$12,0))*parametros_manuales!$H$110+parametros_manuales!$G$43*(datos_base!$H$21+IF(parametros_manuales!$H$43="Todos",datos_base!$H$26,0))*parametros_manuales!$H$15)*parametros_manuales!$I$43*parametros_manuales!$J$43</f>
        <v>13049.36776722</v>
      </c>
      <c r="I188" s="9" t="n">
        <f aca="false">(parametros_manuales!$D$43*(datos_base!$H$2+IF(parametros_manuales!$H$43="Todos",datos_base!$H$9,0))*parametros_manuales!$I$95+parametros_manuales!$D$43*(datos_base!$H$18+IF(parametros_manuales!$H$43="Todos",datos_base!$H$23,0))*parametros_manuales!$I$12+parametros_manuales!$E$43*(datos_base!$H$3+IF(parametros_manuales!$H$43="Todos",datos_base!$H$10,0))*parametros_manuales!$I$100+parametros_manuales!$E$43*(datos_base!$H$19+IF(parametros_manuales!$H$43="Todos",datos_base!$H$24,0))*parametros_manuales!$I$13+parametros_manuales!$F$43*(datos_base!$H$4+IF(parametros_manuales!$H$43="Todos",datos_base!$H$11,0))*parametros_manuales!$I$105+parametros_manuales!$F$43*(datos_base!$H$20+IF(parametros_manuales!$H$43="Todos",datos_base!$H$25,0))*parametros_manuales!$I$14+parametros_manuales!$G$43*(datos_base!$H$5+IF(parametros_manuales!$H$43="Todos",datos_base!$H$12,0))*parametros_manuales!$I$110+parametros_manuales!$G$43*(datos_base!$H$21+IF(parametros_manuales!$H$43="Todos",datos_base!$H$26,0))*parametros_manuales!$I$15)*parametros_manuales!$I$43*parametros_manuales!$J$43</f>
        <v>14874.46506612</v>
      </c>
      <c r="J188" s="9" t="n">
        <f aca="false">(parametros_manuales!$D$43*(datos_base!$H$2+IF(parametros_manuales!$H$43="Todos",datos_base!$H$9,0))*parametros_manuales!$J$95+parametros_manuales!$D$43*(datos_base!$H$18+IF(parametros_manuales!$H$43="Todos",datos_base!$H$23,0))*parametros_manuales!$J$12+parametros_manuales!$E$43*(datos_base!$H$3+IF(parametros_manuales!$H$43="Todos",datos_base!$H$10,0))*parametros_manuales!$J$100+parametros_manuales!$E$43*(datos_base!$H$19+IF(parametros_manuales!$H$43="Todos",datos_base!$H$24,0))*parametros_manuales!$J$13+parametros_manuales!$F$43*(datos_base!$H$4+IF(parametros_manuales!$H$43="Todos",datos_base!$H$11,0))*parametros_manuales!$J$105+parametros_manuales!$F$43*(datos_base!$H$20+IF(parametros_manuales!$H$43="Todos",datos_base!$H$25,0))*parametros_manuales!$J$14+parametros_manuales!$G$43*(datos_base!$H$5+IF(parametros_manuales!$H$43="Todos",datos_base!$H$12,0))*parametros_manuales!$J$110+parametros_manuales!$G$43*(datos_base!$H$21+IF(parametros_manuales!$H$43="Todos",datos_base!$H$26,0))*parametros_manuales!$J$15)*parametros_manuales!$I$43*parametros_manuales!$J$43</f>
        <v>14874.46506612</v>
      </c>
      <c r="K188" s="9" t="n">
        <f aca="false">(parametros_manuales!$D$43*(datos_base!$H$2+IF(parametros_manuales!$H$43="Todos",datos_base!$H$9,0))*parametros_manuales!$K$95+parametros_manuales!$D$43*(datos_base!$H$18+IF(parametros_manuales!$H$43="Todos",datos_base!$H$23,0))*parametros_manuales!$K$12+parametros_manuales!$E$43*(datos_base!$H$3+IF(parametros_manuales!$H$43="Todos",datos_base!$H$10,0))*parametros_manuales!$K$100+parametros_manuales!$E$43*(datos_base!$H$19+IF(parametros_manuales!$H$43="Todos",datos_base!$H$24,0))*parametros_manuales!$K$13+parametros_manuales!$F$43*(datos_base!$H$4+IF(parametros_manuales!$H$43="Todos",datos_base!$H$11,0))*parametros_manuales!$K$105+parametros_manuales!$F$43*(datos_base!$H$20+IF(parametros_manuales!$H$43="Todos",datos_base!$H$25,0))*parametros_manuales!$K$14+parametros_manuales!$G$43*(datos_base!$H$5+IF(parametros_manuales!$H$43="Todos",datos_base!$H$12,0))*parametros_manuales!$K$110+parametros_manuales!$G$43*(datos_base!$H$21+IF(parametros_manuales!$H$43="Todos",datos_base!$H$26,0))*parametros_manuales!$K$15)*parametros_manuales!$I$43*parametros_manuales!$J$43</f>
        <v>15117.464845665</v>
      </c>
      <c r="L188" s="9" t="n">
        <f aca="false">(parametros_manuales!$D$43*(datos_base!$H$2+IF(parametros_manuales!$H$43="Todos",datos_base!$H$9,0))*parametros_manuales!$L$95+parametros_manuales!$D$43*(datos_base!$H$18+IF(parametros_manuales!$H$43="Todos",datos_base!$H$23,0))*parametros_manuales!$L$12+parametros_manuales!$E$43*(datos_base!$H$3+IF(parametros_manuales!$H$43="Todos",datos_base!$H$10,0))*parametros_manuales!$L$100+parametros_manuales!$E$43*(datos_base!$H$19+IF(parametros_manuales!$H$43="Todos",datos_base!$H$24,0))*parametros_manuales!$L$13+parametros_manuales!$F$43*(datos_base!$H$4+IF(parametros_manuales!$H$43="Todos",datos_base!$H$11,0))*parametros_manuales!$L$105+parametros_manuales!$F$43*(datos_base!$H$20+IF(parametros_manuales!$H$43="Todos",datos_base!$H$25,0))*parametros_manuales!$L$14+parametros_manuales!$G$43*(datos_base!$H$5+IF(parametros_manuales!$H$43="Todos",datos_base!$H$12,0))*parametros_manuales!$L$110+parametros_manuales!$G$43*(datos_base!$H$21+IF(parametros_manuales!$H$43="Todos",datos_base!$H$26,0))*parametros_manuales!$L$15)*parametros_manuales!$I$43*parametros_manuales!$J$43</f>
        <v>15360.46462521</v>
      </c>
      <c r="M188" s="9" t="n">
        <f aca="false">(parametros_manuales!$D$43*(datos_base!$H$2+IF(parametros_manuales!$H$43="Todos",datos_base!$H$9,0))*parametros_manuales!$M$95+parametros_manuales!$D$43*(datos_base!$H$18+IF(parametros_manuales!$H$43="Todos",datos_base!$H$23,0))*parametros_manuales!$M$12+parametros_manuales!$E$43*(datos_base!$H$3+IF(parametros_manuales!$H$43="Todos",datos_base!$H$10,0))*parametros_manuales!$M$100+parametros_manuales!$E$43*(datos_base!$H$19+IF(parametros_manuales!$H$43="Todos",datos_base!$H$24,0))*parametros_manuales!$M$13+parametros_manuales!$F$43*(datos_base!$H$4+IF(parametros_manuales!$H$43="Todos",datos_base!$H$11,0))*parametros_manuales!$M$105+parametros_manuales!$F$43*(datos_base!$H$20+IF(parametros_manuales!$H$43="Todos",datos_base!$H$25,0))*parametros_manuales!$M$14+parametros_manuales!$G$43*(datos_base!$H$5+IF(parametros_manuales!$H$43="Todos",datos_base!$H$12,0))*parametros_manuales!$M$110+parametros_manuales!$G$43*(datos_base!$H$21+IF(parametros_manuales!$H$43="Todos",datos_base!$H$26,0))*parametros_manuales!$M$15)*parametros_manuales!$I$43*parametros_manuales!$J$43</f>
        <v>15369.43582521</v>
      </c>
      <c r="N188" s="9" t="n">
        <f aca="false">SUM(B188:M188)</f>
        <v>170721.669169</v>
      </c>
      <c r="O188" s="9" t="n">
        <f aca="false">MAX(B188:M188)</f>
        <v>15369.43582521</v>
      </c>
      <c r="P188" s="44" t="n">
        <f aca="false">O188/(parametros_manuales!$B$7)</f>
        <v>102.4629055014</v>
      </c>
      <c r="Q188" s="8" t="str">
        <f aca="false">IF(O188=0,"-",INDEX($B$163:$M$163,MATCH(O188,B188:M188,0)))</f>
        <v>Dic</v>
      </c>
    </row>
    <row r="189" customFormat="false" ht="14.25" hidden="false" customHeight="true" outlineLevel="0" collapsed="false"/>
    <row r="190" customFormat="false" ht="14.25" hidden="false" customHeight="true" outlineLevel="0" collapsed="false">
      <c r="A190" s="7" t="s">
        <v>207</v>
      </c>
      <c r="B190" s="7" t="s">
        <v>59</v>
      </c>
      <c r="C190" s="7" t="s">
        <v>60</v>
      </c>
      <c r="D190" s="7" t="s">
        <v>61</v>
      </c>
      <c r="E190" s="7" t="s">
        <v>62</v>
      </c>
      <c r="F190" s="7" t="s">
        <v>63</v>
      </c>
      <c r="G190" s="7" t="s">
        <v>64</v>
      </c>
      <c r="H190" s="7" t="s">
        <v>65</v>
      </c>
      <c r="I190" s="7" t="s">
        <v>66</v>
      </c>
      <c r="J190" s="7" t="s">
        <v>67</v>
      </c>
      <c r="K190" s="7" t="s">
        <v>68</v>
      </c>
      <c r="L190" s="7" t="s">
        <v>69</v>
      </c>
      <c r="M190" s="7" t="s">
        <v>70</v>
      </c>
      <c r="N190" s="7" t="s">
        <v>181</v>
      </c>
      <c r="O190" s="7" t="s">
        <v>198</v>
      </c>
      <c r="P190" s="7" t="s">
        <v>199</v>
      </c>
      <c r="Q190" s="7" t="s">
        <v>200</v>
      </c>
    </row>
    <row r="191" customFormat="false" ht="14.25" hidden="false" customHeight="true" outlineLevel="0" collapsed="false">
      <c r="A191" s="8" t="str">
        <f aca="false">parametros_manuales!$B$19</f>
        <v>Recepción de materia prima</v>
      </c>
      <c r="B191" s="9" t="n">
        <f aca="false">(parametros_manuales!$D$19*(datos_base!$I$2+IF(parametros_manuales!$H$19="Todos",datos_base!$I$9,0))*parametros_manuales!$B$95+parametros_manuales!$D$19*(datos_base!$I$18+IF(parametros_manuales!$H$19="Todos",datos_base!$I$23,0))*parametros_manuales!$B$12+parametros_manuales!$E$19*(datos_base!$I$3+IF(parametros_manuales!$H$19="Todos",datos_base!$I$10,0))*parametros_manuales!$B$100+parametros_manuales!$E$19*(datos_base!$I$19+IF(parametros_manuales!$H$19="Todos",datos_base!$I$24,0))*parametros_manuales!$B$13+parametros_manuales!$F$19*(datos_base!$I$4+IF(parametros_manuales!$H$19="Todos",datos_base!$I$11,0))*parametros_manuales!$B$105+parametros_manuales!$F$19*(datos_base!$I$20+IF(parametros_manuales!$H$19="Todos",datos_base!$I$25,0))*parametros_manuales!$B$14+parametros_manuales!$G$19*(datos_base!$I$5+IF(parametros_manuales!$H$19="Todos",datos_base!$I$12,0))*parametros_manuales!$B$110+parametros_manuales!$G$19*(datos_base!$I$21+IF(parametros_manuales!$H$19="Todos",datos_base!$I$26,0))*parametros_manuales!$B$15)*parametros_manuales!$I$19*parametros_manuales!$J$19</f>
        <v>19635.33346241</v>
      </c>
      <c r="C191" s="9" t="n">
        <f aca="false">(parametros_manuales!$D$19*(datos_base!$I$2+IF(parametros_manuales!$H$19="Todos",datos_base!$I$9,0))*parametros_manuales!$C$95+parametros_manuales!$D$19*(datos_base!$I$18+IF(parametros_manuales!$H$19="Todos",datos_base!$I$23,0))*parametros_manuales!$C$12+parametros_manuales!$E$19*(datos_base!$I$3+IF(parametros_manuales!$H$19="Todos",datos_base!$I$10,0))*parametros_manuales!$C$100+parametros_manuales!$E$19*(datos_base!$I$19+IF(parametros_manuales!$H$19="Todos",datos_base!$I$24,0))*parametros_manuales!$C$13+parametros_manuales!$F$19*(datos_base!$I$4+IF(parametros_manuales!$H$19="Todos",datos_base!$I$11,0))*parametros_manuales!$C$105+parametros_manuales!$F$19*(datos_base!$I$20+IF(parametros_manuales!$H$19="Todos",datos_base!$I$25,0))*parametros_manuales!$C$14+parametros_manuales!$G$19*(datos_base!$I$5+IF(parametros_manuales!$H$19="Todos",datos_base!$I$12,0))*parametros_manuales!$C$110+parametros_manuales!$G$19*(datos_base!$I$21+IF(parametros_manuales!$H$19="Todos",datos_base!$I$26,0))*parametros_manuales!$C$15)*parametros_manuales!$I$19*parametros_manuales!$J$19</f>
        <v>19013.21368472</v>
      </c>
      <c r="D191" s="9" t="n">
        <f aca="false">(parametros_manuales!$D$19*(datos_base!$I$2+IF(parametros_manuales!$H$19="Todos",datos_base!$I$9,0))*parametros_manuales!$D$95+parametros_manuales!$D$19*(datos_base!$I$18+IF(parametros_manuales!$H$19="Todos",datos_base!$I$23,0))*parametros_manuales!$D$12+parametros_manuales!$E$19*(datos_base!$I$3+IF(parametros_manuales!$H$19="Todos",datos_base!$I$10,0))*parametros_manuales!$D$100+parametros_manuales!$E$19*(datos_base!$I$19+IF(parametros_manuales!$H$19="Todos",datos_base!$I$24,0))*parametros_manuales!$D$13+parametros_manuales!$F$19*(datos_base!$I$4+IF(parametros_manuales!$H$19="Todos",datos_base!$I$11,0))*parametros_manuales!$D$105+parametros_manuales!$F$19*(datos_base!$I$20+IF(parametros_manuales!$H$19="Todos",datos_base!$I$25,0))*parametros_manuales!$D$14+parametros_manuales!$G$19*(datos_base!$I$5+IF(parametros_manuales!$H$19="Todos",datos_base!$I$12,0))*parametros_manuales!$D$110+parametros_manuales!$G$19*(datos_base!$I$21+IF(parametros_manuales!$H$19="Todos",datos_base!$I$26,0))*parametros_manuales!$D$15)*parametros_manuales!$I$19*parametros_manuales!$J$19</f>
        <v>17761.960188765</v>
      </c>
      <c r="E191" s="9" t="n">
        <f aca="false">(parametros_manuales!$D$19*(datos_base!$I$2+IF(parametros_manuales!$H$19="Todos",datos_base!$I$9,0))*parametros_manuales!$E$95+parametros_manuales!$D$19*(datos_base!$I$18+IF(parametros_manuales!$H$19="Todos",datos_base!$I$23,0))*parametros_manuales!$E$12+parametros_manuales!$E$19*(datos_base!$I$3+IF(parametros_manuales!$H$19="Todos",datos_base!$I$10,0))*parametros_manuales!$E$100+parametros_manuales!$E$19*(datos_base!$I$19+IF(parametros_manuales!$H$19="Todos",datos_base!$I$24,0))*parametros_manuales!$E$13+parametros_manuales!$F$19*(datos_base!$I$4+IF(parametros_manuales!$H$19="Todos",datos_base!$I$11,0))*parametros_manuales!$E$105+parametros_manuales!$F$19*(datos_base!$I$20+IF(parametros_manuales!$H$19="Todos",datos_base!$I$25,0))*parametros_manuales!$E$14+parametros_manuales!$G$19*(datos_base!$I$5+IF(parametros_manuales!$H$19="Todos",datos_base!$I$12,0))*parametros_manuales!$E$110+parametros_manuales!$G$19*(datos_base!$I$21+IF(parametros_manuales!$H$19="Todos",datos_base!$I$26,0))*parametros_manuales!$E$15)*parametros_manuales!$I$19*parametros_manuales!$J$19</f>
        <v>16981.294796365</v>
      </c>
      <c r="F191" s="9" t="n">
        <f aca="false">(parametros_manuales!$D$19*(datos_base!$I$2+IF(parametros_manuales!$H$19="Todos",datos_base!$I$9,0))*parametros_manuales!$F$95+parametros_manuales!$D$19*(datos_base!$I$18+IF(parametros_manuales!$H$19="Todos",datos_base!$I$23,0))*parametros_manuales!$F$12+parametros_manuales!$E$19*(datos_base!$I$3+IF(parametros_manuales!$H$19="Todos",datos_base!$I$10,0))*parametros_manuales!$F$100+parametros_manuales!$E$19*(datos_base!$I$19+IF(parametros_manuales!$H$19="Todos",datos_base!$I$24,0))*parametros_manuales!$F$13+parametros_manuales!$F$19*(datos_base!$I$4+IF(parametros_manuales!$H$19="Todos",datos_base!$I$11,0))*parametros_manuales!$F$105+parametros_manuales!$F$19*(datos_base!$I$20+IF(parametros_manuales!$H$19="Todos",datos_base!$I$25,0))*parametros_manuales!$F$14+parametros_manuales!$G$19*(datos_base!$I$5+IF(parametros_manuales!$H$19="Todos",datos_base!$I$12,0))*parametros_manuales!$F$110+parametros_manuales!$G$19*(datos_base!$I$21+IF(parametros_manuales!$H$19="Todos",datos_base!$I$26,0))*parametros_manuales!$F$15)*parametros_manuales!$I$19*parametros_manuales!$J$19</f>
        <v>15890.55211512</v>
      </c>
      <c r="G191" s="9" t="n">
        <f aca="false">(parametros_manuales!$D$19*(datos_base!$I$2+IF(parametros_manuales!$H$19="Todos",datos_base!$I$9,0))*parametros_manuales!$G$95+parametros_manuales!$D$19*(datos_base!$I$18+IF(parametros_manuales!$H$19="Todos",datos_base!$I$23,0))*parametros_manuales!$G$12+parametros_manuales!$E$19*(datos_base!$I$3+IF(parametros_manuales!$H$19="Todos",datos_base!$I$10,0))*parametros_manuales!$G$100+parametros_manuales!$E$19*(datos_base!$I$19+IF(parametros_manuales!$H$19="Todos",datos_base!$I$24,0))*parametros_manuales!$G$13+parametros_manuales!$F$19*(datos_base!$I$4+IF(parametros_manuales!$H$19="Todos",datos_base!$I$11,0))*parametros_manuales!$G$105+parametros_manuales!$F$19*(datos_base!$I$20+IF(parametros_manuales!$H$19="Todos",datos_base!$I$25,0))*parametros_manuales!$G$14+parametros_manuales!$G$19*(datos_base!$I$5+IF(parametros_manuales!$H$19="Todos",datos_base!$I$12,0))*parametros_manuales!$G$110+parametros_manuales!$G$19*(datos_base!$I$21+IF(parametros_manuales!$H$19="Todos",datos_base!$I$26,0))*parametros_manuales!$G$15)*parametros_manuales!$I$19*parametros_manuales!$J$19</f>
        <v>15580.474826275</v>
      </c>
      <c r="H191" s="9" t="n">
        <f aca="false">(parametros_manuales!$D$19*(datos_base!$I$2+IF(parametros_manuales!$H$19="Todos",datos_base!$I$9,0))*parametros_manuales!$H$95+parametros_manuales!$D$19*(datos_base!$I$18+IF(parametros_manuales!$H$19="Todos",datos_base!$I$23,0))*parametros_manuales!$H$12+parametros_manuales!$E$19*(datos_base!$I$3+IF(parametros_manuales!$H$19="Todos",datos_base!$I$10,0))*parametros_manuales!$H$100+parametros_manuales!$E$19*(datos_base!$I$19+IF(parametros_manuales!$H$19="Todos",datos_base!$I$24,0))*parametros_manuales!$H$13+parametros_manuales!$F$19*(datos_base!$I$4+IF(parametros_manuales!$H$19="Todos",datos_base!$I$11,0))*parametros_manuales!$H$105+parametros_manuales!$F$19*(datos_base!$I$20+IF(parametros_manuales!$H$19="Todos",datos_base!$I$25,0))*parametros_manuales!$H$14+parametros_manuales!$G$19*(datos_base!$I$5+IF(parametros_manuales!$H$19="Todos",datos_base!$I$12,0))*parametros_manuales!$H$110+parametros_manuales!$G$19*(datos_base!$I$21+IF(parametros_manuales!$H$19="Todos",datos_base!$I$26,0))*parametros_manuales!$H$15)*parametros_manuales!$I$19*parametros_manuales!$J$19</f>
        <v>16671.21750752</v>
      </c>
      <c r="I191" s="9" t="n">
        <f aca="false">(parametros_manuales!$D$19*(datos_base!$I$2+IF(parametros_manuales!$H$19="Todos",datos_base!$I$9,0))*parametros_manuales!$I$95+parametros_manuales!$D$19*(datos_base!$I$18+IF(parametros_manuales!$H$19="Todos",datos_base!$I$23,0))*parametros_manuales!$I$12+parametros_manuales!$E$19*(datos_base!$I$3+IF(parametros_manuales!$H$19="Todos",datos_base!$I$10,0))*parametros_manuales!$I$100+parametros_manuales!$E$19*(datos_base!$I$19+IF(parametros_manuales!$H$19="Todos",datos_base!$I$24,0))*parametros_manuales!$I$13+parametros_manuales!$F$19*(datos_base!$I$4+IF(parametros_manuales!$H$19="Todos",datos_base!$I$11,0))*parametros_manuales!$I$105+parametros_manuales!$F$19*(datos_base!$I$20+IF(parametros_manuales!$H$19="Todos",datos_base!$I$25,0))*parametros_manuales!$I$14+parametros_manuales!$G$19*(datos_base!$I$5+IF(parametros_manuales!$H$19="Todos",datos_base!$I$12,0))*parametros_manuales!$I$110+parametros_manuales!$G$19*(datos_base!$I$21+IF(parametros_manuales!$H$19="Todos",datos_base!$I$26,0))*parametros_manuales!$I$15)*parametros_manuales!$I$19*parametros_manuales!$J$19</f>
        <v>19013.21368472</v>
      </c>
      <c r="J191" s="9" t="n">
        <f aca="false">(parametros_manuales!$D$19*(datos_base!$I$2+IF(parametros_manuales!$H$19="Todos",datos_base!$I$9,0))*parametros_manuales!$J$95+parametros_manuales!$D$19*(datos_base!$I$18+IF(parametros_manuales!$H$19="Todos",datos_base!$I$23,0))*parametros_manuales!$J$12+parametros_manuales!$E$19*(datos_base!$I$3+IF(parametros_manuales!$H$19="Todos",datos_base!$I$10,0))*parametros_manuales!$J$100+parametros_manuales!$E$19*(datos_base!$I$19+IF(parametros_manuales!$H$19="Todos",datos_base!$I$24,0))*parametros_manuales!$J$13+parametros_manuales!$F$19*(datos_base!$I$4+IF(parametros_manuales!$H$19="Todos",datos_base!$I$11,0))*parametros_manuales!$J$105+parametros_manuales!$F$19*(datos_base!$I$20+IF(parametros_manuales!$H$19="Todos",datos_base!$I$25,0))*parametros_manuales!$J$14+parametros_manuales!$G$19*(datos_base!$I$5+IF(parametros_manuales!$H$19="Todos",datos_base!$I$12,0))*parametros_manuales!$J$110+parametros_manuales!$G$19*(datos_base!$I$21+IF(parametros_manuales!$H$19="Todos",datos_base!$I$26,0))*parametros_manuales!$J$15)*parametros_manuales!$I$19*parametros_manuales!$J$19</f>
        <v>19013.21368472</v>
      </c>
      <c r="K191" s="9" t="n">
        <f aca="false">(parametros_manuales!$D$19*(datos_base!$I$2+IF(parametros_manuales!$H$19="Todos",datos_base!$I$9,0))*parametros_manuales!$K$95+parametros_manuales!$D$19*(datos_base!$I$18+IF(parametros_manuales!$H$19="Todos",datos_base!$I$23,0))*parametros_manuales!$K$12+parametros_manuales!$E$19*(datos_base!$I$3+IF(parametros_manuales!$H$19="Todos",datos_base!$I$10,0))*parametros_manuales!$K$100+parametros_manuales!$E$19*(datos_base!$I$19+IF(parametros_manuales!$H$19="Todos",datos_base!$I$24,0))*parametros_manuales!$K$13+parametros_manuales!$F$19*(datos_base!$I$4+IF(parametros_manuales!$H$19="Todos",datos_base!$I$11,0))*parametros_manuales!$K$105+parametros_manuales!$F$19*(datos_base!$I$20+IF(parametros_manuales!$H$19="Todos",datos_base!$I$25,0))*parametros_manuales!$K$14+parametros_manuales!$G$19*(datos_base!$I$5+IF(parametros_manuales!$H$19="Todos",datos_base!$I$12,0))*parametros_manuales!$K$110+parametros_manuales!$G$19*(datos_base!$I$21+IF(parametros_manuales!$H$19="Todos",datos_base!$I$26,0))*parametros_manuales!$K$15)*parametros_manuales!$I$19*parametros_manuales!$J$19</f>
        <v>19321.325773565</v>
      </c>
      <c r="L191" s="9" t="n">
        <f aca="false">(parametros_manuales!$D$19*(datos_base!$I$2+IF(parametros_manuales!$H$19="Todos",datos_base!$I$9,0))*parametros_manuales!$L$95+parametros_manuales!$D$19*(datos_base!$I$18+IF(parametros_manuales!$H$19="Todos",datos_base!$I$23,0))*parametros_manuales!$L$12+parametros_manuales!$E$19*(datos_base!$I$3+IF(parametros_manuales!$H$19="Todos",datos_base!$I$10,0))*parametros_manuales!$L$100+parametros_manuales!$E$19*(datos_base!$I$19+IF(parametros_manuales!$H$19="Todos",datos_base!$I$24,0))*parametros_manuales!$L$13+parametros_manuales!$F$19*(datos_base!$I$4+IF(parametros_manuales!$H$19="Todos",datos_base!$I$11,0))*parametros_manuales!$L$105+parametros_manuales!$F$19*(datos_base!$I$20+IF(parametros_manuales!$H$19="Todos",datos_base!$I$25,0))*parametros_manuales!$L$14+parametros_manuales!$G$19*(datos_base!$I$5+IF(parametros_manuales!$H$19="Todos",datos_base!$I$12,0))*parametros_manuales!$L$110+parametros_manuales!$G$19*(datos_base!$I$21+IF(parametros_manuales!$H$19="Todos",datos_base!$I$26,0))*parametros_manuales!$L$15)*parametros_manuales!$I$19*parametros_manuales!$J$19</f>
        <v>19629.43786241</v>
      </c>
      <c r="M191" s="9" t="n">
        <f aca="false">(parametros_manuales!$D$19*(datos_base!$I$2+IF(parametros_manuales!$H$19="Todos",datos_base!$I$9,0))*parametros_manuales!$M$95+parametros_manuales!$D$19*(datos_base!$I$18+IF(parametros_manuales!$H$19="Todos",datos_base!$I$23,0))*parametros_manuales!$M$12+parametros_manuales!$E$19*(datos_base!$I$3+IF(parametros_manuales!$H$19="Todos",datos_base!$I$10,0))*parametros_manuales!$M$100+parametros_manuales!$E$19*(datos_base!$I$19+IF(parametros_manuales!$H$19="Todos",datos_base!$I$24,0))*parametros_manuales!$M$13+parametros_manuales!$F$19*(datos_base!$I$4+IF(parametros_manuales!$H$19="Todos",datos_base!$I$11,0))*parametros_manuales!$M$105+parametros_manuales!$F$19*(datos_base!$I$20+IF(parametros_manuales!$H$19="Todos",datos_base!$I$25,0))*parametros_manuales!$M$14+parametros_manuales!$G$19*(datos_base!$I$5+IF(parametros_manuales!$H$19="Todos",datos_base!$I$12,0))*parametros_manuales!$M$110+parametros_manuales!$G$19*(datos_base!$I$21+IF(parametros_manuales!$H$19="Todos",datos_base!$I$26,0))*parametros_manuales!$M$15)*parametros_manuales!$I$19*parametros_manuales!$J$19</f>
        <v>19637.29866241</v>
      </c>
      <c r="N191" s="9" t="n">
        <f aca="false">SUM(B191:M191)</f>
        <v>218148.536249</v>
      </c>
      <c r="O191" s="9" t="n">
        <f aca="false">MAX(B191:M191)</f>
        <v>19637.29866241</v>
      </c>
      <c r="P191" s="44" t="n">
        <f aca="false">O191/(parametros_manuales!$B$7)</f>
        <v>130.915324416067</v>
      </c>
      <c r="Q191" s="8" t="str">
        <f aca="false">IF(O191=0,"-",INDEX($B$190:$M$190,MATCH(O191,B191:M191,0)))</f>
        <v>Dic</v>
      </c>
    </row>
    <row r="192" customFormat="false" ht="14.25" hidden="false" customHeight="true" outlineLevel="0" collapsed="false">
      <c r="A192" s="8" t="str">
        <f aca="false">parametros_manuales!$B$20</f>
        <v>Corte de chapa (guillotina) — 2,5 a 10 kg</v>
      </c>
      <c r="B192" s="9" t="n">
        <f aca="false">(parametros_manuales!$D$20*(datos_base!$I$2+IF(parametros_manuales!$H$20="Todos",datos_base!$I$9,0))*parametros_manuales!$B$95+parametros_manuales!$D$20*(datos_base!$I$18+IF(parametros_manuales!$H$20="Todos",datos_base!$I$23,0))*parametros_manuales!$B$12+parametros_manuales!$E$20*(datos_base!$I$3+IF(parametros_manuales!$H$20="Todos",datos_base!$I$10,0))*parametros_manuales!$B$100+parametros_manuales!$E$20*(datos_base!$I$19+IF(parametros_manuales!$H$20="Todos",datos_base!$I$24,0))*parametros_manuales!$B$13+parametros_manuales!$F$20*(datos_base!$I$4+IF(parametros_manuales!$H$20="Todos",datos_base!$I$11,0))*parametros_manuales!$B$105+parametros_manuales!$F$20*(datos_base!$I$20+IF(parametros_manuales!$H$20="Todos",datos_base!$I$25,0))*parametros_manuales!$B$14+parametros_manuales!$G$20*(datos_base!$I$5+IF(parametros_manuales!$H$20="Todos",datos_base!$I$12,0))*parametros_manuales!$B$110+parametros_manuales!$G$20*(datos_base!$I$21+IF(parametros_manuales!$H$20="Todos",datos_base!$I$26,0))*parametros_manuales!$B$15)*parametros_manuales!$I$20*parametros_manuales!$J$20</f>
        <v>5583.35639921</v>
      </c>
      <c r="C192" s="9" t="n">
        <f aca="false">(parametros_manuales!$D$20*(datos_base!$I$2+IF(parametros_manuales!$H$20="Todos",datos_base!$I$9,0))*parametros_manuales!$C$95+parametros_manuales!$D$20*(datos_base!$I$18+IF(parametros_manuales!$H$20="Todos",datos_base!$I$23,0))*parametros_manuales!$C$12+parametros_manuales!$E$20*(datos_base!$I$3+IF(parametros_manuales!$H$20="Todos",datos_base!$I$10,0))*parametros_manuales!$C$100+parametros_manuales!$E$20*(datos_base!$I$19+IF(parametros_manuales!$H$20="Todos",datos_base!$I$24,0))*parametros_manuales!$C$13+parametros_manuales!$F$20*(datos_base!$I$4+IF(parametros_manuales!$H$20="Todos",datos_base!$I$11,0))*parametros_manuales!$C$105+parametros_manuales!$F$20*(datos_base!$I$20+IF(parametros_manuales!$H$20="Todos",datos_base!$I$25,0))*parametros_manuales!$C$14+parametros_manuales!$G$20*(datos_base!$I$5+IF(parametros_manuales!$H$20="Todos",datos_base!$I$12,0))*parametros_manuales!$C$110+parametros_manuales!$G$20*(datos_base!$I$21+IF(parametros_manuales!$H$20="Todos",datos_base!$I$26,0))*parametros_manuales!$C$15)*parametros_manuales!$I$20*parametros_manuales!$J$20</f>
        <v>4961.23662152</v>
      </c>
      <c r="D192" s="9" t="n">
        <f aca="false">(parametros_manuales!$D$20*(datos_base!$I$2+IF(parametros_manuales!$H$20="Todos",datos_base!$I$9,0))*parametros_manuales!$D$95+parametros_manuales!$D$20*(datos_base!$I$18+IF(parametros_manuales!$H$20="Todos",datos_base!$I$23,0))*parametros_manuales!$D$12+parametros_manuales!$E$20*(datos_base!$I$3+IF(parametros_manuales!$H$20="Todos",datos_base!$I$10,0))*parametros_manuales!$D$100+parametros_manuales!$E$20*(datos_base!$I$19+IF(parametros_manuales!$H$20="Todos",datos_base!$I$24,0))*parametros_manuales!$D$13+parametros_manuales!$F$20*(datos_base!$I$4+IF(parametros_manuales!$H$20="Todos",datos_base!$I$11,0))*parametros_manuales!$D$105+parametros_manuales!$F$20*(datos_base!$I$20+IF(parametros_manuales!$H$20="Todos",datos_base!$I$25,0))*parametros_manuales!$D$14+parametros_manuales!$G$20*(datos_base!$I$5+IF(parametros_manuales!$H$20="Todos",datos_base!$I$12,0))*parametros_manuales!$D$110+parametros_manuales!$G$20*(datos_base!$I$21+IF(parametros_manuales!$H$20="Todos",datos_base!$I$26,0))*parametros_manuales!$D$15)*parametros_manuales!$I$20*parametros_manuales!$J$20</f>
        <v>5271.313910365</v>
      </c>
      <c r="E192" s="9" t="n">
        <f aca="false">(parametros_manuales!$D$20*(datos_base!$I$2+IF(parametros_manuales!$H$20="Todos",datos_base!$I$9,0))*parametros_manuales!$E$95+parametros_manuales!$D$20*(datos_base!$I$18+IF(parametros_manuales!$H$20="Todos",datos_base!$I$23,0))*parametros_manuales!$E$12+parametros_manuales!$E$20*(datos_base!$I$3+IF(parametros_manuales!$H$20="Todos",datos_base!$I$10,0))*parametros_manuales!$E$100+parametros_manuales!$E$20*(datos_base!$I$19+IF(parametros_manuales!$H$20="Todos",datos_base!$I$24,0))*parametros_manuales!$E$13+parametros_manuales!$F$20*(datos_base!$I$4+IF(parametros_manuales!$H$20="Todos",datos_base!$I$11,0))*parametros_manuales!$E$105+parametros_manuales!$F$20*(datos_base!$I$20+IF(parametros_manuales!$H$20="Todos",datos_base!$I$25,0))*parametros_manuales!$E$14+parametros_manuales!$G$20*(datos_base!$I$5+IF(parametros_manuales!$H$20="Todos",datos_base!$I$12,0))*parametros_manuales!$E$110+parametros_manuales!$G$20*(datos_base!$I$21+IF(parametros_manuales!$H$20="Todos",datos_base!$I$26,0))*parametros_manuales!$E$15)*parametros_manuales!$I$20*parametros_manuales!$J$20</f>
        <v>5271.313910365</v>
      </c>
      <c r="F192" s="9" t="n">
        <f aca="false">(parametros_manuales!$D$20*(datos_base!$I$2+IF(parametros_manuales!$H$20="Todos",datos_base!$I$9,0))*parametros_manuales!$F$95+parametros_manuales!$D$20*(datos_base!$I$18+IF(parametros_manuales!$H$20="Todos",datos_base!$I$23,0))*parametros_manuales!$F$12+parametros_manuales!$E$20*(datos_base!$I$3+IF(parametros_manuales!$H$20="Todos",datos_base!$I$10,0))*parametros_manuales!$F$100+parametros_manuales!$E$20*(datos_base!$I$19+IF(parametros_manuales!$H$20="Todos",datos_base!$I$24,0))*parametros_manuales!$F$13+parametros_manuales!$F$20*(datos_base!$I$4+IF(parametros_manuales!$H$20="Todos",datos_base!$I$11,0))*parametros_manuales!$F$105+parametros_manuales!$F$20*(datos_base!$I$20+IF(parametros_manuales!$H$20="Todos",datos_base!$I$25,0))*parametros_manuales!$F$14+parametros_manuales!$G$20*(datos_base!$I$5+IF(parametros_manuales!$H$20="Todos",datos_base!$I$12,0))*parametros_manuales!$F$110+parametros_manuales!$G$20*(datos_base!$I$21+IF(parametros_manuales!$H$20="Todos",datos_base!$I$26,0))*parametros_manuales!$F$15)*parametros_manuales!$I$20*parametros_manuales!$J$20</f>
        <v>4961.23662152</v>
      </c>
      <c r="G192" s="9" t="n">
        <f aca="false">(parametros_manuales!$D$20*(datos_base!$I$2+IF(parametros_manuales!$H$20="Todos",datos_base!$I$9,0))*parametros_manuales!$G$95+parametros_manuales!$D$20*(datos_base!$I$18+IF(parametros_manuales!$H$20="Todos",datos_base!$I$23,0))*parametros_manuales!$G$12+parametros_manuales!$E$20*(datos_base!$I$3+IF(parametros_manuales!$H$20="Todos",datos_base!$I$10,0))*parametros_manuales!$G$100+parametros_manuales!$E$20*(datos_base!$I$19+IF(parametros_manuales!$H$20="Todos",datos_base!$I$24,0))*parametros_manuales!$G$13+parametros_manuales!$F$20*(datos_base!$I$4+IF(parametros_manuales!$H$20="Todos",datos_base!$I$11,0))*parametros_manuales!$G$105+parametros_manuales!$F$20*(datos_base!$I$20+IF(parametros_manuales!$H$20="Todos",datos_base!$I$25,0))*parametros_manuales!$G$14+parametros_manuales!$G$20*(datos_base!$I$5+IF(parametros_manuales!$H$20="Todos",datos_base!$I$12,0))*parametros_manuales!$G$110+parametros_manuales!$G$20*(datos_base!$I$21+IF(parametros_manuales!$H$20="Todos",datos_base!$I$26,0))*parametros_manuales!$G$15)*parametros_manuales!$I$20*parametros_manuales!$J$20</f>
        <v>4651.159332675</v>
      </c>
      <c r="H192" s="9" t="n">
        <f aca="false">(parametros_manuales!$D$20*(datos_base!$I$2+IF(parametros_manuales!$H$20="Todos",datos_base!$I$9,0))*parametros_manuales!$H$95+parametros_manuales!$D$20*(datos_base!$I$18+IF(parametros_manuales!$H$20="Todos",datos_base!$I$23,0))*parametros_manuales!$H$12+parametros_manuales!$E$20*(datos_base!$I$3+IF(parametros_manuales!$H$20="Todos",datos_base!$I$10,0))*parametros_manuales!$H$100+parametros_manuales!$E$20*(datos_base!$I$19+IF(parametros_manuales!$H$20="Todos",datos_base!$I$24,0))*parametros_manuales!$H$13+parametros_manuales!$F$20*(datos_base!$I$4+IF(parametros_manuales!$H$20="Todos",datos_base!$I$11,0))*parametros_manuales!$H$105+parametros_manuales!$F$20*(datos_base!$I$20+IF(parametros_manuales!$H$20="Todos",datos_base!$I$25,0))*parametros_manuales!$H$14+parametros_manuales!$G$20*(datos_base!$I$5+IF(parametros_manuales!$H$20="Todos",datos_base!$I$12,0))*parametros_manuales!$H$110+parametros_manuales!$G$20*(datos_base!$I$21+IF(parametros_manuales!$H$20="Todos",datos_base!$I$26,0))*parametros_manuales!$H$15)*parametros_manuales!$I$20*parametros_manuales!$J$20</f>
        <v>4961.23662152</v>
      </c>
      <c r="I192" s="9" t="n">
        <f aca="false">(parametros_manuales!$D$20*(datos_base!$I$2+IF(parametros_manuales!$H$20="Todos",datos_base!$I$9,0))*parametros_manuales!$I$95+parametros_manuales!$D$20*(datos_base!$I$18+IF(parametros_manuales!$H$20="Todos",datos_base!$I$23,0))*parametros_manuales!$I$12+parametros_manuales!$E$20*(datos_base!$I$3+IF(parametros_manuales!$H$20="Todos",datos_base!$I$10,0))*parametros_manuales!$I$100+parametros_manuales!$E$20*(datos_base!$I$19+IF(parametros_manuales!$H$20="Todos",datos_base!$I$24,0))*parametros_manuales!$I$13+parametros_manuales!$F$20*(datos_base!$I$4+IF(parametros_manuales!$H$20="Todos",datos_base!$I$11,0))*parametros_manuales!$I$105+parametros_manuales!$F$20*(datos_base!$I$20+IF(parametros_manuales!$H$20="Todos",datos_base!$I$25,0))*parametros_manuales!$I$14+parametros_manuales!$G$20*(datos_base!$I$5+IF(parametros_manuales!$H$20="Todos",datos_base!$I$12,0))*parametros_manuales!$I$110+parametros_manuales!$G$20*(datos_base!$I$21+IF(parametros_manuales!$H$20="Todos",datos_base!$I$26,0))*parametros_manuales!$I$15)*parametros_manuales!$I$20*parametros_manuales!$J$20</f>
        <v>4961.23662152</v>
      </c>
      <c r="J192" s="9" t="n">
        <f aca="false">(parametros_manuales!$D$20*(datos_base!$I$2+IF(parametros_manuales!$H$20="Todos",datos_base!$I$9,0))*parametros_manuales!$J$95+parametros_manuales!$D$20*(datos_base!$I$18+IF(parametros_manuales!$H$20="Todos",datos_base!$I$23,0))*parametros_manuales!$J$12+parametros_manuales!$E$20*(datos_base!$I$3+IF(parametros_manuales!$H$20="Todos",datos_base!$I$10,0))*parametros_manuales!$J$100+parametros_manuales!$E$20*(datos_base!$I$19+IF(parametros_manuales!$H$20="Todos",datos_base!$I$24,0))*parametros_manuales!$J$13+parametros_manuales!$F$20*(datos_base!$I$4+IF(parametros_manuales!$H$20="Todos",datos_base!$I$11,0))*parametros_manuales!$J$105+parametros_manuales!$F$20*(datos_base!$I$20+IF(parametros_manuales!$H$20="Todos",datos_base!$I$25,0))*parametros_manuales!$J$14+parametros_manuales!$G$20*(datos_base!$I$5+IF(parametros_manuales!$H$20="Todos",datos_base!$I$12,0))*parametros_manuales!$J$110+parametros_manuales!$G$20*(datos_base!$I$21+IF(parametros_manuales!$H$20="Todos",datos_base!$I$26,0))*parametros_manuales!$J$15)*parametros_manuales!$I$20*parametros_manuales!$J$20</f>
        <v>4961.23662152</v>
      </c>
      <c r="K192" s="9" t="n">
        <f aca="false">(parametros_manuales!$D$20*(datos_base!$I$2+IF(parametros_manuales!$H$20="Todos",datos_base!$I$9,0))*parametros_manuales!$K$95+parametros_manuales!$D$20*(datos_base!$I$18+IF(parametros_manuales!$H$20="Todos",datos_base!$I$23,0))*parametros_manuales!$K$12+parametros_manuales!$E$20*(datos_base!$I$3+IF(parametros_manuales!$H$20="Todos",datos_base!$I$10,0))*parametros_manuales!$K$100+parametros_manuales!$E$20*(datos_base!$I$19+IF(parametros_manuales!$H$20="Todos",datos_base!$I$24,0))*parametros_manuales!$K$13+parametros_manuales!$F$20*(datos_base!$I$4+IF(parametros_manuales!$H$20="Todos",datos_base!$I$11,0))*parametros_manuales!$K$105+parametros_manuales!$F$20*(datos_base!$I$20+IF(parametros_manuales!$H$20="Todos",datos_base!$I$25,0))*parametros_manuales!$K$14+parametros_manuales!$G$20*(datos_base!$I$5+IF(parametros_manuales!$H$20="Todos",datos_base!$I$12,0))*parametros_manuales!$K$110+parametros_manuales!$G$20*(datos_base!$I$21+IF(parametros_manuales!$H$20="Todos",datos_base!$I$26,0))*parametros_manuales!$K$15)*parametros_manuales!$I$20*parametros_manuales!$J$20</f>
        <v>5269.348710365</v>
      </c>
      <c r="L192" s="9" t="n">
        <f aca="false">(parametros_manuales!$D$20*(datos_base!$I$2+IF(parametros_manuales!$H$20="Todos",datos_base!$I$9,0))*parametros_manuales!$L$95+parametros_manuales!$D$20*(datos_base!$I$18+IF(parametros_manuales!$H$20="Todos",datos_base!$I$23,0))*parametros_manuales!$L$12+parametros_manuales!$E$20*(datos_base!$I$3+IF(parametros_manuales!$H$20="Todos",datos_base!$I$10,0))*parametros_manuales!$L$100+parametros_manuales!$E$20*(datos_base!$I$19+IF(parametros_manuales!$H$20="Todos",datos_base!$I$24,0))*parametros_manuales!$L$13+parametros_manuales!$F$20*(datos_base!$I$4+IF(parametros_manuales!$H$20="Todos",datos_base!$I$11,0))*parametros_manuales!$L$105+parametros_manuales!$F$20*(datos_base!$I$20+IF(parametros_manuales!$H$20="Todos",datos_base!$I$25,0))*parametros_manuales!$L$14+parametros_manuales!$G$20*(datos_base!$I$5+IF(parametros_manuales!$H$20="Todos",datos_base!$I$12,0))*parametros_manuales!$L$110+parametros_manuales!$G$20*(datos_base!$I$21+IF(parametros_manuales!$H$20="Todos",datos_base!$I$26,0))*parametros_manuales!$L$15)*parametros_manuales!$I$20*parametros_manuales!$J$20</f>
        <v>5577.46079921</v>
      </c>
      <c r="M192" s="9" t="n">
        <f aca="false">(parametros_manuales!$D$20*(datos_base!$I$2+IF(parametros_manuales!$H$20="Todos",datos_base!$I$9,0))*parametros_manuales!$M$95+parametros_manuales!$D$20*(datos_base!$I$18+IF(parametros_manuales!$H$20="Todos",datos_base!$I$23,0))*parametros_manuales!$M$12+parametros_manuales!$E$20*(datos_base!$I$3+IF(parametros_manuales!$H$20="Todos",datos_base!$I$10,0))*parametros_manuales!$M$100+parametros_manuales!$E$20*(datos_base!$I$19+IF(parametros_manuales!$H$20="Todos",datos_base!$I$24,0))*parametros_manuales!$M$13+parametros_manuales!$F$20*(datos_base!$I$4+IF(parametros_manuales!$H$20="Todos",datos_base!$I$11,0))*parametros_manuales!$M$105+parametros_manuales!$F$20*(datos_base!$I$20+IF(parametros_manuales!$H$20="Todos",datos_base!$I$25,0))*parametros_manuales!$M$14+parametros_manuales!$G$20*(datos_base!$I$5+IF(parametros_manuales!$H$20="Todos",datos_base!$I$12,0))*parametros_manuales!$M$110+parametros_manuales!$G$20*(datos_base!$I$21+IF(parametros_manuales!$H$20="Todos",datos_base!$I$26,0))*parametros_manuales!$M$15)*parametros_manuales!$I$20*parametros_manuales!$J$20</f>
        <v>5585.32159921</v>
      </c>
      <c r="N192" s="9" t="n">
        <f aca="false">SUM(B192:M192)</f>
        <v>62015.457769</v>
      </c>
      <c r="O192" s="9" t="n">
        <f aca="false">MAX(B192:M192)</f>
        <v>5585.32159921</v>
      </c>
      <c r="P192" s="44" t="n">
        <f aca="false">O192/(parametros_manuales!$B$7)</f>
        <v>37.2354773280667</v>
      </c>
      <c r="Q192" s="8" t="str">
        <f aca="false">IF(O192=0,"-",INDEX($B$190:$M$190,MATCH(O192,B192:M192,0)))</f>
        <v>Dic</v>
      </c>
    </row>
    <row r="193" customFormat="false" ht="14.25" hidden="false" customHeight="true" outlineLevel="0" collapsed="false">
      <c r="A193" s="8" t="str">
        <f aca="false">parametros_manuales!$B$21</f>
        <v>Corte de tubo — 1 kg</v>
      </c>
      <c r="B193" s="9" t="n">
        <f aca="false">(parametros_manuales!$D$21*(datos_base!$I$2+IF(parametros_manuales!$H$21="Todos",datos_base!$I$9,0))*parametros_manuales!$B$95+parametros_manuales!$D$21*(datos_base!$I$18+IF(parametros_manuales!$H$21="Todos",datos_base!$I$23,0))*parametros_manuales!$B$12+parametros_manuales!$E$21*(datos_base!$I$3+IF(parametros_manuales!$H$21="Todos",datos_base!$I$10,0))*parametros_manuales!$B$100+parametros_manuales!$E$21*(datos_base!$I$19+IF(parametros_manuales!$H$21="Todos",datos_base!$I$24,0))*parametros_manuales!$B$13+parametros_manuales!$F$21*(datos_base!$I$4+IF(parametros_manuales!$H$21="Todos",datos_base!$I$11,0))*parametros_manuales!$B$105+parametros_manuales!$F$21*(datos_base!$I$20+IF(parametros_manuales!$H$21="Todos",datos_base!$I$25,0))*parametros_manuales!$B$14+parametros_manuales!$G$21*(datos_base!$I$5+IF(parametros_manuales!$H$21="Todos",datos_base!$I$12,0))*parametros_manuales!$B$110+parametros_manuales!$G$21*(datos_base!$I$21+IF(parametros_manuales!$H$21="Todos",datos_base!$I$26,0))*parametros_manuales!$B$15)*parametros_manuales!$I$21*parametros_manuales!$J$21</f>
        <v>14051.9770632</v>
      </c>
      <c r="C193" s="9" t="n">
        <f aca="false">(parametros_manuales!$D$21*(datos_base!$I$2+IF(parametros_manuales!$H$21="Todos",datos_base!$I$9,0))*parametros_manuales!$C$95+parametros_manuales!$D$21*(datos_base!$I$18+IF(parametros_manuales!$H$21="Todos",datos_base!$I$23,0))*parametros_manuales!$C$12+parametros_manuales!$E$21*(datos_base!$I$3+IF(parametros_manuales!$H$21="Todos",datos_base!$I$10,0))*parametros_manuales!$C$100+parametros_manuales!$E$21*(datos_base!$I$19+IF(parametros_manuales!$H$21="Todos",datos_base!$I$24,0))*parametros_manuales!$C$13+parametros_manuales!$F$21*(datos_base!$I$4+IF(parametros_manuales!$H$21="Todos",datos_base!$I$11,0))*parametros_manuales!$C$105+parametros_manuales!$F$21*(datos_base!$I$20+IF(parametros_manuales!$H$21="Todos",datos_base!$I$25,0))*parametros_manuales!$C$14+parametros_manuales!$G$21*(datos_base!$I$5+IF(parametros_manuales!$H$21="Todos",datos_base!$I$12,0))*parametros_manuales!$C$110+parametros_manuales!$G$21*(datos_base!$I$21+IF(parametros_manuales!$H$21="Todos",datos_base!$I$26,0))*parametros_manuales!$C$15)*parametros_manuales!$I$21*parametros_manuales!$J$21</f>
        <v>14051.9770632</v>
      </c>
      <c r="D193" s="9" t="n">
        <f aca="false">(parametros_manuales!$D$21*(datos_base!$I$2+IF(parametros_manuales!$H$21="Todos",datos_base!$I$9,0))*parametros_manuales!$D$95+parametros_manuales!$D$21*(datos_base!$I$18+IF(parametros_manuales!$H$21="Todos",datos_base!$I$23,0))*parametros_manuales!$D$12+parametros_manuales!$E$21*(datos_base!$I$3+IF(parametros_manuales!$H$21="Todos",datos_base!$I$10,0))*parametros_manuales!$D$100+parametros_manuales!$E$21*(datos_base!$I$19+IF(parametros_manuales!$H$21="Todos",datos_base!$I$24,0))*parametros_manuales!$D$13+parametros_manuales!$F$21*(datos_base!$I$4+IF(parametros_manuales!$H$21="Todos",datos_base!$I$11,0))*parametros_manuales!$D$105+parametros_manuales!$F$21*(datos_base!$I$20+IF(parametros_manuales!$H$21="Todos",datos_base!$I$25,0))*parametros_manuales!$D$14+parametros_manuales!$G$21*(datos_base!$I$5+IF(parametros_manuales!$H$21="Todos",datos_base!$I$12,0))*parametros_manuales!$D$110+parametros_manuales!$G$21*(datos_base!$I$21+IF(parametros_manuales!$H$21="Todos",datos_base!$I$26,0))*parametros_manuales!$D$15)*parametros_manuales!$I$21*parametros_manuales!$J$21</f>
        <v>12490.6462784</v>
      </c>
      <c r="E193" s="9" t="n">
        <f aca="false">(parametros_manuales!$D$21*(datos_base!$I$2+IF(parametros_manuales!$H$21="Todos",datos_base!$I$9,0))*parametros_manuales!$E$95+parametros_manuales!$D$21*(datos_base!$I$18+IF(parametros_manuales!$H$21="Todos",datos_base!$I$23,0))*parametros_manuales!$E$12+parametros_manuales!$E$21*(datos_base!$I$3+IF(parametros_manuales!$H$21="Todos",datos_base!$I$10,0))*parametros_manuales!$E$100+parametros_manuales!$E$21*(datos_base!$I$19+IF(parametros_manuales!$H$21="Todos",datos_base!$I$24,0))*parametros_manuales!$E$13+parametros_manuales!$F$21*(datos_base!$I$4+IF(parametros_manuales!$H$21="Todos",datos_base!$I$11,0))*parametros_manuales!$E$105+parametros_manuales!$F$21*(datos_base!$I$20+IF(parametros_manuales!$H$21="Todos",datos_base!$I$25,0))*parametros_manuales!$E$14+parametros_manuales!$G$21*(datos_base!$I$5+IF(parametros_manuales!$H$21="Todos",datos_base!$I$12,0))*parametros_manuales!$E$110+parametros_manuales!$G$21*(datos_base!$I$21+IF(parametros_manuales!$H$21="Todos",datos_base!$I$26,0))*parametros_manuales!$E$15)*parametros_manuales!$I$21*parametros_manuales!$J$21</f>
        <v>11709.980886</v>
      </c>
      <c r="F193" s="9" t="n">
        <f aca="false">(parametros_manuales!$D$21*(datos_base!$I$2+IF(parametros_manuales!$H$21="Todos",datos_base!$I$9,0))*parametros_manuales!$F$95+parametros_manuales!$D$21*(datos_base!$I$18+IF(parametros_manuales!$H$21="Todos",datos_base!$I$23,0))*parametros_manuales!$F$12+parametros_manuales!$E$21*(datos_base!$I$3+IF(parametros_manuales!$H$21="Todos",datos_base!$I$10,0))*parametros_manuales!$F$100+parametros_manuales!$E$21*(datos_base!$I$19+IF(parametros_manuales!$H$21="Todos",datos_base!$I$24,0))*parametros_manuales!$F$13+parametros_manuales!$F$21*(datos_base!$I$4+IF(parametros_manuales!$H$21="Todos",datos_base!$I$11,0))*parametros_manuales!$F$105+parametros_manuales!$F$21*(datos_base!$I$20+IF(parametros_manuales!$H$21="Todos",datos_base!$I$25,0))*parametros_manuales!$F$14+parametros_manuales!$G$21*(datos_base!$I$5+IF(parametros_manuales!$H$21="Todos",datos_base!$I$12,0))*parametros_manuales!$F$110+parametros_manuales!$G$21*(datos_base!$I$21+IF(parametros_manuales!$H$21="Todos",datos_base!$I$26,0))*parametros_manuales!$F$15)*parametros_manuales!$I$21*parametros_manuales!$J$21</f>
        <v>10929.3154936</v>
      </c>
      <c r="G193" s="9" t="n">
        <f aca="false">(parametros_manuales!$D$21*(datos_base!$I$2+IF(parametros_manuales!$H$21="Todos",datos_base!$I$9,0))*parametros_manuales!$G$95+parametros_manuales!$D$21*(datos_base!$I$18+IF(parametros_manuales!$H$21="Todos",datos_base!$I$23,0))*parametros_manuales!$G$12+parametros_manuales!$E$21*(datos_base!$I$3+IF(parametros_manuales!$H$21="Todos",datos_base!$I$10,0))*parametros_manuales!$G$100+parametros_manuales!$E$21*(datos_base!$I$19+IF(parametros_manuales!$H$21="Todos",datos_base!$I$24,0))*parametros_manuales!$G$13+parametros_manuales!$F$21*(datos_base!$I$4+IF(parametros_manuales!$H$21="Todos",datos_base!$I$11,0))*parametros_manuales!$G$105+parametros_manuales!$F$21*(datos_base!$I$20+IF(parametros_manuales!$H$21="Todos",datos_base!$I$25,0))*parametros_manuales!$G$14+parametros_manuales!$G$21*(datos_base!$I$5+IF(parametros_manuales!$H$21="Todos",datos_base!$I$12,0))*parametros_manuales!$G$110+parametros_manuales!$G$21*(datos_base!$I$21+IF(parametros_manuales!$H$21="Todos",datos_base!$I$26,0))*parametros_manuales!$G$15)*parametros_manuales!$I$21*parametros_manuales!$J$21</f>
        <v>10929.3154936</v>
      </c>
      <c r="H193" s="9" t="n">
        <f aca="false">(parametros_manuales!$D$21*(datos_base!$I$2+IF(parametros_manuales!$H$21="Todos",datos_base!$I$9,0))*parametros_manuales!$H$95+parametros_manuales!$D$21*(datos_base!$I$18+IF(parametros_manuales!$H$21="Todos",datos_base!$I$23,0))*parametros_manuales!$H$12+parametros_manuales!$E$21*(datos_base!$I$3+IF(parametros_manuales!$H$21="Todos",datos_base!$I$10,0))*parametros_manuales!$H$100+parametros_manuales!$E$21*(datos_base!$I$19+IF(parametros_manuales!$H$21="Todos",datos_base!$I$24,0))*parametros_manuales!$H$13+parametros_manuales!$F$21*(datos_base!$I$4+IF(parametros_manuales!$H$21="Todos",datos_base!$I$11,0))*parametros_manuales!$H$105+parametros_manuales!$F$21*(datos_base!$I$20+IF(parametros_manuales!$H$21="Todos",datos_base!$I$25,0))*parametros_manuales!$H$14+parametros_manuales!$G$21*(datos_base!$I$5+IF(parametros_manuales!$H$21="Todos",datos_base!$I$12,0))*parametros_manuales!$H$110+parametros_manuales!$G$21*(datos_base!$I$21+IF(parametros_manuales!$H$21="Todos",datos_base!$I$26,0))*parametros_manuales!$H$15)*parametros_manuales!$I$21*parametros_manuales!$J$21</f>
        <v>11709.980886</v>
      </c>
      <c r="I193" s="9" t="n">
        <f aca="false">(parametros_manuales!$D$21*(datos_base!$I$2+IF(parametros_manuales!$H$21="Todos",datos_base!$I$9,0))*parametros_manuales!$I$95+parametros_manuales!$D$21*(datos_base!$I$18+IF(parametros_manuales!$H$21="Todos",datos_base!$I$23,0))*parametros_manuales!$I$12+parametros_manuales!$E$21*(datos_base!$I$3+IF(parametros_manuales!$H$21="Todos",datos_base!$I$10,0))*parametros_manuales!$I$100+parametros_manuales!$E$21*(datos_base!$I$19+IF(parametros_manuales!$H$21="Todos",datos_base!$I$24,0))*parametros_manuales!$I$13+parametros_manuales!$F$21*(datos_base!$I$4+IF(parametros_manuales!$H$21="Todos",datos_base!$I$11,0))*parametros_manuales!$I$105+parametros_manuales!$F$21*(datos_base!$I$20+IF(parametros_manuales!$H$21="Todos",datos_base!$I$25,0))*parametros_manuales!$I$14+parametros_manuales!$G$21*(datos_base!$I$5+IF(parametros_manuales!$H$21="Todos",datos_base!$I$12,0))*parametros_manuales!$I$110+parametros_manuales!$G$21*(datos_base!$I$21+IF(parametros_manuales!$H$21="Todos",datos_base!$I$26,0))*parametros_manuales!$I$15)*parametros_manuales!$I$21*parametros_manuales!$J$21</f>
        <v>14051.9770632</v>
      </c>
      <c r="J193" s="9" t="n">
        <f aca="false">(parametros_manuales!$D$21*(datos_base!$I$2+IF(parametros_manuales!$H$21="Todos",datos_base!$I$9,0))*parametros_manuales!$J$95+parametros_manuales!$D$21*(datos_base!$I$18+IF(parametros_manuales!$H$21="Todos",datos_base!$I$23,0))*parametros_manuales!$J$12+parametros_manuales!$E$21*(datos_base!$I$3+IF(parametros_manuales!$H$21="Todos",datos_base!$I$10,0))*parametros_manuales!$J$100+parametros_manuales!$E$21*(datos_base!$I$19+IF(parametros_manuales!$H$21="Todos",datos_base!$I$24,0))*parametros_manuales!$J$13+parametros_manuales!$F$21*(datos_base!$I$4+IF(parametros_manuales!$H$21="Todos",datos_base!$I$11,0))*parametros_manuales!$J$105+parametros_manuales!$F$21*(datos_base!$I$20+IF(parametros_manuales!$H$21="Todos",datos_base!$I$25,0))*parametros_manuales!$J$14+parametros_manuales!$G$21*(datos_base!$I$5+IF(parametros_manuales!$H$21="Todos",datos_base!$I$12,0))*parametros_manuales!$J$110+parametros_manuales!$G$21*(datos_base!$I$21+IF(parametros_manuales!$H$21="Todos",datos_base!$I$26,0))*parametros_manuales!$J$15)*parametros_manuales!$I$21*parametros_manuales!$J$21</f>
        <v>14051.9770632</v>
      </c>
      <c r="K193" s="9" t="n">
        <f aca="false">(parametros_manuales!$D$21*(datos_base!$I$2+IF(parametros_manuales!$H$21="Todos",datos_base!$I$9,0))*parametros_manuales!$K$95+parametros_manuales!$D$21*(datos_base!$I$18+IF(parametros_manuales!$H$21="Todos",datos_base!$I$23,0))*parametros_manuales!$K$12+parametros_manuales!$E$21*(datos_base!$I$3+IF(parametros_manuales!$H$21="Todos",datos_base!$I$10,0))*parametros_manuales!$K$100+parametros_manuales!$E$21*(datos_base!$I$19+IF(parametros_manuales!$H$21="Todos",datos_base!$I$24,0))*parametros_manuales!$K$13+parametros_manuales!$F$21*(datos_base!$I$4+IF(parametros_manuales!$H$21="Todos",datos_base!$I$11,0))*parametros_manuales!$K$105+parametros_manuales!$F$21*(datos_base!$I$20+IF(parametros_manuales!$H$21="Todos",datos_base!$I$25,0))*parametros_manuales!$K$14+parametros_manuales!$G$21*(datos_base!$I$5+IF(parametros_manuales!$H$21="Todos",datos_base!$I$12,0))*parametros_manuales!$K$110+parametros_manuales!$G$21*(datos_base!$I$21+IF(parametros_manuales!$H$21="Todos",datos_base!$I$26,0))*parametros_manuales!$K$15)*parametros_manuales!$I$21*parametros_manuales!$J$21</f>
        <v>14051.9770632</v>
      </c>
      <c r="L193" s="9" t="n">
        <f aca="false">(parametros_manuales!$D$21*(datos_base!$I$2+IF(parametros_manuales!$H$21="Todos",datos_base!$I$9,0))*parametros_manuales!$L$95+parametros_manuales!$D$21*(datos_base!$I$18+IF(parametros_manuales!$H$21="Todos",datos_base!$I$23,0))*parametros_manuales!$L$12+parametros_manuales!$E$21*(datos_base!$I$3+IF(parametros_manuales!$H$21="Todos",datos_base!$I$10,0))*parametros_manuales!$L$100+parametros_manuales!$E$21*(datos_base!$I$19+IF(parametros_manuales!$H$21="Todos",datos_base!$I$24,0))*parametros_manuales!$L$13+parametros_manuales!$F$21*(datos_base!$I$4+IF(parametros_manuales!$H$21="Todos",datos_base!$I$11,0))*parametros_manuales!$L$105+parametros_manuales!$F$21*(datos_base!$I$20+IF(parametros_manuales!$H$21="Todos",datos_base!$I$25,0))*parametros_manuales!$L$14+parametros_manuales!$G$21*(datos_base!$I$5+IF(parametros_manuales!$H$21="Todos",datos_base!$I$12,0))*parametros_manuales!$L$110+parametros_manuales!$G$21*(datos_base!$I$21+IF(parametros_manuales!$H$21="Todos",datos_base!$I$26,0))*parametros_manuales!$L$15)*parametros_manuales!$I$21*parametros_manuales!$J$21</f>
        <v>14051.9770632</v>
      </c>
      <c r="M193" s="9" t="n">
        <f aca="false">(parametros_manuales!$D$21*(datos_base!$I$2+IF(parametros_manuales!$H$21="Todos",datos_base!$I$9,0))*parametros_manuales!$M$95+parametros_manuales!$D$21*(datos_base!$I$18+IF(parametros_manuales!$H$21="Todos",datos_base!$I$23,0))*parametros_manuales!$M$12+parametros_manuales!$E$21*(datos_base!$I$3+IF(parametros_manuales!$H$21="Todos",datos_base!$I$10,0))*parametros_manuales!$M$100+parametros_manuales!$E$21*(datos_base!$I$19+IF(parametros_manuales!$H$21="Todos",datos_base!$I$24,0))*parametros_manuales!$M$13+parametros_manuales!$F$21*(datos_base!$I$4+IF(parametros_manuales!$H$21="Todos",datos_base!$I$11,0))*parametros_manuales!$M$105+parametros_manuales!$F$21*(datos_base!$I$20+IF(parametros_manuales!$H$21="Todos",datos_base!$I$25,0))*parametros_manuales!$M$14+parametros_manuales!$G$21*(datos_base!$I$5+IF(parametros_manuales!$H$21="Todos",datos_base!$I$12,0))*parametros_manuales!$M$110+parametros_manuales!$G$21*(datos_base!$I$21+IF(parametros_manuales!$H$21="Todos",datos_base!$I$26,0))*parametros_manuales!$M$15)*parametros_manuales!$I$21*parametros_manuales!$J$21</f>
        <v>14051.9770632</v>
      </c>
      <c r="N193" s="9" t="n">
        <f aca="false">SUM(B193:M193)</f>
        <v>156133.07848</v>
      </c>
      <c r="O193" s="9" t="n">
        <f aca="false">MAX(B193:M193)</f>
        <v>14051.9770632</v>
      </c>
      <c r="P193" s="44" t="n">
        <f aca="false">O193/(parametros_manuales!$B$7)</f>
        <v>93.679847088</v>
      </c>
      <c r="Q193" s="8" t="str">
        <f aca="false">IF(O193=0,"-",INDEX($B$190:$M$190,MATCH(O193,B193:M193,0)))</f>
        <v>Ene</v>
      </c>
    </row>
    <row r="194" customFormat="false" ht="14.25" hidden="false" customHeight="true" outlineLevel="0" collapsed="false">
      <c r="A194" s="8" t="str">
        <f aca="false">parametros_manuales!$B$22</f>
        <v>Corte de disco y embutido (cúpula y fondo)</v>
      </c>
      <c r="B194" s="9" t="n">
        <f aca="false">(parametros_manuales!$D$22*(datos_base!$I$2+IF(parametros_manuales!$H$22="Todos",datos_base!$I$9,0))*parametros_manuales!$B$95+parametros_manuales!$D$22*(datos_base!$I$18+IF(parametros_manuales!$H$22="Todos",datos_base!$I$23,0))*parametros_manuales!$B$12+parametros_manuales!$E$22*(datos_base!$I$3+IF(parametros_manuales!$H$22="Todos",datos_base!$I$10,0))*parametros_manuales!$B$100+parametros_manuales!$E$22*(datos_base!$I$19+IF(parametros_manuales!$H$22="Todos",datos_base!$I$24,0))*parametros_manuales!$B$13+parametros_manuales!$F$22*(datos_base!$I$4+IF(parametros_manuales!$H$22="Todos",datos_base!$I$11,0))*parametros_manuales!$B$105+parametros_manuales!$F$22*(datos_base!$I$20+IF(parametros_manuales!$H$22="Todos",datos_base!$I$25,0))*parametros_manuales!$B$14+parametros_manuales!$G$22*(datos_base!$I$5+IF(parametros_manuales!$H$22="Todos",datos_base!$I$12,0))*parametros_manuales!$B$110+parametros_manuales!$G$22*(datos_base!$I$21+IF(parametros_manuales!$H$22="Todos",datos_base!$I$26,0))*parametros_manuales!$B$15)*parametros_manuales!$I$22*parametros_manuales!$J$22</f>
        <v>39270.66692482</v>
      </c>
      <c r="C194" s="9" t="n">
        <f aca="false">(parametros_manuales!$D$22*(datos_base!$I$2+IF(parametros_manuales!$H$22="Todos",datos_base!$I$9,0))*parametros_manuales!$C$95+parametros_manuales!$D$22*(datos_base!$I$18+IF(parametros_manuales!$H$22="Todos",datos_base!$I$23,0))*parametros_manuales!$C$12+parametros_manuales!$E$22*(datos_base!$I$3+IF(parametros_manuales!$H$22="Todos",datos_base!$I$10,0))*parametros_manuales!$C$100+parametros_manuales!$E$22*(datos_base!$I$19+IF(parametros_manuales!$H$22="Todos",datos_base!$I$24,0))*parametros_manuales!$C$13+parametros_manuales!$F$22*(datos_base!$I$4+IF(parametros_manuales!$H$22="Todos",datos_base!$I$11,0))*parametros_manuales!$C$105+parametros_manuales!$F$22*(datos_base!$I$20+IF(parametros_manuales!$H$22="Todos",datos_base!$I$25,0))*parametros_manuales!$C$14+parametros_manuales!$G$22*(datos_base!$I$5+IF(parametros_manuales!$H$22="Todos",datos_base!$I$12,0))*parametros_manuales!$C$110+parametros_manuales!$G$22*(datos_base!$I$21+IF(parametros_manuales!$H$22="Todos",datos_base!$I$26,0))*parametros_manuales!$C$15)*parametros_manuales!$I$22*parametros_manuales!$J$22</f>
        <v>38026.42736944</v>
      </c>
      <c r="D194" s="9" t="n">
        <f aca="false">(parametros_manuales!$D$22*(datos_base!$I$2+IF(parametros_manuales!$H$22="Todos",datos_base!$I$9,0))*parametros_manuales!$D$95+parametros_manuales!$D$22*(datos_base!$I$18+IF(parametros_manuales!$H$22="Todos",datos_base!$I$23,0))*parametros_manuales!$D$12+parametros_manuales!$E$22*(datos_base!$I$3+IF(parametros_manuales!$H$22="Todos",datos_base!$I$10,0))*parametros_manuales!$D$100+parametros_manuales!$E$22*(datos_base!$I$19+IF(parametros_manuales!$H$22="Todos",datos_base!$I$24,0))*parametros_manuales!$D$13+parametros_manuales!$F$22*(datos_base!$I$4+IF(parametros_manuales!$H$22="Todos",datos_base!$I$11,0))*parametros_manuales!$D$105+parametros_manuales!$F$22*(datos_base!$I$20+IF(parametros_manuales!$H$22="Todos",datos_base!$I$25,0))*parametros_manuales!$D$14+parametros_manuales!$G$22*(datos_base!$I$5+IF(parametros_manuales!$H$22="Todos",datos_base!$I$12,0))*parametros_manuales!$D$110+parametros_manuales!$G$22*(datos_base!$I$21+IF(parametros_manuales!$H$22="Todos",datos_base!$I$26,0))*parametros_manuales!$D$15)*parametros_manuales!$I$22*parametros_manuales!$J$22</f>
        <v>35523.92037753</v>
      </c>
      <c r="E194" s="9" t="n">
        <f aca="false">(parametros_manuales!$D$22*(datos_base!$I$2+IF(parametros_manuales!$H$22="Todos",datos_base!$I$9,0))*parametros_manuales!$E$95+parametros_manuales!$D$22*(datos_base!$I$18+IF(parametros_manuales!$H$22="Todos",datos_base!$I$23,0))*parametros_manuales!$E$12+parametros_manuales!$E$22*(datos_base!$I$3+IF(parametros_manuales!$H$22="Todos",datos_base!$I$10,0))*parametros_manuales!$E$100+parametros_manuales!$E$22*(datos_base!$I$19+IF(parametros_manuales!$H$22="Todos",datos_base!$I$24,0))*parametros_manuales!$E$13+parametros_manuales!$F$22*(datos_base!$I$4+IF(parametros_manuales!$H$22="Todos",datos_base!$I$11,0))*parametros_manuales!$E$105+parametros_manuales!$F$22*(datos_base!$I$20+IF(parametros_manuales!$H$22="Todos",datos_base!$I$25,0))*parametros_manuales!$E$14+parametros_manuales!$G$22*(datos_base!$I$5+IF(parametros_manuales!$H$22="Todos",datos_base!$I$12,0))*parametros_manuales!$E$110+parametros_manuales!$G$22*(datos_base!$I$21+IF(parametros_manuales!$H$22="Todos",datos_base!$I$26,0))*parametros_manuales!$E$15)*parametros_manuales!$I$22*parametros_manuales!$J$22</f>
        <v>33962.58959273</v>
      </c>
      <c r="F194" s="9" t="n">
        <f aca="false">(parametros_manuales!$D$22*(datos_base!$I$2+IF(parametros_manuales!$H$22="Todos",datos_base!$I$9,0))*parametros_manuales!$F$95+parametros_manuales!$D$22*(datos_base!$I$18+IF(parametros_manuales!$H$22="Todos",datos_base!$I$23,0))*parametros_manuales!$F$12+parametros_manuales!$E$22*(datos_base!$I$3+IF(parametros_manuales!$H$22="Todos",datos_base!$I$10,0))*parametros_manuales!$F$100+parametros_manuales!$E$22*(datos_base!$I$19+IF(parametros_manuales!$H$22="Todos",datos_base!$I$24,0))*parametros_manuales!$F$13+parametros_manuales!$F$22*(datos_base!$I$4+IF(parametros_manuales!$H$22="Todos",datos_base!$I$11,0))*parametros_manuales!$F$105+parametros_manuales!$F$22*(datos_base!$I$20+IF(parametros_manuales!$H$22="Todos",datos_base!$I$25,0))*parametros_manuales!$F$14+parametros_manuales!$G$22*(datos_base!$I$5+IF(parametros_manuales!$H$22="Todos",datos_base!$I$12,0))*parametros_manuales!$F$110+parametros_manuales!$G$22*(datos_base!$I$21+IF(parametros_manuales!$H$22="Todos",datos_base!$I$26,0))*parametros_manuales!$F$15)*parametros_manuales!$I$22*parametros_manuales!$J$22</f>
        <v>31781.10423024</v>
      </c>
      <c r="G194" s="9" t="n">
        <f aca="false">(parametros_manuales!$D$22*(datos_base!$I$2+IF(parametros_manuales!$H$22="Todos",datos_base!$I$9,0))*parametros_manuales!$G$95+parametros_manuales!$D$22*(datos_base!$I$18+IF(parametros_manuales!$H$22="Todos",datos_base!$I$23,0))*parametros_manuales!$G$12+parametros_manuales!$E$22*(datos_base!$I$3+IF(parametros_manuales!$H$22="Todos",datos_base!$I$10,0))*parametros_manuales!$G$100+parametros_manuales!$E$22*(datos_base!$I$19+IF(parametros_manuales!$H$22="Todos",datos_base!$I$24,0))*parametros_manuales!$G$13+parametros_manuales!$F$22*(datos_base!$I$4+IF(parametros_manuales!$H$22="Todos",datos_base!$I$11,0))*parametros_manuales!$G$105+parametros_manuales!$F$22*(datos_base!$I$20+IF(parametros_manuales!$H$22="Todos",datos_base!$I$25,0))*parametros_manuales!$G$14+parametros_manuales!$G$22*(datos_base!$I$5+IF(parametros_manuales!$H$22="Todos",datos_base!$I$12,0))*parametros_manuales!$G$110+parametros_manuales!$G$22*(datos_base!$I$21+IF(parametros_manuales!$H$22="Todos",datos_base!$I$26,0))*parametros_manuales!$G$15)*parametros_manuales!$I$22*parametros_manuales!$J$22</f>
        <v>31160.94965255</v>
      </c>
      <c r="H194" s="9" t="n">
        <f aca="false">(parametros_manuales!$D$22*(datos_base!$I$2+IF(parametros_manuales!$H$22="Todos",datos_base!$I$9,0))*parametros_manuales!$H$95+parametros_manuales!$D$22*(datos_base!$I$18+IF(parametros_manuales!$H$22="Todos",datos_base!$I$23,0))*parametros_manuales!$H$12+parametros_manuales!$E$22*(datos_base!$I$3+IF(parametros_manuales!$H$22="Todos",datos_base!$I$10,0))*parametros_manuales!$H$100+parametros_manuales!$E$22*(datos_base!$I$19+IF(parametros_manuales!$H$22="Todos",datos_base!$I$24,0))*parametros_manuales!$H$13+parametros_manuales!$F$22*(datos_base!$I$4+IF(parametros_manuales!$H$22="Todos",datos_base!$I$11,0))*parametros_manuales!$H$105+parametros_manuales!$F$22*(datos_base!$I$20+IF(parametros_manuales!$H$22="Todos",datos_base!$I$25,0))*parametros_manuales!$H$14+parametros_manuales!$G$22*(datos_base!$I$5+IF(parametros_manuales!$H$22="Todos",datos_base!$I$12,0))*parametros_manuales!$H$110+parametros_manuales!$G$22*(datos_base!$I$21+IF(parametros_manuales!$H$22="Todos",datos_base!$I$26,0))*parametros_manuales!$H$15)*parametros_manuales!$I$22*parametros_manuales!$J$22</f>
        <v>33342.43501504</v>
      </c>
      <c r="I194" s="9" t="n">
        <f aca="false">(parametros_manuales!$D$22*(datos_base!$I$2+IF(parametros_manuales!$H$22="Todos",datos_base!$I$9,0))*parametros_manuales!$I$95+parametros_manuales!$D$22*(datos_base!$I$18+IF(parametros_manuales!$H$22="Todos",datos_base!$I$23,0))*parametros_manuales!$I$12+parametros_manuales!$E$22*(datos_base!$I$3+IF(parametros_manuales!$H$22="Todos",datos_base!$I$10,0))*parametros_manuales!$I$100+parametros_manuales!$E$22*(datos_base!$I$19+IF(parametros_manuales!$H$22="Todos",datos_base!$I$24,0))*parametros_manuales!$I$13+parametros_manuales!$F$22*(datos_base!$I$4+IF(parametros_manuales!$H$22="Todos",datos_base!$I$11,0))*parametros_manuales!$I$105+parametros_manuales!$F$22*(datos_base!$I$20+IF(parametros_manuales!$H$22="Todos",datos_base!$I$25,0))*parametros_manuales!$I$14+parametros_manuales!$G$22*(datos_base!$I$5+IF(parametros_manuales!$H$22="Todos",datos_base!$I$12,0))*parametros_manuales!$I$110+parametros_manuales!$G$22*(datos_base!$I$21+IF(parametros_manuales!$H$22="Todos",datos_base!$I$26,0))*parametros_manuales!$I$15)*parametros_manuales!$I$22*parametros_manuales!$J$22</f>
        <v>38026.42736944</v>
      </c>
      <c r="J194" s="9" t="n">
        <f aca="false">(parametros_manuales!$D$22*(datos_base!$I$2+IF(parametros_manuales!$H$22="Todos",datos_base!$I$9,0))*parametros_manuales!$J$95+parametros_manuales!$D$22*(datos_base!$I$18+IF(parametros_manuales!$H$22="Todos",datos_base!$I$23,0))*parametros_manuales!$J$12+parametros_manuales!$E$22*(datos_base!$I$3+IF(parametros_manuales!$H$22="Todos",datos_base!$I$10,0))*parametros_manuales!$J$100+parametros_manuales!$E$22*(datos_base!$I$19+IF(parametros_manuales!$H$22="Todos",datos_base!$I$24,0))*parametros_manuales!$J$13+parametros_manuales!$F$22*(datos_base!$I$4+IF(parametros_manuales!$H$22="Todos",datos_base!$I$11,0))*parametros_manuales!$J$105+parametros_manuales!$F$22*(datos_base!$I$20+IF(parametros_manuales!$H$22="Todos",datos_base!$I$25,0))*parametros_manuales!$J$14+parametros_manuales!$G$22*(datos_base!$I$5+IF(parametros_manuales!$H$22="Todos",datos_base!$I$12,0))*parametros_manuales!$J$110+parametros_manuales!$G$22*(datos_base!$I$21+IF(parametros_manuales!$H$22="Todos",datos_base!$I$26,0))*parametros_manuales!$J$15)*parametros_manuales!$I$22*parametros_manuales!$J$22</f>
        <v>38026.42736944</v>
      </c>
      <c r="K194" s="9" t="n">
        <f aca="false">(parametros_manuales!$D$22*(datos_base!$I$2+IF(parametros_manuales!$H$22="Todos",datos_base!$I$9,0))*parametros_manuales!$K$95+parametros_manuales!$D$22*(datos_base!$I$18+IF(parametros_manuales!$H$22="Todos",datos_base!$I$23,0))*parametros_manuales!$K$12+parametros_manuales!$E$22*(datos_base!$I$3+IF(parametros_manuales!$H$22="Todos",datos_base!$I$10,0))*parametros_manuales!$K$100+parametros_manuales!$E$22*(datos_base!$I$19+IF(parametros_manuales!$H$22="Todos",datos_base!$I$24,0))*parametros_manuales!$K$13+parametros_manuales!$F$22*(datos_base!$I$4+IF(parametros_manuales!$H$22="Todos",datos_base!$I$11,0))*parametros_manuales!$K$105+parametros_manuales!$F$22*(datos_base!$I$20+IF(parametros_manuales!$H$22="Todos",datos_base!$I$25,0))*parametros_manuales!$K$14+parametros_manuales!$G$22*(datos_base!$I$5+IF(parametros_manuales!$H$22="Todos",datos_base!$I$12,0))*parametros_manuales!$K$110+parametros_manuales!$G$22*(datos_base!$I$21+IF(parametros_manuales!$H$22="Todos",datos_base!$I$26,0))*parametros_manuales!$K$15)*parametros_manuales!$I$22*parametros_manuales!$J$22</f>
        <v>38642.65154713</v>
      </c>
      <c r="L194" s="9" t="n">
        <f aca="false">(parametros_manuales!$D$22*(datos_base!$I$2+IF(parametros_manuales!$H$22="Todos",datos_base!$I$9,0))*parametros_manuales!$L$95+parametros_manuales!$D$22*(datos_base!$I$18+IF(parametros_manuales!$H$22="Todos",datos_base!$I$23,0))*parametros_manuales!$L$12+parametros_manuales!$E$22*(datos_base!$I$3+IF(parametros_manuales!$H$22="Todos",datos_base!$I$10,0))*parametros_manuales!$L$100+parametros_manuales!$E$22*(datos_base!$I$19+IF(parametros_manuales!$H$22="Todos",datos_base!$I$24,0))*parametros_manuales!$L$13+parametros_manuales!$F$22*(datos_base!$I$4+IF(parametros_manuales!$H$22="Todos",datos_base!$I$11,0))*parametros_manuales!$L$105+parametros_manuales!$F$22*(datos_base!$I$20+IF(parametros_manuales!$H$22="Todos",datos_base!$I$25,0))*parametros_manuales!$L$14+parametros_manuales!$G$22*(datos_base!$I$5+IF(parametros_manuales!$H$22="Todos",datos_base!$I$12,0))*parametros_manuales!$L$110+parametros_manuales!$G$22*(datos_base!$I$21+IF(parametros_manuales!$H$22="Todos",datos_base!$I$26,0))*parametros_manuales!$L$15)*parametros_manuales!$I$22*parametros_manuales!$J$22</f>
        <v>39258.87572482</v>
      </c>
      <c r="M194" s="9" t="n">
        <f aca="false">(parametros_manuales!$D$22*(datos_base!$I$2+IF(parametros_manuales!$H$22="Todos",datos_base!$I$9,0))*parametros_manuales!$M$95+parametros_manuales!$D$22*(datos_base!$I$18+IF(parametros_manuales!$H$22="Todos",datos_base!$I$23,0))*parametros_manuales!$M$12+parametros_manuales!$E$22*(datos_base!$I$3+IF(parametros_manuales!$H$22="Todos",datos_base!$I$10,0))*parametros_manuales!$M$100+parametros_manuales!$E$22*(datos_base!$I$19+IF(parametros_manuales!$H$22="Todos",datos_base!$I$24,0))*parametros_manuales!$M$13+parametros_manuales!$F$22*(datos_base!$I$4+IF(parametros_manuales!$H$22="Todos",datos_base!$I$11,0))*parametros_manuales!$M$105+parametros_manuales!$F$22*(datos_base!$I$20+IF(parametros_manuales!$H$22="Todos",datos_base!$I$25,0))*parametros_manuales!$M$14+parametros_manuales!$G$22*(datos_base!$I$5+IF(parametros_manuales!$H$22="Todos",datos_base!$I$12,0))*parametros_manuales!$M$110+parametros_manuales!$G$22*(datos_base!$I$21+IF(parametros_manuales!$H$22="Todos",datos_base!$I$26,0))*parametros_manuales!$M$15)*parametros_manuales!$I$22*parametros_manuales!$J$22</f>
        <v>39274.59732482</v>
      </c>
      <c r="N194" s="9" t="n">
        <f aca="false">SUM(B194:M194)</f>
        <v>436297.072498</v>
      </c>
      <c r="O194" s="9" t="n">
        <f aca="false">MAX(B194:M194)</f>
        <v>39274.59732482</v>
      </c>
      <c r="P194" s="44" t="n">
        <f aca="false">O194/(parametros_manuales!$B$7)</f>
        <v>261.830648832133</v>
      </c>
      <c r="Q194" s="8" t="str">
        <f aca="false">IF(O194=0,"-",INDEX($B$190:$M$190,MATCH(O194,B194:M194,0)))</f>
        <v>Dic</v>
      </c>
    </row>
    <row r="195" customFormat="false" ht="14.25" hidden="false" customHeight="true" outlineLevel="0" collapsed="false">
      <c r="A195" s="8" t="str">
        <f aca="false">parametros_manuales!$B$23</f>
        <v>Preparación de cuello</v>
      </c>
      <c r="B195" s="9" t="n">
        <f aca="false">(parametros_manuales!$D$23*(datos_base!$I$2+IF(parametros_manuales!$H$23="Todos",datos_base!$I$9,0))*parametros_manuales!$B$95+parametros_manuales!$D$23*(datos_base!$I$18+IF(parametros_manuales!$H$23="Todos",datos_base!$I$23,0))*parametros_manuales!$B$12+parametros_manuales!$E$23*(datos_base!$I$3+IF(parametros_manuales!$H$23="Todos",datos_base!$I$10,0))*parametros_manuales!$B$100+parametros_manuales!$E$23*(datos_base!$I$19+IF(parametros_manuales!$H$23="Todos",datos_base!$I$24,0))*parametros_manuales!$B$13+parametros_manuales!$F$23*(datos_base!$I$4+IF(parametros_manuales!$H$23="Todos",datos_base!$I$11,0))*parametros_manuales!$B$105+parametros_manuales!$F$23*(datos_base!$I$20+IF(parametros_manuales!$H$23="Todos",datos_base!$I$25,0))*parametros_manuales!$B$14+parametros_manuales!$G$23*(datos_base!$I$5+IF(parametros_manuales!$H$23="Todos",datos_base!$I$12,0))*parametros_manuales!$B$110+parametros_manuales!$G$23*(datos_base!$I$21+IF(parametros_manuales!$H$23="Todos",datos_base!$I$26,0))*parametros_manuales!$B$15)*parametros_manuales!$I$23*parametros_manuales!$J$23</f>
        <v>19635.33346241</v>
      </c>
      <c r="C195" s="9" t="n">
        <f aca="false">(parametros_manuales!$D$23*(datos_base!$I$2+IF(parametros_manuales!$H$23="Todos",datos_base!$I$9,0))*parametros_manuales!$C$95+parametros_manuales!$D$23*(datos_base!$I$18+IF(parametros_manuales!$H$23="Todos",datos_base!$I$23,0))*parametros_manuales!$C$12+parametros_manuales!$E$23*(datos_base!$I$3+IF(parametros_manuales!$H$23="Todos",datos_base!$I$10,0))*parametros_manuales!$C$100+parametros_manuales!$E$23*(datos_base!$I$19+IF(parametros_manuales!$H$23="Todos",datos_base!$I$24,0))*parametros_manuales!$C$13+parametros_manuales!$F$23*(datos_base!$I$4+IF(parametros_manuales!$H$23="Todos",datos_base!$I$11,0))*parametros_manuales!$C$105+parametros_manuales!$F$23*(datos_base!$I$20+IF(parametros_manuales!$H$23="Todos",datos_base!$I$25,0))*parametros_manuales!$C$14+parametros_manuales!$G$23*(datos_base!$I$5+IF(parametros_manuales!$H$23="Todos",datos_base!$I$12,0))*parametros_manuales!$C$110+parametros_manuales!$G$23*(datos_base!$I$21+IF(parametros_manuales!$H$23="Todos",datos_base!$I$26,0))*parametros_manuales!$C$15)*parametros_manuales!$I$23*parametros_manuales!$J$23</f>
        <v>19013.21368472</v>
      </c>
      <c r="D195" s="9" t="n">
        <f aca="false">(parametros_manuales!$D$23*(datos_base!$I$2+IF(parametros_manuales!$H$23="Todos",datos_base!$I$9,0))*parametros_manuales!$D$95+parametros_manuales!$D$23*(datos_base!$I$18+IF(parametros_manuales!$H$23="Todos",datos_base!$I$23,0))*parametros_manuales!$D$12+parametros_manuales!$E$23*(datos_base!$I$3+IF(parametros_manuales!$H$23="Todos",datos_base!$I$10,0))*parametros_manuales!$D$100+parametros_manuales!$E$23*(datos_base!$I$19+IF(parametros_manuales!$H$23="Todos",datos_base!$I$24,0))*parametros_manuales!$D$13+parametros_manuales!$F$23*(datos_base!$I$4+IF(parametros_manuales!$H$23="Todos",datos_base!$I$11,0))*parametros_manuales!$D$105+parametros_manuales!$F$23*(datos_base!$I$20+IF(parametros_manuales!$H$23="Todos",datos_base!$I$25,0))*parametros_manuales!$D$14+parametros_manuales!$G$23*(datos_base!$I$5+IF(parametros_manuales!$H$23="Todos",datos_base!$I$12,0))*parametros_manuales!$D$110+parametros_manuales!$G$23*(datos_base!$I$21+IF(parametros_manuales!$H$23="Todos",datos_base!$I$26,0))*parametros_manuales!$D$15)*parametros_manuales!$I$23*parametros_manuales!$J$23</f>
        <v>17761.960188765</v>
      </c>
      <c r="E195" s="9" t="n">
        <f aca="false">(parametros_manuales!$D$23*(datos_base!$I$2+IF(parametros_manuales!$H$23="Todos",datos_base!$I$9,0))*parametros_manuales!$E$95+parametros_manuales!$D$23*(datos_base!$I$18+IF(parametros_manuales!$H$23="Todos",datos_base!$I$23,0))*parametros_manuales!$E$12+parametros_manuales!$E$23*(datos_base!$I$3+IF(parametros_manuales!$H$23="Todos",datos_base!$I$10,0))*parametros_manuales!$E$100+parametros_manuales!$E$23*(datos_base!$I$19+IF(parametros_manuales!$H$23="Todos",datos_base!$I$24,0))*parametros_manuales!$E$13+parametros_manuales!$F$23*(datos_base!$I$4+IF(parametros_manuales!$H$23="Todos",datos_base!$I$11,0))*parametros_manuales!$E$105+parametros_manuales!$F$23*(datos_base!$I$20+IF(parametros_manuales!$H$23="Todos",datos_base!$I$25,0))*parametros_manuales!$E$14+parametros_manuales!$G$23*(datos_base!$I$5+IF(parametros_manuales!$H$23="Todos",datos_base!$I$12,0))*parametros_manuales!$E$110+parametros_manuales!$G$23*(datos_base!$I$21+IF(parametros_manuales!$H$23="Todos",datos_base!$I$26,0))*parametros_manuales!$E$15)*parametros_manuales!$I$23*parametros_manuales!$J$23</f>
        <v>16981.294796365</v>
      </c>
      <c r="F195" s="9" t="n">
        <f aca="false">(parametros_manuales!$D$23*(datos_base!$I$2+IF(parametros_manuales!$H$23="Todos",datos_base!$I$9,0))*parametros_manuales!$F$95+parametros_manuales!$D$23*(datos_base!$I$18+IF(parametros_manuales!$H$23="Todos",datos_base!$I$23,0))*parametros_manuales!$F$12+parametros_manuales!$E$23*(datos_base!$I$3+IF(parametros_manuales!$H$23="Todos",datos_base!$I$10,0))*parametros_manuales!$F$100+parametros_manuales!$E$23*(datos_base!$I$19+IF(parametros_manuales!$H$23="Todos",datos_base!$I$24,0))*parametros_manuales!$F$13+parametros_manuales!$F$23*(datos_base!$I$4+IF(parametros_manuales!$H$23="Todos",datos_base!$I$11,0))*parametros_manuales!$F$105+parametros_manuales!$F$23*(datos_base!$I$20+IF(parametros_manuales!$H$23="Todos",datos_base!$I$25,0))*parametros_manuales!$F$14+parametros_manuales!$G$23*(datos_base!$I$5+IF(parametros_manuales!$H$23="Todos",datos_base!$I$12,0))*parametros_manuales!$F$110+parametros_manuales!$G$23*(datos_base!$I$21+IF(parametros_manuales!$H$23="Todos",datos_base!$I$26,0))*parametros_manuales!$F$15)*parametros_manuales!$I$23*parametros_manuales!$J$23</f>
        <v>15890.55211512</v>
      </c>
      <c r="G195" s="9" t="n">
        <f aca="false">(parametros_manuales!$D$23*(datos_base!$I$2+IF(parametros_manuales!$H$23="Todos",datos_base!$I$9,0))*parametros_manuales!$G$95+parametros_manuales!$D$23*(datos_base!$I$18+IF(parametros_manuales!$H$23="Todos",datos_base!$I$23,0))*parametros_manuales!$G$12+parametros_manuales!$E$23*(datos_base!$I$3+IF(parametros_manuales!$H$23="Todos",datos_base!$I$10,0))*parametros_manuales!$G$100+parametros_manuales!$E$23*(datos_base!$I$19+IF(parametros_manuales!$H$23="Todos",datos_base!$I$24,0))*parametros_manuales!$G$13+parametros_manuales!$F$23*(datos_base!$I$4+IF(parametros_manuales!$H$23="Todos",datos_base!$I$11,0))*parametros_manuales!$G$105+parametros_manuales!$F$23*(datos_base!$I$20+IF(parametros_manuales!$H$23="Todos",datos_base!$I$25,0))*parametros_manuales!$G$14+parametros_manuales!$G$23*(datos_base!$I$5+IF(parametros_manuales!$H$23="Todos",datos_base!$I$12,0))*parametros_manuales!$G$110+parametros_manuales!$G$23*(datos_base!$I$21+IF(parametros_manuales!$H$23="Todos",datos_base!$I$26,0))*parametros_manuales!$G$15)*parametros_manuales!$I$23*parametros_manuales!$J$23</f>
        <v>15580.474826275</v>
      </c>
      <c r="H195" s="9" t="n">
        <f aca="false">(parametros_manuales!$D$23*(datos_base!$I$2+IF(parametros_manuales!$H$23="Todos",datos_base!$I$9,0))*parametros_manuales!$H$95+parametros_manuales!$D$23*(datos_base!$I$18+IF(parametros_manuales!$H$23="Todos",datos_base!$I$23,0))*parametros_manuales!$H$12+parametros_manuales!$E$23*(datos_base!$I$3+IF(parametros_manuales!$H$23="Todos",datos_base!$I$10,0))*parametros_manuales!$H$100+parametros_manuales!$E$23*(datos_base!$I$19+IF(parametros_manuales!$H$23="Todos",datos_base!$I$24,0))*parametros_manuales!$H$13+parametros_manuales!$F$23*(datos_base!$I$4+IF(parametros_manuales!$H$23="Todos",datos_base!$I$11,0))*parametros_manuales!$H$105+parametros_manuales!$F$23*(datos_base!$I$20+IF(parametros_manuales!$H$23="Todos",datos_base!$I$25,0))*parametros_manuales!$H$14+parametros_manuales!$G$23*(datos_base!$I$5+IF(parametros_manuales!$H$23="Todos",datos_base!$I$12,0))*parametros_manuales!$H$110+parametros_manuales!$G$23*(datos_base!$I$21+IF(parametros_manuales!$H$23="Todos",datos_base!$I$26,0))*parametros_manuales!$H$15)*parametros_manuales!$I$23*parametros_manuales!$J$23</f>
        <v>16671.21750752</v>
      </c>
      <c r="I195" s="9" t="n">
        <f aca="false">(parametros_manuales!$D$23*(datos_base!$I$2+IF(parametros_manuales!$H$23="Todos",datos_base!$I$9,0))*parametros_manuales!$I$95+parametros_manuales!$D$23*(datos_base!$I$18+IF(parametros_manuales!$H$23="Todos",datos_base!$I$23,0))*parametros_manuales!$I$12+parametros_manuales!$E$23*(datos_base!$I$3+IF(parametros_manuales!$H$23="Todos",datos_base!$I$10,0))*parametros_manuales!$I$100+parametros_manuales!$E$23*(datos_base!$I$19+IF(parametros_manuales!$H$23="Todos",datos_base!$I$24,0))*parametros_manuales!$I$13+parametros_manuales!$F$23*(datos_base!$I$4+IF(parametros_manuales!$H$23="Todos",datos_base!$I$11,0))*parametros_manuales!$I$105+parametros_manuales!$F$23*(datos_base!$I$20+IF(parametros_manuales!$H$23="Todos",datos_base!$I$25,0))*parametros_manuales!$I$14+parametros_manuales!$G$23*(datos_base!$I$5+IF(parametros_manuales!$H$23="Todos",datos_base!$I$12,0))*parametros_manuales!$I$110+parametros_manuales!$G$23*(datos_base!$I$21+IF(parametros_manuales!$H$23="Todos",datos_base!$I$26,0))*parametros_manuales!$I$15)*parametros_manuales!$I$23*parametros_manuales!$J$23</f>
        <v>19013.21368472</v>
      </c>
      <c r="J195" s="9" t="n">
        <f aca="false">(parametros_manuales!$D$23*(datos_base!$I$2+IF(parametros_manuales!$H$23="Todos",datos_base!$I$9,0))*parametros_manuales!$J$95+parametros_manuales!$D$23*(datos_base!$I$18+IF(parametros_manuales!$H$23="Todos",datos_base!$I$23,0))*parametros_manuales!$J$12+parametros_manuales!$E$23*(datos_base!$I$3+IF(parametros_manuales!$H$23="Todos",datos_base!$I$10,0))*parametros_manuales!$J$100+parametros_manuales!$E$23*(datos_base!$I$19+IF(parametros_manuales!$H$23="Todos",datos_base!$I$24,0))*parametros_manuales!$J$13+parametros_manuales!$F$23*(datos_base!$I$4+IF(parametros_manuales!$H$23="Todos",datos_base!$I$11,0))*parametros_manuales!$J$105+parametros_manuales!$F$23*(datos_base!$I$20+IF(parametros_manuales!$H$23="Todos",datos_base!$I$25,0))*parametros_manuales!$J$14+parametros_manuales!$G$23*(datos_base!$I$5+IF(parametros_manuales!$H$23="Todos",datos_base!$I$12,0))*parametros_manuales!$J$110+parametros_manuales!$G$23*(datos_base!$I$21+IF(parametros_manuales!$H$23="Todos",datos_base!$I$26,0))*parametros_manuales!$J$15)*parametros_manuales!$I$23*parametros_manuales!$J$23</f>
        <v>19013.21368472</v>
      </c>
      <c r="K195" s="9" t="n">
        <f aca="false">(parametros_manuales!$D$23*(datos_base!$I$2+IF(parametros_manuales!$H$23="Todos",datos_base!$I$9,0))*parametros_manuales!$K$95+parametros_manuales!$D$23*(datos_base!$I$18+IF(parametros_manuales!$H$23="Todos",datos_base!$I$23,0))*parametros_manuales!$K$12+parametros_manuales!$E$23*(datos_base!$I$3+IF(parametros_manuales!$H$23="Todos",datos_base!$I$10,0))*parametros_manuales!$K$100+parametros_manuales!$E$23*(datos_base!$I$19+IF(parametros_manuales!$H$23="Todos",datos_base!$I$24,0))*parametros_manuales!$K$13+parametros_manuales!$F$23*(datos_base!$I$4+IF(parametros_manuales!$H$23="Todos",datos_base!$I$11,0))*parametros_manuales!$K$105+parametros_manuales!$F$23*(datos_base!$I$20+IF(parametros_manuales!$H$23="Todos",datos_base!$I$25,0))*parametros_manuales!$K$14+parametros_manuales!$G$23*(datos_base!$I$5+IF(parametros_manuales!$H$23="Todos",datos_base!$I$12,0))*parametros_manuales!$K$110+parametros_manuales!$G$23*(datos_base!$I$21+IF(parametros_manuales!$H$23="Todos",datos_base!$I$26,0))*parametros_manuales!$K$15)*parametros_manuales!$I$23*parametros_manuales!$J$23</f>
        <v>19321.325773565</v>
      </c>
      <c r="L195" s="9" t="n">
        <f aca="false">(parametros_manuales!$D$23*(datos_base!$I$2+IF(parametros_manuales!$H$23="Todos",datos_base!$I$9,0))*parametros_manuales!$L$95+parametros_manuales!$D$23*(datos_base!$I$18+IF(parametros_manuales!$H$23="Todos",datos_base!$I$23,0))*parametros_manuales!$L$12+parametros_manuales!$E$23*(datos_base!$I$3+IF(parametros_manuales!$H$23="Todos",datos_base!$I$10,0))*parametros_manuales!$L$100+parametros_manuales!$E$23*(datos_base!$I$19+IF(parametros_manuales!$H$23="Todos",datos_base!$I$24,0))*parametros_manuales!$L$13+parametros_manuales!$F$23*(datos_base!$I$4+IF(parametros_manuales!$H$23="Todos",datos_base!$I$11,0))*parametros_manuales!$L$105+parametros_manuales!$F$23*(datos_base!$I$20+IF(parametros_manuales!$H$23="Todos",datos_base!$I$25,0))*parametros_manuales!$L$14+parametros_manuales!$G$23*(datos_base!$I$5+IF(parametros_manuales!$H$23="Todos",datos_base!$I$12,0))*parametros_manuales!$L$110+parametros_manuales!$G$23*(datos_base!$I$21+IF(parametros_manuales!$H$23="Todos",datos_base!$I$26,0))*parametros_manuales!$L$15)*parametros_manuales!$I$23*parametros_manuales!$J$23</f>
        <v>19629.43786241</v>
      </c>
      <c r="M195" s="9" t="n">
        <f aca="false">(parametros_manuales!$D$23*(datos_base!$I$2+IF(parametros_manuales!$H$23="Todos",datos_base!$I$9,0))*parametros_manuales!$M$95+parametros_manuales!$D$23*(datos_base!$I$18+IF(parametros_manuales!$H$23="Todos",datos_base!$I$23,0))*parametros_manuales!$M$12+parametros_manuales!$E$23*(datos_base!$I$3+IF(parametros_manuales!$H$23="Todos",datos_base!$I$10,0))*parametros_manuales!$M$100+parametros_manuales!$E$23*(datos_base!$I$19+IF(parametros_manuales!$H$23="Todos",datos_base!$I$24,0))*parametros_manuales!$M$13+parametros_manuales!$F$23*(datos_base!$I$4+IF(parametros_manuales!$H$23="Todos",datos_base!$I$11,0))*parametros_manuales!$M$105+parametros_manuales!$F$23*(datos_base!$I$20+IF(parametros_manuales!$H$23="Todos",datos_base!$I$25,0))*parametros_manuales!$M$14+parametros_manuales!$G$23*(datos_base!$I$5+IF(parametros_manuales!$H$23="Todos",datos_base!$I$12,0))*parametros_manuales!$M$110+parametros_manuales!$G$23*(datos_base!$I$21+IF(parametros_manuales!$H$23="Todos",datos_base!$I$26,0))*parametros_manuales!$M$15)*parametros_manuales!$I$23*parametros_manuales!$J$23</f>
        <v>19637.29866241</v>
      </c>
      <c r="N195" s="9" t="n">
        <f aca="false">SUM(B195:M195)</f>
        <v>218148.536249</v>
      </c>
      <c r="O195" s="9" t="n">
        <f aca="false">MAX(B195:M195)</f>
        <v>19637.29866241</v>
      </c>
      <c r="P195" s="44" t="n">
        <f aca="false">O195/(parametros_manuales!$B$7)</f>
        <v>130.915324416067</v>
      </c>
      <c r="Q195" s="8" t="str">
        <f aca="false">IF(O195=0,"-",INDEX($B$190:$M$190,MATCH(O195,B195:M195,0)))</f>
        <v>Dic</v>
      </c>
    </row>
    <row r="196" customFormat="false" ht="14.25" hidden="false" customHeight="true" outlineLevel="0" collapsed="false">
      <c r="A196" s="8" t="str">
        <f aca="false">parametros_manuales!$B$24</f>
        <v>Numerado de cúpula</v>
      </c>
      <c r="B196" s="9" t="n">
        <f aca="false">(parametros_manuales!$D$24*(datos_base!$I$2+IF(parametros_manuales!$H$24="Todos",datos_base!$I$9,0))*parametros_manuales!$B$95+parametros_manuales!$D$24*(datos_base!$I$18+IF(parametros_manuales!$H$24="Todos",datos_base!$I$23,0))*parametros_manuales!$B$12+parametros_manuales!$E$24*(datos_base!$I$3+IF(parametros_manuales!$H$24="Todos",datos_base!$I$10,0))*parametros_manuales!$B$100+parametros_manuales!$E$24*(datos_base!$I$19+IF(parametros_manuales!$H$24="Todos",datos_base!$I$24,0))*parametros_manuales!$B$13+parametros_manuales!$F$24*(datos_base!$I$4+IF(parametros_manuales!$H$24="Todos",datos_base!$I$11,0))*parametros_manuales!$B$105+parametros_manuales!$F$24*(datos_base!$I$20+IF(parametros_manuales!$H$24="Todos",datos_base!$I$25,0))*parametros_manuales!$B$14+parametros_manuales!$G$24*(datos_base!$I$5+IF(parametros_manuales!$H$24="Todos",datos_base!$I$12,0))*parametros_manuales!$B$110+parametros_manuales!$G$24*(datos_base!$I$21+IF(parametros_manuales!$H$24="Todos",datos_base!$I$26,0))*parametros_manuales!$B$15)*parametros_manuales!$I$24*parametros_manuales!$J$24</f>
        <v>19635.33346241</v>
      </c>
      <c r="C196" s="9" t="n">
        <f aca="false">(parametros_manuales!$D$24*(datos_base!$I$2+IF(parametros_manuales!$H$24="Todos",datos_base!$I$9,0))*parametros_manuales!$C$95+parametros_manuales!$D$24*(datos_base!$I$18+IF(parametros_manuales!$H$24="Todos",datos_base!$I$23,0))*parametros_manuales!$C$12+parametros_manuales!$E$24*(datos_base!$I$3+IF(parametros_manuales!$H$24="Todos",datos_base!$I$10,0))*parametros_manuales!$C$100+parametros_manuales!$E$24*(datos_base!$I$19+IF(parametros_manuales!$H$24="Todos",datos_base!$I$24,0))*parametros_manuales!$C$13+parametros_manuales!$F$24*(datos_base!$I$4+IF(parametros_manuales!$H$24="Todos",datos_base!$I$11,0))*parametros_manuales!$C$105+parametros_manuales!$F$24*(datos_base!$I$20+IF(parametros_manuales!$H$24="Todos",datos_base!$I$25,0))*parametros_manuales!$C$14+parametros_manuales!$G$24*(datos_base!$I$5+IF(parametros_manuales!$H$24="Todos",datos_base!$I$12,0))*parametros_manuales!$C$110+parametros_manuales!$G$24*(datos_base!$I$21+IF(parametros_manuales!$H$24="Todos",datos_base!$I$26,0))*parametros_manuales!$C$15)*parametros_manuales!$I$24*parametros_manuales!$J$24</f>
        <v>19013.21368472</v>
      </c>
      <c r="D196" s="9" t="n">
        <f aca="false">(parametros_manuales!$D$24*(datos_base!$I$2+IF(parametros_manuales!$H$24="Todos",datos_base!$I$9,0))*parametros_manuales!$D$95+parametros_manuales!$D$24*(datos_base!$I$18+IF(parametros_manuales!$H$24="Todos",datos_base!$I$23,0))*parametros_manuales!$D$12+parametros_manuales!$E$24*(datos_base!$I$3+IF(parametros_manuales!$H$24="Todos",datos_base!$I$10,0))*parametros_manuales!$D$100+parametros_manuales!$E$24*(datos_base!$I$19+IF(parametros_manuales!$H$24="Todos",datos_base!$I$24,0))*parametros_manuales!$D$13+parametros_manuales!$F$24*(datos_base!$I$4+IF(parametros_manuales!$H$24="Todos",datos_base!$I$11,0))*parametros_manuales!$D$105+parametros_manuales!$F$24*(datos_base!$I$20+IF(parametros_manuales!$H$24="Todos",datos_base!$I$25,0))*parametros_manuales!$D$14+parametros_manuales!$G$24*(datos_base!$I$5+IF(parametros_manuales!$H$24="Todos",datos_base!$I$12,0))*parametros_manuales!$D$110+parametros_manuales!$G$24*(datos_base!$I$21+IF(parametros_manuales!$H$24="Todos",datos_base!$I$26,0))*parametros_manuales!$D$15)*parametros_manuales!$I$24*parametros_manuales!$J$24</f>
        <v>17761.960188765</v>
      </c>
      <c r="E196" s="9" t="n">
        <f aca="false">(parametros_manuales!$D$24*(datos_base!$I$2+IF(parametros_manuales!$H$24="Todos",datos_base!$I$9,0))*parametros_manuales!$E$95+parametros_manuales!$D$24*(datos_base!$I$18+IF(parametros_manuales!$H$24="Todos",datos_base!$I$23,0))*parametros_manuales!$E$12+parametros_manuales!$E$24*(datos_base!$I$3+IF(parametros_manuales!$H$24="Todos",datos_base!$I$10,0))*parametros_manuales!$E$100+parametros_manuales!$E$24*(datos_base!$I$19+IF(parametros_manuales!$H$24="Todos",datos_base!$I$24,0))*parametros_manuales!$E$13+parametros_manuales!$F$24*(datos_base!$I$4+IF(parametros_manuales!$H$24="Todos",datos_base!$I$11,0))*parametros_manuales!$E$105+parametros_manuales!$F$24*(datos_base!$I$20+IF(parametros_manuales!$H$24="Todos",datos_base!$I$25,0))*parametros_manuales!$E$14+parametros_manuales!$G$24*(datos_base!$I$5+IF(parametros_manuales!$H$24="Todos",datos_base!$I$12,0))*parametros_manuales!$E$110+parametros_manuales!$G$24*(datos_base!$I$21+IF(parametros_manuales!$H$24="Todos",datos_base!$I$26,0))*parametros_manuales!$E$15)*parametros_manuales!$I$24*parametros_manuales!$J$24</f>
        <v>16981.294796365</v>
      </c>
      <c r="F196" s="9" t="n">
        <f aca="false">(parametros_manuales!$D$24*(datos_base!$I$2+IF(parametros_manuales!$H$24="Todos",datos_base!$I$9,0))*parametros_manuales!$F$95+parametros_manuales!$D$24*(datos_base!$I$18+IF(parametros_manuales!$H$24="Todos",datos_base!$I$23,0))*parametros_manuales!$F$12+parametros_manuales!$E$24*(datos_base!$I$3+IF(parametros_manuales!$H$24="Todos",datos_base!$I$10,0))*parametros_manuales!$F$100+parametros_manuales!$E$24*(datos_base!$I$19+IF(parametros_manuales!$H$24="Todos",datos_base!$I$24,0))*parametros_manuales!$F$13+parametros_manuales!$F$24*(datos_base!$I$4+IF(parametros_manuales!$H$24="Todos",datos_base!$I$11,0))*parametros_manuales!$F$105+parametros_manuales!$F$24*(datos_base!$I$20+IF(parametros_manuales!$H$24="Todos",datos_base!$I$25,0))*parametros_manuales!$F$14+parametros_manuales!$G$24*(datos_base!$I$5+IF(parametros_manuales!$H$24="Todos",datos_base!$I$12,0))*parametros_manuales!$F$110+parametros_manuales!$G$24*(datos_base!$I$21+IF(parametros_manuales!$H$24="Todos",datos_base!$I$26,0))*parametros_manuales!$F$15)*parametros_manuales!$I$24*parametros_manuales!$J$24</f>
        <v>15890.55211512</v>
      </c>
      <c r="G196" s="9" t="n">
        <f aca="false">(parametros_manuales!$D$24*(datos_base!$I$2+IF(parametros_manuales!$H$24="Todos",datos_base!$I$9,0))*parametros_manuales!$G$95+parametros_manuales!$D$24*(datos_base!$I$18+IF(parametros_manuales!$H$24="Todos",datos_base!$I$23,0))*parametros_manuales!$G$12+parametros_manuales!$E$24*(datos_base!$I$3+IF(parametros_manuales!$H$24="Todos",datos_base!$I$10,0))*parametros_manuales!$G$100+parametros_manuales!$E$24*(datos_base!$I$19+IF(parametros_manuales!$H$24="Todos",datos_base!$I$24,0))*parametros_manuales!$G$13+parametros_manuales!$F$24*(datos_base!$I$4+IF(parametros_manuales!$H$24="Todos",datos_base!$I$11,0))*parametros_manuales!$G$105+parametros_manuales!$F$24*(datos_base!$I$20+IF(parametros_manuales!$H$24="Todos",datos_base!$I$25,0))*parametros_manuales!$G$14+parametros_manuales!$G$24*(datos_base!$I$5+IF(parametros_manuales!$H$24="Todos",datos_base!$I$12,0))*parametros_manuales!$G$110+parametros_manuales!$G$24*(datos_base!$I$21+IF(parametros_manuales!$H$24="Todos",datos_base!$I$26,0))*parametros_manuales!$G$15)*parametros_manuales!$I$24*parametros_manuales!$J$24</f>
        <v>15580.474826275</v>
      </c>
      <c r="H196" s="9" t="n">
        <f aca="false">(parametros_manuales!$D$24*(datos_base!$I$2+IF(parametros_manuales!$H$24="Todos",datos_base!$I$9,0))*parametros_manuales!$H$95+parametros_manuales!$D$24*(datos_base!$I$18+IF(parametros_manuales!$H$24="Todos",datos_base!$I$23,0))*parametros_manuales!$H$12+parametros_manuales!$E$24*(datos_base!$I$3+IF(parametros_manuales!$H$24="Todos",datos_base!$I$10,0))*parametros_manuales!$H$100+parametros_manuales!$E$24*(datos_base!$I$19+IF(parametros_manuales!$H$24="Todos",datos_base!$I$24,0))*parametros_manuales!$H$13+parametros_manuales!$F$24*(datos_base!$I$4+IF(parametros_manuales!$H$24="Todos",datos_base!$I$11,0))*parametros_manuales!$H$105+parametros_manuales!$F$24*(datos_base!$I$20+IF(parametros_manuales!$H$24="Todos",datos_base!$I$25,0))*parametros_manuales!$H$14+parametros_manuales!$G$24*(datos_base!$I$5+IF(parametros_manuales!$H$24="Todos",datos_base!$I$12,0))*parametros_manuales!$H$110+parametros_manuales!$G$24*(datos_base!$I$21+IF(parametros_manuales!$H$24="Todos",datos_base!$I$26,0))*parametros_manuales!$H$15)*parametros_manuales!$I$24*parametros_manuales!$J$24</f>
        <v>16671.21750752</v>
      </c>
      <c r="I196" s="9" t="n">
        <f aca="false">(parametros_manuales!$D$24*(datos_base!$I$2+IF(parametros_manuales!$H$24="Todos",datos_base!$I$9,0))*parametros_manuales!$I$95+parametros_manuales!$D$24*(datos_base!$I$18+IF(parametros_manuales!$H$24="Todos",datos_base!$I$23,0))*parametros_manuales!$I$12+parametros_manuales!$E$24*(datos_base!$I$3+IF(parametros_manuales!$H$24="Todos",datos_base!$I$10,0))*parametros_manuales!$I$100+parametros_manuales!$E$24*(datos_base!$I$19+IF(parametros_manuales!$H$24="Todos",datos_base!$I$24,0))*parametros_manuales!$I$13+parametros_manuales!$F$24*(datos_base!$I$4+IF(parametros_manuales!$H$24="Todos",datos_base!$I$11,0))*parametros_manuales!$I$105+parametros_manuales!$F$24*(datos_base!$I$20+IF(parametros_manuales!$H$24="Todos",datos_base!$I$25,0))*parametros_manuales!$I$14+parametros_manuales!$G$24*(datos_base!$I$5+IF(parametros_manuales!$H$24="Todos",datos_base!$I$12,0))*parametros_manuales!$I$110+parametros_manuales!$G$24*(datos_base!$I$21+IF(parametros_manuales!$H$24="Todos",datos_base!$I$26,0))*parametros_manuales!$I$15)*parametros_manuales!$I$24*parametros_manuales!$J$24</f>
        <v>19013.21368472</v>
      </c>
      <c r="J196" s="9" t="n">
        <f aca="false">(parametros_manuales!$D$24*(datos_base!$I$2+IF(parametros_manuales!$H$24="Todos",datos_base!$I$9,0))*parametros_manuales!$J$95+parametros_manuales!$D$24*(datos_base!$I$18+IF(parametros_manuales!$H$24="Todos",datos_base!$I$23,0))*parametros_manuales!$J$12+parametros_manuales!$E$24*(datos_base!$I$3+IF(parametros_manuales!$H$24="Todos",datos_base!$I$10,0))*parametros_manuales!$J$100+parametros_manuales!$E$24*(datos_base!$I$19+IF(parametros_manuales!$H$24="Todos",datos_base!$I$24,0))*parametros_manuales!$J$13+parametros_manuales!$F$24*(datos_base!$I$4+IF(parametros_manuales!$H$24="Todos",datos_base!$I$11,0))*parametros_manuales!$J$105+parametros_manuales!$F$24*(datos_base!$I$20+IF(parametros_manuales!$H$24="Todos",datos_base!$I$25,0))*parametros_manuales!$J$14+parametros_manuales!$G$24*(datos_base!$I$5+IF(parametros_manuales!$H$24="Todos",datos_base!$I$12,0))*parametros_manuales!$J$110+parametros_manuales!$G$24*(datos_base!$I$21+IF(parametros_manuales!$H$24="Todos",datos_base!$I$26,0))*parametros_manuales!$J$15)*parametros_manuales!$I$24*parametros_manuales!$J$24</f>
        <v>19013.21368472</v>
      </c>
      <c r="K196" s="9" t="n">
        <f aca="false">(parametros_manuales!$D$24*(datos_base!$I$2+IF(parametros_manuales!$H$24="Todos",datos_base!$I$9,0))*parametros_manuales!$K$95+parametros_manuales!$D$24*(datos_base!$I$18+IF(parametros_manuales!$H$24="Todos",datos_base!$I$23,0))*parametros_manuales!$K$12+parametros_manuales!$E$24*(datos_base!$I$3+IF(parametros_manuales!$H$24="Todos",datos_base!$I$10,0))*parametros_manuales!$K$100+parametros_manuales!$E$24*(datos_base!$I$19+IF(parametros_manuales!$H$24="Todos",datos_base!$I$24,0))*parametros_manuales!$K$13+parametros_manuales!$F$24*(datos_base!$I$4+IF(parametros_manuales!$H$24="Todos",datos_base!$I$11,0))*parametros_manuales!$K$105+parametros_manuales!$F$24*(datos_base!$I$20+IF(parametros_manuales!$H$24="Todos",datos_base!$I$25,0))*parametros_manuales!$K$14+parametros_manuales!$G$24*(datos_base!$I$5+IF(parametros_manuales!$H$24="Todos",datos_base!$I$12,0))*parametros_manuales!$K$110+parametros_manuales!$G$24*(datos_base!$I$21+IF(parametros_manuales!$H$24="Todos",datos_base!$I$26,0))*parametros_manuales!$K$15)*parametros_manuales!$I$24*parametros_manuales!$J$24</f>
        <v>19321.325773565</v>
      </c>
      <c r="L196" s="9" t="n">
        <f aca="false">(parametros_manuales!$D$24*(datos_base!$I$2+IF(parametros_manuales!$H$24="Todos",datos_base!$I$9,0))*parametros_manuales!$L$95+parametros_manuales!$D$24*(datos_base!$I$18+IF(parametros_manuales!$H$24="Todos",datos_base!$I$23,0))*parametros_manuales!$L$12+parametros_manuales!$E$24*(datos_base!$I$3+IF(parametros_manuales!$H$24="Todos",datos_base!$I$10,0))*parametros_manuales!$L$100+parametros_manuales!$E$24*(datos_base!$I$19+IF(parametros_manuales!$H$24="Todos",datos_base!$I$24,0))*parametros_manuales!$L$13+parametros_manuales!$F$24*(datos_base!$I$4+IF(parametros_manuales!$H$24="Todos",datos_base!$I$11,0))*parametros_manuales!$L$105+parametros_manuales!$F$24*(datos_base!$I$20+IF(parametros_manuales!$H$24="Todos",datos_base!$I$25,0))*parametros_manuales!$L$14+parametros_manuales!$G$24*(datos_base!$I$5+IF(parametros_manuales!$H$24="Todos",datos_base!$I$12,0))*parametros_manuales!$L$110+parametros_manuales!$G$24*(datos_base!$I$21+IF(parametros_manuales!$H$24="Todos",datos_base!$I$26,0))*parametros_manuales!$L$15)*parametros_manuales!$I$24*parametros_manuales!$J$24</f>
        <v>19629.43786241</v>
      </c>
      <c r="M196" s="9" t="n">
        <f aca="false">(parametros_manuales!$D$24*(datos_base!$I$2+IF(parametros_manuales!$H$24="Todos",datos_base!$I$9,0))*parametros_manuales!$M$95+parametros_manuales!$D$24*(datos_base!$I$18+IF(parametros_manuales!$H$24="Todos",datos_base!$I$23,0))*parametros_manuales!$M$12+parametros_manuales!$E$24*(datos_base!$I$3+IF(parametros_manuales!$H$24="Todos",datos_base!$I$10,0))*parametros_manuales!$M$100+parametros_manuales!$E$24*(datos_base!$I$19+IF(parametros_manuales!$H$24="Todos",datos_base!$I$24,0))*parametros_manuales!$M$13+parametros_manuales!$F$24*(datos_base!$I$4+IF(parametros_manuales!$H$24="Todos",datos_base!$I$11,0))*parametros_manuales!$M$105+parametros_manuales!$F$24*(datos_base!$I$20+IF(parametros_manuales!$H$24="Todos",datos_base!$I$25,0))*parametros_manuales!$M$14+parametros_manuales!$G$24*(datos_base!$I$5+IF(parametros_manuales!$H$24="Todos",datos_base!$I$12,0))*parametros_manuales!$M$110+parametros_manuales!$G$24*(datos_base!$I$21+IF(parametros_manuales!$H$24="Todos",datos_base!$I$26,0))*parametros_manuales!$M$15)*parametros_manuales!$I$24*parametros_manuales!$J$24</f>
        <v>19637.29866241</v>
      </c>
      <c r="N196" s="9" t="n">
        <f aca="false">SUM(B196:M196)</f>
        <v>218148.536249</v>
      </c>
      <c r="O196" s="9" t="n">
        <f aca="false">MAX(B196:M196)</f>
        <v>19637.29866241</v>
      </c>
      <c r="P196" s="44" t="n">
        <f aca="false">O196/(parametros_manuales!$B$7)</f>
        <v>130.915324416067</v>
      </c>
      <c r="Q196" s="8" t="str">
        <f aca="false">IF(O196=0,"-",INDEX($B$190:$M$190,MATCH(O196,B196:M196,0)))</f>
        <v>Dic</v>
      </c>
    </row>
    <row r="197" customFormat="false" ht="14.25" hidden="false" customHeight="true" outlineLevel="0" collapsed="false">
      <c r="A197" s="8" t="str">
        <f aca="false">parametros_manuales!$B$25</f>
        <v>Soldadura del cuello a la cúpula</v>
      </c>
      <c r="B197" s="9" t="n">
        <f aca="false">(parametros_manuales!$D$25*(datos_base!$I$2+IF(parametros_manuales!$H$25="Todos",datos_base!$I$9,0))*parametros_manuales!$B$95+parametros_manuales!$D$25*(datos_base!$I$18+IF(parametros_manuales!$H$25="Todos",datos_base!$I$23,0))*parametros_manuales!$B$12+parametros_manuales!$E$25*(datos_base!$I$3+IF(parametros_manuales!$H$25="Todos",datos_base!$I$10,0))*parametros_manuales!$B$100+parametros_manuales!$E$25*(datos_base!$I$19+IF(parametros_manuales!$H$25="Todos",datos_base!$I$24,0))*parametros_manuales!$B$13+parametros_manuales!$F$25*(datos_base!$I$4+IF(parametros_manuales!$H$25="Todos",datos_base!$I$11,0))*parametros_manuales!$B$105+parametros_manuales!$F$25*(datos_base!$I$20+IF(parametros_manuales!$H$25="Todos",datos_base!$I$25,0))*parametros_manuales!$B$14+parametros_manuales!$G$25*(datos_base!$I$5+IF(parametros_manuales!$H$25="Todos",datos_base!$I$12,0))*parametros_manuales!$B$110+parametros_manuales!$G$25*(datos_base!$I$21+IF(parametros_manuales!$H$25="Todos",datos_base!$I$26,0))*parametros_manuales!$B$15)*parametros_manuales!$I$25*parametros_manuales!$J$25</f>
        <v>19635.33346241</v>
      </c>
      <c r="C197" s="9" t="n">
        <f aca="false">(parametros_manuales!$D$25*(datos_base!$I$2+IF(parametros_manuales!$H$25="Todos",datos_base!$I$9,0))*parametros_manuales!$C$95+parametros_manuales!$D$25*(datos_base!$I$18+IF(parametros_manuales!$H$25="Todos",datos_base!$I$23,0))*parametros_manuales!$C$12+parametros_manuales!$E$25*(datos_base!$I$3+IF(parametros_manuales!$H$25="Todos",datos_base!$I$10,0))*parametros_manuales!$C$100+parametros_manuales!$E$25*(datos_base!$I$19+IF(parametros_manuales!$H$25="Todos",datos_base!$I$24,0))*parametros_manuales!$C$13+parametros_manuales!$F$25*(datos_base!$I$4+IF(parametros_manuales!$H$25="Todos",datos_base!$I$11,0))*parametros_manuales!$C$105+parametros_manuales!$F$25*(datos_base!$I$20+IF(parametros_manuales!$H$25="Todos",datos_base!$I$25,0))*parametros_manuales!$C$14+parametros_manuales!$G$25*(datos_base!$I$5+IF(parametros_manuales!$H$25="Todos",datos_base!$I$12,0))*parametros_manuales!$C$110+parametros_manuales!$G$25*(datos_base!$I$21+IF(parametros_manuales!$H$25="Todos",datos_base!$I$26,0))*parametros_manuales!$C$15)*parametros_manuales!$I$25*parametros_manuales!$J$25</f>
        <v>19013.21368472</v>
      </c>
      <c r="D197" s="9" t="n">
        <f aca="false">(parametros_manuales!$D$25*(datos_base!$I$2+IF(parametros_manuales!$H$25="Todos",datos_base!$I$9,0))*parametros_manuales!$D$95+parametros_manuales!$D$25*(datos_base!$I$18+IF(parametros_manuales!$H$25="Todos",datos_base!$I$23,0))*parametros_manuales!$D$12+parametros_manuales!$E$25*(datos_base!$I$3+IF(parametros_manuales!$H$25="Todos",datos_base!$I$10,0))*parametros_manuales!$D$100+parametros_manuales!$E$25*(datos_base!$I$19+IF(parametros_manuales!$H$25="Todos",datos_base!$I$24,0))*parametros_manuales!$D$13+parametros_manuales!$F$25*(datos_base!$I$4+IF(parametros_manuales!$H$25="Todos",datos_base!$I$11,0))*parametros_manuales!$D$105+parametros_manuales!$F$25*(datos_base!$I$20+IF(parametros_manuales!$H$25="Todos",datos_base!$I$25,0))*parametros_manuales!$D$14+parametros_manuales!$G$25*(datos_base!$I$5+IF(parametros_manuales!$H$25="Todos",datos_base!$I$12,0))*parametros_manuales!$D$110+parametros_manuales!$G$25*(datos_base!$I$21+IF(parametros_manuales!$H$25="Todos",datos_base!$I$26,0))*parametros_manuales!$D$15)*parametros_manuales!$I$25*parametros_manuales!$J$25</f>
        <v>17761.960188765</v>
      </c>
      <c r="E197" s="9" t="n">
        <f aca="false">(parametros_manuales!$D$25*(datos_base!$I$2+IF(parametros_manuales!$H$25="Todos",datos_base!$I$9,0))*parametros_manuales!$E$95+parametros_manuales!$D$25*(datos_base!$I$18+IF(parametros_manuales!$H$25="Todos",datos_base!$I$23,0))*parametros_manuales!$E$12+parametros_manuales!$E$25*(datos_base!$I$3+IF(parametros_manuales!$H$25="Todos",datos_base!$I$10,0))*parametros_manuales!$E$100+parametros_manuales!$E$25*(datos_base!$I$19+IF(parametros_manuales!$H$25="Todos",datos_base!$I$24,0))*parametros_manuales!$E$13+parametros_manuales!$F$25*(datos_base!$I$4+IF(parametros_manuales!$H$25="Todos",datos_base!$I$11,0))*parametros_manuales!$E$105+parametros_manuales!$F$25*(datos_base!$I$20+IF(parametros_manuales!$H$25="Todos",datos_base!$I$25,0))*parametros_manuales!$E$14+parametros_manuales!$G$25*(datos_base!$I$5+IF(parametros_manuales!$H$25="Todos",datos_base!$I$12,0))*parametros_manuales!$E$110+parametros_manuales!$G$25*(datos_base!$I$21+IF(parametros_manuales!$H$25="Todos",datos_base!$I$26,0))*parametros_manuales!$E$15)*parametros_manuales!$I$25*parametros_manuales!$J$25</f>
        <v>16981.294796365</v>
      </c>
      <c r="F197" s="9" t="n">
        <f aca="false">(parametros_manuales!$D$25*(datos_base!$I$2+IF(parametros_manuales!$H$25="Todos",datos_base!$I$9,0))*parametros_manuales!$F$95+parametros_manuales!$D$25*(datos_base!$I$18+IF(parametros_manuales!$H$25="Todos",datos_base!$I$23,0))*parametros_manuales!$F$12+parametros_manuales!$E$25*(datos_base!$I$3+IF(parametros_manuales!$H$25="Todos",datos_base!$I$10,0))*parametros_manuales!$F$100+parametros_manuales!$E$25*(datos_base!$I$19+IF(parametros_manuales!$H$25="Todos",datos_base!$I$24,0))*parametros_manuales!$F$13+parametros_manuales!$F$25*(datos_base!$I$4+IF(parametros_manuales!$H$25="Todos",datos_base!$I$11,0))*parametros_manuales!$F$105+parametros_manuales!$F$25*(datos_base!$I$20+IF(parametros_manuales!$H$25="Todos",datos_base!$I$25,0))*parametros_manuales!$F$14+parametros_manuales!$G$25*(datos_base!$I$5+IF(parametros_manuales!$H$25="Todos",datos_base!$I$12,0))*parametros_manuales!$F$110+parametros_manuales!$G$25*(datos_base!$I$21+IF(parametros_manuales!$H$25="Todos",datos_base!$I$26,0))*parametros_manuales!$F$15)*parametros_manuales!$I$25*parametros_manuales!$J$25</f>
        <v>15890.55211512</v>
      </c>
      <c r="G197" s="9" t="n">
        <f aca="false">(parametros_manuales!$D$25*(datos_base!$I$2+IF(parametros_manuales!$H$25="Todos",datos_base!$I$9,0))*parametros_manuales!$G$95+parametros_manuales!$D$25*(datos_base!$I$18+IF(parametros_manuales!$H$25="Todos",datos_base!$I$23,0))*parametros_manuales!$G$12+parametros_manuales!$E$25*(datos_base!$I$3+IF(parametros_manuales!$H$25="Todos",datos_base!$I$10,0))*parametros_manuales!$G$100+parametros_manuales!$E$25*(datos_base!$I$19+IF(parametros_manuales!$H$25="Todos",datos_base!$I$24,0))*parametros_manuales!$G$13+parametros_manuales!$F$25*(datos_base!$I$4+IF(parametros_manuales!$H$25="Todos",datos_base!$I$11,0))*parametros_manuales!$G$105+parametros_manuales!$F$25*(datos_base!$I$20+IF(parametros_manuales!$H$25="Todos",datos_base!$I$25,0))*parametros_manuales!$G$14+parametros_manuales!$G$25*(datos_base!$I$5+IF(parametros_manuales!$H$25="Todos",datos_base!$I$12,0))*parametros_manuales!$G$110+parametros_manuales!$G$25*(datos_base!$I$21+IF(parametros_manuales!$H$25="Todos",datos_base!$I$26,0))*parametros_manuales!$G$15)*parametros_manuales!$I$25*parametros_manuales!$J$25</f>
        <v>15580.474826275</v>
      </c>
      <c r="H197" s="9" t="n">
        <f aca="false">(parametros_manuales!$D$25*(datos_base!$I$2+IF(parametros_manuales!$H$25="Todos",datos_base!$I$9,0))*parametros_manuales!$H$95+parametros_manuales!$D$25*(datos_base!$I$18+IF(parametros_manuales!$H$25="Todos",datos_base!$I$23,0))*parametros_manuales!$H$12+parametros_manuales!$E$25*(datos_base!$I$3+IF(parametros_manuales!$H$25="Todos",datos_base!$I$10,0))*parametros_manuales!$H$100+parametros_manuales!$E$25*(datos_base!$I$19+IF(parametros_manuales!$H$25="Todos",datos_base!$I$24,0))*parametros_manuales!$H$13+parametros_manuales!$F$25*(datos_base!$I$4+IF(parametros_manuales!$H$25="Todos",datos_base!$I$11,0))*parametros_manuales!$H$105+parametros_manuales!$F$25*(datos_base!$I$20+IF(parametros_manuales!$H$25="Todos",datos_base!$I$25,0))*parametros_manuales!$H$14+parametros_manuales!$G$25*(datos_base!$I$5+IF(parametros_manuales!$H$25="Todos",datos_base!$I$12,0))*parametros_manuales!$H$110+parametros_manuales!$G$25*(datos_base!$I$21+IF(parametros_manuales!$H$25="Todos",datos_base!$I$26,0))*parametros_manuales!$H$15)*parametros_manuales!$I$25*parametros_manuales!$J$25</f>
        <v>16671.21750752</v>
      </c>
      <c r="I197" s="9" t="n">
        <f aca="false">(parametros_manuales!$D$25*(datos_base!$I$2+IF(parametros_manuales!$H$25="Todos",datos_base!$I$9,0))*parametros_manuales!$I$95+parametros_manuales!$D$25*(datos_base!$I$18+IF(parametros_manuales!$H$25="Todos",datos_base!$I$23,0))*parametros_manuales!$I$12+parametros_manuales!$E$25*(datos_base!$I$3+IF(parametros_manuales!$H$25="Todos",datos_base!$I$10,0))*parametros_manuales!$I$100+parametros_manuales!$E$25*(datos_base!$I$19+IF(parametros_manuales!$H$25="Todos",datos_base!$I$24,0))*parametros_manuales!$I$13+parametros_manuales!$F$25*(datos_base!$I$4+IF(parametros_manuales!$H$25="Todos",datos_base!$I$11,0))*parametros_manuales!$I$105+parametros_manuales!$F$25*(datos_base!$I$20+IF(parametros_manuales!$H$25="Todos",datos_base!$I$25,0))*parametros_manuales!$I$14+parametros_manuales!$G$25*(datos_base!$I$5+IF(parametros_manuales!$H$25="Todos",datos_base!$I$12,0))*parametros_manuales!$I$110+parametros_manuales!$G$25*(datos_base!$I$21+IF(parametros_manuales!$H$25="Todos",datos_base!$I$26,0))*parametros_manuales!$I$15)*parametros_manuales!$I$25*parametros_manuales!$J$25</f>
        <v>19013.21368472</v>
      </c>
      <c r="J197" s="9" t="n">
        <f aca="false">(parametros_manuales!$D$25*(datos_base!$I$2+IF(parametros_manuales!$H$25="Todos",datos_base!$I$9,0))*parametros_manuales!$J$95+parametros_manuales!$D$25*(datos_base!$I$18+IF(parametros_manuales!$H$25="Todos",datos_base!$I$23,0))*parametros_manuales!$J$12+parametros_manuales!$E$25*(datos_base!$I$3+IF(parametros_manuales!$H$25="Todos",datos_base!$I$10,0))*parametros_manuales!$J$100+parametros_manuales!$E$25*(datos_base!$I$19+IF(parametros_manuales!$H$25="Todos",datos_base!$I$24,0))*parametros_manuales!$J$13+parametros_manuales!$F$25*(datos_base!$I$4+IF(parametros_manuales!$H$25="Todos",datos_base!$I$11,0))*parametros_manuales!$J$105+parametros_manuales!$F$25*(datos_base!$I$20+IF(parametros_manuales!$H$25="Todos",datos_base!$I$25,0))*parametros_manuales!$J$14+parametros_manuales!$G$25*(datos_base!$I$5+IF(parametros_manuales!$H$25="Todos",datos_base!$I$12,0))*parametros_manuales!$J$110+parametros_manuales!$G$25*(datos_base!$I$21+IF(parametros_manuales!$H$25="Todos",datos_base!$I$26,0))*parametros_manuales!$J$15)*parametros_manuales!$I$25*parametros_manuales!$J$25</f>
        <v>19013.21368472</v>
      </c>
      <c r="K197" s="9" t="n">
        <f aca="false">(parametros_manuales!$D$25*(datos_base!$I$2+IF(parametros_manuales!$H$25="Todos",datos_base!$I$9,0))*parametros_manuales!$K$95+parametros_manuales!$D$25*(datos_base!$I$18+IF(parametros_manuales!$H$25="Todos",datos_base!$I$23,0))*parametros_manuales!$K$12+parametros_manuales!$E$25*(datos_base!$I$3+IF(parametros_manuales!$H$25="Todos",datos_base!$I$10,0))*parametros_manuales!$K$100+parametros_manuales!$E$25*(datos_base!$I$19+IF(parametros_manuales!$H$25="Todos",datos_base!$I$24,0))*parametros_manuales!$K$13+parametros_manuales!$F$25*(datos_base!$I$4+IF(parametros_manuales!$H$25="Todos",datos_base!$I$11,0))*parametros_manuales!$K$105+parametros_manuales!$F$25*(datos_base!$I$20+IF(parametros_manuales!$H$25="Todos",datos_base!$I$25,0))*parametros_manuales!$K$14+parametros_manuales!$G$25*(datos_base!$I$5+IF(parametros_manuales!$H$25="Todos",datos_base!$I$12,0))*parametros_manuales!$K$110+parametros_manuales!$G$25*(datos_base!$I$21+IF(parametros_manuales!$H$25="Todos",datos_base!$I$26,0))*parametros_manuales!$K$15)*parametros_manuales!$I$25*parametros_manuales!$J$25</f>
        <v>19321.325773565</v>
      </c>
      <c r="L197" s="9" t="n">
        <f aca="false">(parametros_manuales!$D$25*(datos_base!$I$2+IF(parametros_manuales!$H$25="Todos",datos_base!$I$9,0))*parametros_manuales!$L$95+parametros_manuales!$D$25*(datos_base!$I$18+IF(parametros_manuales!$H$25="Todos",datos_base!$I$23,0))*parametros_manuales!$L$12+parametros_manuales!$E$25*(datos_base!$I$3+IF(parametros_manuales!$H$25="Todos",datos_base!$I$10,0))*parametros_manuales!$L$100+parametros_manuales!$E$25*(datos_base!$I$19+IF(parametros_manuales!$H$25="Todos",datos_base!$I$24,0))*parametros_manuales!$L$13+parametros_manuales!$F$25*(datos_base!$I$4+IF(parametros_manuales!$H$25="Todos",datos_base!$I$11,0))*parametros_manuales!$L$105+parametros_manuales!$F$25*(datos_base!$I$20+IF(parametros_manuales!$H$25="Todos",datos_base!$I$25,0))*parametros_manuales!$L$14+parametros_manuales!$G$25*(datos_base!$I$5+IF(parametros_manuales!$H$25="Todos",datos_base!$I$12,0))*parametros_manuales!$L$110+parametros_manuales!$G$25*(datos_base!$I$21+IF(parametros_manuales!$H$25="Todos",datos_base!$I$26,0))*parametros_manuales!$L$15)*parametros_manuales!$I$25*parametros_manuales!$J$25</f>
        <v>19629.43786241</v>
      </c>
      <c r="M197" s="9" t="n">
        <f aca="false">(parametros_manuales!$D$25*(datos_base!$I$2+IF(parametros_manuales!$H$25="Todos",datos_base!$I$9,0))*parametros_manuales!$M$95+parametros_manuales!$D$25*(datos_base!$I$18+IF(parametros_manuales!$H$25="Todos",datos_base!$I$23,0))*parametros_manuales!$M$12+parametros_manuales!$E$25*(datos_base!$I$3+IF(parametros_manuales!$H$25="Todos",datos_base!$I$10,0))*parametros_manuales!$M$100+parametros_manuales!$E$25*(datos_base!$I$19+IF(parametros_manuales!$H$25="Todos",datos_base!$I$24,0))*parametros_manuales!$M$13+parametros_manuales!$F$25*(datos_base!$I$4+IF(parametros_manuales!$H$25="Todos",datos_base!$I$11,0))*parametros_manuales!$M$105+parametros_manuales!$F$25*(datos_base!$I$20+IF(parametros_manuales!$H$25="Todos",datos_base!$I$25,0))*parametros_manuales!$M$14+parametros_manuales!$G$25*(datos_base!$I$5+IF(parametros_manuales!$H$25="Todos",datos_base!$I$12,0))*parametros_manuales!$M$110+parametros_manuales!$G$25*(datos_base!$I$21+IF(parametros_manuales!$H$25="Todos",datos_base!$I$26,0))*parametros_manuales!$M$15)*parametros_manuales!$I$25*parametros_manuales!$J$25</f>
        <v>19637.29866241</v>
      </c>
      <c r="N197" s="9" t="n">
        <f aca="false">SUM(B197:M197)</f>
        <v>218148.536249</v>
      </c>
      <c r="O197" s="9" t="n">
        <f aca="false">MAX(B197:M197)</f>
        <v>19637.29866241</v>
      </c>
      <c r="P197" s="44" t="n">
        <f aca="false">O197/(parametros_manuales!$B$7)</f>
        <v>130.915324416067</v>
      </c>
      <c r="Q197" s="8" t="str">
        <f aca="false">IF(O197=0,"-",INDEX($B$190:$M$190,MATCH(O197,B197:M197,0)))</f>
        <v>Dic</v>
      </c>
    </row>
    <row r="198" customFormat="false" ht="14.25" hidden="false" customHeight="true" outlineLevel="0" collapsed="false">
      <c r="A198" s="8" t="str">
        <f aca="false">parametros_manuales!$B$26</f>
        <v>Cilindrado</v>
      </c>
      <c r="B198" s="9" t="n">
        <f aca="false">(parametros_manuales!$D$26*(datos_base!$I$2+IF(parametros_manuales!$H$26="Todos",datos_base!$I$9,0))*parametros_manuales!$B$95+parametros_manuales!$D$26*(datos_base!$I$18+IF(parametros_manuales!$H$26="Todos",datos_base!$I$23,0))*parametros_manuales!$B$12+parametros_manuales!$E$26*(datos_base!$I$3+IF(parametros_manuales!$H$26="Todos",datos_base!$I$10,0))*parametros_manuales!$B$100+parametros_manuales!$E$26*(datos_base!$I$19+IF(parametros_manuales!$H$26="Todos",datos_base!$I$24,0))*parametros_manuales!$B$13+parametros_manuales!$F$26*(datos_base!$I$4+IF(parametros_manuales!$H$26="Todos",datos_base!$I$11,0))*parametros_manuales!$B$105+parametros_manuales!$F$26*(datos_base!$I$20+IF(parametros_manuales!$H$26="Todos",datos_base!$I$25,0))*parametros_manuales!$B$14+parametros_manuales!$G$26*(datos_base!$I$5+IF(parametros_manuales!$H$26="Todos",datos_base!$I$12,0))*parametros_manuales!$B$110+parametros_manuales!$G$26*(datos_base!$I$21+IF(parametros_manuales!$H$26="Todos",datos_base!$I$26,0))*parametros_manuales!$B$15)*parametros_manuales!$I$26*parametros_manuales!$J$26</f>
        <v>5583.35639921</v>
      </c>
      <c r="C198" s="9" t="n">
        <f aca="false">(parametros_manuales!$D$26*(datos_base!$I$2+IF(parametros_manuales!$H$26="Todos",datos_base!$I$9,0))*parametros_manuales!$C$95+parametros_manuales!$D$26*(datos_base!$I$18+IF(parametros_manuales!$H$26="Todos",datos_base!$I$23,0))*parametros_manuales!$C$12+parametros_manuales!$E$26*(datos_base!$I$3+IF(parametros_manuales!$H$26="Todos",datos_base!$I$10,0))*parametros_manuales!$C$100+parametros_manuales!$E$26*(datos_base!$I$19+IF(parametros_manuales!$H$26="Todos",datos_base!$I$24,0))*parametros_manuales!$C$13+parametros_manuales!$F$26*(datos_base!$I$4+IF(parametros_manuales!$H$26="Todos",datos_base!$I$11,0))*parametros_manuales!$C$105+parametros_manuales!$F$26*(datos_base!$I$20+IF(parametros_manuales!$H$26="Todos",datos_base!$I$25,0))*parametros_manuales!$C$14+parametros_manuales!$G$26*(datos_base!$I$5+IF(parametros_manuales!$H$26="Todos",datos_base!$I$12,0))*parametros_manuales!$C$110+parametros_manuales!$G$26*(datos_base!$I$21+IF(parametros_manuales!$H$26="Todos",datos_base!$I$26,0))*parametros_manuales!$C$15)*parametros_manuales!$I$26*parametros_manuales!$J$26</f>
        <v>4961.23662152</v>
      </c>
      <c r="D198" s="9" t="n">
        <f aca="false">(parametros_manuales!$D$26*(datos_base!$I$2+IF(parametros_manuales!$H$26="Todos",datos_base!$I$9,0))*parametros_manuales!$D$95+parametros_manuales!$D$26*(datos_base!$I$18+IF(parametros_manuales!$H$26="Todos",datos_base!$I$23,0))*parametros_manuales!$D$12+parametros_manuales!$E$26*(datos_base!$I$3+IF(parametros_manuales!$H$26="Todos",datos_base!$I$10,0))*parametros_manuales!$D$100+parametros_manuales!$E$26*(datos_base!$I$19+IF(parametros_manuales!$H$26="Todos",datos_base!$I$24,0))*parametros_manuales!$D$13+parametros_manuales!$F$26*(datos_base!$I$4+IF(parametros_manuales!$H$26="Todos",datos_base!$I$11,0))*parametros_manuales!$D$105+parametros_manuales!$F$26*(datos_base!$I$20+IF(parametros_manuales!$H$26="Todos",datos_base!$I$25,0))*parametros_manuales!$D$14+parametros_manuales!$G$26*(datos_base!$I$5+IF(parametros_manuales!$H$26="Todos",datos_base!$I$12,0))*parametros_manuales!$D$110+parametros_manuales!$G$26*(datos_base!$I$21+IF(parametros_manuales!$H$26="Todos",datos_base!$I$26,0))*parametros_manuales!$D$15)*parametros_manuales!$I$26*parametros_manuales!$J$26</f>
        <v>5271.313910365</v>
      </c>
      <c r="E198" s="9" t="n">
        <f aca="false">(parametros_manuales!$D$26*(datos_base!$I$2+IF(parametros_manuales!$H$26="Todos",datos_base!$I$9,0))*parametros_manuales!$E$95+parametros_manuales!$D$26*(datos_base!$I$18+IF(parametros_manuales!$H$26="Todos",datos_base!$I$23,0))*parametros_manuales!$E$12+parametros_manuales!$E$26*(datos_base!$I$3+IF(parametros_manuales!$H$26="Todos",datos_base!$I$10,0))*parametros_manuales!$E$100+parametros_manuales!$E$26*(datos_base!$I$19+IF(parametros_manuales!$H$26="Todos",datos_base!$I$24,0))*parametros_manuales!$E$13+parametros_manuales!$F$26*(datos_base!$I$4+IF(parametros_manuales!$H$26="Todos",datos_base!$I$11,0))*parametros_manuales!$E$105+parametros_manuales!$F$26*(datos_base!$I$20+IF(parametros_manuales!$H$26="Todos",datos_base!$I$25,0))*parametros_manuales!$E$14+parametros_manuales!$G$26*(datos_base!$I$5+IF(parametros_manuales!$H$26="Todos",datos_base!$I$12,0))*parametros_manuales!$E$110+parametros_manuales!$G$26*(datos_base!$I$21+IF(parametros_manuales!$H$26="Todos",datos_base!$I$26,0))*parametros_manuales!$E$15)*parametros_manuales!$I$26*parametros_manuales!$J$26</f>
        <v>5271.313910365</v>
      </c>
      <c r="F198" s="9" t="n">
        <f aca="false">(parametros_manuales!$D$26*(datos_base!$I$2+IF(parametros_manuales!$H$26="Todos",datos_base!$I$9,0))*parametros_manuales!$F$95+parametros_manuales!$D$26*(datos_base!$I$18+IF(parametros_manuales!$H$26="Todos",datos_base!$I$23,0))*parametros_manuales!$F$12+parametros_manuales!$E$26*(datos_base!$I$3+IF(parametros_manuales!$H$26="Todos",datos_base!$I$10,0))*parametros_manuales!$F$100+parametros_manuales!$E$26*(datos_base!$I$19+IF(parametros_manuales!$H$26="Todos",datos_base!$I$24,0))*parametros_manuales!$F$13+parametros_manuales!$F$26*(datos_base!$I$4+IF(parametros_manuales!$H$26="Todos",datos_base!$I$11,0))*parametros_manuales!$F$105+parametros_manuales!$F$26*(datos_base!$I$20+IF(parametros_manuales!$H$26="Todos",datos_base!$I$25,0))*parametros_manuales!$F$14+parametros_manuales!$G$26*(datos_base!$I$5+IF(parametros_manuales!$H$26="Todos",datos_base!$I$12,0))*parametros_manuales!$F$110+parametros_manuales!$G$26*(datos_base!$I$21+IF(parametros_manuales!$H$26="Todos",datos_base!$I$26,0))*parametros_manuales!$F$15)*parametros_manuales!$I$26*parametros_manuales!$J$26</f>
        <v>4961.23662152</v>
      </c>
      <c r="G198" s="9" t="n">
        <f aca="false">(parametros_manuales!$D$26*(datos_base!$I$2+IF(parametros_manuales!$H$26="Todos",datos_base!$I$9,0))*parametros_manuales!$G$95+parametros_manuales!$D$26*(datos_base!$I$18+IF(parametros_manuales!$H$26="Todos",datos_base!$I$23,0))*parametros_manuales!$G$12+parametros_manuales!$E$26*(datos_base!$I$3+IF(parametros_manuales!$H$26="Todos",datos_base!$I$10,0))*parametros_manuales!$G$100+parametros_manuales!$E$26*(datos_base!$I$19+IF(parametros_manuales!$H$26="Todos",datos_base!$I$24,0))*parametros_manuales!$G$13+parametros_manuales!$F$26*(datos_base!$I$4+IF(parametros_manuales!$H$26="Todos",datos_base!$I$11,0))*parametros_manuales!$G$105+parametros_manuales!$F$26*(datos_base!$I$20+IF(parametros_manuales!$H$26="Todos",datos_base!$I$25,0))*parametros_manuales!$G$14+parametros_manuales!$G$26*(datos_base!$I$5+IF(parametros_manuales!$H$26="Todos",datos_base!$I$12,0))*parametros_manuales!$G$110+parametros_manuales!$G$26*(datos_base!$I$21+IF(parametros_manuales!$H$26="Todos",datos_base!$I$26,0))*parametros_manuales!$G$15)*parametros_manuales!$I$26*parametros_manuales!$J$26</f>
        <v>4651.159332675</v>
      </c>
      <c r="H198" s="9" t="n">
        <f aca="false">(parametros_manuales!$D$26*(datos_base!$I$2+IF(parametros_manuales!$H$26="Todos",datos_base!$I$9,0))*parametros_manuales!$H$95+parametros_manuales!$D$26*(datos_base!$I$18+IF(parametros_manuales!$H$26="Todos",datos_base!$I$23,0))*parametros_manuales!$H$12+parametros_manuales!$E$26*(datos_base!$I$3+IF(parametros_manuales!$H$26="Todos",datos_base!$I$10,0))*parametros_manuales!$H$100+parametros_manuales!$E$26*(datos_base!$I$19+IF(parametros_manuales!$H$26="Todos",datos_base!$I$24,0))*parametros_manuales!$H$13+parametros_manuales!$F$26*(datos_base!$I$4+IF(parametros_manuales!$H$26="Todos",datos_base!$I$11,0))*parametros_manuales!$H$105+parametros_manuales!$F$26*(datos_base!$I$20+IF(parametros_manuales!$H$26="Todos",datos_base!$I$25,0))*parametros_manuales!$H$14+parametros_manuales!$G$26*(datos_base!$I$5+IF(parametros_manuales!$H$26="Todos",datos_base!$I$12,0))*parametros_manuales!$H$110+parametros_manuales!$G$26*(datos_base!$I$21+IF(parametros_manuales!$H$26="Todos",datos_base!$I$26,0))*parametros_manuales!$H$15)*parametros_manuales!$I$26*parametros_manuales!$J$26</f>
        <v>4961.23662152</v>
      </c>
      <c r="I198" s="9" t="n">
        <f aca="false">(parametros_manuales!$D$26*(datos_base!$I$2+IF(parametros_manuales!$H$26="Todos",datos_base!$I$9,0))*parametros_manuales!$I$95+parametros_manuales!$D$26*(datos_base!$I$18+IF(parametros_manuales!$H$26="Todos",datos_base!$I$23,0))*parametros_manuales!$I$12+parametros_manuales!$E$26*(datos_base!$I$3+IF(parametros_manuales!$H$26="Todos",datos_base!$I$10,0))*parametros_manuales!$I$100+parametros_manuales!$E$26*(datos_base!$I$19+IF(parametros_manuales!$H$26="Todos",datos_base!$I$24,0))*parametros_manuales!$I$13+parametros_manuales!$F$26*(datos_base!$I$4+IF(parametros_manuales!$H$26="Todos",datos_base!$I$11,0))*parametros_manuales!$I$105+parametros_manuales!$F$26*(datos_base!$I$20+IF(parametros_manuales!$H$26="Todos",datos_base!$I$25,0))*parametros_manuales!$I$14+parametros_manuales!$G$26*(datos_base!$I$5+IF(parametros_manuales!$H$26="Todos",datos_base!$I$12,0))*parametros_manuales!$I$110+parametros_manuales!$G$26*(datos_base!$I$21+IF(parametros_manuales!$H$26="Todos",datos_base!$I$26,0))*parametros_manuales!$I$15)*parametros_manuales!$I$26*parametros_manuales!$J$26</f>
        <v>4961.23662152</v>
      </c>
      <c r="J198" s="9" t="n">
        <f aca="false">(parametros_manuales!$D$26*(datos_base!$I$2+IF(parametros_manuales!$H$26="Todos",datos_base!$I$9,0))*parametros_manuales!$J$95+parametros_manuales!$D$26*(datos_base!$I$18+IF(parametros_manuales!$H$26="Todos",datos_base!$I$23,0))*parametros_manuales!$J$12+parametros_manuales!$E$26*(datos_base!$I$3+IF(parametros_manuales!$H$26="Todos",datos_base!$I$10,0))*parametros_manuales!$J$100+parametros_manuales!$E$26*(datos_base!$I$19+IF(parametros_manuales!$H$26="Todos",datos_base!$I$24,0))*parametros_manuales!$J$13+parametros_manuales!$F$26*(datos_base!$I$4+IF(parametros_manuales!$H$26="Todos",datos_base!$I$11,0))*parametros_manuales!$J$105+parametros_manuales!$F$26*(datos_base!$I$20+IF(parametros_manuales!$H$26="Todos",datos_base!$I$25,0))*parametros_manuales!$J$14+parametros_manuales!$G$26*(datos_base!$I$5+IF(parametros_manuales!$H$26="Todos",datos_base!$I$12,0))*parametros_manuales!$J$110+parametros_manuales!$G$26*(datos_base!$I$21+IF(parametros_manuales!$H$26="Todos",datos_base!$I$26,0))*parametros_manuales!$J$15)*parametros_manuales!$I$26*parametros_manuales!$J$26</f>
        <v>4961.23662152</v>
      </c>
      <c r="K198" s="9" t="n">
        <f aca="false">(parametros_manuales!$D$26*(datos_base!$I$2+IF(parametros_manuales!$H$26="Todos",datos_base!$I$9,0))*parametros_manuales!$K$95+parametros_manuales!$D$26*(datos_base!$I$18+IF(parametros_manuales!$H$26="Todos",datos_base!$I$23,0))*parametros_manuales!$K$12+parametros_manuales!$E$26*(datos_base!$I$3+IF(parametros_manuales!$H$26="Todos",datos_base!$I$10,0))*parametros_manuales!$K$100+parametros_manuales!$E$26*(datos_base!$I$19+IF(parametros_manuales!$H$26="Todos",datos_base!$I$24,0))*parametros_manuales!$K$13+parametros_manuales!$F$26*(datos_base!$I$4+IF(parametros_manuales!$H$26="Todos",datos_base!$I$11,0))*parametros_manuales!$K$105+parametros_manuales!$F$26*(datos_base!$I$20+IF(parametros_manuales!$H$26="Todos",datos_base!$I$25,0))*parametros_manuales!$K$14+parametros_manuales!$G$26*(datos_base!$I$5+IF(parametros_manuales!$H$26="Todos",datos_base!$I$12,0))*parametros_manuales!$K$110+parametros_manuales!$G$26*(datos_base!$I$21+IF(parametros_manuales!$H$26="Todos",datos_base!$I$26,0))*parametros_manuales!$K$15)*parametros_manuales!$I$26*parametros_manuales!$J$26</f>
        <v>5269.348710365</v>
      </c>
      <c r="L198" s="9" t="n">
        <f aca="false">(parametros_manuales!$D$26*(datos_base!$I$2+IF(parametros_manuales!$H$26="Todos",datos_base!$I$9,0))*parametros_manuales!$L$95+parametros_manuales!$D$26*(datos_base!$I$18+IF(parametros_manuales!$H$26="Todos",datos_base!$I$23,0))*parametros_manuales!$L$12+parametros_manuales!$E$26*(datos_base!$I$3+IF(parametros_manuales!$H$26="Todos",datos_base!$I$10,0))*parametros_manuales!$L$100+parametros_manuales!$E$26*(datos_base!$I$19+IF(parametros_manuales!$H$26="Todos",datos_base!$I$24,0))*parametros_manuales!$L$13+parametros_manuales!$F$26*(datos_base!$I$4+IF(parametros_manuales!$H$26="Todos",datos_base!$I$11,0))*parametros_manuales!$L$105+parametros_manuales!$F$26*(datos_base!$I$20+IF(parametros_manuales!$H$26="Todos",datos_base!$I$25,0))*parametros_manuales!$L$14+parametros_manuales!$G$26*(datos_base!$I$5+IF(parametros_manuales!$H$26="Todos",datos_base!$I$12,0))*parametros_manuales!$L$110+parametros_manuales!$G$26*(datos_base!$I$21+IF(parametros_manuales!$H$26="Todos",datos_base!$I$26,0))*parametros_manuales!$L$15)*parametros_manuales!$I$26*parametros_manuales!$J$26</f>
        <v>5577.46079921</v>
      </c>
      <c r="M198" s="9" t="n">
        <f aca="false">(parametros_manuales!$D$26*(datos_base!$I$2+IF(parametros_manuales!$H$26="Todos",datos_base!$I$9,0))*parametros_manuales!$M$95+parametros_manuales!$D$26*(datos_base!$I$18+IF(parametros_manuales!$H$26="Todos",datos_base!$I$23,0))*parametros_manuales!$M$12+parametros_manuales!$E$26*(datos_base!$I$3+IF(parametros_manuales!$H$26="Todos",datos_base!$I$10,0))*parametros_manuales!$M$100+parametros_manuales!$E$26*(datos_base!$I$19+IF(parametros_manuales!$H$26="Todos",datos_base!$I$24,0))*parametros_manuales!$M$13+parametros_manuales!$F$26*(datos_base!$I$4+IF(parametros_manuales!$H$26="Todos",datos_base!$I$11,0))*parametros_manuales!$M$105+parametros_manuales!$F$26*(datos_base!$I$20+IF(parametros_manuales!$H$26="Todos",datos_base!$I$25,0))*parametros_manuales!$M$14+parametros_manuales!$G$26*(datos_base!$I$5+IF(parametros_manuales!$H$26="Todos",datos_base!$I$12,0))*parametros_manuales!$M$110+parametros_manuales!$G$26*(datos_base!$I$21+IF(parametros_manuales!$H$26="Todos",datos_base!$I$26,0))*parametros_manuales!$M$15)*parametros_manuales!$I$26*parametros_manuales!$J$26</f>
        <v>5585.32159921</v>
      </c>
      <c r="N198" s="9" t="n">
        <f aca="false">SUM(B198:M198)</f>
        <v>62015.457769</v>
      </c>
      <c r="O198" s="9" t="n">
        <f aca="false">MAX(B198:M198)</f>
        <v>5585.32159921</v>
      </c>
      <c r="P198" s="44" t="n">
        <f aca="false">O198/(parametros_manuales!$B$7)</f>
        <v>37.2354773280667</v>
      </c>
      <c r="Q198" s="8" t="str">
        <f aca="false">IF(O198=0,"-",INDEX($B$190:$M$190,MATCH(O198,B198:M198,0)))</f>
        <v>Dic</v>
      </c>
    </row>
    <row r="199" customFormat="false" ht="14.25" hidden="false" customHeight="true" outlineLevel="0" collapsed="false">
      <c r="A199" s="8" t="str">
        <f aca="false">parametros_manuales!$B$27</f>
        <v>Soldadura longitudinal</v>
      </c>
      <c r="B199" s="9" t="n">
        <f aca="false">(parametros_manuales!$D$27*(datos_base!$I$2+IF(parametros_manuales!$H$27="Todos",datos_base!$I$9,0))*parametros_manuales!$B$95+parametros_manuales!$D$27*(datos_base!$I$18+IF(parametros_manuales!$H$27="Todos",datos_base!$I$23,0))*parametros_manuales!$B$12+parametros_manuales!$E$27*(datos_base!$I$3+IF(parametros_manuales!$H$27="Todos",datos_base!$I$10,0))*parametros_manuales!$B$100+parametros_manuales!$E$27*(datos_base!$I$19+IF(parametros_manuales!$H$27="Todos",datos_base!$I$24,0))*parametros_manuales!$B$13+parametros_manuales!$F$27*(datos_base!$I$4+IF(parametros_manuales!$H$27="Todos",datos_base!$I$11,0))*parametros_manuales!$B$105+parametros_manuales!$F$27*(datos_base!$I$20+IF(parametros_manuales!$H$27="Todos",datos_base!$I$25,0))*parametros_manuales!$B$14+parametros_manuales!$G$27*(datos_base!$I$5+IF(parametros_manuales!$H$27="Todos",datos_base!$I$12,0))*parametros_manuales!$B$110+parametros_manuales!$G$27*(datos_base!$I$21+IF(parametros_manuales!$H$27="Todos",datos_base!$I$26,0))*parametros_manuales!$B$15)*parametros_manuales!$I$27*parametros_manuales!$J$27</f>
        <v>5583.35639921</v>
      </c>
      <c r="C199" s="9" t="n">
        <f aca="false">(parametros_manuales!$D$27*(datos_base!$I$2+IF(parametros_manuales!$H$27="Todos",datos_base!$I$9,0))*parametros_manuales!$C$95+parametros_manuales!$D$27*(datos_base!$I$18+IF(parametros_manuales!$H$27="Todos",datos_base!$I$23,0))*parametros_manuales!$C$12+parametros_manuales!$E$27*(datos_base!$I$3+IF(parametros_manuales!$H$27="Todos",datos_base!$I$10,0))*parametros_manuales!$C$100+parametros_manuales!$E$27*(datos_base!$I$19+IF(parametros_manuales!$H$27="Todos",datos_base!$I$24,0))*parametros_manuales!$C$13+parametros_manuales!$F$27*(datos_base!$I$4+IF(parametros_manuales!$H$27="Todos",datos_base!$I$11,0))*parametros_manuales!$C$105+parametros_manuales!$F$27*(datos_base!$I$20+IF(parametros_manuales!$H$27="Todos",datos_base!$I$25,0))*parametros_manuales!$C$14+parametros_manuales!$G$27*(datos_base!$I$5+IF(parametros_manuales!$H$27="Todos",datos_base!$I$12,0))*parametros_manuales!$C$110+parametros_manuales!$G$27*(datos_base!$I$21+IF(parametros_manuales!$H$27="Todos",datos_base!$I$26,0))*parametros_manuales!$C$15)*parametros_manuales!$I$27*parametros_manuales!$J$27</f>
        <v>4961.23662152</v>
      </c>
      <c r="D199" s="9" t="n">
        <f aca="false">(parametros_manuales!$D$27*(datos_base!$I$2+IF(parametros_manuales!$H$27="Todos",datos_base!$I$9,0))*parametros_manuales!$D$95+parametros_manuales!$D$27*(datos_base!$I$18+IF(parametros_manuales!$H$27="Todos",datos_base!$I$23,0))*parametros_manuales!$D$12+parametros_manuales!$E$27*(datos_base!$I$3+IF(parametros_manuales!$H$27="Todos",datos_base!$I$10,0))*parametros_manuales!$D$100+parametros_manuales!$E$27*(datos_base!$I$19+IF(parametros_manuales!$H$27="Todos",datos_base!$I$24,0))*parametros_manuales!$D$13+parametros_manuales!$F$27*(datos_base!$I$4+IF(parametros_manuales!$H$27="Todos",datos_base!$I$11,0))*parametros_manuales!$D$105+parametros_manuales!$F$27*(datos_base!$I$20+IF(parametros_manuales!$H$27="Todos",datos_base!$I$25,0))*parametros_manuales!$D$14+parametros_manuales!$G$27*(datos_base!$I$5+IF(parametros_manuales!$H$27="Todos",datos_base!$I$12,0))*parametros_manuales!$D$110+parametros_manuales!$G$27*(datos_base!$I$21+IF(parametros_manuales!$H$27="Todos",datos_base!$I$26,0))*parametros_manuales!$D$15)*parametros_manuales!$I$27*parametros_manuales!$J$27</f>
        <v>5271.313910365</v>
      </c>
      <c r="E199" s="9" t="n">
        <f aca="false">(parametros_manuales!$D$27*(datos_base!$I$2+IF(parametros_manuales!$H$27="Todos",datos_base!$I$9,0))*parametros_manuales!$E$95+parametros_manuales!$D$27*(datos_base!$I$18+IF(parametros_manuales!$H$27="Todos",datos_base!$I$23,0))*parametros_manuales!$E$12+parametros_manuales!$E$27*(datos_base!$I$3+IF(parametros_manuales!$H$27="Todos",datos_base!$I$10,0))*parametros_manuales!$E$100+parametros_manuales!$E$27*(datos_base!$I$19+IF(parametros_manuales!$H$27="Todos",datos_base!$I$24,0))*parametros_manuales!$E$13+parametros_manuales!$F$27*(datos_base!$I$4+IF(parametros_manuales!$H$27="Todos",datos_base!$I$11,0))*parametros_manuales!$E$105+parametros_manuales!$F$27*(datos_base!$I$20+IF(parametros_manuales!$H$27="Todos",datos_base!$I$25,0))*parametros_manuales!$E$14+parametros_manuales!$G$27*(datos_base!$I$5+IF(parametros_manuales!$H$27="Todos",datos_base!$I$12,0))*parametros_manuales!$E$110+parametros_manuales!$G$27*(datos_base!$I$21+IF(parametros_manuales!$H$27="Todos",datos_base!$I$26,0))*parametros_manuales!$E$15)*parametros_manuales!$I$27*parametros_manuales!$J$27</f>
        <v>5271.313910365</v>
      </c>
      <c r="F199" s="9" t="n">
        <f aca="false">(parametros_manuales!$D$27*(datos_base!$I$2+IF(parametros_manuales!$H$27="Todos",datos_base!$I$9,0))*parametros_manuales!$F$95+parametros_manuales!$D$27*(datos_base!$I$18+IF(parametros_manuales!$H$27="Todos",datos_base!$I$23,0))*parametros_manuales!$F$12+parametros_manuales!$E$27*(datos_base!$I$3+IF(parametros_manuales!$H$27="Todos",datos_base!$I$10,0))*parametros_manuales!$F$100+parametros_manuales!$E$27*(datos_base!$I$19+IF(parametros_manuales!$H$27="Todos",datos_base!$I$24,0))*parametros_manuales!$F$13+parametros_manuales!$F$27*(datos_base!$I$4+IF(parametros_manuales!$H$27="Todos",datos_base!$I$11,0))*parametros_manuales!$F$105+parametros_manuales!$F$27*(datos_base!$I$20+IF(parametros_manuales!$H$27="Todos",datos_base!$I$25,0))*parametros_manuales!$F$14+parametros_manuales!$G$27*(datos_base!$I$5+IF(parametros_manuales!$H$27="Todos",datos_base!$I$12,0))*parametros_manuales!$F$110+parametros_manuales!$G$27*(datos_base!$I$21+IF(parametros_manuales!$H$27="Todos",datos_base!$I$26,0))*parametros_manuales!$F$15)*parametros_manuales!$I$27*parametros_manuales!$J$27</f>
        <v>4961.23662152</v>
      </c>
      <c r="G199" s="9" t="n">
        <f aca="false">(parametros_manuales!$D$27*(datos_base!$I$2+IF(parametros_manuales!$H$27="Todos",datos_base!$I$9,0))*parametros_manuales!$G$95+parametros_manuales!$D$27*(datos_base!$I$18+IF(parametros_manuales!$H$27="Todos",datos_base!$I$23,0))*parametros_manuales!$G$12+parametros_manuales!$E$27*(datos_base!$I$3+IF(parametros_manuales!$H$27="Todos",datos_base!$I$10,0))*parametros_manuales!$G$100+parametros_manuales!$E$27*(datos_base!$I$19+IF(parametros_manuales!$H$27="Todos",datos_base!$I$24,0))*parametros_manuales!$G$13+parametros_manuales!$F$27*(datos_base!$I$4+IF(parametros_manuales!$H$27="Todos",datos_base!$I$11,0))*parametros_manuales!$G$105+parametros_manuales!$F$27*(datos_base!$I$20+IF(parametros_manuales!$H$27="Todos",datos_base!$I$25,0))*parametros_manuales!$G$14+parametros_manuales!$G$27*(datos_base!$I$5+IF(parametros_manuales!$H$27="Todos",datos_base!$I$12,0))*parametros_manuales!$G$110+parametros_manuales!$G$27*(datos_base!$I$21+IF(parametros_manuales!$H$27="Todos",datos_base!$I$26,0))*parametros_manuales!$G$15)*parametros_manuales!$I$27*parametros_manuales!$J$27</f>
        <v>4651.159332675</v>
      </c>
      <c r="H199" s="9" t="n">
        <f aca="false">(parametros_manuales!$D$27*(datos_base!$I$2+IF(parametros_manuales!$H$27="Todos",datos_base!$I$9,0))*parametros_manuales!$H$95+parametros_manuales!$D$27*(datos_base!$I$18+IF(parametros_manuales!$H$27="Todos",datos_base!$I$23,0))*parametros_manuales!$H$12+parametros_manuales!$E$27*(datos_base!$I$3+IF(parametros_manuales!$H$27="Todos",datos_base!$I$10,0))*parametros_manuales!$H$100+parametros_manuales!$E$27*(datos_base!$I$19+IF(parametros_manuales!$H$27="Todos",datos_base!$I$24,0))*parametros_manuales!$H$13+parametros_manuales!$F$27*(datos_base!$I$4+IF(parametros_manuales!$H$27="Todos",datos_base!$I$11,0))*parametros_manuales!$H$105+parametros_manuales!$F$27*(datos_base!$I$20+IF(parametros_manuales!$H$27="Todos",datos_base!$I$25,0))*parametros_manuales!$H$14+parametros_manuales!$G$27*(datos_base!$I$5+IF(parametros_manuales!$H$27="Todos",datos_base!$I$12,0))*parametros_manuales!$H$110+parametros_manuales!$G$27*(datos_base!$I$21+IF(parametros_manuales!$H$27="Todos",datos_base!$I$26,0))*parametros_manuales!$H$15)*parametros_manuales!$I$27*parametros_manuales!$J$27</f>
        <v>4961.23662152</v>
      </c>
      <c r="I199" s="9" t="n">
        <f aca="false">(parametros_manuales!$D$27*(datos_base!$I$2+IF(parametros_manuales!$H$27="Todos",datos_base!$I$9,0))*parametros_manuales!$I$95+parametros_manuales!$D$27*(datos_base!$I$18+IF(parametros_manuales!$H$27="Todos",datos_base!$I$23,0))*parametros_manuales!$I$12+parametros_manuales!$E$27*(datos_base!$I$3+IF(parametros_manuales!$H$27="Todos",datos_base!$I$10,0))*parametros_manuales!$I$100+parametros_manuales!$E$27*(datos_base!$I$19+IF(parametros_manuales!$H$27="Todos",datos_base!$I$24,0))*parametros_manuales!$I$13+parametros_manuales!$F$27*(datos_base!$I$4+IF(parametros_manuales!$H$27="Todos",datos_base!$I$11,0))*parametros_manuales!$I$105+parametros_manuales!$F$27*(datos_base!$I$20+IF(parametros_manuales!$H$27="Todos",datos_base!$I$25,0))*parametros_manuales!$I$14+parametros_manuales!$G$27*(datos_base!$I$5+IF(parametros_manuales!$H$27="Todos",datos_base!$I$12,0))*parametros_manuales!$I$110+parametros_manuales!$G$27*(datos_base!$I$21+IF(parametros_manuales!$H$27="Todos",datos_base!$I$26,0))*parametros_manuales!$I$15)*parametros_manuales!$I$27*parametros_manuales!$J$27</f>
        <v>4961.23662152</v>
      </c>
      <c r="J199" s="9" t="n">
        <f aca="false">(parametros_manuales!$D$27*(datos_base!$I$2+IF(parametros_manuales!$H$27="Todos",datos_base!$I$9,0))*parametros_manuales!$J$95+parametros_manuales!$D$27*(datos_base!$I$18+IF(parametros_manuales!$H$27="Todos",datos_base!$I$23,0))*parametros_manuales!$J$12+parametros_manuales!$E$27*(datos_base!$I$3+IF(parametros_manuales!$H$27="Todos",datos_base!$I$10,0))*parametros_manuales!$J$100+parametros_manuales!$E$27*(datos_base!$I$19+IF(parametros_manuales!$H$27="Todos",datos_base!$I$24,0))*parametros_manuales!$J$13+parametros_manuales!$F$27*(datos_base!$I$4+IF(parametros_manuales!$H$27="Todos",datos_base!$I$11,0))*parametros_manuales!$J$105+parametros_manuales!$F$27*(datos_base!$I$20+IF(parametros_manuales!$H$27="Todos",datos_base!$I$25,0))*parametros_manuales!$J$14+parametros_manuales!$G$27*(datos_base!$I$5+IF(parametros_manuales!$H$27="Todos",datos_base!$I$12,0))*parametros_manuales!$J$110+parametros_manuales!$G$27*(datos_base!$I$21+IF(parametros_manuales!$H$27="Todos",datos_base!$I$26,0))*parametros_manuales!$J$15)*parametros_manuales!$I$27*parametros_manuales!$J$27</f>
        <v>4961.23662152</v>
      </c>
      <c r="K199" s="9" t="n">
        <f aca="false">(parametros_manuales!$D$27*(datos_base!$I$2+IF(parametros_manuales!$H$27="Todos",datos_base!$I$9,0))*parametros_manuales!$K$95+parametros_manuales!$D$27*(datos_base!$I$18+IF(parametros_manuales!$H$27="Todos",datos_base!$I$23,0))*parametros_manuales!$K$12+parametros_manuales!$E$27*(datos_base!$I$3+IF(parametros_manuales!$H$27="Todos",datos_base!$I$10,0))*parametros_manuales!$K$100+parametros_manuales!$E$27*(datos_base!$I$19+IF(parametros_manuales!$H$27="Todos",datos_base!$I$24,0))*parametros_manuales!$K$13+parametros_manuales!$F$27*(datos_base!$I$4+IF(parametros_manuales!$H$27="Todos",datos_base!$I$11,0))*parametros_manuales!$K$105+parametros_manuales!$F$27*(datos_base!$I$20+IF(parametros_manuales!$H$27="Todos",datos_base!$I$25,0))*parametros_manuales!$K$14+parametros_manuales!$G$27*(datos_base!$I$5+IF(parametros_manuales!$H$27="Todos",datos_base!$I$12,0))*parametros_manuales!$K$110+parametros_manuales!$G$27*(datos_base!$I$21+IF(parametros_manuales!$H$27="Todos",datos_base!$I$26,0))*parametros_manuales!$K$15)*parametros_manuales!$I$27*parametros_manuales!$J$27</f>
        <v>5269.348710365</v>
      </c>
      <c r="L199" s="9" t="n">
        <f aca="false">(parametros_manuales!$D$27*(datos_base!$I$2+IF(parametros_manuales!$H$27="Todos",datos_base!$I$9,0))*parametros_manuales!$L$95+parametros_manuales!$D$27*(datos_base!$I$18+IF(parametros_manuales!$H$27="Todos",datos_base!$I$23,0))*parametros_manuales!$L$12+parametros_manuales!$E$27*(datos_base!$I$3+IF(parametros_manuales!$H$27="Todos",datos_base!$I$10,0))*parametros_manuales!$L$100+parametros_manuales!$E$27*(datos_base!$I$19+IF(parametros_manuales!$H$27="Todos",datos_base!$I$24,0))*parametros_manuales!$L$13+parametros_manuales!$F$27*(datos_base!$I$4+IF(parametros_manuales!$H$27="Todos",datos_base!$I$11,0))*parametros_manuales!$L$105+parametros_manuales!$F$27*(datos_base!$I$20+IF(parametros_manuales!$H$27="Todos",datos_base!$I$25,0))*parametros_manuales!$L$14+parametros_manuales!$G$27*(datos_base!$I$5+IF(parametros_manuales!$H$27="Todos",datos_base!$I$12,0))*parametros_manuales!$L$110+parametros_manuales!$G$27*(datos_base!$I$21+IF(parametros_manuales!$H$27="Todos",datos_base!$I$26,0))*parametros_manuales!$L$15)*parametros_manuales!$I$27*parametros_manuales!$J$27</f>
        <v>5577.46079921</v>
      </c>
      <c r="M199" s="9" t="n">
        <f aca="false">(parametros_manuales!$D$27*(datos_base!$I$2+IF(parametros_manuales!$H$27="Todos",datos_base!$I$9,0))*parametros_manuales!$M$95+parametros_manuales!$D$27*(datos_base!$I$18+IF(parametros_manuales!$H$27="Todos",datos_base!$I$23,0))*parametros_manuales!$M$12+parametros_manuales!$E$27*(datos_base!$I$3+IF(parametros_manuales!$H$27="Todos",datos_base!$I$10,0))*parametros_manuales!$M$100+parametros_manuales!$E$27*(datos_base!$I$19+IF(parametros_manuales!$H$27="Todos",datos_base!$I$24,0))*parametros_manuales!$M$13+parametros_manuales!$F$27*(datos_base!$I$4+IF(parametros_manuales!$H$27="Todos",datos_base!$I$11,0))*parametros_manuales!$M$105+parametros_manuales!$F$27*(datos_base!$I$20+IF(parametros_manuales!$H$27="Todos",datos_base!$I$25,0))*parametros_manuales!$M$14+parametros_manuales!$G$27*(datos_base!$I$5+IF(parametros_manuales!$H$27="Todos",datos_base!$I$12,0))*parametros_manuales!$M$110+parametros_manuales!$G$27*(datos_base!$I$21+IF(parametros_manuales!$H$27="Todos",datos_base!$I$26,0))*parametros_manuales!$M$15)*parametros_manuales!$I$27*parametros_manuales!$J$27</f>
        <v>5585.32159921</v>
      </c>
      <c r="N199" s="9" t="n">
        <f aca="false">SUM(B199:M199)</f>
        <v>62015.457769</v>
      </c>
      <c r="O199" s="9" t="n">
        <f aca="false">MAX(B199:M199)</f>
        <v>5585.32159921</v>
      </c>
      <c r="P199" s="44" t="n">
        <f aca="false">O199/(parametros_manuales!$B$7)</f>
        <v>37.2354773280667</v>
      </c>
      <c r="Q199" s="8" t="str">
        <f aca="false">IF(O199=0,"-",INDEX($B$190:$M$190,MATCH(O199,B199:M199,0)))</f>
        <v>Dic</v>
      </c>
    </row>
    <row r="200" customFormat="false" ht="14.25" hidden="false" customHeight="true" outlineLevel="0" collapsed="false">
      <c r="A200" s="8" t="str">
        <f aca="false">parametros_manuales!$B$28</f>
        <v>Encastre de fondo</v>
      </c>
      <c r="B200" s="9" t="n">
        <f aca="false">(parametros_manuales!$D$28*(datos_base!$I$2+IF(parametros_manuales!$H$28="Todos",datos_base!$I$9,0))*parametros_manuales!$B$95+parametros_manuales!$D$28*(datos_base!$I$18+IF(parametros_manuales!$H$28="Todos",datos_base!$I$23,0))*parametros_manuales!$B$12+parametros_manuales!$E$28*(datos_base!$I$3+IF(parametros_manuales!$H$28="Todos",datos_base!$I$10,0))*parametros_manuales!$B$100+parametros_manuales!$E$28*(datos_base!$I$19+IF(parametros_manuales!$H$28="Todos",datos_base!$I$24,0))*parametros_manuales!$B$13+parametros_manuales!$F$28*(datos_base!$I$4+IF(parametros_manuales!$H$28="Todos",datos_base!$I$11,0))*parametros_manuales!$B$105+parametros_manuales!$F$28*(datos_base!$I$20+IF(parametros_manuales!$H$28="Todos",datos_base!$I$25,0))*parametros_manuales!$B$14+parametros_manuales!$G$28*(datos_base!$I$5+IF(parametros_manuales!$H$28="Todos",datos_base!$I$12,0))*parametros_manuales!$B$110+parametros_manuales!$G$28*(datos_base!$I$21+IF(parametros_manuales!$H$28="Todos",datos_base!$I$26,0))*parametros_manuales!$B$15)*parametros_manuales!$I$28*parametros_manuales!$J$28</f>
        <v>19635.33346241</v>
      </c>
      <c r="C200" s="9" t="n">
        <f aca="false">(parametros_manuales!$D$28*(datos_base!$I$2+IF(parametros_manuales!$H$28="Todos",datos_base!$I$9,0))*parametros_manuales!$C$95+parametros_manuales!$D$28*(datos_base!$I$18+IF(parametros_manuales!$H$28="Todos",datos_base!$I$23,0))*parametros_manuales!$C$12+parametros_manuales!$E$28*(datos_base!$I$3+IF(parametros_manuales!$H$28="Todos",datos_base!$I$10,0))*parametros_manuales!$C$100+parametros_manuales!$E$28*(datos_base!$I$19+IF(parametros_manuales!$H$28="Todos",datos_base!$I$24,0))*parametros_manuales!$C$13+parametros_manuales!$F$28*(datos_base!$I$4+IF(parametros_manuales!$H$28="Todos",datos_base!$I$11,0))*parametros_manuales!$C$105+parametros_manuales!$F$28*(datos_base!$I$20+IF(parametros_manuales!$H$28="Todos",datos_base!$I$25,0))*parametros_manuales!$C$14+parametros_manuales!$G$28*(datos_base!$I$5+IF(parametros_manuales!$H$28="Todos",datos_base!$I$12,0))*parametros_manuales!$C$110+parametros_manuales!$G$28*(datos_base!$I$21+IF(parametros_manuales!$H$28="Todos",datos_base!$I$26,0))*parametros_manuales!$C$15)*parametros_manuales!$I$28*parametros_manuales!$J$28</f>
        <v>19013.21368472</v>
      </c>
      <c r="D200" s="9" t="n">
        <f aca="false">(parametros_manuales!$D$28*(datos_base!$I$2+IF(parametros_manuales!$H$28="Todos",datos_base!$I$9,0))*parametros_manuales!$D$95+parametros_manuales!$D$28*(datos_base!$I$18+IF(parametros_manuales!$H$28="Todos",datos_base!$I$23,0))*parametros_manuales!$D$12+parametros_manuales!$E$28*(datos_base!$I$3+IF(parametros_manuales!$H$28="Todos",datos_base!$I$10,0))*parametros_manuales!$D$100+parametros_manuales!$E$28*(datos_base!$I$19+IF(parametros_manuales!$H$28="Todos",datos_base!$I$24,0))*parametros_manuales!$D$13+parametros_manuales!$F$28*(datos_base!$I$4+IF(parametros_manuales!$H$28="Todos",datos_base!$I$11,0))*parametros_manuales!$D$105+parametros_manuales!$F$28*(datos_base!$I$20+IF(parametros_manuales!$H$28="Todos",datos_base!$I$25,0))*parametros_manuales!$D$14+parametros_manuales!$G$28*(datos_base!$I$5+IF(parametros_manuales!$H$28="Todos",datos_base!$I$12,0))*parametros_manuales!$D$110+parametros_manuales!$G$28*(datos_base!$I$21+IF(parametros_manuales!$H$28="Todos",datos_base!$I$26,0))*parametros_manuales!$D$15)*parametros_manuales!$I$28*parametros_manuales!$J$28</f>
        <v>17761.960188765</v>
      </c>
      <c r="E200" s="9" t="n">
        <f aca="false">(parametros_manuales!$D$28*(datos_base!$I$2+IF(parametros_manuales!$H$28="Todos",datos_base!$I$9,0))*parametros_manuales!$E$95+parametros_manuales!$D$28*(datos_base!$I$18+IF(parametros_manuales!$H$28="Todos",datos_base!$I$23,0))*parametros_manuales!$E$12+parametros_manuales!$E$28*(datos_base!$I$3+IF(parametros_manuales!$H$28="Todos",datos_base!$I$10,0))*parametros_manuales!$E$100+parametros_manuales!$E$28*(datos_base!$I$19+IF(parametros_manuales!$H$28="Todos",datos_base!$I$24,0))*parametros_manuales!$E$13+parametros_manuales!$F$28*(datos_base!$I$4+IF(parametros_manuales!$H$28="Todos",datos_base!$I$11,0))*parametros_manuales!$E$105+parametros_manuales!$F$28*(datos_base!$I$20+IF(parametros_manuales!$H$28="Todos",datos_base!$I$25,0))*parametros_manuales!$E$14+parametros_manuales!$G$28*(datos_base!$I$5+IF(parametros_manuales!$H$28="Todos",datos_base!$I$12,0))*parametros_manuales!$E$110+parametros_manuales!$G$28*(datos_base!$I$21+IF(parametros_manuales!$H$28="Todos",datos_base!$I$26,0))*parametros_manuales!$E$15)*parametros_manuales!$I$28*parametros_manuales!$J$28</f>
        <v>16981.294796365</v>
      </c>
      <c r="F200" s="9" t="n">
        <f aca="false">(parametros_manuales!$D$28*(datos_base!$I$2+IF(parametros_manuales!$H$28="Todos",datos_base!$I$9,0))*parametros_manuales!$F$95+parametros_manuales!$D$28*(datos_base!$I$18+IF(parametros_manuales!$H$28="Todos",datos_base!$I$23,0))*parametros_manuales!$F$12+parametros_manuales!$E$28*(datos_base!$I$3+IF(parametros_manuales!$H$28="Todos",datos_base!$I$10,0))*parametros_manuales!$F$100+parametros_manuales!$E$28*(datos_base!$I$19+IF(parametros_manuales!$H$28="Todos",datos_base!$I$24,0))*parametros_manuales!$F$13+parametros_manuales!$F$28*(datos_base!$I$4+IF(parametros_manuales!$H$28="Todos",datos_base!$I$11,0))*parametros_manuales!$F$105+parametros_manuales!$F$28*(datos_base!$I$20+IF(parametros_manuales!$H$28="Todos",datos_base!$I$25,0))*parametros_manuales!$F$14+parametros_manuales!$G$28*(datos_base!$I$5+IF(parametros_manuales!$H$28="Todos",datos_base!$I$12,0))*parametros_manuales!$F$110+parametros_manuales!$G$28*(datos_base!$I$21+IF(parametros_manuales!$H$28="Todos",datos_base!$I$26,0))*parametros_manuales!$F$15)*parametros_manuales!$I$28*parametros_manuales!$J$28</f>
        <v>15890.55211512</v>
      </c>
      <c r="G200" s="9" t="n">
        <f aca="false">(parametros_manuales!$D$28*(datos_base!$I$2+IF(parametros_manuales!$H$28="Todos",datos_base!$I$9,0))*parametros_manuales!$G$95+parametros_manuales!$D$28*(datos_base!$I$18+IF(parametros_manuales!$H$28="Todos",datos_base!$I$23,0))*parametros_manuales!$G$12+parametros_manuales!$E$28*(datos_base!$I$3+IF(parametros_manuales!$H$28="Todos",datos_base!$I$10,0))*parametros_manuales!$G$100+parametros_manuales!$E$28*(datos_base!$I$19+IF(parametros_manuales!$H$28="Todos",datos_base!$I$24,0))*parametros_manuales!$G$13+parametros_manuales!$F$28*(datos_base!$I$4+IF(parametros_manuales!$H$28="Todos",datos_base!$I$11,0))*parametros_manuales!$G$105+parametros_manuales!$F$28*(datos_base!$I$20+IF(parametros_manuales!$H$28="Todos",datos_base!$I$25,0))*parametros_manuales!$G$14+parametros_manuales!$G$28*(datos_base!$I$5+IF(parametros_manuales!$H$28="Todos",datos_base!$I$12,0))*parametros_manuales!$G$110+parametros_manuales!$G$28*(datos_base!$I$21+IF(parametros_manuales!$H$28="Todos",datos_base!$I$26,0))*parametros_manuales!$G$15)*parametros_manuales!$I$28*parametros_manuales!$J$28</f>
        <v>15580.474826275</v>
      </c>
      <c r="H200" s="9" t="n">
        <f aca="false">(parametros_manuales!$D$28*(datos_base!$I$2+IF(parametros_manuales!$H$28="Todos",datos_base!$I$9,0))*parametros_manuales!$H$95+parametros_manuales!$D$28*(datos_base!$I$18+IF(parametros_manuales!$H$28="Todos",datos_base!$I$23,0))*parametros_manuales!$H$12+parametros_manuales!$E$28*(datos_base!$I$3+IF(parametros_manuales!$H$28="Todos",datos_base!$I$10,0))*parametros_manuales!$H$100+parametros_manuales!$E$28*(datos_base!$I$19+IF(parametros_manuales!$H$28="Todos",datos_base!$I$24,0))*parametros_manuales!$H$13+parametros_manuales!$F$28*(datos_base!$I$4+IF(parametros_manuales!$H$28="Todos",datos_base!$I$11,0))*parametros_manuales!$H$105+parametros_manuales!$F$28*(datos_base!$I$20+IF(parametros_manuales!$H$28="Todos",datos_base!$I$25,0))*parametros_manuales!$H$14+parametros_manuales!$G$28*(datos_base!$I$5+IF(parametros_manuales!$H$28="Todos",datos_base!$I$12,0))*parametros_manuales!$H$110+parametros_manuales!$G$28*(datos_base!$I$21+IF(parametros_manuales!$H$28="Todos",datos_base!$I$26,0))*parametros_manuales!$H$15)*parametros_manuales!$I$28*parametros_manuales!$J$28</f>
        <v>16671.21750752</v>
      </c>
      <c r="I200" s="9" t="n">
        <f aca="false">(parametros_manuales!$D$28*(datos_base!$I$2+IF(parametros_manuales!$H$28="Todos",datos_base!$I$9,0))*parametros_manuales!$I$95+parametros_manuales!$D$28*(datos_base!$I$18+IF(parametros_manuales!$H$28="Todos",datos_base!$I$23,0))*parametros_manuales!$I$12+parametros_manuales!$E$28*(datos_base!$I$3+IF(parametros_manuales!$H$28="Todos",datos_base!$I$10,0))*parametros_manuales!$I$100+parametros_manuales!$E$28*(datos_base!$I$19+IF(parametros_manuales!$H$28="Todos",datos_base!$I$24,0))*parametros_manuales!$I$13+parametros_manuales!$F$28*(datos_base!$I$4+IF(parametros_manuales!$H$28="Todos",datos_base!$I$11,0))*parametros_manuales!$I$105+parametros_manuales!$F$28*(datos_base!$I$20+IF(parametros_manuales!$H$28="Todos",datos_base!$I$25,0))*parametros_manuales!$I$14+parametros_manuales!$G$28*(datos_base!$I$5+IF(parametros_manuales!$H$28="Todos",datos_base!$I$12,0))*parametros_manuales!$I$110+parametros_manuales!$G$28*(datos_base!$I$21+IF(parametros_manuales!$H$28="Todos",datos_base!$I$26,0))*parametros_manuales!$I$15)*parametros_manuales!$I$28*parametros_manuales!$J$28</f>
        <v>19013.21368472</v>
      </c>
      <c r="J200" s="9" t="n">
        <f aca="false">(parametros_manuales!$D$28*(datos_base!$I$2+IF(parametros_manuales!$H$28="Todos",datos_base!$I$9,0))*parametros_manuales!$J$95+parametros_manuales!$D$28*(datos_base!$I$18+IF(parametros_manuales!$H$28="Todos",datos_base!$I$23,0))*parametros_manuales!$J$12+parametros_manuales!$E$28*(datos_base!$I$3+IF(parametros_manuales!$H$28="Todos",datos_base!$I$10,0))*parametros_manuales!$J$100+parametros_manuales!$E$28*(datos_base!$I$19+IF(parametros_manuales!$H$28="Todos",datos_base!$I$24,0))*parametros_manuales!$J$13+parametros_manuales!$F$28*(datos_base!$I$4+IF(parametros_manuales!$H$28="Todos",datos_base!$I$11,0))*parametros_manuales!$J$105+parametros_manuales!$F$28*(datos_base!$I$20+IF(parametros_manuales!$H$28="Todos",datos_base!$I$25,0))*parametros_manuales!$J$14+parametros_manuales!$G$28*(datos_base!$I$5+IF(parametros_manuales!$H$28="Todos",datos_base!$I$12,0))*parametros_manuales!$J$110+parametros_manuales!$G$28*(datos_base!$I$21+IF(parametros_manuales!$H$28="Todos",datos_base!$I$26,0))*parametros_manuales!$J$15)*parametros_manuales!$I$28*parametros_manuales!$J$28</f>
        <v>19013.21368472</v>
      </c>
      <c r="K200" s="9" t="n">
        <f aca="false">(parametros_manuales!$D$28*(datos_base!$I$2+IF(parametros_manuales!$H$28="Todos",datos_base!$I$9,0))*parametros_manuales!$K$95+parametros_manuales!$D$28*(datos_base!$I$18+IF(parametros_manuales!$H$28="Todos",datos_base!$I$23,0))*parametros_manuales!$K$12+parametros_manuales!$E$28*(datos_base!$I$3+IF(parametros_manuales!$H$28="Todos",datos_base!$I$10,0))*parametros_manuales!$K$100+parametros_manuales!$E$28*(datos_base!$I$19+IF(parametros_manuales!$H$28="Todos",datos_base!$I$24,0))*parametros_manuales!$K$13+parametros_manuales!$F$28*(datos_base!$I$4+IF(parametros_manuales!$H$28="Todos",datos_base!$I$11,0))*parametros_manuales!$K$105+parametros_manuales!$F$28*(datos_base!$I$20+IF(parametros_manuales!$H$28="Todos",datos_base!$I$25,0))*parametros_manuales!$K$14+parametros_manuales!$G$28*(datos_base!$I$5+IF(parametros_manuales!$H$28="Todos",datos_base!$I$12,0))*parametros_manuales!$K$110+parametros_manuales!$G$28*(datos_base!$I$21+IF(parametros_manuales!$H$28="Todos",datos_base!$I$26,0))*parametros_manuales!$K$15)*parametros_manuales!$I$28*parametros_manuales!$J$28</f>
        <v>19321.325773565</v>
      </c>
      <c r="L200" s="9" t="n">
        <f aca="false">(parametros_manuales!$D$28*(datos_base!$I$2+IF(parametros_manuales!$H$28="Todos",datos_base!$I$9,0))*parametros_manuales!$L$95+parametros_manuales!$D$28*(datos_base!$I$18+IF(parametros_manuales!$H$28="Todos",datos_base!$I$23,0))*parametros_manuales!$L$12+parametros_manuales!$E$28*(datos_base!$I$3+IF(parametros_manuales!$H$28="Todos",datos_base!$I$10,0))*parametros_manuales!$L$100+parametros_manuales!$E$28*(datos_base!$I$19+IF(parametros_manuales!$H$28="Todos",datos_base!$I$24,0))*parametros_manuales!$L$13+parametros_manuales!$F$28*(datos_base!$I$4+IF(parametros_manuales!$H$28="Todos",datos_base!$I$11,0))*parametros_manuales!$L$105+parametros_manuales!$F$28*(datos_base!$I$20+IF(parametros_manuales!$H$28="Todos",datos_base!$I$25,0))*parametros_manuales!$L$14+parametros_manuales!$G$28*(datos_base!$I$5+IF(parametros_manuales!$H$28="Todos",datos_base!$I$12,0))*parametros_manuales!$L$110+parametros_manuales!$G$28*(datos_base!$I$21+IF(parametros_manuales!$H$28="Todos",datos_base!$I$26,0))*parametros_manuales!$L$15)*parametros_manuales!$I$28*parametros_manuales!$J$28</f>
        <v>19629.43786241</v>
      </c>
      <c r="M200" s="9" t="n">
        <f aca="false">(parametros_manuales!$D$28*(datos_base!$I$2+IF(parametros_manuales!$H$28="Todos",datos_base!$I$9,0))*parametros_manuales!$M$95+parametros_manuales!$D$28*(datos_base!$I$18+IF(parametros_manuales!$H$28="Todos",datos_base!$I$23,0))*parametros_manuales!$M$12+parametros_manuales!$E$28*(datos_base!$I$3+IF(parametros_manuales!$H$28="Todos",datos_base!$I$10,0))*parametros_manuales!$M$100+parametros_manuales!$E$28*(datos_base!$I$19+IF(parametros_manuales!$H$28="Todos",datos_base!$I$24,0))*parametros_manuales!$M$13+parametros_manuales!$F$28*(datos_base!$I$4+IF(parametros_manuales!$H$28="Todos",datos_base!$I$11,0))*parametros_manuales!$M$105+parametros_manuales!$F$28*(datos_base!$I$20+IF(parametros_manuales!$H$28="Todos",datos_base!$I$25,0))*parametros_manuales!$M$14+parametros_manuales!$G$28*(datos_base!$I$5+IF(parametros_manuales!$H$28="Todos",datos_base!$I$12,0))*parametros_manuales!$M$110+parametros_manuales!$G$28*(datos_base!$I$21+IF(parametros_manuales!$H$28="Todos",datos_base!$I$26,0))*parametros_manuales!$M$15)*parametros_manuales!$I$28*parametros_manuales!$J$28</f>
        <v>19637.29866241</v>
      </c>
      <c r="N200" s="9" t="n">
        <f aca="false">SUM(B200:M200)</f>
        <v>218148.536249</v>
      </c>
      <c r="O200" s="9" t="n">
        <f aca="false">MAX(B200:M200)</f>
        <v>19637.29866241</v>
      </c>
      <c r="P200" s="44" t="n">
        <f aca="false">O200/(parametros_manuales!$B$7)</f>
        <v>130.915324416067</v>
      </c>
      <c r="Q200" s="8" t="str">
        <f aca="false">IF(O200=0,"-",INDEX($B$190:$M$190,MATCH(O200,B200:M200,0)))</f>
        <v>Dic</v>
      </c>
    </row>
    <row r="201" customFormat="false" ht="14.25" hidden="false" customHeight="true" outlineLevel="0" collapsed="false">
      <c r="A201" s="8" t="str">
        <f aca="false">parametros_manuales!$B$29</f>
        <v>Bordoneado</v>
      </c>
      <c r="B201" s="9" t="n">
        <f aca="false">(parametros_manuales!$D$29*(datos_base!$I$2+IF(parametros_manuales!$H$29="Todos",datos_base!$I$9,0))*parametros_manuales!$B$95+parametros_manuales!$D$29*(datos_base!$I$18+IF(parametros_manuales!$H$29="Todos",datos_base!$I$23,0))*parametros_manuales!$B$12+parametros_manuales!$E$29*(datos_base!$I$3+IF(parametros_manuales!$H$29="Todos",datos_base!$I$10,0))*parametros_manuales!$B$100+parametros_manuales!$E$29*(datos_base!$I$19+IF(parametros_manuales!$H$29="Todos",datos_base!$I$24,0))*parametros_manuales!$B$13+parametros_manuales!$F$29*(datos_base!$I$4+IF(parametros_manuales!$H$29="Todos",datos_base!$I$11,0))*parametros_manuales!$B$105+parametros_manuales!$F$29*(datos_base!$I$20+IF(parametros_manuales!$H$29="Todos",datos_base!$I$25,0))*parametros_manuales!$B$14+parametros_manuales!$G$29*(datos_base!$I$5+IF(parametros_manuales!$H$29="Todos",datos_base!$I$12,0))*parametros_manuales!$B$110+parametros_manuales!$G$29*(datos_base!$I$21+IF(parametros_manuales!$H$29="Todos",datos_base!$I$26,0))*parametros_manuales!$B$15)*parametros_manuales!$I$29*parametros_manuales!$J$29</f>
        <v>19635.33346241</v>
      </c>
      <c r="C201" s="9" t="n">
        <f aca="false">(parametros_manuales!$D$29*(datos_base!$I$2+IF(parametros_manuales!$H$29="Todos",datos_base!$I$9,0))*parametros_manuales!$C$95+parametros_manuales!$D$29*(datos_base!$I$18+IF(parametros_manuales!$H$29="Todos",datos_base!$I$23,0))*parametros_manuales!$C$12+parametros_manuales!$E$29*(datos_base!$I$3+IF(parametros_manuales!$H$29="Todos",datos_base!$I$10,0))*parametros_manuales!$C$100+parametros_manuales!$E$29*(datos_base!$I$19+IF(parametros_manuales!$H$29="Todos",datos_base!$I$24,0))*parametros_manuales!$C$13+parametros_manuales!$F$29*(datos_base!$I$4+IF(parametros_manuales!$H$29="Todos",datos_base!$I$11,0))*parametros_manuales!$C$105+parametros_manuales!$F$29*(datos_base!$I$20+IF(parametros_manuales!$H$29="Todos",datos_base!$I$25,0))*parametros_manuales!$C$14+parametros_manuales!$G$29*(datos_base!$I$5+IF(parametros_manuales!$H$29="Todos",datos_base!$I$12,0))*parametros_manuales!$C$110+parametros_manuales!$G$29*(datos_base!$I$21+IF(parametros_manuales!$H$29="Todos",datos_base!$I$26,0))*parametros_manuales!$C$15)*parametros_manuales!$I$29*parametros_manuales!$J$29</f>
        <v>19013.21368472</v>
      </c>
      <c r="D201" s="9" t="n">
        <f aca="false">(parametros_manuales!$D$29*(datos_base!$I$2+IF(parametros_manuales!$H$29="Todos",datos_base!$I$9,0))*parametros_manuales!$D$95+parametros_manuales!$D$29*(datos_base!$I$18+IF(parametros_manuales!$H$29="Todos",datos_base!$I$23,0))*parametros_manuales!$D$12+parametros_manuales!$E$29*(datos_base!$I$3+IF(parametros_manuales!$H$29="Todos",datos_base!$I$10,0))*parametros_manuales!$D$100+parametros_manuales!$E$29*(datos_base!$I$19+IF(parametros_manuales!$H$29="Todos",datos_base!$I$24,0))*parametros_manuales!$D$13+parametros_manuales!$F$29*(datos_base!$I$4+IF(parametros_manuales!$H$29="Todos",datos_base!$I$11,0))*parametros_manuales!$D$105+parametros_manuales!$F$29*(datos_base!$I$20+IF(parametros_manuales!$H$29="Todos",datos_base!$I$25,0))*parametros_manuales!$D$14+parametros_manuales!$G$29*(datos_base!$I$5+IF(parametros_manuales!$H$29="Todos",datos_base!$I$12,0))*parametros_manuales!$D$110+parametros_manuales!$G$29*(datos_base!$I$21+IF(parametros_manuales!$H$29="Todos",datos_base!$I$26,0))*parametros_manuales!$D$15)*parametros_manuales!$I$29*parametros_manuales!$J$29</f>
        <v>17761.960188765</v>
      </c>
      <c r="E201" s="9" t="n">
        <f aca="false">(parametros_manuales!$D$29*(datos_base!$I$2+IF(parametros_manuales!$H$29="Todos",datos_base!$I$9,0))*parametros_manuales!$E$95+parametros_manuales!$D$29*(datos_base!$I$18+IF(parametros_manuales!$H$29="Todos",datos_base!$I$23,0))*parametros_manuales!$E$12+parametros_manuales!$E$29*(datos_base!$I$3+IF(parametros_manuales!$H$29="Todos",datos_base!$I$10,0))*parametros_manuales!$E$100+parametros_manuales!$E$29*(datos_base!$I$19+IF(parametros_manuales!$H$29="Todos",datos_base!$I$24,0))*parametros_manuales!$E$13+parametros_manuales!$F$29*(datos_base!$I$4+IF(parametros_manuales!$H$29="Todos",datos_base!$I$11,0))*parametros_manuales!$E$105+parametros_manuales!$F$29*(datos_base!$I$20+IF(parametros_manuales!$H$29="Todos",datos_base!$I$25,0))*parametros_manuales!$E$14+parametros_manuales!$G$29*(datos_base!$I$5+IF(parametros_manuales!$H$29="Todos",datos_base!$I$12,0))*parametros_manuales!$E$110+parametros_manuales!$G$29*(datos_base!$I$21+IF(parametros_manuales!$H$29="Todos",datos_base!$I$26,0))*parametros_manuales!$E$15)*parametros_manuales!$I$29*parametros_manuales!$J$29</f>
        <v>16981.294796365</v>
      </c>
      <c r="F201" s="9" t="n">
        <f aca="false">(parametros_manuales!$D$29*(datos_base!$I$2+IF(parametros_manuales!$H$29="Todos",datos_base!$I$9,0))*parametros_manuales!$F$95+parametros_manuales!$D$29*(datos_base!$I$18+IF(parametros_manuales!$H$29="Todos",datos_base!$I$23,0))*parametros_manuales!$F$12+parametros_manuales!$E$29*(datos_base!$I$3+IF(parametros_manuales!$H$29="Todos",datos_base!$I$10,0))*parametros_manuales!$F$100+parametros_manuales!$E$29*(datos_base!$I$19+IF(parametros_manuales!$H$29="Todos",datos_base!$I$24,0))*parametros_manuales!$F$13+parametros_manuales!$F$29*(datos_base!$I$4+IF(parametros_manuales!$H$29="Todos",datos_base!$I$11,0))*parametros_manuales!$F$105+parametros_manuales!$F$29*(datos_base!$I$20+IF(parametros_manuales!$H$29="Todos",datos_base!$I$25,0))*parametros_manuales!$F$14+parametros_manuales!$G$29*(datos_base!$I$5+IF(parametros_manuales!$H$29="Todos",datos_base!$I$12,0))*parametros_manuales!$F$110+parametros_manuales!$G$29*(datos_base!$I$21+IF(parametros_manuales!$H$29="Todos",datos_base!$I$26,0))*parametros_manuales!$F$15)*parametros_manuales!$I$29*parametros_manuales!$J$29</f>
        <v>15890.55211512</v>
      </c>
      <c r="G201" s="9" t="n">
        <f aca="false">(parametros_manuales!$D$29*(datos_base!$I$2+IF(parametros_manuales!$H$29="Todos",datos_base!$I$9,0))*parametros_manuales!$G$95+parametros_manuales!$D$29*(datos_base!$I$18+IF(parametros_manuales!$H$29="Todos",datos_base!$I$23,0))*parametros_manuales!$G$12+parametros_manuales!$E$29*(datos_base!$I$3+IF(parametros_manuales!$H$29="Todos",datos_base!$I$10,0))*parametros_manuales!$G$100+parametros_manuales!$E$29*(datos_base!$I$19+IF(parametros_manuales!$H$29="Todos",datos_base!$I$24,0))*parametros_manuales!$G$13+parametros_manuales!$F$29*(datos_base!$I$4+IF(parametros_manuales!$H$29="Todos",datos_base!$I$11,0))*parametros_manuales!$G$105+parametros_manuales!$F$29*(datos_base!$I$20+IF(parametros_manuales!$H$29="Todos",datos_base!$I$25,0))*parametros_manuales!$G$14+parametros_manuales!$G$29*(datos_base!$I$5+IF(parametros_manuales!$H$29="Todos",datos_base!$I$12,0))*parametros_manuales!$G$110+parametros_manuales!$G$29*(datos_base!$I$21+IF(parametros_manuales!$H$29="Todos",datos_base!$I$26,0))*parametros_manuales!$G$15)*parametros_manuales!$I$29*parametros_manuales!$J$29</f>
        <v>15580.474826275</v>
      </c>
      <c r="H201" s="9" t="n">
        <f aca="false">(parametros_manuales!$D$29*(datos_base!$I$2+IF(parametros_manuales!$H$29="Todos",datos_base!$I$9,0))*parametros_manuales!$H$95+parametros_manuales!$D$29*(datos_base!$I$18+IF(parametros_manuales!$H$29="Todos",datos_base!$I$23,0))*parametros_manuales!$H$12+parametros_manuales!$E$29*(datos_base!$I$3+IF(parametros_manuales!$H$29="Todos",datos_base!$I$10,0))*parametros_manuales!$H$100+parametros_manuales!$E$29*(datos_base!$I$19+IF(parametros_manuales!$H$29="Todos",datos_base!$I$24,0))*parametros_manuales!$H$13+parametros_manuales!$F$29*(datos_base!$I$4+IF(parametros_manuales!$H$29="Todos",datos_base!$I$11,0))*parametros_manuales!$H$105+parametros_manuales!$F$29*(datos_base!$I$20+IF(parametros_manuales!$H$29="Todos",datos_base!$I$25,0))*parametros_manuales!$H$14+parametros_manuales!$G$29*(datos_base!$I$5+IF(parametros_manuales!$H$29="Todos",datos_base!$I$12,0))*parametros_manuales!$H$110+parametros_manuales!$G$29*(datos_base!$I$21+IF(parametros_manuales!$H$29="Todos",datos_base!$I$26,0))*parametros_manuales!$H$15)*parametros_manuales!$I$29*parametros_manuales!$J$29</f>
        <v>16671.21750752</v>
      </c>
      <c r="I201" s="9" t="n">
        <f aca="false">(parametros_manuales!$D$29*(datos_base!$I$2+IF(parametros_manuales!$H$29="Todos",datos_base!$I$9,0))*parametros_manuales!$I$95+parametros_manuales!$D$29*(datos_base!$I$18+IF(parametros_manuales!$H$29="Todos",datos_base!$I$23,0))*parametros_manuales!$I$12+parametros_manuales!$E$29*(datos_base!$I$3+IF(parametros_manuales!$H$29="Todos",datos_base!$I$10,0))*parametros_manuales!$I$100+parametros_manuales!$E$29*(datos_base!$I$19+IF(parametros_manuales!$H$29="Todos",datos_base!$I$24,0))*parametros_manuales!$I$13+parametros_manuales!$F$29*(datos_base!$I$4+IF(parametros_manuales!$H$29="Todos",datos_base!$I$11,0))*parametros_manuales!$I$105+parametros_manuales!$F$29*(datos_base!$I$20+IF(parametros_manuales!$H$29="Todos",datos_base!$I$25,0))*parametros_manuales!$I$14+parametros_manuales!$G$29*(datos_base!$I$5+IF(parametros_manuales!$H$29="Todos",datos_base!$I$12,0))*parametros_manuales!$I$110+parametros_manuales!$G$29*(datos_base!$I$21+IF(parametros_manuales!$H$29="Todos",datos_base!$I$26,0))*parametros_manuales!$I$15)*parametros_manuales!$I$29*parametros_manuales!$J$29</f>
        <v>19013.21368472</v>
      </c>
      <c r="J201" s="9" t="n">
        <f aca="false">(parametros_manuales!$D$29*(datos_base!$I$2+IF(parametros_manuales!$H$29="Todos",datos_base!$I$9,0))*parametros_manuales!$J$95+parametros_manuales!$D$29*(datos_base!$I$18+IF(parametros_manuales!$H$29="Todos",datos_base!$I$23,0))*parametros_manuales!$J$12+parametros_manuales!$E$29*(datos_base!$I$3+IF(parametros_manuales!$H$29="Todos",datos_base!$I$10,0))*parametros_manuales!$J$100+parametros_manuales!$E$29*(datos_base!$I$19+IF(parametros_manuales!$H$29="Todos",datos_base!$I$24,0))*parametros_manuales!$J$13+parametros_manuales!$F$29*(datos_base!$I$4+IF(parametros_manuales!$H$29="Todos",datos_base!$I$11,0))*parametros_manuales!$J$105+parametros_manuales!$F$29*(datos_base!$I$20+IF(parametros_manuales!$H$29="Todos",datos_base!$I$25,0))*parametros_manuales!$J$14+parametros_manuales!$G$29*(datos_base!$I$5+IF(parametros_manuales!$H$29="Todos",datos_base!$I$12,0))*parametros_manuales!$J$110+parametros_manuales!$G$29*(datos_base!$I$21+IF(parametros_manuales!$H$29="Todos",datos_base!$I$26,0))*parametros_manuales!$J$15)*parametros_manuales!$I$29*parametros_manuales!$J$29</f>
        <v>19013.21368472</v>
      </c>
      <c r="K201" s="9" t="n">
        <f aca="false">(parametros_manuales!$D$29*(datos_base!$I$2+IF(parametros_manuales!$H$29="Todos",datos_base!$I$9,0))*parametros_manuales!$K$95+parametros_manuales!$D$29*(datos_base!$I$18+IF(parametros_manuales!$H$29="Todos",datos_base!$I$23,0))*parametros_manuales!$K$12+parametros_manuales!$E$29*(datos_base!$I$3+IF(parametros_manuales!$H$29="Todos",datos_base!$I$10,0))*parametros_manuales!$K$100+parametros_manuales!$E$29*(datos_base!$I$19+IF(parametros_manuales!$H$29="Todos",datos_base!$I$24,0))*parametros_manuales!$K$13+parametros_manuales!$F$29*(datos_base!$I$4+IF(parametros_manuales!$H$29="Todos",datos_base!$I$11,0))*parametros_manuales!$K$105+parametros_manuales!$F$29*(datos_base!$I$20+IF(parametros_manuales!$H$29="Todos",datos_base!$I$25,0))*parametros_manuales!$K$14+parametros_manuales!$G$29*(datos_base!$I$5+IF(parametros_manuales!$H$29="Todos",datos_base!$I$12,0))*parametros_manuales!$K$110+parametros_manuales!$G$29*(datos_base!$I$21+IF(parametros_manuales!$H$29="Todos",datos_base!$I$26,0))*parametros_manuales!$K$15)*parametros_manuales!$I$29*parametros_manuales!$J$29</f>
        <v>19321.325773565</v>
      </c>
      <c r="L201" s="9" t="n">
        <f aca="false">(parametros_manuales!$D$29*(datos_base!$I$2+IF(parametros_manuales!$H$29="Todos",datos_base!$I$9,0))*parametros_manuales!$L$95+parametros_manuales!$D$29*(datos_base!$I$18+IF(parametros_manuales!$H$29="Todos",datos_base!$I$23,0))*parametros_manuales!$L$12+parametros_manuales!$E$29*(datos_base!$I$3+IF(parametros_manuales!$H$29="Todos",datos_base!$I$10,0))*parametros_manuales!$L$100+parametros_manuales!$E$29*(datos_base!$I$19+IF(parametros_manuales!$H$29="Todos",datos_base!$I$24,0))*parametros_manuales!$L$13+parametros_manuales!$F$29*(datos_base!$I$4+IF(parametros_manuales!$H$29="Todos",datos_base!$I$11,0))*parametros_manuales!$L$105+parametros_manuales!$F$29*(datos_base!$I$20+IF(parametros_manuales!$H$29="Todos",datos_base!$I$25,0))*parametros_manuales!$L$14+parametros_manuales!$G$29*(datos_base!$I$5+IF(parametros_manuales!$H$29="Todos",datos_base!$I$12,0))*parametros_manuales!$L$110+parametros_manuales!$G$29*(datos_base!$I$21+IF(parametros_manuales!$H$29="Todos",datos_base!$I$26,0))*parametros_manuales!$L$15)*parametros_manuales!$I$29*parametros_manuales!$J$29</f>
        <v>19629.43786241</v>
      </c>
      <c r="M201" s="9" t="n">
        <f aca="false">(parametros_manuales!$D$29*(datos_base!$I$2+IF(parametros_manuales!$H$29="Todos",datos_base!$I$9,0))*parametros_manuales!$M$95+parametros_manuales!$D$29*(datos_base!$I$18+IF(parametros_manuales!$H$29="Todos",datos_base!$I$23,0))*parametros_manuales!$M$12+parametros_manuales!$E$29*(datos_base!$I$3+IF(parametros_manuales!$H$29="Todos",datos_base!$I$10,0))*parametros_manuales!$M$100+parametros_manuales!$E$29*(datos_base!$I$19+IF(parametros_manuales!$H$29="Todos",datos_base!$I$24,0))*parametros_manuales!$M$13+parametros_manuales!$F$29*(datos_base!$I$4+IF(parametros_manuales!$H$29="Todos",datos_base!$I$11,0))*parametros_manuales!$M$105+parametros_manuales!$F$29*(datos_base!$I$20+IF(parametros_manuales!$H$29="Todos",datos_base!$I$25,0))*parametros_manuales!$M$14+parametros_manuales!$G$29*(datos_base!$I$5+IF(parametros_manuales!$H$29="Todos",datos_base!$I$12,0))*parametros_manuales!$M$110+parametros_manuales!$G$29*(datos_base!$I$21+IF(parametros_manuales!$H$29="Todos",datos_base!$I$26,0))*parametros_manuales!$M$15)*parametros_manuales!$I$29*parametros_manuales!$J$29</f>
        <v>19637.29866241</v>
      </c>
      <c r="N201" s="9" t="n">
        <f aca="false">SUM(B201:M201)</f>
        <v>218148.536249</v>
      </c>
      <c r="O201" s="9" t="n">
        <f aca="false">MAX(B201:M201)</f>
        <v>19637.29866241</v>
      </c>
      <c r="P201" s="44" t="n">
        <f aca="false">O201/(parametros_manuales!$B$7)</f>
        <v>130.915324416067</v>
      </c>
      <c r="Q201" s="8" t="str">
        <f aca="false">IF(O201=0,"-",INDEX($B$190:$M$190,MATCH(O201,B201:M201,0)))</f>
        <v>Dic</v>
      </c>
    </row>
    <row r="202" customFormat="false" ht="14.25" hidden="false" customHeight="true" outlineLevel="0" collapsed="false">
      <c r="A202" s="8" t="str">
        <f aca="false">parametros_manuales!$B$30</f>
        <v>Soldadura circunferencial de cúpula y fondo</v>
      </c>
      <c r="B202" s="9" t="n">
        <f aca="false">(parametros_manuales!$D$30*(datos_base!$I$2+IF(parametros_manuales!$H$30="Todos",datos_base!$I$9,0))*parametros_manuales!$B$95+parametros_manuales!$D$30*(datos_base!$I$18+IF(parametros_manuales!$H$30="Todos",datos_base!$I$23,0))*parametros_manuales!$B$12+parametros_manuales!$E$30*(datos_base!$I$3+IF(parametros_manuales!$H$30="Todos",datos_base!$I$10,0))*parametros_manuales!$B$100+parametros_manuales!$E$30*(datos_base!$I$19+IF(parametros_manuales!$H$30="Todos",datos_base!$I$24,0))*parametros_manuales!$B$13+parametros_manuales!$F$30*(datos_base!$I$4+IF(parametros_manuales!$H$30="Todos",datos_base!$I$11,0))*parametros_manuales!$B$105+parametros_manuales!$F$30*(datos_base!$I$20+IF(parametros_manuales!$H$30="Todos",datos_base!$I$25,0))*parametros_manuales!$B$14+parametros_manuales!$G$30*(datos_base!$I$5+IF(parametros_manuales!$H$30="Todos",datos_base!$I$12,0))*parametros_manuales!$B$110+parametros_manuales!$G$30*(datos_base!$I$21+IF(parametros_manuales!$H$30="Todos",datos_base!$I$26,0))*parametros_manuales!$B$15)*parametros_manuales!$I$30*parametros_manuales!$J$30</f>
        <v>19635.33346241</v>
      </c>
      <c r="C202" s="9" t="n">
        <f aca="false">(parametros_manuales!$D$30*(datos_base!$I$2+IF(parametros_manuales!$H$30="Todos",datos_base!$I$9,0))*parametros_manuales!$C$95+parametros_manuales!$D$30*(datos_base!$I$18+IF(parametros_manuales!$H$30="Todos",datos_base!$I$23,0))*parametros_manuales!$C$12+parametros_manuales!$E$30*(datos_base!$I$3+IF(parametros_manuales!$H$30="Todos",datos_base!$I$10,0))*parametros_manuales!$C$100+parametros_manuales!$E$30*(datos_base!$I$19+IF(parametros_manuales!$H$30="Todos",datos_base!$I$24,0))*parametros_manuales!$C$13+parametros_manuales!$F$30*(datos_base!$I$4+IF(parametros_manuales!$H$30="Todos",datos_base!$I$11,0))*parametros_manuales!$C$105+parametros_manuales!$F$30*(datos_base!$I$20+IF(parametros_manuales!$H$30="Todos",datos_base!$I$25,0))*parametros_manuales!$C$14+parametros_manuales!$G$30*(datos_base!$I$5+IF(parametros_manuales!$H$30="Todos",datos_base!$I$12,0))*parametros_manuales!$C$110+parametros_manuales!$G$30*(datos_base!$I$21+IF(parametros_manuales!$H$30="Todos",datos_base!$I$26,0))*parametros_manuales!$C$15)*parametros_manuales!$I$30*parametros_manuales!$J$30</f>
        <v>19013.21368472</v>
      </c>
      <c r="D202" s="9" t="n">
        <f aca="false">(parametros_manuales!$D$30*(datos_base!$I$2+IF(parametros_manuales!$H$30="Todos",datos_base!$I$9,0))*parametros_manuales!$D$95+parametros_manuales!$D$30*(datos_base!$I$18+IF(parametros_manuales!$H$30="Todos",datos_base!$I$23,0))*parametros_manuales!$D$12+parametros_manuales!$E$30*(datos_base!$I$3+IF(parametros_manuales!$H$30="Todos",datos_base!$I$10,0))*parametros_manuales!$D$100+parametros_manuales!$E$30*(datos_base!$I$19+IF(parametros_manuales!$H$30="Todos",datos_base!$I$24,0))*parametros_manuales!$D$13+parametros_manuales!$F$30*(datos_base!$I$4+IF(parametros_manuales!$H$30="Todos",datos_base!$I$11,0))*parametros_manuales!$D$105+parametros_manuales!$F$30*(datos_base!$I$20+IF(parametros_manuales!$H$30="Todos",datos_base!$I$25,0))*parametros_manuales!$D$14+parametros_manuales!$G$30*(datos_base!$I$5+IF(parametros_manuales!$H$30="Todos",datos_base!$I$12,0))*parametros_manuales!$D$110+parametros_manuales!$G$30*(datos_base!$I$21+IF(parametros_manuales!$H$30="Todos",datos_base!$I$26,0))*parametros_manuales!$D$15)*parametros_manuales!$I$30*parametros_manuales!$J$30</f>
        <v>17761.960188765</v>
      </c>
      <c r="E202" s="9" t="n">
        <f aca="false">(parametros_manuales!$D$30*(datos_base!$I$2+IF(parametros_manuales!$H$30="Todos",datos_base!$I$9,0))*parametros_manuales!$E$95+parametros_manuales!$D$30*(datos_base!$I$18+IF(parametros_manuales!$H$30="Todos",datos_base!$I$23,0))*parametros_manuales!$E$12+parametros_manuales!$E$30*(datos_base!$I$3+IF(parametros_manuales!$H$30="Todos",datos_base!$I$10,0))*parametros_manuales!$E$100+parametros_manuales!$E$30*(datos_base!$I$19+IF(parametros_manuales!$H$30="Todos",datos_base!$I$24,0))*parametros_manuales!$E$13+parametros_manuales!$F$30*(datos_base!$I$4+IF(parametros_manuales!$H$30="Todos",datos_base!$I$11,0))*parametros_manuales!$E$105+parametros_manuales!$F$30*(datos_base!$I$20+IF(parametros_manuales!$H$30="Todos",datos_base!$I$25,0))*parametros_manuales!$E$14+parametros_manuales!$G$30*(datos_base!$I$5+IF(parametros_manuales!$H$30="Todos",datos_base!$I$12,0))*parametros_manuales!$E$110+parametros_manuales!$G$30*(datos_base!$I$21+IF(parametros_manuales!$H$30="Todos",datos_base!$I$26,0))*parametros_manuales!$E$15)*parametros_manuales!$I$30*parametros_manuales!$J$30</f>
        <v>16981.294796365</v>
      </c>
      <c r="F202" s="9" t="n">
        <f aca="false">(parametros_manuales!$D$30*(datos_base!$I$2+IF(parametros_manuales!$H$30="Todos",datos_base!$I$9,0))*parametros_manuales!$F$95+parametros_manuales!$D$30*(datos_base!$I$18+IF(parametros_manuales!$H$30="Todos",datos_base!$I$23,0))*parametros_manuales!$F$12+parametros_manuales!$E$30*(datos_base!$I$3+IF(parametros_manuales!$H$30="Todos",datos_base!$I$10,0))*parametros_manuales!$F$100+parametros_manuales!$E$30*(datos_base!$I$19+IF(parametros_manuales!$H$30="Todos",datos_base!$I$24,0))*parametros_manuales!$F$13+parametros_manuales!$F$30*(datos_base!$I$4+IF(parametros_manuales!$H$30="Todos",datos_base!$I$11,0))*parametros_manuales!$F$105+parametros_manuales!$F$30*(datos_base!$I$20+IF(parametros_manuales!$H$30="Todos",datos_base!$I$25,0))*parametros_manuales!$F$14+parametros_manuales!$G$30*(datos_base!$I$5+IF(parametros_manuales!$H$30="Todos",datos_base!$I$12,0))*parametros_manuales!$F$110+parametros_manuales!$G$30*(datos_base!$I$21+IF(parametros_manuales!$H$30="Todos",datos_base!$I$26,0))*parametros_manuales!$F$15)*parametros_manuales!$I$30*parametros_manuales!$J$30</f>
        <v>15890.55211512</v>
      </c>
      <c r="G202" s="9" t="n">
        <f aca="false">(parametros_manuales!$D$30*(datos_base!$I$2+IF(parametros_manuales!$H$30="Todos",datos_base!$I$9,0))*parametros_manuales!$G$95+parametros_manuales!$D$30*(datos_base!$I$18+IF(parametros_manuales!$H$30="Todos",datos_base!$I$23,0))*parametros_manuales!$G$12+parametros_manuales!$E$30*(datos_base!$I$3+IF(parametros_manuales!$H$30="Todos",datos_base!$I$10,0))*parametros_manuales!$G$100+parametros_manuales!$E$30*(datos_base!$I$19+IF(parametros_manuales!$H$30="Todos",datos_base!$I$24,0))*parametros_manuales!$G$13+parametros_manuales!$F$30*(datos_base!$I$4+IF(parametros_manuales!$H$30="Todos",datos_base!$I$11,0))*parametros_manuales!$G$105+parametros_manuales!$F$30*(datos_base!$I$20+IF(parametros_manuales!$H$30="Todos",datos_base!$I$25,0))*parametros_manuales!$G$14+parametros_manuales!$G$30*(datos_base!$I$5+IF(parametros_manuales!$H$30="Todos",datos_base!$I$12,0))*parametros_manuales!$G$110+parametros_manuales!$G$30*(datos_base!$I$21+IF(parametros_manuales!$H$30="Todos",datos_base!$I$26,0))*parametros_manuales!$G$15)*parametros_manuales!$I$30*parametros_manuales!$J$30</f>
        <v>15580.474826275</v>
      </c>
      <c r="H202" s="9" t="n">
        <f aca="false">(parametros_manuales!$D$30*(datos_base!$I$2+IF(parametros_manuales!$H$30="Todos",datos_base!$I$9,0))*parametros_manuales!$H$95+parametros_manuales!$D$30*(datos_base!$I$18+IF(parametros_manuales!$H$30="Todos",datos_base!$I$23,0))*parametros_manuales!$H$12+parametros_manuales!$E$30*(datos_base!$I$3+IF(parametros_manuales!$H$30="Todos",datos_base!$I$10,0))*parametros_manuales!$H$100+parametros_manuales!$E$30*(datos_base!$I$19+IF(parametros_manuales!$H$30="Todos",datos_base!$I$24,0))*parametros_manuales!$H$13+parametros_manuales!$F$30*(datos_base!$I$4+IF(parametros_manuales!$H$30="Todos",datos_base!$I$11,0))*parametros_manuales!$H$105+parametros_manuales!$F$30*(datos_base!$I$20+IF(parametros_manuales!$H$30="Todos",datos_base!$I$25,0))*parametros_manuales!$H$14+parametros_manuales!$G$30*(datos_base!$I$5+IF(parametros_manuales!$H$30="Todos",datos_base!$I$12,0))*parametros_manuales!$H$110+parametros_manuales!$G$30*(datos_base!$I$21+IF(parametros_manuales!$H$30="Todos",datos_base!$I$26,0))*parametros_manuales!$H$15)*parametros_manuales!$I$30*parametros_manuales!$J$30</f>
        <v>16671.21750752</v>
      </c>
      <c r="I202" s="9" t="n">
        <f aca="false">(parametros_manuales!$D$30*(datos_base!$I$2+IF(parametros_manuales!$H$30="Todos",datos_base!$I$9,0))*parametros_manuales!$I$95+parametros_manuales!$D$30*(datos_base!$I$18+IF(parametros_manuales!$H$30="Todos",datos_base!$I$23,0))*parametros_manuales!$I$12+parametros_manuales!$E$30*(datos_base!$I$3+IF(parametros_manuales!$H$30="Todos",datos_base!$I$10,0))*parametros_manuales!$I$100+parametros_manuales!$E$30*(datos_base!$I$19+IF(parametros_manuales!$H$30="Todos",datos_base!$I$24,0))*parametros_manuales!$I$13+parametros_manuales!$F$30*(datos_base!$I$4+IF(parametros_manuales!$H$30="Todos",datos_base!$I$11,0))*parametros_manuales!$I$105+parametros_manuales!$F$30*(datos_base!$I$20+IF(parametros_manuales!$H$30="Todos",datos_base!$I$25,0))*parametros_manuales!$I$14+parametros_manuales!$G$30*(datos_base!$I$5+IF(parametros_manuales!$H$30="Todos",datos_base!$I$12,0))*parametros_manuales!$I$110+parametros_manuales!$G$30*(datos_base!$I$21+IF(parametros_manuales!$H$30="Todos",datos_base!$I$26,0))*parametros_manuales!$I$15)*parametros_manuales!$I$30*parametros_manuales!$J$30</f>
        <v>19013.21368472</v>
      </c>
      <c r="J202" s="9" t="n">
        <f aca="false">(parametros_manuales!$D$30*(datos_base!$I$2+IF(parametros_manuales!$H$30="Todos",datos_base!$I$9,0))*parametros_manuales!$J$95+parametros_manuales!$D$30*(datos_base!$I$18+IF(parametros_manuales!$H$30="Todos",datos_base!$I$23,0))*parametros_manuales!$J$12+parametros_manuales!$E$30*(datos_base!$I$3+IF(parametros_manuales!$H$30="Todos",datos_base!$I$10,0))*parametros_manuales!$J$100+parametros_manuales!$E$30*(datos_base!$I$19+IF(parametros_manuales!$H$30="Todos",datos_base!$I$24,0))*parametros_manuales!$J$13+parametros_manuales!$F$30*(datos_base!$I$4+IF(parametros_manuales!$H$30="Todos",datos_base!$I$11,0))*parametros_manuales!$J$105+parametros_manuales!$F$30*(datos_base!$I$20+IF(parametros_manuales!$H$30="Todos",datos_base!$I$25,0))*parametros_manuales!$J$14+parametros_manuales!$G$30*(datos_base!$I$5+IF(parametros_manuales!$H$30="Todos",datos_base!$I$12,0))*parametros_manuales!$J$110+parametros_manuales!$G$30*(datos_base!$I$21+IF(parametros_manuales!$H$30="Todos",datos_base!$I$26,0))*parametros_manuales!$J$15)*parametros_manuales!$I$30*parametros_manuales!$J$30</f>
        <v>19013.21368472</v>
      </c>
      <c r="K202" s="9" t="n">
        <f aca="false">(parametros_manuales!$D$30*(datos_base!$I$2+IF(parametros_manuales!$H$30="Todos",datos_base!$I$9,0))*parametros_manuales!$K$95+parametros_manuales!$D$30*(datos_base!$I$18+IF(parametros_manuales!$H$30="Todos",datos_base!$I$23,0))*parametros_manuales!$K$12+parametros_manuales!$E$30*(datos_base!$I$3+IF(parametros_manuales!$H$30="Todos",datos_base!$I$10,0))*parametros_manuales!$K$100+parametros_manuales!$E$30*(datos_base!$I$19+IF(parametros_manuales!$H$30="Todos",datos_base!$I$24,0))*parametros_manuales!$K$13+parametros_manuales!$F$30*(datos_base!$I$4+IF(parametros_manuales!$H$30="Todos",datos_base!$I$11,0))*parametros_manuales!$K$105+parametros_manuales!$F$30*(datos_base!$I$20+IF(parametros_manuales!$H$30="Todos",datos_base!$I$25,0))*parametros_manuales!$K$14+parametros_manuales!$G$30*(datos_base!$I$5+IF(parametros_manuales!$H$30="Todos",datos_base!$I$12,0))*parametros_manuales!$K$110+parametros_manuales!$G$30*(datos_base!$I$21+IF(parametros_manuales!$H$30="Todos",datos_base!$I$26,0))*parametros_manuales!$K$15)*parametros_manuales!$I$30*parametros_manuales!$J$30</f>
        <v>19321.325773565</v>
      </c>
      <c r="L202" s="9" t="n">
        <f aca="false">(parametros_manuales!$D$30*(datos_base!$I$2+IF(parametros_manuales!$H$30="Todos",datos_base!$I$9,0))*parametros_manuales!$L$95+parametros_manuales!$D$30*(datos_base!$I$18+IF(parametros_manuales!$H$30="Todos",datos_base!$I$23,0))*parametros_manuales!$L$12+parametros_manuales!$E$30*(datos_base!$I$3+IF(parametros_manuales!$H$30="Todos",datos_base!$I$10,0))*parametros_manuales!$L$100+parametros_manuales!$E$30*(datos_base!$I$19+IF(parametros_manuales!$H$30="Todos",datos_base!$I$24,0))*parametros_manuales!$L$13+parametros_manuales!$F$30*(datos_base!$I$4+IF(parametros_manuales!$H$30="Todos",datos_base!$I$11,0))*parametros_manuales!$L$105+parametros_manuales!$F$30*(datos_base!$I$20+IF(parametros_manuales!$H$30="Todos",datos_base!$I$25,0))*parametros_manuales!$L$14+parametros_manuales!$G$30*(datos_base!$I$5+IF(parametros_manuales!$H$30="Todos",datos_base!$I$12,0))*parametros_manuales!$L$110+parametros_manuales!$G$30*(datos_base!$I$21+IF(parametros_manuales!$H$30="Todos",datos_base!$I$26,0))*parametros_manuales!$L$15)*parametros_manuales!$I$30*parametros_manuales!$J$30</f>
        <v>19629.43786241</v>
      </c>
      <c r="M202" s="9" t="n">
        <f aca="false">(parametros_manuales!$D$30*(datos_base!$I$2+IF(parametros_manuales!$H$30="Todos",datos_base!$I$9,0))*parametros_manuales!$M$95+parametros_manuales!$D$30*(datos_base!$I$18+IF(parametros_manuales!$H$30="Todos",datos_base!$I$23,0))*parametros_manuales!$M$12+parametros_manuales!$E$30*(datos_base!$I$3+IF(parametros_manuales!$H$30="Todos",datos_base!$I$10,0))*parametros_manuales!$M$100+parametros_manuales!$E$30*(datos_base!$I$19+IF(parametros_manuales!$H$30="Todos",datos_base!$I$24,0))*parametros_manuales!$M$13+parametros_manuales!$F$30*(datos_base!$I$4+IF(parametros_manuales!$H$30="Todos",datos_base!$I$11,0))*parametros_manuales!$M$105+parametros_manuales!$F$30*(datos_base!$I$20+IF(parametros_manuales!$H$30="Todos",datos_base!$I$25,0))*parametros_manuales!$M$14+parametros_manuales!$G$30*(datos_base!$I$5+IF(parametros_manuales!$H$30="Todos",datos_base!$I$12,0))*parametros_manuales!$M$110+parametros_manuales!$G$30*(datos_base!$I$21+IF(parametros_manuales!$H$30="Todos",datos_base!$I$26,0))*parametros_manuales!$M$15)*parametros_manuales!$I$30*parametros_manuales!$J$30</f>
        <v>19637.29866241</v>
      </c>
      <c r="N202" s="9" t="n">
        <f aca="false">SUM(B202:M202)</f>
        <v>218148.536249</v>
      </c>
      <c r="O202" s="9" t="n">
        <f aca="false">MAX(B202:M202)</f>
        <v>19637.29866241</v>
      </c>
      <c r="P202" s="44" t="n">
        <f aca="false">O202/(parametros_manuales!$B$7)</f>
        <v>130.915324416067</v>
      </c>
      <c r="Q202" s="8" t="str">
        <f aca="false">IF(O202=0,"-",INDEX($B$190:$M$190,MATCH(O202,B202:M202,0)))</f>
        <v>Dic</v>
      </c>
    </row>
    <row r="203" customFormat="false" ht="14.25" hidden="false" customHeight="true" outlineLevel="0" collapsed="false">
      <c r="A203" s="8" t="str">
        <f aca="false">parametros_manuales!$B$31</f>
        <v>Control de calidad — Espesor</v>
      </c>
      <c r="B203" s="9" t="n">
        <f aca="false">(parametros_manuales!$D$31*(datos_base!$I$2+IF(parametros_manuales!$H$31="Todos",datos_base!$I$9,0))*parametros_manuales!$B$95+parametros_manuales!$D$31*(datos_base!$I$18+IF(parametros_manuales!$H$31="Todos",datos_base!$I$23,0))*parametros_manuales!$B$12+parametros_manuales!$E$31*(datos_base!$I$3+IF(parametros_manuales!$H$31="Todos",datos_base!$I$10,0))*parametros_manuales!$B$100+parametros_manuales!$E$31*(datos_base!$I$19+IF(parametros_manuales!$H$31="Todos",datos_base!$I$24,0))*parametros_manuales!$B$13+parametros_manuales!$F$31*(datos_base!$I$4+IF(parametros_manuales!$H$31="Todos",datos_base!$I$11,0))*parametros_manuales!$B$105+parametros_manuales!$F$31*(datos_base!$I$20+IF(parametros_manuales!$H$31="Todos",datos_base!$I$25,0))*parametros_manuales!$B$14+parametros_manuales!$G$31*(datos_base!$I$5+IF(parametros_manuales!$H$31="Todos",datos_base!$I$12,0))*parametros_manuales!$B$110+parametros_manuales!$G$31*(datos_base!$I$21+IF(parametros_manuales!$H$31="Todos",datos_base!$I$26,0))*parametros_manuales!$B$15)*parametros_manuales!$I$31*parametros_manuales!$J$31</f>
        <v>392.7066692482</v>
      </c>
      <c r="C203" s="9" t="n">
        <f aca="false">(parametros_manuales!$D$31*(datos_base!$I$2+IF(parametros_manuales!$H$31="Todos",datos_base!$I$9,0))*parametros_manuales!$C$95+parametros_manuales!$D$31*(datos_base!$I$18+IF(parametros_manuales!$H$31="Todos",datos_base!$I$23,0))*parametros_manuales!$C$12+parametros_manuales!$E$31*(datos_base!$I$3+IF(parametros_manuales!$H$31="Todos",datos_base!$I$10,0))*parametros_manuales!$C$100+parametros_manuales!$E$31*(datos_base!$I$19+IF(parametros_manuales!$H$31="Todos",datos_base!$I$24,0))*parametros_manuales!$C$13+parametros_manuales!$F$31*(datos_base!$I$4+IF(parametros_manuales!$H$31="Todos",datos_base!$I$11,0))*parametros_manuales!$C$105+parametros_manuales!$F$31*(datos_base!$I$20+IF(parametros_manuales!$H$31="Todos",datos_base!$I$25,0))*parametros_manuales!$C$14+parametros_manuales!$G$31*(datos_base!$I$5+IF(parametros_manuales!$H$31="Todos",datos_base!$I$12,0))*parametros_manuales!$C$110+parametros_manuales!$G$31*(datos_base!$I$21+IF(parametros_manuales!$H$31="Todos",datos_base!$I$26,0))*parametros_manuales!$C$15)*parametros_manuales!$I$31*parametros_manuales!$J$31</f>
        <v>380.2642736944</v>
      </c>
      <c r="D203" s="9" t="n">
        <f aca="false">(parametros_manuales!$D$31*(datos_base!$I$2+IF(parametros_manuales!$H$31="Todos",datos_base!$I$9,0))*parametros_manuales!$D$95+parametros_manuales!$D$31*(datos_base!$I$18+IF(parametros_manuales!$H$31="Todos",datos_base!$I$23,0))*parametros_manuales!$D$12+parametros_manuales!$E$31*(datos_base!$I$3+IF(parametros_manuales!$H$31="Todos",datos_base!$I$10,0))*parametros_manuales!$D$100+parametros_manuales!$E$31*(datos_base!$I$19+IF(parametros_manuales!$H$31="Todos",datos_base!$I$24,0))*parametros_manuales!$D$13+parametros_manuales!$F$31*(datos_base!$I$4+IF(parametros_manuales!$H$31="Todos",datos_base!$I$11,0))*parametros_manuales!$D$105+parametros_manuales!$F$31*(datos_base!$I$20+IF(parametros_manuales!$H$31="Todos",datos_base!$I$25,0))*parametros_manuales!$D$14+parametros_manuales!$G$31*(datos_base!$I$5+IF(parametros_manuales!$H$31="Todos",datos_base!$I$12,0))*parametros_manuales!$D$110+parametros_manuales!$G$31*(datos_base!$I$21+IF(parametros_manuales!$H$31="Todos",datos_base!$I$26,0))*parametros_manuales!$D$15)*parametros_manuales!$I$31*parametros_manuales!$J$31</f>
        <v>355.2392037753</v>
      </c>
      <c r="E203" s="9" t="n">
        <f aca="false">(parametros_manuales!$D$31*(datos_base!$I$2+IF(parametros_manuales!$H$31="Todos",datos_base!$I$9,0))*parametros_manuales!$E$95+parametros_manuales!$D$31*(datos_base!$I$18+IF(parametros_manuales!$H$31="Todos",datos_base!$I$23,0))*parametros_manuales!$E$12+parametros_manuales!$E$31*(datos_base!$I$3+IF(parametros_manuales!$H$31="Todos",datos_base!$I$10,0))*parametros_manuales!$E$100+parametros_manuales!$E$31*(datos_base!$I$19+IF(parametros_manuales!$H$31="Todos",datos_base!$I$24,0))*parametros_manuales!$E$13+parametros_manuales!$F$31*(datos_base!$I$4+IF(parametros_manuales!$H$31="Todos",datos_base!$I$11,0))*parametros_manuales!$E$105+parametros_manuales!$F$31*(datos_base!$I$20+IF(parametros_manuales!$H$31="Todos",datos_base!$I$25,0))*parametros_manuales!$E$14+parametros_manuales!$G$31*(datos_base!$I$5+IF(parametros_manuales!$H$31="Todos",datos_base!$I$12,0))*parametros_manuales!$E$110+parametros_manuales!$G$31*(datos_base!$I$21+IF(parametros_manuales!$H$31="Todos",datos_base!$I$26,0))*parametros_manuales!$E$15)*parametros_manuales!$I$31*parametros_manuales!$J$31</f>
        <v>339.6258959273</v>
      </c>
      <c r="F203" s="9" t="n">
        <f aca="false">(parametros_manuales!$D$31*(datos_base!$I$2+IF(parametros_manuales!$H$31="Todos",datos_base!$I$9,0))*parametros_manuales!$F$95+parametros_manuales!$D$31*(datos_base!$I$18+IF(parametros_manuales!$H$31="Todos",datos_base!$I$23,0))*parametros_manuales!$F$12+parametros_manuales!$E$31*(datos_base!$I$3+IF(parametros_manuales!$H$31="Todos",datos_base!$I$10,0))*parametros_manuales!$F$100+parametros_manuales!$E$31*(datos_base!$I$19+IF(parametros_manuales!$H$31="Todos",datos_base!$I$24,0))*parametros_manuales!$F$13+parametros_manuales!$F$31*(datos_base!$I$4+IF(parametros_manuales!$H$31="Todos",datos_base!$I$11,0))*parametros_manuales!$F$105+parametros_manuales!$F$31*(datos_base!$I$20+IF(parametros_manuales!$H$31="Todos",datos_base!$I$25,0))*parametros_manuales!$F$14+parametros_manuales!$G$31*(datos_base!$I$5+IF(parametros_manuales!$H$31="Todos",datos_base!$I$12,0))*parametros_manuales!$F$110+parametros_manuales!$G$31*(datos_base!$I$21+IF(parametros_manuales!$H$31="Todos",datos_base!$I$26,0))*parametros_manuales!$F$15)*parametros_manuales!$I$31*parametros_manuales!$J$31</f>
        <v>317.8110423024</v>
      </c>
      <c r="G203" s="9" t="n">
        <f aca="false">(parametros_manuales!$D$31*(datos_base!$I$2+IF(parametros_manuales!$H$31="Todos",datos_base!$I$9,0))*parametros_manuales!$G$95+parametros_manuales!$D$31*(datos_base!$I$18+IF(parametros_manuales!$H$31="Todos",datos_base!$I$23,0))*parametros_manuales!$G$12+parametros_manuales!$E$31*(datos_base!$I$3+IF(parametros_manuales!$H$31="Todos",datos_base!$I$10,0))*parametros_manuales!$G$100+parametros_manuales!$E$31*(datos_base!$I$19+IF(parametros_manuales!$H$31="Todos",datos_base!$I$24,0))*parametros_manuales!$G$13+parametros_manuales!$F$31*(datos_base!$I$4+IF(parametros_manuales!$H$31="Todos",datos_base!$I$11,0))*parametros_manuales!$G$105+parametros_manuales!$F$31*(datos_base!$I$20+IF(parametros_manuales!$H$31="Todos",datos_base!$I$25,0))*parametros_manuales!$G$14+parametros_manuales!$G$31*(datos_base!$I$5+IF(parametros_manuales!$H$31="Todos",datos_base!$I$12,0))*parametros_manuales!$G$110+parametros_manuales!$G$31*(datos_base!$I$21+IF(parametros_manuales!$H$31="Todos",datos_base!$I$26,0))*parametros_manuales!$G$15)*parametros_manuales!$I$31*parametros_manuales!$J$31</f>
        <v>311.6094965255</v>
      </c>
      <c r="H203" s="9" t="n">
        <f aca="false">(parametros_manuales!$D$31*(datos_base!$I$2+IF(parametros_manuales!$H$31="Todos",datos_base!$I$9,0))*parametros_manuales!$H$95+parametros_manuales!$D$31*(datos_base!$I$18+IF(parametros_manuales!$H$31="Todos",datos_base!$I$23,0))*parametros_manuales!$H$12+parametros_manuales!$E$31*(datos_base!$I$3+IF(parametros_manuales!$H$31="Todos",datos_base!$I$10,0))*parametros_manuales!$H$100+parametros_manuales!$E$31*(datos_base!$I$19+IF(parametros_manuales!$H$31="Todos",datos_base!$I$24,0))*parametros_manuales!$H$13+parametros_manuales!$F$31*(datos_base!$I$4+IF(parametros_manuales!$H$31="Todos",datos_base!$I$11,0))*parametros_manuales!$H$105+parametros_manuales!$F$31*(datos_base!$I$20+IF(parametros_manuales!$H$31="Todos",datos_base!$I$25,0))*parametros_manuales!$H$14+parametros_manuales!$G$31*(datos_base!$I$5+IF(parametros_manuales!$H$31="Todos",datos_base!$I$12,0))*parametros_manuales!$H$110+parametros_manuales!$G$31*(datos_base!$I$21+IF(parametros_manuales!$H$31="Todos",datos_base!$I$26,0))*parametros_manuales!$H$15)*parametros_manuales!$I$31*parametros_manuales!$J$31</f>
        <v>333.4243501504</v>
      </c>
      <c r="I203" s="9" t="n">
        <f aca="false">(parametros_manuales!$D$31*(datos_base!$I$2+IF(parametros_manuales!$H$31="Todos",datos_base!$I$9,0))*parametros_manuales!$I$95+parametros_manuales!$D$31*(datos_base!$I$18+IF(parametros_manuales!$H$31="Todos",datos_base!$I$23,0))*parametros_manuales!$I$12+parametros_manuales!$E$31*(datos_base!$I$3+IF(parametros_manuales!$H$31="Todos",datos_base!$I$10,0))*parametros_manuales!$I$100+parametros_manuales!$E$31*(datos_base!$I$19+IF(parametros_manuales!$H$31="Todos",datos_base!$I$24,0))*parametros_manuales!$I$13+parametros_manuales!$F$31*(datos_base!$I$4+IF(parametros_manuales!$H$31="Todos",datos_base!$I$11,0))*parametros_manuales!$I$105+parametros_manuales!$F$31*(datos_base!$I$20+IF(parametros_manuales!$H$31="Todos",datos_base!$I$25,0))*parametros_manuales!$I$14+parametros_manuales!$G$31*(datos_base!$I$5+IF(parametros_manuales!$H$31="Todos",datos_base!$I$12,0))*parametros_manuales!$I$110+parametros_manuales!$G$31*(datos_base!$I$21+IF(parametros_manuales!$H$31="Todos",datos_base!$I$26,0))*parametros_manuales!$I$15)*parametros_manuales!$I$31*parametros_manuales!$J$31</f>
        <v>380.2642736944</v>
      </c>
      <c r="J203" s="9" t="n">
        <f aca="false">(parametros_manuales!$D$31*(datos_base!$I$2+IF(parametros_manuales!$H$31="Todos",datos_base!$I$9,0))*parametros_manuales!$J$95+parametros_manuales!$D$31*(datos_base!$I$18+IF(parametros_manuales!$H$31="Todos",datos_base!$I$23,0))*parametros_manuales!$J$12+parametros_manuales!$E$31*(datos_base!$I$3+IF(parametros_manuales!$H$31="Todos",datos_base!$I$10,0))*parametros_manuales!$J$100+parametros_manuales!$E$31*(datos_base!$I$19+IF(parametros_manuales!$H$31="Todos",datos_base!$I$24,0))*parametros_manuales!$J$13+parametros_manuales!$F$31*(datos_base!$I$4+IF(parametros_manuales!$H$31="Todos",datos_base!$I$11,0))*parametros_manuales!$J$105+parametros_manuales!$F$31*(datos_base!$I$20+IF(parametros_manuales!$H$31="Todos",datos_base!$I$25,0))*parametros_manuales!$J$14+parametros_manuales!$G$31*(datos_base!$I$5+IF(parametros_manuales!$H$31="Todos",datos_base!$I$12,0))*parametros_manuales!$J$110+parametros_manuales!$G$31*(datos_base!$I$21+IF(parametros_manuales!$H$31="Todos",datos_base!$I$26,0))*parametros_manuales!$J$15)*parametros_manuales!$I$31*parametros_manuales!$J$31</f>
        <v>380.2642736944</v>
      </c>
      <c r="K203" s="9" t="n">
        <f aca="false">(parametros_manuales!$D$31*(datos_base!$I$2+IF(parametros_manuales!$H$31="Todos",datos_base!$I$9,0))*parametros_manuales!$K$95+parametros_manuales!$D$31*(datos_base!$I$18+IF(parametros_manuales!$H$31="Todos",datos_base!$I$23,0))*parametros_manuales!$K$12+parametros_manuales!$E$31*(datos_base!$I$3+IF(parametros_manuales!$H$31="Todos",datos_base!$I$10,0))*parametros_manuales!$K$100+parametros_manuales!$E$31*(datos_base!$I$19+IF(parametros_manuales!$H$31="Todos",datos_base!$I$24,0))*parametros_manuales!$K$13+parametros_manuales!$F$31*(datos_base!$I$4+IF(parametros_manuales!$H$31="Todos",datos_base!$I$11,0))*parametros_manuales!$K$105+parametros_manuales!$F$31*(datos_base!$I$20+IF(parametros_manuales!$H$31="Todos",datos_base!$I$25,0))*parametros_manuales!$K$14+parametros_manuales!$G$31*(datos_base!$I$5+IF(parametros_manuales!$H$31="Todos",datos_base!$I$12,0))*parametros_manuales!$K$110+parametros_manuales!$G$31*(datos_base!$I$21+IF(parametros_manuales!$H$31="Todos",datos_base!$I$26,0))*parametros_manuales!$K$15)*parametros_manuales!$I$31*parametros_manuales!$J$31</f>
        <v>386.4265154713</v>
      </c>
      <c r="L203" s="9" t="n">
        <f aca="false">(parametros_manuales!$D$31*(datos_base!$I$2+IF(parametros_manuales!$H$31="Todos",datos_base!$I$9,0))*parametros_manuales!$L$95+parametros_manuales!$D$31*(datos_base!$I$18+IF(parametros_manuales!$H$31="Todos",datos_base!$I$23,0))*parametros_manuales!$L$12+parametros_manuales!$E$31*(datos_base!$I$3+IF(parametros_manuales!$H$31="Todos",datos_base!$I$10,0))*parametros_manuales!$L$100+parametros_manuales!$E$31*(datos_base!$I$19+IF(parametros_manuales!$H$31="Todos",datos_base!$I$24,0))*parametros_manuales!$L$13+parametros_manuales!$F$31*(datos_base!$I$4+IF(parametros_manuales!$H$31="Todos",datos_base!$I$11,0))*parametros_manuales!$L$105+parametros_manuales!$F$31*(datos_base!$I$20+IF(parametros_manuales!$H$31="Todos",datos_base!$I$25,0))*parametros_manuales!$L$14+parametros_manuales!$G$31*(datos_base!$I$5+IF(parametros_manuales!$H$31="Todos",datos_base!$I$12,0))*parametros_manuales!$L$110+parametros_manuales!$G$31*(datos_base!$I$21+IF(parametros_manuales!$H$31="Todos",datos_base!$I$26,0))*parametros_manuales!$L$15)*parametros_manuales!$I$31*parametros_manuales!$J$31</f>
        <v>392.5887572482</v>
      </c>
      <c r="M203" s="9" t="n">
        <f aca="false">(parametros_manuales!$D$31*(datos_base!$I$2+IF(parametros_manuales!$H$31="Todos",datos_base!$I$9,0))*parametros_manuales!$M$95+parametros_manuales!$D$31*(datos_base!$I$18+IF(parametros_manuales!$H$31="Todos",datos_base!$I$23,0))*parametros_manuales!$M$12+parametros_manuales!$E$31*(datos_base!$I$3+IF(parametros_manuales!$H$31="Todos",datos_base!$I$10,0))*parametros_manuales!$M$100+parametros_manuales!$E$31*(datos_base!$I$19+IF(parametros_manuales!$H$31="Todos",datos_base!$I$24,0))*parametros_manuales!$M$13+parametros_manuales!$F$31*(datos_base!$I$4+IF(parametros_manuales!$H$31="Todos",datos_base!$I$11,0))*parametros_manuales!$M$105+parametros_manuales!$F$31*(datos_base!$I$20+IF(parametros_manuales!$H$31="Todos",datos_base!$I$25,0))*parametros_manuales!$M$14+parametros_manuales!$G$31*(datos_base!$I$5+IF(parametros_manuales!$H$31="Todos",datos_base!$I$12,0))*parametros_manuales!$M$110+parametros_manuales!$G$31*(datos_base!$I$21+IF(parametros_manuales!$H$31="Todos",datos_base!$I$26,0))*parametros_manuales!$M$15)*parametros_manuales!$I$31*parametros_manuales!$J$31</f>
        <v>392.7459732482</v>
      </c>
      <c r="N203" s="9" t="n">
        <f aca="false">SUM(B203:M203)</f>
        <v>4362.97072498</v>
      </c>
      <c r="O203" s="9" t="n">
        <f aca="false">MAX(B203:M203)</f>
        <v>392.7459732482</v>
      </c>
      <c r="P203" s="44" t="n">
        <f aca="false">O203/(parametros_manuales!$B$7)</f>
        <v>2.61830648832133</v>
      </c>
      <c r="Q203" s="8" t="str">
        <f aca="false">IF(O203=0,"-",INDEX($B$190:$M$190,MATCH(O203,B203:M203,0)))</f>
        <v>Dic</v>
      </c>
    </row>
    <row r="204" customFormat="false" ht="14.25" hidden="false" customHeight="true" outlineLevel="0" collapsed="false">
      <c r="A204" s="8" t="str">
        <f aca="false">parametros_manuales!$B$32</f>
        <v>Prueba hidráulica</v>
      </c>
      <c r="B204" s="9" t="n">
        <f aca="false">(parametros_manuales!$D$32*(datos_base!$I$2+IF(parametros_manuales!$H$32="Todos",datos_base!$I$9,0))*parametros_manuales!$B$95+parametros_manuales!$D$32*(datos_base!$I$18+IF(parametros_manuales!$H$32="Todos",datos_base!$I$23,0))*parametros_manuales!$B$12+parametros_manuales!$E$32*(datos_base!$I$3+IF(parametros_manuales!$H$32="Todos",datos_base!$I$10,0))*parametros_manuales!$B$100+parametros_manuales!$E$32*(datos_base!$I$19+IF(parametros_manuales!$H$32="Todos",datos_base!$I$24,0))*parametros_manuales!$B$13+parametros_manuales!$F$32*(datos_base!$I$4+IF(parametros_manuales!$H$32="Todos",datos_base!$I$11,0))*parametros_manuales!$B$105+parametros_manuales!$F$32*(datos_base!$I$20+IF(parametros_manuales!$H$32="Todos",datos_base!$I$25,0))*parametros_manuales!$B$14+parametros_manuales!$G$32*(datos_base!$I$5+IF(parametros_manuales!$H$32="Todos",datos_base!$I$12,0))*parametros_manuales!$B$110+parametros_manuales!$G$32*(datos_base!$I$21+IF(parametros_manuales!$H$32="Todos",datos_base!$I$26,0))*parametros_manuales!$B$15)*parametros_manuales!$I$32*parametros_manuales!$J$32</f>
        <v>19635.33346241</v>
      </c>
      <c r="C204" s="9" t="n">
        <f aca="false">(parametros_manuales!$D$32*(datos_base!$I$2+IF(parametros_manuales!$H$32="Todos",datos_base!$I$9,0))*parametros_manuales!$C$95+parametros_manuales!$D$32*(datos_base!$I$18+IF(parametros_manuales!$H$32="Todos",datos_base!$I$23,0))*parametros_manuales!$C$12+parametros_manuales!$E$32*(datos_base!$I$3+IF(parametros_manuales!$H$32="Todos",datos_base!$I$10,0))*parametros_manuales!$C$100+parametros_manuales!$E$32*(datos_base!$I$19+IF(parametros_manuales!$H$32="Todos",datos_base!$I$24,0))*parametros_manuales!$C$13+parametros_manuales!$F$32*(datos_base!$I$4+IF(parametros_manuales!$H$32="Todos",datos_base!$I$11,0))*parametros_manuales!$C$105+parametros_manuales!$F$32*(datos_base!$I$20+IF(parametros_manuales!$H$32="Todos",datos_base!$I$25,0))*parametros_manuales!$C$14+parametros_manuales!$G$32*(datos_base!$I$5+IF(parametros_manuales!$H$32="Todos",datos_base!$I$12,0))*parametros_manuales!$C$110+parametros_manuales!$G$32*(datos_base!$I$21+IF(parametros_manuales!$H$32="Todos",datos_base!$I$26,0))*parametros_manuales!$C$15)*parametros_manuales!$I$32*parametros_manuales!$J$32</f>
        <v>19013.21368472</v>
      </c>
      <c r="D204" s="9" t="n">
        <f aca="false">(parametros_manuales!$D$32*(datos_base!$I$2+IF(parametros_manuales!$H$32="Todos",datos_base!$I$9,0))*parametros_manuales!$D$95+parametros_manuales!$D$32*(datos_base!$I$18+IF(parametros_manuales!$H$32="Todos",datos_base!$I$23,0))*parametros_manuales!$D$12+parametros_manuales!$E$32*(datos_base!$I$3+IF(parametros_manuales!$H$32="Todos",datos_base!$I$10,0))*parametros_manuales!$D$100+parametros_manuales!$E$32*(datos_base!$I$19+IF(parametros_manuales!$H$32="Todos",datos_base!$I$24,0))*parametros_manuales!$D$13+parametros_manuales!$F$32*(datos_base!$I$4+IF(parametros_manuales!$H$32="Todos",datos_base!$I$11,0))*parametros_manuales!$D$105+parametros_manuales!$F$32*(datos_base!$I$20+IF(parametros_manuales!$H$32="Todos",datos_base!$I$25,0))*parametros_manuales!$D$14+parametros_manuales!$G$32*(datos_base!$I$5+IF(parametros_manuales!$H$32="Todos",datos_base!$I$12,0))*parametros_manuales!$D$110+parametros_manuales!$G$32*(datos_base!$I$21+IF(parametros_manuales!$H$32="Todos",datos_base!$I$26,0))*parametros_manuales!$D$15)*parametros_manuales!$I$32*parametros_manuales!$J$32</f>
        <v>17761.960188765</v>
      </c>
      <c r="E204" s="9" t="n">
        <f aca="false">(parametros_manuales!$D$32*(datos_base!$I$2+IF(parametros_manuales!$H$32="Todos",datos_base!$I$9,0))*parametros_manuales!$E$95+parametros_manuales!$D$32*(datos_base!$I$18+IF(parametros_manuales!$H$32="Todos",datos_base!$I$23,0))*parametros_manuales!$E$12+parametros_manuales!$E$32*(datos_base!$I$3+IF(parametros_manuales!$H$32="Todos",datos_base!$I$10,0))*parametros_manuales!$E$100+parametros_manuales!$E$32*(datos_base!$I$19+IF(parametros_manuales!$H$32="Todos",datos_base!$I$24,0))*parametros_manuales!$E$13+parametros_manuales!$F$32*(datos_base!$I$4+IF(parametros_manuales!$H$32="Todos",datos_base!$I$11,0))*parametros_manuales!$E$105+parametros_manuales!$F$32*(datos_base!$I$20+IF(parametros_manuales!$H$32="Todos",datos_base!$I$25,0))*parametros_manuales!$E$14+parametros_manuales!$G$32*(datos_base!$I$5+IF(parametros_manuales!$H$32="Todos",datos_base!$I$12,0))*parametros_manuales!$E$110+parametros_manuales!$G$32*(datos_base!$I$21+IF(parametros_manuales!$H$32="Todos",datos_base!$I$26,0))*parametros_manuales!$E$15)*parametros_manuales!$I$32*parametros_manuales!$J$32</f>
        <v>16981.294796365</v>
      </c>
      <c r="F204" s="9" t="n">
        <f aca="false">(parametros_manuales!$D$32*(datos_base!$I$2+IF(parametros_manuales!$H$32="Todos",datos_base!$I$9,0))*parametros_manuales!$F$95+parametros_manuales!$D$32*(datos_base!$I$18+IF(parametros_manuales!$H$32="Todos",datos_base!$I$23,0))*parametros_manuales!$F$12+parametros_manuales!$E$32*(datos_base!$I$3+IF(parametros_manuales!$H$32="Todos",datos_base!$I$10,0))*parametros_manuales!$F$100+parametros_manuales!$E$32*(datos_base!$I$19+IF(parametros_manuales!$H$32="Todos",datos_base!$I$24,0))*parametros_manuales!$F$13+parametros_manuales!$F$32*(datos_base!$I$4+IF(parametros_manuales!$H$32="Todos",datos_base!$I$11,0))*parametros_manuales!$F$105+parametros_manuales!$F$32*(datos_base!$I$20+IF(parametros_manuales!$H$32="Todos",datos_base!$I$25,0))*parametros_manuales!$F$14+parametros_manuales!$G$32*(datos_base!$I$5+IF(parametros_manuales!$H$32="Todos",datos_base!$I$12,0))*parametros_manuales!$F$110+parametros_manuales!$G$32*(datos_base!$I$21+IF(parametros_manuales!$H$32="Todos",datos_base!$I$26,0))*parametros_manuales!$F$15)*parametros_manuales!$I$32*parametros_manuales!$J$32</f>
        <v>15890.55211512</v>
      </c>
      <c r="G204" s="9" t="n">
        <f aca="false">(parametros_manuales!$D$32*(datos_base!$I$2+IF(parametros_manuales!$H$32="Todos",datos_base!$I$9,0))*parametros_manuales!$G$95+parametros_manuales!$D$32*(datos_base!$I$18+IF(parametros_manuales!$H$32="Todos",datos_base!$I$23,0))*parametros_manuales!$G$12+parametros_manuales!$E$32*(datos_base!$I$3+IF(parametros_manuales!$H$32="Todos",datos_base!$I$10,0))*parametros_manuales!$G$100+parametros_manuales!$E$32*(datos_base!$I$19+IF(parametros_manuales!$H$32="Todos",datos_base!$I$24,0))*parametros_manuales!$G$13+parametros_manuales!$F$32*(datos_base!$I$4+IF(parametros_manuales!$H$32="Todos",datos_base!$I$11,0))*parametros_manuales!$G$105+parametros_manuales!$F$32*(datos_base!$I$20+IF(parametros_manuales!$H$32="Todos",datos_base!$I$25,0))*parametros_manuales!$G$14+parametros_manuales!$G$32*(datos_base!$I$5+IF(parametros_manuales!$H$32="Todos",datos_base!$I$12,0))*parametros_manuales!$G$110+parametros_manuales!$G$32*(datos_base!$I$21+IF(parametros_manuales!$H$32="Todos",datos_base!$I$26,0))*parametros_manuales!$G$15)*parametros_manuales!$I$32*parametros_manuales!$J$32</f>
        <v>15580.474826275</v>
      </c>
      <c r="H204" s="9" t="n">
        <f aca="false">(parametros_manuales!$D$32*(datos_base!$I$2+IF(parametros_manuales!$H$32="Todos",datos_base!$I$9,0))*parametros_manuales!$H$95+parametros_manuales!$D$32*(datos_base!$I$18+IF(parametros_manuales!$H$32="Todos",datos_base!$I$23,0))*parametros_manuales!$H$12+parametros_manuales!$E$32*(datos_base!$I$3+IF(parametros_manuales!$H$32="Todos",datos_base!$I$10,0))*parametros_manuales!$H$100+parametros_manuales!$E$32*(datos_base!$I$19+IF(parametros_manuales!$H$32="Todos",datos_base!$I$24,0))*parametros_manuales!$H$13+parametros_manuales!$F$32*(datos_base!$I$4+IF(parametros_manuales!$H$32="Todos",datos_base!$I$11,0))*parametros_manuales!$H$105+parametros_manuales!$F$32*(datos_base!$I$20+IF(parametros_manuales!$H$32="Todos",datos_base!$I$25,0))*parametros_manuales!$H$14+parametros_manuales!$G$32*(datos_base!$I$5+IF(parametros_manuales!$H$32="Todos",datos_base!$I$12,0))*parametros_manuales!$H$110+parametros_manuales!$G$32*(datos_base!$I$21+IF(parametros_manuales!$H$32="Todos",datos_base!$I$26,0))*parametros_manuales!$H$15)*parametros_manuales!$I$32*parametros_manuales!$J$32</f>
        <v>16671.21750752</v>
      </c>
      <c r="I204" s="9" t="n">
        <f aca="false">(parametros_manuales!$D$32*(datos_base!$I$2+IF(parametros_manuales!$H$32="Todos",datos_base!$I$9,0))*parametros_manuales!$I$95+parametros_manuales!$D$32*(datos_base!$I$18+IF(parametros_manuales!$H$32="Todos",datos_base!$I$23,0))*parametros_manuales!$I$12+parametros_manuales!$E$32*(datos_base!$I$3+IF(parametros_manuales!$H$32="Todos",datos_base!$I$10,0))*parametros_manuales!$I$100+parametros_manuales!$E$32*(datos_base!$I$19+IF(parametros_manuales!$H$32="Todos",datos_base!$I$24,0))*parametros_manuales!$I$13+parametros_manuales!$F$32*(datos_base!$I$4+IF(parametros_manuales!$H$32="Todos",datos_base!$I$11,0))*parametros_manuales!$I$105+parametros_manuales!$F$32*(datos_base!$I$20+IF(parametros_manuales!$H$32="Todos",datos_base!$I$25,0))*parametros_manuales!$I$14+parametros_manuales!$G$32*(datos_base!$I$5+IF(parametros_manuales!$H$32="Todos",datos_base!$I$12,0))*parametros_manuales!$I$110+parametros_manuales!$G$32*(datos_base!$I$21+IF(parametros_manuales!$H$32="Todos",datos_base!$I$26,0))*parametros_manuales!$I$15)*parametros_manuales!$I$32*parametros_manuales!$J$32</f>
        <v>19013.21368472</v>
      </c>
      <c r="J204" s="9" t="n">
        <f aca="false">(parametros_manuales!$D$32*(datos_base!$I$2+IF(parametros_manuales!$H$32="Todos",datos_base!$I$9,0))*parametros_manuales!$J$95+parametros_manuales!$D$32*(datos_base!$I$18+IF(parametros_manuales!$H$32="Todos",datos_base!$I$23,0))*parametros_manuales!$J$12+parametros_manuales!$E$32*(datos_base!$I$3+IF(parametros_manuales!$H$32="Todos",datos_base!$I$10,0))*parametros_manuales!$J$100+parametros_manuales!$E$32*(datos_base!$I$19+IF(parametros_manuales!$H$32="Todos",datos_base!$I$24,0))*parametros_manuales!$J$13+parametros_manuales!$F$32*(datos_base!$I$4+IF(parametros_manuales!$H$32="Todos",datos_base!$I$11,0))*parametros_manuales!$J$105+parametros_manuales!$F$32*(datos_base!$I$20+IF(parametros_manuales!$H$32="Todos",datos_base!$I$25,0))*parametros_manuales!$J$14+parametros_manuales!$G$32*(datos_base!$I$5+IF(parametros_manuales!$H$32="Todos",datos_base!$I$12,0))*parametros_manuales!$J$110+parametros_manuales!$G$32*(datos_base!$I$21+IF(parametros_manuales!$H$32="Todos",datos_base!$I$26,0))*parametros_manuales!$J$15)*parametros_manuales!$I$32*parametros_manuales!$J$32</f>
        <v>19013.21368472</v>
      </c>
      <c r="K204" s="9" t="n">
        <f aca="false">(parametros_manuales!$D$32*(datos_base!$I$2+IF(parametros_manuales!$H$32="Todos",datos_base!$I$9,0))*parametros_manuales!$K$95+parametros_manuales!$D$32*(datos_base!$I$18+IF(parametros_manuales!$H$32="Todos",datos_base!$I$23,0))*parametros_manuales!$K$12+parametros_manuales!$E$32*(datos_base!$I$3+IF(parametros_manuales!$H$32="Todos",datos_base!$I$10,0))*parametros_manuales!$K$100+parametros_manuales!$E$32*(datos_base!$I$19+IF(parametros_manuales!$H$32="Todos",datos_base!$I$24,0))*parametros_manuales!$K$13+parametros_manuales!$F$32*(datos_base!$I$4+IF(parametros_manuales!$H$32="Todos",datos_base!$I$11,0))*parametros_manuales!$K$105+parametros_manuales!$F$32*(datos_base!$I$20+IF(parametros_manuales!$H$32="Todos",datos_base!$I$25,0))*parametros_manuales!$K$14+parametros_manuales!$G$32*(datos_base!$I$5+IF(parametros_manuales!$H$32="Todos",datos_base!$I$12,0))*parametros_manuales!$K$110+parametros_manuales!$G$32*(datos_base!$I$21+IF(parametros_manuales!$H$32="Todos",datos_base!$I$26,0))*parametros_manuales!$K$15)*parametros_manuales!$I$32*parametros_manuales!$J$32</f>
        <v>19321.325773565</v>
      </c>
      <c r="L204" s="9" t="n">
        <f aca="false">(parametros_manuales!$D$32*(datos_base!$I$2+IF(parametros_manuales!$H$32="Todos",datos_base!$I$9,0))*parametros_manuales!$L$95+parametros_manuales!$D$32*(datos_base!$I$18+IF(parametros_manuales!$H$32="Todos",datos_base!$I$23,0))*parametros_manuales!$L$12+parametros_manuales!$E$32*(datos_base!$I$3+IF(parametros_manuales!$H$32="Todos",datos_base!$I$10,0))*parametros_manuales!$L$100+parametros_manuales!$E$32*(datos_base!$I$19+IF(parametros_manuales!$H$32="Todos",datos_base!$I$24,0))*parametros_manuales!$L$13+parametros_manuales!$F$32*(datos_base!$I$4+IF(parametros_manuales!$H$32="Todos",datos_base!$I$11,0))*parametros_manuales!$L$105+parametros_manuales!$F$32*(datos_base!$I$20+IF(parametros_manuales!$H$32="Todos",datos_base!$I$25,0))*parametros_manuales!$L$14+parametros_manuales!$G$32*(datos_base!$I$5+IF(parametros_manuales!$H$32="Todos",datos_base!$I$12,0))*parametros_manuales!$L$110+parametros_manuales!$G$32*(datos_base!$I$21+IF(parametros_manuales!$H$32="Todos",datos_base!$I$26,0))*parametros_manuales!$L$15)*parametros_manuales!$I$32*parametros_manuales!$J$32</f>
        <v>19629.43786241</v>
      </c>
      <c r="M204" s="9" t="n">
        <f aca="false">(parametros_manuales!$D$32*(datos_base!$I$2+IF(parametros_manuales!$H$32="Todos",datos_base!$I$9,0))*parametros_manuales!$M$95+parametros_manuales!$D$32*(datos_base!$I$18+IF(parametros_manuales!$H$32="Todos",datos_base!$I$23,0))*parametros_manuales!$M$12+parametros_manuales!$E$32*(datos_base!$I$3+IF(parametros_manuales!$H$32="Todos",datos_base!$I$10,0))*parametros_manuales!$M$100+parametros_manuales!$E$32*(datos_base!$I$19+IF(parametros_manuales!$H$32="Todos",datos_base!$I$24,0))*parametros_manuales!$M$13+parametros_manuales!$F$32*(datos_base!$I$4+IF(parametros_manuales!$H$32="Todos",datos_base!$I$11,0))*parametros_manuales!$M$105+parametros_manuales!$F$32*(datos_base!$I$20+IF(parametros_manuales!$H$32="Todos",datos_base!$I$25,0))*parametros_manuales!$M$14+parametros_manuales!$G$32*(datos_base!$I$5+IF(parametros_manuales!$H$32="Todos",datos_base!$I$12,0))*parametros_manuales!$M$110+parametros_manuales!$G$32*(datos_base!$I$21+IF(parametros_manuales!$H$32="Todos",datos_base!$I$26,0))*parametros_manuales!$M$15)*parametros_manuales!$I$32*parametros_manuales!$J$32</f>
        <v>19637.29866241</v>
      </c>
      <c r="N204" s="9" t="n">
        <f aca="false">SUM(B204:M204)</f>
        <v>218148.536249</v>
      </c>
      <c r="O204" s="9" t="n">
        <f aca="false">MAX(B204:M204)</f>
        <v>19637.29866241</v>
      </c>
      <c r="P204" s="44" t="n">
        <f aca="false">O204/(parametros_manuales!$B$7)</f>
        <v>130.915324416067</v>
      </c>
      <c r="Q204" s="8" t="str">
        <f aca="false">IF(O204=0,"-",INDEX($B$190:$M$190,MATCH(O204,B204:M204,0)))</f>
        <v>Dic</v>
      </c>
    </row>
    <row r="205" customFormat="false" ht="14.25" hidden="false" customHeight="true" outlineLevel="0" collapsed="false">
      <c r="A205" s="8" t="str">
        <f aca="false">parametros_manuales!$B$33</f>
        <v>Secado</v>
      </c>
      <c r="B205" s="9" t="n">
        <f aca="false">(parametros_manuales!$D$33*(datos_base!$I$2+IF(parametros_manuales!$H$33="Todos",datos_base!$I$9,0))*parametros_manuales!$B$95+parametros_manuales!$D$33*(datos_base!$I$18+IF(parametros_manuales!$H$33="Todos",datos_base!$I$23,0))*parametros_manuales!$B$12+parametros_manuales!$E$33*(datos_base!$I$3+IF(parametros_manuales!$H$33="Todos",datos_base!$I$10,0))*parametros_manuales!$B$100+parametros_manuales!$E$33*(datos_base!$I$19+IF(parametros_manuales!$H$33="Todos",datos_base!$I$24,0))*parametros_manuales!$B$13+parametros_manuales!$F$33*(datos_base!$I$4+IF(parametros_manuales!$H$33="Todos",datos_base!$I$11,0))*parametros_manuales!$B$105+parametros_manuales!$F$33*(datos_base!$I$20+IF(parametros_manuales!$H$33="Todos",datos_base!$I$25,0))*parametros_manuales!$B$14+parametros_manuales!$G$33*(datos_base!$I$5+IF(parametros_manuales!$H$33="Todos",datos_base!$I$12,0))*parametros_manuales!$B$110+parametros_manuales!$G$33*(datos_base!$I$21+IF(parametros_manuales!$H$33="Todos",datos_base!$I$26,0))*parametros_manuales!$B$15)*parametros_manuales!$I$33*parametros_manuales!$J$33</f>
        <v>19635.33346241</v>
      </c>
      <c r="C205" s="9" t="n">
        <f aca="false">(parametros_manuales!$D$33*(datos_base!$I$2+IF(parametros_manuales!$H$33="Todos",datos_base!$I$9,0))*parametros_manuales!$C$95+parametros_manuales!$D$33*(datos_base!$I$18+IF(parametros_manuales!$H$33="Todos",datos_base!$I$23,0))*parametros_manuales!$C$12+parametros_manuales!$E$33*(datos_base!$I$3+IF(parametros_manuales!$H$33="Todos",datos_base!$I$10,0))*parametros_manuales!$C$100+parametros_manuales!$E$33*(datos_base!$I$19+IF(parametros_manuales!$H$33="Todos",datos_base!$I$24,0))*parametros_manuales!$C$13+parametros_manuales!$F$33*(datos_base!$I$4+IF(parametros_manuales!$H$33="Todos",datos_base!$I$11,0))*parametros_manuales!$C$105+parametros_manuales!$F$33*(datos_base!$I$20+IF(parametros_manuales!$H$33="Todos",datos_base!$I$25,0))*parametros_manuales!$C$14+parametros_manuales!$G$33*(datos_base!$I$5+IF(parametros_manuales!$H$33="Todos",datos_base!$I$12,0))*parametros_manuales!$C$110+parametros_manuales!$G$33*(datos_base!$I$21+IF(parametros_manuales!$H$33="Todos",datos_base!$I$26,0))*parametros_manuales!$C$15)*parametros_manuales!$I$33*parametros_manuales!$J$33</f>
        <v>19013.21368472</v>
      </c>
      <c r="D205" s="9" t="n">
        <f aca="false">(parametros_manuales!$D$33*(datos_base!$I$2+IF(parametros_manuales!$H$33="Todos",datos_base!$I$9,0))*parametros_manuales!$D$95+parametros_manuales!$D$33*(datos_base!$I$18+IF(parametros_manuales!$H$33="Todos",datos_base!$I$23,0))*parametros_manuales!$D$12+parametros_manuales!$E$33*(datos_base!$I$3+IF(parametros_manuales!$H$33="Todos",datos_base!$I$10,0))*parametros_manuales!$D$100+parametros_manuales!$E$33*(datos_base!$I$19+IF(parametros_manuales!$H$33="Todos",datos_base!$I$24,0))*parametros_manuales!$D$13+parametros_manuales!$F$33*(datos_base!$I$4+IF(parametros_manuales!$H$33="Todos",datos_base!$I$11,0))*parametros_manuales!$D$105+parametros_manuales!$F$33*(datos_base!$I$20+IF(parametros_manuales!$H$33="Todos",datos_base!$I$25,0))*parametros_manuales!$D$14+parametros_manuales!$G$33*(datos_base!$I$5+IF(parametros_manuales!$H$33="Todos",datos_base!$I$12,0))*parametros_manuales!$D$110+parametros_manuales!$G$33*(datos_base!$I$21+IF(parametros_manuales!$H$33="Todos",datos_base!$I$26,0))*parametros_manuales!$D$15)*parametros_manuales!$I$33*parametros_manuales!$J$33</f>
        <v>17761.960188765</v>
      </c>
      <c r="E205" s="9" t="n">
        <f aca="false">(parametros_manuales!$D$33*(datos_base!$I$2+IF(parametros_manuales!$H$33="Todos",datos_base!$I$9,0))*parametros_manuales!$E$95+parametros_manuales!$D$33*(datos_base!$I$18+IF(parametros_manuales!$H$33="Todos",datos_base!$I$23,0))*parametros_manuales!$E$12+parametros_manuales!$E$33*(datos_base!$I$3+IF(parametros_manuales!$H$33="Todos",datos_base!$I$10,0))*parametros_manuales!$E$100+parametros_manuales!$E$33*(datos_base!$I$19+IF(parametros_manuales!$H$33="Todos",datos_base!$I$24,0))*parametros_manuales!$E$13+parametros_manuales!$F$33*(datos_base!$I$4+IF(parametros_manuales!$H$33="Todos",datos_base!$I$11,0))*parametros_manuales!$E$105+parametros_manuales!$F$33*(datos_base!$I$20+IF(parametros_manuales!$H$33="Todos",datos_base!$I$25,0))*parametros_manuales!$E$14+parametros_manuales!$G$33*(datos_base!$I$5+IF(parametros_manuales!$H$33="Todos",datos_base!$I$12,0))*parametros_manuales!$E$110+parametros_manuales!$G$33*(datos_base!$I$21+IF(parametros_manuales!$H$33="Todos",datos_base!$I$26,0))*parametros_manuales!$E$15)*parametros_manuales!$I$33*parametros_manuales!$J$33</f>
        <v>16981.294796365</v>
      </c>
      <c r="F205" s="9" t="n">
        <f aca="false">(parametros_manuales!$D$33*(datos_base!$I$2+IF(parametros_manuales!$H$33="Todos",datos_base!$I$9,0))*parametros_manuales!$F$95+parametros_manuales!$D$33*(datos_base!$I$18+IF(parametros_manuales!$H$33="Todos",datos_base!$I$23,0))*parametros_manuales!$F$12+parametros_manuales!$E$33*(datos_base!$I$3+IF(parametros_manuales!$H$33="Todos",datos_base!$I$10,0))*parametros_manuales!$F$100+parametros_manuales!$E$33*(datos_base!$I$19+IF(parametros_manuales!$H$33="Todos",datos_base!$I$24,0))*parametros_manuales!$F$13+parametros_manuales!$F$33*(datos_base!$I$4+IF(parametros_manuales!$H$33="Todos",datos_base!$I$11,0))*parametros_manuales!$F$105+parametros_manuales!$F$33*(datos_base!$I$20+IF(parametros_manuales!$H$33="Todos",datos_base!$I$25,0))*parametros_manuales!$F$14+parametros_manuales!$G$33*(datos_base!$I$5+IF(parametros_manuales!$H$33="Todos",datos_base!$I$12,0))*parametros_manuales!$F$110+parametros_manuales!$G$33*(datos_base!$I$21+IF(parametros_manuales!$H$33="Todos",datos_base!$I$26,0))*parametros_manuales!$F$15)*parametros_manuales!$I$33*parametros_manuales!$J$33</f>
        <v>15890.55211512</v>
      </c>
      <c r="G205" s="9" t="n">
        <f aca="false">(parametros_manuales!$D$33*(datos_base!$I$2+IF(parametros_manuales!$H$33="Todos",datos_base!$I$9,0))*parametros_manuales!$G$95+parametros_manuales!$D$33*(datos_base!$I$18+IF(parametros_manuales!$H$33="Todos",datos_base!$I$23,0))*parametros_manuales!$G$12+parametros_manuales!$E$33*(datos_base!$I$3+IF(parametros_manuales!$H$33="Todos",datos_base!$I$10,0))*parametros_manuales!$G$100+parametros_manuales!$E$33*(datos_base!$I$19+IF(parametros_manuales!$H$33="Todos",datos_base!$I$24,0))*parametros_manuales!$G$13+parametros_manuales!$F$33*(datos_base!$I$4+IF(parametros_manuales!$H$33="Todos",datos_base!$I$11,0))*parametros_manuales!$G$105+parametros_manuales!$F$33*(datos_base!$I$20+IF(parametros_manuales!$H$33="Todos",datos_base!$I$25,0))*parametros_manuales!$G$14+parametros_manuales!$G$33*(datos_base!$I$5+IF(parametros_manuales!$H$33="Todos",datos_base!$I$12,0))*parametros_manuales!$G$110+parametros_manuales!$G$33*(datos_base!$I$21+IF(parametros_manuales!$H$33="Todos",datos_base!$I$26,0))*parametros_manuales!$G$15)*parametros_manuales!$I$33*parametros_manuales!$J$33</f>
        <v>15580.474826275</v>
      </c>
      <c r="H205" s="9" t="n">
        <f aca="false">(parametros_manuales!$D$33*(datos_base!$I$2+IF(parametros_manuales!$H$33="Todos",datos_base!$I$9,0))*parametros_manuales!$H$95+parametros_manuales!$D$33*(datos_base!$I$18+IF(parametros_manuales!$H$33="Todos",datos_base!$I$23,0))*parametros_manuales!$H$12+parametros_manuales!$E$33*(datos_base!$I$3+IF(parametros_manuales!$H$33="Todos",datos_base!$I$10,0))*parametros_manuales!$H$100+parametros_manuales!$E$33*(datos_base!$I$19+IF(parametros_manuales!$H$33="Todos",datos_base!$I$24,0))*parametros_manuales!$H$13+parametros_manuales!$F$33*(datos_base!$I$4+IF(parametros_manuales!$H$33="Todos",datos_base!$I$11,0))*parametros_manuales!$H$105+parametros_manuales!$F$33*(datos_base!$I$20+IF(parametros_manuales!$H$33="Todos",datos_base!$I$25,0))*parametros_manuales!$H$14+parametros_manuales!$G$33*(datos_base!$I$5+IF(parametros_manuales!$H$33="Todos",datos_base!$I$12,0))*parametros_manuales!$H$110+parametros_manuales!$G$33*(datos_base!$I$21+IF(parametros_manuales!$H$33="Todos",datos_base!$I$26,0))*parametros_manuales!$H$15)*parametros_manuales!$I$33*parametros_manuales!$J$33</f>
        <v>16671.21750752</v>
      </c>
      <c r="I205" s="9" t="n">
        <f aca="false">(parametros_manuales!$D$33*(datos_base!$I$2+IF(parametros_manuales!$H$33="Todos",datos_base!$I$9,0))*parametros_manuales!$I$95+parametros_manuales!$D$33*(datos_base!$I$18+IF(parametros_manuales!$H$33="Todos",datos_base!$I$23,0))*parametros_manuales!$I$12+parametros_manuales!$E$33*(datos_base!$I$3+IF(parametros_manuales!$H$33="Todos",datos_base!$I$10,0))*parametros_manuales!$I$100+parametros_manuales!$E$33*(datos_base!$I$19+IF(parametros_manuales!$H$33="Todos",datos_base!$I$24,0))*parametros_manuales!$I$13+parametros_manuales!$F$33*(datos_base!$I$4+IF(parametros_manuales!$H$33="Todos",datos_base!$I$11,0))*parametros_manuales!$I$105+parametros_manuales!$F$33*(datos_base!$I$20+IF(parametros_manuales!$H$33="Todos",datos_base!$I$25,0))*parametros_manuales!$I$14+parametros_manuales!$G$33*(datos_base!$I$5+IF(parametros_manuales!$H$33="Todos",datos_base!$I$12,0))*parametros_manuales!$I$110+parametros_manuales!$G$33*(datos_base!$I$21+IF(parametros_manuales!$H$33="Todos",datos_base!$I$26,0))*parametros_manuales!$I$15)*parametros_manuales!$I$33*parametros_manuales!$J$33</f>
        <v>19013.21368472</v>
      </c>
      <c r="J205" s="9" t="n">
        <f aca="false">(parametros_manuales!$D$33*(datos_base!$I$2+IF(parametros_manuales!$H$33="Todos",datos_base!$I$9,0))*parametros_manuales!$J$95+parametros_manuales!$D$33*(datos_base!$I$18+IF(parametros_manuales!$H$33="Todos",datos_base!$I$23,0))*parametros_manuales!$J$12+parametros_manuales!$E$33*(datos_base!$I$3+IF(parametros_manuales!$H$33="Todos",datos_base!$I$10,0))*parametros_manuales!$J$100+parametros_manuales!$E$33*(datos_base!$I$19+IF(parametros_manuales!$H$33="Todos",datos_base!$I$24,0))*parametros_manuales!$J$13+parametros_manuales!$F$33*(datos_base!$I$4+IF(parametros_manuales!$H$33="Todos",datos_base!$I$11,0))*parametros_manuales!$J$105+parametros_manuales!$F$33*(datos_base!$I$20+IF(parametros_manuales!$H$33="Todos",datos_base!$I$25,0))*parametros_manuales!$J$14+parametros_manuales!$G$33*(datos_base!$I$5+IF(parametros_manuales!$H$33="Todos",datos_base!$I$12,0))*parametros_manuales!$J$110+parametros_manuales!$G$33*(datos_base!$I$21+IF(parametros_manuales!$H$33="Todos",datos_base!$I$26,0))*parametros_manuales!$J$15)*parametros_manuales!$I$33*parametros_manuales!$J$33</f>
        <v>19013.21368472</v>
      </c>
      <c r="K205" s="9" t="n">
        <f aca="false">(parametros_manuales!$D$33*(datos_base!$I$2+IF(parametros_manuales!$H$33="Todos",datos_base!$I$9,0))*parametros_manuales!$K$95+parametros_manuales!$D$33*(datos_base!$I$18+IF(parametros_manuales!$H$33="Todos",datos_base!$I$23,0))*parametros_manuales!$K$12+parametros_manuales!$E$33*(datos_base!$I$3+IF(parametros_manuales!$H$33="Todos",datos_base!$I$10,0))*parametros_manuales!$K$100+parametros_manuales!$E$33*(datos_base!$I$19+IF(parametros_manuales!$H$33="Todos",datos_base!$I$24,0))*parametros_manuales!$K$13+parametros_manuales!$F$33*(datos_base!$I$4+IF(parametros_manuales!$H$33="Todos",datos_base!$I$11,0))*parametros_manuales!$K$105+parametros_manuales!$F$33*(datos_base!$I$20+IF(parametros_manuales!$H$33="Todos",datos_base!$I$25,0))*parametros_manuales!$K$14+parametros_manuales!$G$33*(datos_base!$I$5+IF(parametros_manuales!$H$33="Todos",datos_base!$I$12,0))*parametros_manuales!$K$110+parametros_manuales!$G$33*(datos_base!$I$21+IF(parametros_manuales!$H$33="Todos",datos_base!$I$26,0))*parametros_manuales!$K$15)*parametros_manuales!$I$33*parametros_manuales!$J$33</f>
        <v>19321.325773565</v>
      </c>
      <c r="L205" s="9" t="n">
        <f aca="false">(parametros_manuales!$D$33*(datos_base!$I$2+IF(parametros_manuales!$H$33="Todos",datos_base!$I$9,0))*parametros_manuales!$L$95+parametros_manuales!$D$33*(datos_base!$I$18+IF(parametros_manuales!$H$33="Todos",datos_base!$I$23,0))*parametros_manuales!$L$12+parametros_manuales!$E$33*(datos_base!$I$3+IF(parametros_manuales!$H$33="Todos",datos_base!$I$10,0))*parametros_manuales!$L$100+parametros_manuales!$E$33*(datos_base!$I$19+IF(parametros_manuales!$H$33="Todos",datos_base!$I$24,0))*parametros_manuales!$L$13+parametros_manuales!$F$33*(datos_base!$I$4+IF(parametros_manuales!$H$33="Todos",datos_base!$I$11,0))*parametros_manuales!$L$105+parametros_manuales!$F$33*(datos_base!$I$20+IF(parametros_manuales!$H$33="Todos",datos_base!$I$25,0))*parametros_manuales!$L$14+parametros_manuales!$G$33*(datos_base!$I$5+IF(parametros_manuales!$H$33="Todos",datos_base!$I$12,0))*parametros_manuales!$L$110+parametros_manuales!$G$33*(datos_base!$I$21+IF(parametros_manuales!$H$33="Todos",datos_base!$I$26,0))*parametros_manuales!$L$15)*parametros_manuales!$I$33*parametros_manuales!$J$33</f>
        <v>19629.43786241</v>
      </c>
      <c r="M205" s="9" t="n">
        <f aca="false">(parametros_manuales!$D$33*(datos_base!$I$2+IF(parametros_manuales!$H$33="Todos",datos_base!$I$9,0))*parametros_manuales!$M$95+parametros_manuales!$D$33*(datos_base!$I$18+IF(parametros_manuales!$H$33="Todos",datos_base!$I$23,0))*parametros_manuales!$M$12+parametros_manuales!$E$33*(datos_base!$I$3+IF(parametros_manuales!$H$33="Todos",datos_base!$I$10,0))*parametros_manuales!$M$100+parametros_manuales!$E$33*(datos_base!$I$19+IF(parametros_manuales!$H$33="Todos",datos_base!$I$24,0))*parametros_manuales!$M$13+parametros_manuales!$F$33*(datos_base!$I$4+IF(parametros_manuales!$H$33="Todos",datos_base!$I$11,0))*parametros_manuales!$M$105+parametros_manuales!$F$33*(datos_base!$I$20+IF(parametros_manuales!$H$33="Todos",datos_base!$I$25,0))*parametros_manuales!$M$14+parametros_manuales!$G$33*(datos_base!$I$5+IF(parametros_manuales!$H$33="Todos",datos_base!$I$12,0))*parametros_manuales!$M$110+parametros_manuales!$G$33*(datos_base!$I$21+IF(parametros_manuales!$H$33="Todos",datos_base!$I$26,0))*parametros_manuales!$M$15)*parametros_manuales!$I$33*parametros_manuales!$J$33</f>
        <v>19637.29866241</v>
      </c>
      <c r="N205" s="9" t="n">
        <f aca="false">SUM(B205:M205)</f>
        <v>218148.536249</v>
      </c>
      <c r="O205" s="9" t="n">
        <f aca="false">MAX(B205:M205)</f>
        <v>19637.29866241</v>
      </c>
      <c r="P205" s="44" t="n">
        <f aca="false">O205/(parametros_manuales!$B$7)</f>
        <v>130.915324416067</v>
      </c>
      <c r="Q205" s="8" t="str">
        <f aca="false">IF(O205=0,"-",INDEX($B$190:$M$190,MATCH(O205,B205:M205,0)))</f>
        <v>Dic</v>
      </c>
    </row>
    <row r="206" customFormat="false" ht="14.25" hidden="false" customHeight="true" outlineLevel="0" collapsed="false">
      <c r="A206" s="8" t="str">
        <f aca="false">parametros_manuales!$B$34</f>
        <v>Granallado</v>
      </c>
      <c r="B206" s="9" t="n">
        <f aca="false">(parametros_manuales!$D$34*(datos_base!$I$2+IF(parametros_manuales!$H$34="Todos",datos_base!$I$9,0))*parametros_manuales!$B$95+parametros_manuales!$D$34*(datos_base!$I$18+IF(parametros_manuales!$H$34="Todos",datos_base!$I$23,0))*parametros_manuales!$B$12+parametros_manuales!$E$34*(datos_base!$I$3+IF(parametros_manuales!$H$34="Todos",datos_base!$I$10,0))*parametros_manuales!$B$100+parametros_manuales!$E$34*(datos_base!$I$19+IF(parametros_manuales!$H$34="Todos",datos_base!$I$24,0))*parametros_manuales!$B$13+parametros_manuales!$F$34*(datos_base!$I$4+IF(parametros_manuales!$H$34="Todos",datos_base!$I$11,0))*parametros_manuales!$B$105+parametros_manuales!$F$34*(datos_base!$I$20+IF(parametros_manuales!$H$34="Todos",datos_base!$I$25,0))*parametros_manuales!$B$14+parametros_manuales!$G$34*(datos_base!$I$5+IF(parametros_manuales!$H$34="Todos",datos_base!$I$12,0))*parametros_manuales!$B$110+parametros_manuales!$G$34*(datos_base!$I$21+IF(parametros_manuales!$H$34="Todos",datos_base!$I$26,0))*parametros_manuales!$B$15)*parametros_manuales!$I$34*parametros_manuales!$J$34</f>
        <v>19635.33346241</v>
      </c>
      <c r="C206" s="9" t="n">
        <f aca="false">(parametros_manuales!$D$34*(datos_base!$I$2+IF(parametros_manuales!$H$34="Todos",datos_base!$I$9,0))*parametros_manuales!$C$95+parametros_manuales!$D$34*(datos_base!$I$18+IF(parametros_manuales!$H$34="Todos",datos_base!$I$23,0))*parametros_manuales!$C$12+parametros_manuales!$E$34*(datos_base!$I$3+IF(parametros_manuales!$H$34="Todos",datos_base!$I$10,0))*parametros_manuales!$C$100+parametros_manuales!$E$34*(datos_base!$I$19+IF(parametros_manuales!$H$34="Todos",datos_base!$I$24,0))*parametros_manuales!$C$13+parametros_manuales!$F$34*(datos_base!$I$4+IF(parametros_manuales!$H$34="Todos",datos_base!$I$11,0))*parametros_manuales!$C$105+parametros_manuales!$F$34*(datos_base!$I$20+IF(parametros_manuales!$H$34="Todos",datos_base!$I$25,0))*parametros_manuales!$C$14+parametros_manuales!$G$34*(datos_base!$I$5+IF(parametros_manuales!$H$34="Todos",datos_base!$I$12,0))*parametros_manuales!$C$110+parametros_manuales!$G$34*(datos_base!$I$21+IF(parametros_manuales!$H$34="Todos",datos_base!$I$26,0))*parametros_manuales!$C$15)*parametros_manuales!$I$34*parametros_manuales!$J$34</f>
        <v>19013.21368472</v>
      </c>
      <c r="D206" s="9" t="n">
        <f aca="false">(parametros_manuales!$D$34*(datos_base!$I$2+IF(parametros_manuales!$H$34="Todos",datos_base!$I$9,0))*parametros_manuales!$D$95+parametros_manuales!$D$34*(datos_base!$I$18+IF(parametros_manuales!$H$34="Todos",datos_base!$I$23,0))*parametros_manuales!$D$12+parametros_manuales!$E$34*(datos_base!$I$3+IF(parametros_manuales!$H$34="Todos",datos_base!$I$10,0))*parametros_manuales!$D$100+parametros_manuales!$E$34*(datos_base!$I$19+IF(parametros_manuales!$H$34="Todos",datos_base!$I$24,0))*parametros_manuales!$D$13+parametros_manuales!$F$34*(datos_base!$I$4+IF(parametros_manuales!$H$34="Todos",datos_base!$I$11,0))*parametros_manuales!$D$105+parametros_manuales!$F$34*(datos_base!$I$20+IF(parametros_manuales!$H$34="Todos",datos_base!$I$25,0))*parametros_manuales!$D$14+parametros_manuales!$G$34*(datos_base!$I$5+IF(parametros_manuales!$H$34="Todos",datos_base!$I$12,0))*parametros_manuales!$D$110+parametros_manuales!$G$34*(datos_base!$I$21+IF(parametros_manuales!$H$34="Todos",datos_base!$I$26,0))*parametros_manuales!$D$15)*parametros_manuales!$I$34*parametros_manuales!$J$34</f>
        <v>17761.960188765</v>
      </c>
      <c r="E206" s="9" t="n">
        <f aca="false">(parametros_manuales!$D$34*(datos_base!$I$2+IF(parametros_manuales!$H$34="Todos",datos_base!$I$9,0))*parametros_manuales!$E$95+parametros_manuales!$D$34*(datos_base!$I$18+IF(parametros_manuales!$H$34="Todos",datos_base!$I$23,0))*parametros_manuales!$E$12+parametros_manuales!$E$34*(datos_base!$I$3+IF(parametros_manuales!$H$34="Todos",datos_base!$I$10,0))*parametros_manuales!$E$100+parametros_manuales!$E$34*(datos_base!$I$19+IF(parametros_manuales!$H$34="Todos",datos_base!$I$24,0))*parametros_manuales!$E$13+parametros_manuales!$F$34*(datos_base!$I$4+IF(parametros_manuales!$H$34="Todos",datos_base!$I$11,0))*parametros_manuales!$E$105+parametros_manuales!$F$34*(datos_base!$I$20+IF(parametros_manuales!$H$34="Todos",datos_base!$I$25,0))*parametros_manuales!$E$14+parametros_manuales!$G$34*(datos_base!$I$5+IF(parametros_manuales!$H$34="Todos",datos_base!$I$12,0))*parametros_manuales!$E$110+parametros_manuales!$G$34*(datos_base!$I$21+IF(parametros_manuales!$H$34="Todos",datos_base!$I$26,0))*parametros_manuales!$E$15)*parametros_manuales!$I$34*parametros_manuales!$J$34</f>
        <v>16981.294796365</v>
      </c>
      <c r="F206" s="9" t="n">
        <f aca="false">(parametros_manuales!$D$34*(datos_base!$I$2+IF(parametros_manuales!$H$34="Todos",datos_base!$I$9,0))*parametros_manuales!$F$95+parametros_manuales!$D$34*(datos_base!$I$18+IF(parametros_manuales!$H$34="Todos",datos_base!$I$23,0))*parametros_manuales!$F$12+parametros_manuales!$E$34*(datos_base!$I$3+IF(parametros_manuales!$H$34="Todos",datos_base!$I$10,0))*parametros_manuales!$F$100+parametros_manuales!$E$34*(datos_base!$I$19+IF(parametros_manuales!$H$34="Todos",datos_base!$I$24,0))*parametros_manuales!$F$13+parametros_manuales!$F$34*(datos_base!$I$4+IF(parametros_manuales!$H$34="Todos",datos_base!$I$11,0))*parametros_manuales!$F$105+parametros_manuales!$F$34*(datos_base!$I$20+IF(parametros_manuales!$H$34="Todos",datos_base!$I$25,0))*parametros_manuales!$F$14+parametros_manuales!$G$34*(datos_base!$I$5+IF(parametros_manuales!$H$34="Todos",datos_base!$I$12,0))*parametros_manuales!$F$110+parametros_manuales!$G$34*(datos_base!$I$21+IF(parametros_manuales!$H$34="Todos",datos_base!$I$26,0))*parametros_manuales!$F$15)*parametros_manuales!$I$34*parametros_manuales!$J$34</f>
        <v>15890.55211512</v>
      </c>
      <c r="G206" s="9" t="n">
        <f aca="false">(parametros_manuales!$D$34*(datos_base!$I$2+IF(parametros_manuales!$H$34="Todos",datos_base!$I$9,0))*parametros_manuales!$G$95+parametros_manuales!$D$34*(datos_base!$I$18+IF(parametros_manuales!$H$34="Todos",datos_base!$I$23,0))*parametros_manuales!$G$12+parametros_manuales!$E$34*(datos_base!$I$3+IF(parametros_manuales!$H$34="Todos",datos_base!$I$10,0))*parametros_manuales!$G$100+parametros_manuales!$E$34*(datos_base!$I$19+IF(parametros_manuales!$H$34="Todos",datos_base!$I$24,0))*parametros_manuales!$G$13+parametros_manuales!$F$34*(datos_base!$I$4+IF(parametros_manuales!$H$34="Todos",datos_base!$I$11,0))*parametros_manuales!$G$105+parametros_manuales!$F$34*(datos_base!$I$20+IF(parametros_manuales!$H$34="Todos",datos_base!$I$25,0))*parametros_manuales!$G$14+parametros_manuales!$G$34*(datos_base!$I$5+IF(parametros_manuales!$H$34="Todos",datos_base!$I$12,0))*parametros_manuales!$G$110+parametros_manuales!$G$34*(datos_base!$I$21+IF(parametros_manuales!$H$34="Todos",datos_base!$I$26,0))*parametros_manuales!$G$15)*parametros_manuales!$I$34*parametros_manuales!$J$34</f>
        <v>15580.474826275</v>
      </c>
      <c r="H206" s="9" t="n">
        <f aca="false">(parametros_manuales!$D$34*(datos_base!$I$2+IF(parametros_manuales!$H$34="Todos",datos_base!$I$9,0))*parametros_manuales!$H$95+parametros_manuales!$D$34*(datos_base!$I$18+IF(parametros_manuales!$H$34="Todos",datos_base!$I$23,0))*parametros_manuales!$H$12+parametros_manuales!$E$34*(datos_base!$I$3+IF(parametros_manuales!$H$34="Todos",datos_base!$I$10,0))*parametros_manuales!$H$100+parametros_manuales!$E$34*(datos_base!$I$19+IF(parametros_manuales!$H$34="Todos",datos_base!$I$24,0))*parametros_manuales!$H$13+parametros_manuales!$F$34*(datos_base!$I$4+IF(parametros_manuales!$H$34="Todos",datos_base!$I$11,0))*parametros_manuales!$H$105+parametros_manuales!$F$34*(datos_base!$I$20+IF(parametros_manuales!$H$34="Todos",datos_base!$I$25,0))*parametros_manuales!$H$14+parametros_manuales!$G$34*(datos_base!$I$5+IF(parametros_manuales!$H$34="Todos",datos_base!$I$12,0))*parametros_manuales!$H$110+parametros_manuales!$G$34*(datos_base!$I$21+IF(parametros_manuales!$H$34="Todos",datos_base!$I$26,0))*parametros_manuales!$H$15)*parametros_manuales!$I$34*parametros_manuales!$J$34</f>
        <v>16671.21750752</v>
      </c>
      <c r="I206" s="9" t="n">
        <f aca="false">(parametros_manuales!$D$34*(datos_base!$I$2+IF(parametros_manuales!$H$34="Todos",datos_base!$I$9,0))*parametros_manuales!$I$95+parametros_manuales!$D$34*(datos_base!$I$18+IF(parametros_manuales!$H$34="Todos",datos_base!$I$23,0))*parametros_manuales!$I$12+parametros_manuales!$E$34*(datos_base!$I$3+IF(parametros_manuales!$H$34="Todos",datos_base!$I$10,0))*parametros_manuales!$I$100+parametros_manuales!$E$34*(datos_base!$I$19+IF(parametros_manuales!$H$34="Todos",datos_base!$I$24,0))*parametros_manuales!$I$13+parametros_manuales!$F$34*(datos_base!$I$4+IF(parametros_manuales!$H$34="Todos",datos_base!$I$11,0))*parametros_manuales!$I$105+parametros_manuales!$F$34*(datos_base!$I$20+IF(parametros_manuales!$H$34="Todos",datos_base!$I$25,0))*parametros_manuales!$I$14+parametros_manuales!$G$34*(datos_base!$I$5+IF(parametros_manuales!$H$34="Todos",datos_base!$I$12,0))*parametros_manuales!$I$110+parametros_manuales!$G$34*(datos_base!$I$21+IF(parametros_manuales!$H$34="Todos",datos_base!$I$26,0))*parametros_manuales!$I$15)*parametros_manuales!$I$34*parametros_manuales!$J$34</f>
        <v>19013.21368472</v>
      </c>
      <c r="J206" s="9" t="n">
        <f aca="false">(parametros_manuales!$D$34*(datos_base!$I$2+IF(parametros_manuales!$H$34="Todos",datos_base!$I$9,0))*parametros_manuales!$J$95+parametros_manuales!$D$34*(datos_base!$I$18+IF(parametros_manuales!$H$34="Todos",datos_base!$I$23,0))*parametros_manuales!$J$12+parametros_manuales!$E$34*(datos_base!$I$3+IF(parametros_manuales!$H$34="Todos",datos_base!$I$10,0))*parametros_manuales!$J$100+parametros_manuales!$E$34*(datos_base!$I$19+IF(parametros_manuales!$H$34="Todos",datos_base!$I$24,0))*parametros_manuales!$J$13+parametros_manuales!$F$34*(datos_base!$I$4+IF(parametros_manuales!$H$34="Todos",datos_base!$I$11,0))*parametros_manuales!$J$105+parametros_manuales!$F$34*(datos_base!$I$20+IF(parametros_manuales!$H$34="Todos",datos_base!$I$25,0))*parametros_manuales!$J$14+parametros_manuales!$G$34*(datos_base!$I$5+IF(parametros_manuales!$H$34="Todos",datos_base!$I$12,0))*parametros_manuales!$J$110+parametros_manuales!$G$34*(datos_base!$I$21+IF(parametros_manuales!$H$34="Todos",datos_base!$I$26,0))*parametros_manuales!$J$15)*parametros_manuales!$I$34*parametros_manuales!$J$34</f>
        <v>19013.21368472</v>
      </c>
      <c r="K206" s="9" t="n">
        <f aca="false">(parametros_manuales!$D$34*(datos_base!$I$2+IF(parametros_manuales!$H$34="Todos",datos_base!$I$9,0))*parametros_manuales!$K$95+parametros_manuales!$D$34*(datos_base!$I$18+IF(parametros_manuales!$H$34="Todos",datos_base!$I$23,0))*parametros_manuales!$K$12+parametros_manuales!$E$34*(datos_base!$I$3+IF(parametros_manuales!$H$34="Todos",datos_base!$I$10,0))*parametros_manuales!$K$100+parametros_manuales!$E$34*(datos_base!$I$19+IF(parametros_manuales!$H$34="Todos",datos_base!$I$24,0))*parametros_manuales!$K$13+parametros_manuales!$F$34*(datos_base!$I$4+IF(parametros_manuales!$H$34="Todos",datos_base!$I$11,0))*parametros_manuales!$K$105+parametros_manuales!$F$34*(datos_base!$I$20+IF(parametros_manuales!$H$34="Todos",datos_base!$I$25,0))*parametros_manuales!$K$14+parametros_manuales!$G$34*(datos_base!$I$5+IF(parametros_manuales!$H$34="Todos",datos_base!$I$12,0))*parametros_manuales!$K$110+parametros_manuales!$G$34*(datos_base!$I$21+IF(parametros_manuales!$H$34="Todos",datos_base!$I$26,0))*parametros_manuales!$K$15)*parametros_manuales!$I$34*parametros_manuales!$J$34</f>
        <v>19321.325773565</v>
      </c>
      <c r="L206" s="9" t="n">
        <f aca="false">(parametros_manuales!$D$34*(datos_base!$I$2+IF(parametros_manuales!$H$34="Todos",datos_base!$I$9,0))*parametros_manuales!$L$95+parametros_manuales!$D$34*(datos_base!$I$18+IF(parametros_manuales!$H$34="Todos",datos_base!$I$23,0))*parametros_manuales!$L$12+parametros_manuales!$E$34*(datos_base!$I$3+IF(parametros_manuales!$H$34="Todos",datos_base!$I$10,0))*parametros_manuales!$L$100+parametros_manuales!$E$34*(datos_base!$I$19+IF(parametros_manuales!$H$34="Todos",datos_base!$I$24,0))*parametros_manuales!$L$13+parametros_manuales!$F$34*(datos_base!$I$4+IF(parametros_manuales!$H$34="Todos",datos_base!$I$11,0))*parametros_manuales!$L$105+parametros_manuales!$F$34*(datos_base!$I$20+IF(parametros_manuales!$H$34="Todos",datos_base!$I$25,0))*parametros_manuales!$L$14+parametros_manuales!$G$34*(datos_base!$I$5+IF(parametros_manuales!$H$34="Todos",datos_base!$I$12,0))*parametros_manuales!$L$110+parametros_manuales!$G$34*(datos_base!$I$21+IF(parametros_manuales!$H$34="Todos",datos_base!$I$26,0))*parametros_manuales!$L$15)*parametros_manuales!$I$34*parametros_manuales!$J$34</f>
        <v>19629.43786241</v>
      </c>
      <c r="M206" s="9" t="n">
        <f aca="false">(parametros_manuales!$D$34*(datos_base!$I$2+IF(parametros_manuales!$H$34="Todos",datos_base!$I$9,0))*parametros_manuales!$M$95+parametros_manuales!$D$34*(datos_base!$I$18+IF(parametros_manuales!$H$34="Todos",datos_base!$I$23,0))*parametros_manuales!$M$12+parametros_manuales!$E$34*(datos_base!$I$3+IF(parametros_manuales!$H$34="Todos",datos_base!$I$10,0))*parametros_manuales!$M$100+parametros_manuales!$E$34*(datos_base!$I$19+IF(parametros_manuales!$H$34="Todos",datos_base!$I$24,0))*parametros_manuales!$M$13+parametros_manuales!$F$34*(datos_base!$I$4+IF(parametros_manuales!$H$34="Todos",datos_base!$I$11,0))*parametros_manuales!$M$105+parametros_manuales!$F$34*(datos_base!$I$20+IF(parametros_manuales!$H$34="Todos",datos_base!$I$25,0))*parametros_manuales!$M$14+parametros_manuales!$G$34*(datos_base!$I$5+IF(parametros_manuales!$H$34="Todos",datos_base!$I$12,0))*parametros_manuales!$M$110+parametros_manuales!$G$34*(datos_base!$I$21+IF(parametros_manuales!$H$34="Todos",datos_base!$I$26,0))*parametros_manuales!$M$15)*parametros_manuales!$I$34*parametros_manuales!$J$34</f>
        <v>19637.29866241</v>
      </c>
      <c r="N206" s="9" t="n">
        <f aca="false">SUM(B206:M206)</f>
        <v>218148.536249</v>
      </c>
      <c r="O206" s="9" t="n">
        <f aca="false">MAX(B206:M206)</f>
        <v>19637.29866241</v>
      </c>
      <c r="P206" s="44" t="n">
        <f aca="false">O206/(parametros_manuales!$B$7)</f>
        <v>130.915324416067</v>
      </c>
      <c r="Q206" s="8" t="str">
        <f aca="false">IF(O206=0,"-",INDEX($B$190:$M$190,MATCH(O206,B206:M206,0)))</f>
        <v>Dic</v>
      </c>
    </row>
    <row r="207" customFormat="false" ht="14.25" hidden="false" customHeight="true" outlineLevel="0" collapsed="false">
      <c r="A207" s="8" t="str">
        <f aca="false">parametros_manuales!$B$35</f>
        <v>Detección de defectos</v>
      </c>
      <c r="B207" s="9" t="n">
        <f aca="false">(parametros_manuales!$D$35*(datos_base!$I$2+IF(parametros_manuales!$H$35="Todos",datos_base!$I$9,0))*parametros_manuales!$B$95+parametros_manuales!$D$35*(datos_base!$I$18+IF(parametros_manuales!$H$35="Todos",datos_base!$I$23,0))*parametros_manuales!$B$12+parametros_manuales!$E$35*(datos_base!$I$3+IF(parametros_manuales!$H$35="Todos",datos_base!$I$10,0))*parametros_manuales!$B$100+parametros_manuales!$E$35*(datos_base!$I$19+IF(parametros_manuales!$H$35="Todos",datos_base!$I$24,0))*parametros_manuales!$B$13+parametros_manuales!$F$35*(datos_base!$I$4+IF(parametros_manuales!$H$35="Todos",datos_base!$I$11,0))*parametros_manuales!$B$105+parametros_manuales!$F$35*(datos_base!$I$20+IF(parametros_manuales!$H$35="Todos",datos_base!$I$25,0))*parametros_manuales!$B$14+parametros_manuales!$G$35*(datos_base!$I$5+IF(parametros_manuales!$H$35="Todos",datos_base!$I$12,0))*parametros_manuales!$B$110+parametros_manuales!$G$35*(datos_base!$I$21+IF(parametros_manuales!$H$35="Todos",datos_base!$I$26,0))*parametros_manuales!$B$15)*parametros_manuales!$I$35*parametros_manuales!$J$35</f>
        <v>19635.33346241</v>
      </c>
      <c r="C207" s="9" t="n">
        <f aca="false">(parametros_manuales!$D$35*(datos_base!$I$2+IF(parametros_manuales!$H$35="Todos",datos_base!$I$9,0))*parametros_manuales!$C$95+parametros_manuales!$D$35*(datos_base!$I$18+IF(parametros_manuales!$H$35="Todos",datos_base!$I$23,0))*parametros_manuales!$C$12+parametros_manuales!$E$35*(datos_base!$I$3+IF(parametros_manuales!$H$35="Todos",datos_base!$I$10,0))*parametros_manuales!$C$100+parametros_manuales!$E$35*(datos_base!$I$19+IF(parametros_manuales!$H$35="Todos",datos_base!$I$24,0))*parametros_manuales!$C$13+parametros_manuales!$F$35*(datos_base!$I$4+IF(parametros_manuales!$H$35="Todos",datos_base!$I$11,0))*parametros_manuales!$C$105+parametros_manuales!$F$35*(datos_base!$I$20+IF(parametros_manuales!$H$35="Todos",datos_base!$I$25,0))*parametros_manuales!$C$14+parametros_manuales!$G$35*(datos_base!$I$5+IF(parametros_manuales!$H$35="Todos",datos_base!$I$12,0))*parametros_manuales!$C$110+parametros_manuales!$G$35*(datos_base!$I$21+IF(parametros_manuales!$H$35="Todos",datos_base!$I$26,0))*parametros_manuales!$C$15)*parametros_manuales!$I$35*parametros_manuales!$J$35</f>
        <v>19013.21368472</v>
      </c>
      <c r="D207" s="9" t="n">
        <f aca="false">(parametros_manuales!$D$35*(datos_base!$I$2+IF(parametros_manuales!$H$35="Todos",datos_base!$I$9,0))*parametros_manuales!$D$95+parametros_manuales!$D$35*(datos_base!$I$18+IF(parametros_manuales!$H$35="Todos",datos_base!$I$23,0))*parametros_manuales!$D$12+parametros_manuales!$E$35*(datos_base!$I$3+IF(parametros_manuales!$H$35="Todos",datos_base!$I$10,0))*parametros_manuales!$D$100+parametros_manuales!$E$35*(datos_base!$I$19+IF(parametros_manuales!$H$35="Todos",datos_base!$I$24,0))*parametros_manuales!$D$13+parametros_manuales!$F$35*(datos_base!$I$4+IF(parametros_manuales!$H$35="Todos",datos_base!$I$11,0))*parametros_manuales!$D$105+parametros_manuales!$F$35*(datos_base!$I$20+IF(parametros_manuales!$H$35="Todos",datos_base!$I$25,0))*parametros_manuales!$D$14+parametros_manuales!$G$35*(datos_base!$I$5+IF(parametros_manuales!$H$35="Todos",datos_base!$I$12,0))*parametros_manuales!$D$110+parametros_manuales!$G$35*(datos_base!$I$21+IF(parametros_manuales!$H$35="Todos",datos_base!$I$26,0))*parametros_manuales!$D$15)*parametros_manuales!$I$35*parametros_manuales!$J$35</f>
        <v>17761.960188765</v>
      </c>
      <c r="E207" s="9" t="n">
        <f aca="false">(parametros_manuales!$D$35*(datos_base!$I$2+IF(parametros_manuales!$H$35="Todos",datos_base!$I$9,0))*parametros_manuales!$E$95+parametros_manuales!$D$35*(datos_base!$I$18+IF(parametros_manuales!$H$35="Todos",datos_base!$I$23,0))*parametros_manuales!$E$12+parametros_manuales!$E$35*(datos_base!$I$3+IF(parametros_manuales!$H$35="Todos",datos_base!$I$10,0))*parametros_manuales!$E$100+parametros_manuales!$E$35*(datos_base!$I$19+IF(parametros_manuales!$H$35="Todos",datos_base!$I$24,0))*parametros_manuales!$E$13+parametros_manuales!$F$35*(datos_base!$I$4+IF(parametros_manuales!$H$35="Todos",datos_base!$I$11,0))*parametros_manuales!$E$105+parametros_manuales!$F$35*(datos_base!$I$20+IF(parametros_manuales!$H$35="Todos",datos_base!$I$25,0))*parametros_manuales!$E$14+parametros_manuales!$G$35*(datos_base!$I$5+IF(parametros_manuales!$H$35="Todos",datos_base!$I$12,0))*parametros_manuales!$E$110+parametros_manuales!$G$35*(datos_base!$I$21+IF(parametros_manuales!$H$35="Todos",datos_base!$I$26,0))*parametros_manuales!$E$15)*parametros_manuales!$I$35*parametros_manuales!$J$35</f>
        <v>16981.294796365</v>
      </c>
      <c r="F207" s="9" t="n">
        <f aca="false">(parametros_manuales!$D$35*(datos_base!$I$2+IF(parametros_manuales!$H$35="Todos",datos_base!$I$9,0))*parametros_manuales!$F$95+parametros_manuales!$D$35*(datos_base!$I$18+IF(parametros_manuales!$H$35="Todos",datos_base!$I$23,0))*parametros_manuales!$F$12+parametros_manuales!$E$35*(datos_base!$I$3+IF(parametros_manuales!$H$35="Todos",datos_base!$I$10,0))*parametros_manuales!$F$100+parametros_manuales!$E$35*(datos_base!$I$19+IF(parametros_manuales!$H$35="Todos",datos_base!$I$24,0))*parametros_manuales!$F$13+parametros_manuales!$F$35*(datos_base!$I$4+IF(parametros_manuales!$H$35="Todos",datos_base!$I$11,0))*parametros_manuales!$F$105+parametros_manuales!$F$35*(datos_base!$I$20+IF(parametros_manuales!$H$35="Todos",datos_base!$I$25,0))*parametros_manuales!$F$14+parametros_manuales!$G$35*(datos_base!$I$5+IF(parametros_manuales!$H$35="Todos",datos_base!$I$12,0))*parametros_manuales!$F$110+parametros_manuales!$G$35*(datos_base!$I$21+IF(parametros_manuales!$H$35="Todos",datos_base!$I$26,0))*parametros_manuales!$F$15)*parametros_manuales!$I$35*parametros_manuales!$J$35</f>
        <v>15890.55211512</v>
      </c>
      <c r="G207" s="9" t="n">
        <f aca="false">(parametros_manuales!$D$35*(datos_base!$I$2+IF(parametros_manuales!$H$35="Todos",datos_base!$I$9,0))*parametros_manuales!$G$95+parametros_manuales!$D$35*(datos_base!$I$18+IF(parametros_manuales!$H$35="Todos",datos_base!$I$23,0))*parametros_manuales!$G$12+parametros_manuales!$E$35*(datos_base!$I$3+IF(parametros_manuales!$H$35="Todos",datos_base!$I$10,0))*parametros_manuales!$G$100+parametros_manuales!$E$35*(datos_base!$I$19+IF(parametros_manuales!$H$35="Todos",datos_base!$I$24,0))*parametros_manuales!$G$13+parametros_manuales!$F$35*(datos_base!$I$4+IF(parametros_manuales!$H$35="Todos",datos_base!$I$11,0))*parametros_manuales!$G$105+parametros_manuales!$F$35*(datos_base!$I$20+IF(parametros_manuales!$H$35="Todos",datos_base!$I$25,0))*parametros_manuales!$G$14+parametros_manuales!$G$35*(datos_base!$I$5+IF(parametros_manuales!$H$35="Todos",datos_base!$I$12,0))*parametros_manuales!$G$110+parametros_manuales!$G$35*(datos_base!$I$21+IF(parametros_manuales!$H$35="Todos",datos_base!$I$26,0))*parametros_manuales!$G$15)*parametros_manuales!$I$35*parametros_manuales!$J$35</f>
        <v>15580.474826275</v>
      </c>
      <c r="H207" s="9" t="n">
        <f aca="false">(parametros_manuales!$D$35*(datos_base!$I$2+IF(parametros_manuales!$H$35="Todos",datos_base!$I$9,0))*parametros_manuales!$H$95+parametros_manuales!$D$35*(datos_base!$I$18+IF(parametros_manuales!$H$35="Todos",datos_base!$I$23,0))*parametros_manuales!$H$12+parametros_manuales!$E$35*(datos_base!$I$3+IF(parametros_manuales!$H$35="Todos",datos_base!$I$10,0))*parametros_manuales!$H$100+parametros_manuales!$E$35*(datos_base!$I$19+IF(parametros_manuales!$H$35="Todos",datos_base!$I$24,0))*parametros_manuales!$H$13+parametros_manuales!$F$35*(datos_base!$I$4+IF(parametros_manuales!$H$35="Todos",datos_base!$I$11,0))*parametros_manuales!$H$105+parametros_manuales!$F$35*(datos_base!$I$20+IF(parametros_manuales!$H$35="Todos",datos_base!$I$25,0))*parametros_manuales!$H$14+parametros_manuales!$G$35*(datos_base!$I$5+IF(parametros_manuales!$H$35="Todos",datos_base!$I$12,0))*parametros_manuales!$H$110+parametros_manuales!$G$35*(datos_base!$I$21+IF(parametros_manuales!$H$35="Todos",datos_base!$I$26,0))*parametros_manuales!$H$15)*parametros_manuales!$I$35*parametros_manuales!$J$35</f>
        <v>16671.21750752</v>
      </c>
      <c r="I207" s="9" t="n">
        <f aca="false">(parametros_manuales!$D$35*(datos_base!$I$2+IF(parametros_manuales!$H$35="Todos",datos_base!$I$9,0))*parametros_manuales!$I$95+parametros_manuales!$D$35*(datos_base!$I$18+IF(parametros_manuales!$H$35="Todos",datos_base!$I$23,0))*parametros_manuales!$I$12+parametros_manuales!$E$35*(datos_base!$I$3+IF(parametros_manuales!$H$35="Todos",datos_base!$I$10,0))*parametros_manuales!$I$100+parametros_manuales!$E$35*(datos_base!$I$19+IF(parametros_manuales!$H$35="Todos",datos_base!$I$24,0))*parametros_manuales!$I$13+parametros_manuales!$F$35*(datos_base!$I$4+IF(parametros_manuales!$H$35="Todos",datos_base!$I$11,0))*parametros_manuales!$I$105+parametros_manuales!$F$35*(datos_base!$I$20+IF(parametros_manuales!$H$35="Todos",datos_base!$I$25,0))*parametros_manuales!$I$14+parametros_manuales!$G$35*(datos_base!$I$5+IF(parametros_manuales!$H$35="Todos",datos_base!$I$12,0))*parametros_manuales!$I$110+parametros_manuales!$G$35*(datos_base!$I$21+IF(parametros_manuales!$H$35="Todos",datos_base!$I$26,0))*parametros_manuales!$I$15)*parametros_manuales!$I$35*parametros_manuales!$J$35</f>
        <v>19013.21368472</v>
      </c>
      <c r="J207" s="9" t="n">
        <f aca="false">(parametros_manuales!$D$35*(datos_base!$I$2+IF(parametros_manuales!$H$35="Todos",datos_base!$I$9,0))*parametros_manuales!$J$95+parametros_manuales!$D$35*(datos_base!$I$18+IF(parametros_manuales!$H$35="Todos",datos_base!$I$23,0))*parametros_manuales!$J$12+parametros_manuales!$E$35*(datos_base!$I$3+IF(parametros_manuales!$H$35="Todos",datos_base!$I$10,0))*parametros_manuales!$J$100+parametros_manuales!$E$35*(datos_base!$I$19+IF(parametros_manuales!$H$35="Todos",datos_base!$I$24,0))*parametros_manuales!$J$13+parametros_manuales!$F$35*(datos_base!$I$4+IF(parametros_manuales!$H$35="Todos",datos_base!$I$11,0))*parametros_manuales!$J$105+parametros_manuales!$F$35*(datos_base!$I$20+IF(parametros_manuales!$H$35="Todos",datos_base!$I$25,0))*parametros_manuales!$J$14+parametros_manuales!$G$35*(datos_base!$I$5+IF(parametros_manuales!$H$35="Todos",datos_base!$I$12,0))*parametros_manuales!$J$110+parametros_manuales!$G$35*(datos_base!$I$21+IF(parametros_manuales!$H$35="Todos",datos_base!$I$26,0))*parametros_manuales!$J$15)*parametros_manuales!$I$35*parametros_manuales!$J$35</f>
        <v>19013.21368472</v>
      </c>
      <c r="K207" s="9" t="n">
        <f aca="false">(parametros_manuales!$D$35*(datos_base!$I$2+IF(parametros_manuales!$H$35="Todos",datos_base!$I$9,0))*parametros_manuales!$K$95+parametros_manuales!$D$35*(datos_base!$I$18+IF(parametros_manuales!$H$35="Todos",datos_base!$I$23,0))*parametros_manuales!$K$12+parametros_manuales!$E$35*(datos_base!$I$3+IF(parametros_manuales!$H$35="Todos",datos_base!$I$10,0))*parametros_manuales!$K$100+parametros_manuales!$E$35*(datos_base!$I$19+IF(parametros_manuales!$H$35="Todos",datos_base!$I$24,0))*parametros_manuales!$K$13+parametros_manuales!$F$35*(datos_base!$I$4+IF(parametros_manuales!$H$35="Todos",datos_base!$I$11,0))*parametros_manuales!$K$105+parametros_manuales!$F$35*(datos_base!$I$20+IF(parametros_manuales!$H$35="Todos",datos_base!$I$25,0))*parametros_manuales!$K$14+parametros_manuales!$G$35*(datos_base!$I$5+IF(parametros_manuales!$H$35="Todos",datos_base!$I$12,0))*parametros_manuales!$K$110+parametros_manuales!$G$35*(datos_base!$I$21+IF(parametros_manuales!$H$35="Todos",datos_base!$I$26,0))*parametros_manuales!$K$15)*parametros_manuales!$I$35*parametros_manuales!$J$35</f>
        <v>19321.325773565</v>
      </c>
      <c r="L207" s="9" t="n">
        <f aca="false">(parametros_manuales!$D$35*(datos_base!$I$2+IF(parametros_manuales!$H$35="Todos",datos_base!$I$9,0))*parametros_manuales!$L$95+parametros_manuales!$D$35*(datos_base!$I$18+IF(parametros_manuales!$H$35="Todos",datos_base!$I$23,0))*parametros_manuales!$L$12+parametros_manuales!$E$35*(datos_base!$I$3+IF(parametros_manuales!$H$35="Todos",datos_base!$I$10,0))*parametros_manuales!$L$100+parametros_manuales!$E$35*(datos_base!$I$19+IF(parametros_manuales!$H$35="Todos",datos_base!$I$24,0))*parametros_manuales!$L$13+parametros_manuales!$F$35*(datos_base!$I$4+IF(parametros_manuales!$H$35="Todos",datos_base!$I$11,0))*parametros_manuales!$L$105+parametros_manuales!$F$35*(datos_base!$I$20+IF(parametros_manuales!$H$35="Todos",datos_base!$I$25,0))*parametros_manuales!$L$14+parametros_manuales!$G$35*(datos_base!$I$5+IF(parametros_manuales!$H$35="Todos",datos_base!$I$12,0))*parametros_manuales!$L$110+parametros_manuales!$G$35*(datos_base!$I$21+IF(parametros_manuales!$H$35="Todos",datos_base!$I$26,0))*parametros_manuales!$L$15)*parametros_manuales!$I$35*parametros_manuales!$J$35</f>
        <v>19629.43786241</v>
      </c>
      <c r="M207" s="9" t="n">
        <f aca="false">(parametros_manuales!$D$35*(datos_base!$I$2+IF(parametros_manuales!$H$35="Todos",datos_base!$I$9,0))*parametros_manuales!$M$95+parametros_manuales!$D$35*(datos_base!$I$18+IF(parametros_manuales!$H$35="Todos",datos_base!$I$23,0))*parametros_manuales!$M$12+parametros_manuales!$E$35*(datos_base!$I$3+IF(parametros_manuales!$H$35="Todos",datos_base!$I$10,0))*parametros_manuales!$M$100+parametros_manuales!$E$35*(datos_base!$I$19+IF(parametros_manuales!$H$35="Todos",datos_base!$I$24,0))*parametros_manuales!$M$13+parametros_manuales!$F$35*(datos_base!$I$4+IF(parametros_manuales!$H$35="Todos",datos_base!$I$11,0))*parametros_manuales!$M$105+parametros_manuales!$F$35*(datos_base!$I$20+IF(parametros_manuales!$H$35="Todos",datos_base!$I$25,0))*parametros_manuales!$M$14+parametros_manuales!$G$35*(datos_base!$I$5+IF(parametros_manuales!$H$35="Todos",datos_base!$I$12,0))*parametros_manuales!$M$110+parametros_manuales!$G$35*(datos_base!$I$21+IF(parametros_manuales!$H$35="Todos",datos_base!$I$26,0))*parametros_manuales!$M$15)*parametros_manuales!$I$35*parametros_manuales!$J$35</f>
        <v>19637.29866241</v>
      </c>
      <c r="N207" s="9" t="n">
        <f aca="false">SUM(B207:M207)</f>
        <v>218148.536249</v>
      </c>
      <c r="O207" s="9" t="n">
        <f aca="false">MAX(B207:M207)</f>
        <v>19637.29866241</v>
      </c>
      <c r="P207" s="44" t="n">
        <f aca="false">O207/(parametros_manuales!$B$7)</f>
        <v>130.915324416067</v>
      </c>
      <c r="Q207" s="8" t="str">
        <f aca="false">IF(O207=0,"-",INDEX($B$190:$M$190,MATCH(O207,B207:M207,0)))</f>
        <v>Dic</v>
      </c>
    </row>
    <row r="208" customFormat="false" ht="14.25" hidden="false" customHeight="true" outlineLevel="0" collapsed="false">
      <c r="A208" s="8" t="str">
        <f aca="false">parametros_manuales!$B$36</f>
        <v>Corrección de defectos</v>
      </c>
      <c r="B208" s="9" t="n">
        <f aca="false">(parametros_manuales!$D$36*(datos_base!$I$2+IF(parametros_manuales!$H$36="Todos",datos_base!$I$9,0))*parametros_manuales!$B$95+parametros_manuales!$D$36*(datos_base!$I$18+IF(parametros_manuales!$H$36="Todos",datos_base!$I$23,0))*parametros_manuales!$B$12+parametros_manuales!$E$36*(datos_base!$I$3+IF(parametros_manuales!$H$36="Todos",datos_base!$I$10,0))*parametros_manuales!$B$100+parametros_manuales!$E$36*(datos_base!$I$19+IF(parametros_manuales!$H$36="Todos",datos_base!$I$24,0))*parametros_manuales!$B$13+parametros_manuales!$F$36*(datos_base!$I$4+IF(parametros_manuales!$H$36="Todos",datos_base!$I$11,0))*parametros_manuales!$B$105+parametros_manuales!$F$36*(datos_base!$I$20+IF(parametros_manuales!$H$36="Todos",datos_base!$I$25,0))*parametros_manuales!$B$14+parametros_manuales!$G$36*(datos_base!$I$5+IF(parametros_manuales!$H$36="Todos",datos_base!$I$12,0))*parametros_manuales!$B$110+parametros_manuales!$G$36*(datos_base!$I$21+IF(parametros_manuales!$H$36="Todos",datos_base!$I$26,0))*parametros_manuales!$B$15)*parametros_manuales!$I$36*parametros_manuales!$J$36</f>
        <v>981.7666731205</v>
      </c>
      <c r="C208" s="9" t="n">
        <f aca="false">(parametros_manuales!$D$36*(datos_base!$I$2+IF(parametros_manuales!$H$36="Todos",datos_base!$I$9,0))*parametros_manuales!$C$95+parametros_manuales!$D$36*(datos_base!$I$18+IF(parametros_manuales!$H$36="Todos",datos_base!$I$23,0))*parametros_manuales!$C$12+parametros_manuales!$E$36*(datos_base!$I$3+IF(parametros_manuales!$H$36="Todos",datos_base!$I$10,0))*parametros_manuales!$C$100+parametros_manuales!$E$36*(datos_base!$I$19+IF(parametros_manuales!$H$36="Todos",datos_base!$I$24,0))*parametros_manuales!$C$13+parametros_manuales!$F$36*(datos_base!$I$4+IF(parametros_manuales!$H$36="Todos",datos_base!$I$11,0))*parametros_manuales!$C$105+parametros_manuales!$F$36*(datos_base!$I$20+IF(parametros_manuales!$H$36="Todos",datos_base!$I$25,0))*parametros_manuales!$C$14+parametros_manuales!$G$36*(datos_base!$I$5+IF(parametros_manuales!$H$36="Todos",datos_base!$I$12,0))*parametros_manuales!$C$110+parametros_manuales!$G$36*(datos_base!$I$21+IF(parametros_manuales!$H$36="Todos",datos_base!$I$26,0))*parametros_manuales!$C$15)*parametros_manuales!$I$36*parametros_manuales!$J$36</f>
        <v>950.660684236</v>
      </c>
      <c r="D208" s="9" t="n">
        <f aca="false">(parametros_manuales!$D$36*(datos_base!$I$2+IF(parametros_manuales!$H$36="Todos",datos_base!$I$9,0))*parametros_manuales!$D$95+parametros_manuales!$D$36*(datos_base!$I$18+IF(parametros_manuales!$H$36="Todos",datos_base!$I$23,0))*parametros_manuales!$D$12+parametros_manuales!$E$36*(datos_base!$I$3+IF(parametros_manuales!$H$36="Todos",datos_base!$I$10,0))*parametros_manuales!$D$100+parametros_manuales!$E$36*(datos_base!$I$19+IF(parametros_manuales!$H$36="Todos",datos_base!$I$24,0))*parametros_manuales!$D$13+parametros_manuales!$F$36*(datos_base!$I$4+IF(parametros_manuales!$H$36="Todos",datos_base!$I$11,0))*parametros_manuales!$D$105+parametros_manuales!$F$36*(datos_base!$I$20+IF(parametros_manuales!$H$36="Todos",datos_base!$I$25,0))*parametros_manuales!$D$14+parametros_manuales!$G$36*(datos_base!$I$5+IF(parametros_manuales!$H$36="Todos",datos_base!$I$12,0))*parametros_manuales!$D$110+parametros_manuales!$G$36*(datos_base!$I$21+IF(parametros_manuales!$H$36="Todos",datos_base!$I$26,0))*parametros_manuales!$D$15)*parametros_manuales!$I$36*parametros_manuales!$J$36</f>
        <v>888.09800943825</v>
      </c>
      <c r="E208" s="9" t="n">
        <f aca="false">(parametros_manuales!$D$36*(datos_base!$I$2+IF(parametros_manuales!$H$36="Todos",datos_base!$I$9,0))*parametros_manuales!$E$95+parametros_manuales!$D$36*(datos_base!$I$18+IF(parametros_manuales!$H$36="Todos",datos_base!$I$23,0))*parametros_manuales!$E$12+parametros_manuales!$E$36*(datos_base!$I$3+IF(parametros_manuales!$H$36="Todos",datos_base!$I$10,0))*parametros_manuales!$E$100+parametros_manuales!$E$36*(datos_base!$I$19+IF(parametros_manuales!$H$36="Todos",datos_base!$I$24,0))*parametros_manuales!$E$13+parametros_manuales!$F$36*(datos_base!$I$4+IF(parametros_manuales!$H$36="Todos",datos_base!$I$11,0))*parametros_manuales!$E$105+parametros_manuales!$F$36*(datos_base!$I$20+IF(parametros_manuales!$H$36="Todos",datos_base!$I$25,0))*parametros_manuales!$E$14+parametros_manuales!$G$36*(datos_base!$I$5+IF(parametros_manuales!$H$36="Todos",datos_base!$I$12,0))*parametros_manuales!$E$110+parametros_manuales!$G$36*(datos_base!$I$21+IF(parametros_manuales!$H$36="Todos",datos_base!$I$26,0))*parametros_manuales!$E$15)*parametros_manuales!$I$36*parametros_manuales!$J$36</f>
        <v>849.06473981825</v>
      </c>
      <c r="F208" s="9" t="n">
        <f aca="false">(parametros_manuales!$D$36*(datos_base!$I$2+IF(parametros_manuales!$H$36="Todos",datos_base!$I$9,0))*parametros_manuales!$F$95+parametros_manuales!$D$36*(datos_base!$I$18+IF(parametros_manuales!$H$36="Todos",datos_base!$I$23,0))*parametros_manuales!$F$12+parametros_manuales!$E$36*(datos_base!$I$3+IF(parametros_manuales!$H$36="Todos",datos_base!$I$10,0))*parametros_manuales!$F$100+parametros_manuales!$E$36*(datos_base!$I$19+IF(parametros_manuales!$H$36="Todos",datos_base!$I$24,0))*parametros_manuales!$F$13+parametros_manuales!$F$36*(datos_base!$I$4+IF(parametros_manuales!$H$36="Todos",datos_base!$I$11,0))*parametros_manuales!$F$105+parametros_manuales!$F$36*(datos_base!$I$20+IF(parametros_manuales!$H$36="Todos",datos_base!$I$25,0))*parametros_manuales!$F$14+parametros_manuales!$G$36*(datos_base!$I$5+IF(parametros_manuales!$H$36="Todos",datos_base!$I$12,0))*parametros_manuales!$F$110+parametros_manuales!$G$36*(datos_base!$I$21+IF(parametros_manuales!$H$36="Todos",datos_base!$I$26,0))*parametros_manuales!$F$15)*parametros_manuales!$I$36*parametros_manuales!$J$36</f>
        <v>794.527605756</v>
      </c>
      <c r="G208" s="9" t="n">
        <f aca="false">(parametros_manuales!$D$36*(datos_base!$I$2+IF(parametros_manuales!$H$36="Todos",datos_base!$I$9,0))*parametros_manuales!$G$95+parametros_manuales!$D$36*(datos_base!$I$18+IF(parametros_manuales!$H$36="Todos",datos_base!$I$23,0))*parametros_manuales!$G$12+parametros_manuales!$E$36*(datos_base!$I$3+IF(parametros_manuales!$H$36="Todos",datos_base!$I$10,0))*parametros_manuales!$G$100+parametros_manuales!$E$36*(datos_base!$I$19+IF(parametros_manuales!$H$36="Todos",datos_base!$I$24,0))*parametros_manuales!$G$13+parametros_manuales!$F$36*(datos_base!$I$4+IF(parametros_manuales!$H$36="Todos",datos_base!$I$11,0))*parametros_manuales!$G$105+parametros_manuales!$F$36*(datos_base!$I$20+IF(parametros_manuales!$H$36="Todos",datos_base!$I$25,0))*parametros_manuales!$G$14+parametros_manuales!$G$36*(datos_base!$I$5+IF(parametros_manuales!$H$36="Todos",datos_base!$I$12,0))*parametros_manuales!$G$110+parametros_manuales!$G$36*(datos_base!$I$21+IF(parametros_manuales!$H$36="Todos",datos_base!$I$26,0))*parametros_manuales!$G$15)*parametros_manuales!$I$36*parametros_manuales!$J$36</f>
        <v>779.02374131375</v>
      </c>
      <c r="H208" s="9" t="n">
        <f aca="false">(parametros_manuales!$D$36*(datos_base!$I$2+IF(parametros_manuales!$H$36="Todos",datos_base!$I$9,0))*parametros_manuales!$H$95+parametros_manuales!$D$36*(datos_base!$I$18+IF(parametros_manuales!$H$36="Todos",datos_base!$I$23,0))*parametros_manuales!$H$12+parametros_manuales!$E$36*(datos_base!$I$3+IF(parametros_manuales!$H$36="Todos",datos_base!$I$10,0))*parametros_manuales!$H$100+parametros_manuales!$E$36*(datos_base!$I$19+IF(parametros_manuales!$H$36="Todos",datos_base!$I$24,0))*parametros_manuales!$H$13+parametros_manuales!$F$36*(datos_base!$I$4+IF(parametros_manuales!$H$36="Todos",datos_base!$I$11,0))*parametros_manuales!$H$105+parametros_manuales!$F$36*(datos_base!$I$20+IF(parametros_manuales!$H$36="Todos",datos_base!$I$25,0))*parametros_manuales!$H$14+parametros_manuales!$G$36*(datos_base!$I$5+IF(parametros_manuales!$H$36="Todos",datos_base!$I$12,0))*parametros_manuales!$H$110+parametros_manuales!$G$36*(datos_base!$I$21+IF(parametros_manuales!$H$36="Todos",datos_base!$I$26,0))*parametros_manuales!$H$15)*parametros_manuales!$I$36*parametros_manuales!$J$36</f>
        <v>833.560875376</v>
      </c>
      <c r="I208" s="9" t="n">
        <f aca="false">(parametros_manuales!$D$36*(datos_base!$I$2+IF(parametros_manuales!$H$36="Todos",datos_base!$I$9,0))*parametros_manuales!$I$95+parametros_manuales!$D$36*(datos_base!$I$18+IF(parametros_manuales!$H$36="Todos",datos_base!$I$23,0))*parametros_manuales!$I$12+parametros_manuales!$E$36*(datos_base!$I$3+IF(parametros_manuales!$H$36="Todos",datos_base!$I$10,0))*parametros_manuales!$I$100+parametros_manuales!$E$36*(datos_base!$I$19+IF(parametros_manuales!$H$36="Todos",datos_base!$I$24,0))*parametros_manuales!$I$13+parametros_manuales!$F$36*(datos_base!$I$4+IF(parametros_manuales!$H$36="Todos",datos_base!$I$11,0))*parametros_manuales!$I$105+parametros_manuales!$F$36*(datos_base!$I$20+IF(parametros_manuales!$H$36="Todos",datos_base!$I$25,0))*parametros_manuales!$I$14+parametros_manuales!$G$36*(datos_base!$I$5+IF(parametros_manuales!$H$36="Todos",datos_base!$I$12,0))*parametros_manuales!$I$110+parametros_manuales!$G$36*(datos_base!$I$21+IF(parametros_manuales!$H$36="Todos",datos_base!$I$26,0))*parametros_manuales!$I$15)*parametros_manuales!$I$36*parametros_manuales!$J$36</f>
        <v>950.660684235999</v>
      </c>
      <c r="J208" s="9" t="n">
        <f aca="false">(parametros_manuales!$D$36*(datos_base!$I$2+IF(parametros_manuales!$H$36="Todos",datos_base!$I$9,0))*parametros_manuales!$J$95+parametros_manuales!$D$36*(datos_base!$I$18+IF(parametros_manuales!$H$36="Todos",datos_base!$I$23,0))*parametros_manuales!$J$12+parametros_manuales!$E$36*(datos_base!$I$3+IF(parametros_manuales!$H$36="Todos",datos_base!$I$10,0))*parametros_manuales!$J$100+parametros_manuales!$E$36*(datos_base!$I$19+IF(parametros_manuales!$H$36="Todos",datos_base!$I$24,0))*parametros_manuales!$J$13+parametros_manuales!$F$36*(datos_base!$I$4+IF(parametros_manuales!$H$36="Todos",datos_base!$I$11,0))*parametros_manuales!$J$105+parametros_manuales!$F$36*(datos_base!$I$20+IF(parametros_manuales!$H$36="Todos",datos_base!$I$25,0))*parametros_manuales!$J$14+parametros_manuales!$G$36*(datos_base!$I$5+IF(parametros_manuales!$H$36="Todos",datos_base!$I$12,0))*parametros_manuales!$J$110+parametros_manuales!$G$36*(datos_base!$I$21+IF(parametros_manuales!$H$36="Todos",datos_base!$I$26,0))*parametros_manuales!$J$15)*parametros_manuales!$I$36*parametros_manuales!$J$36</f>
        <v>950.660684236</v>
      </c>
      <c r="K208" s="9" t="n">
        <f aca="false">(parametros_manuales!$D$36*(datos_base!$I$2+IF(parametros_manuales!$H$36="Todos",datos_base!$I$9,0))*parametros_manuales!$K$95+parametros_manuales!$D$36*(datos_base!$I$18+IF(parametros_manuales!$H$36="Todos",datos_base!$I$23,0))*parametros_manuales!$K$12+parametros_manuales!$E$36*(datos_base!$I$3+IF(parametros_manuales!$H$36="Todos",datos_base!$I$10,0))*parametros_manuales!$K$100+parametros_manuales!$E$36*(datos_base!$I$19+IF(parametros_manuales!$H$36="Todos",datos_base!$I$24,0))*parametros_manuales!$K$13+parametros_manuales!$F$36*(datos_base!$I$4+IF(parametros_manuales!$H$36="Todos",datos_base!$I$11,0))*parametros_manuales!$K$105+parametros_manuales!$F$36*(datos_base!$I$20+IF(parametros_manuales!$H$36="Todos",datos_base!$I$25,0))*parametros_manuales!$K$14+parametros_manuales!$G$36*(datos_base!$I$5+IF(parametros_manuales!$H$36="Todos",datos_base!$I$12,0))*parametros_manuales!$K$110+parametros_manuales!$G$36*(datos_base!$I$21+IF(parametros_manuales!$H$36="Todos",datos_base!$I$26,0))*parametros_manuales!$K$15)*parametros_manuales!$I$36*parametros_manuales!$J$36</f>
        <v>966.06628867825</v>
      </c>
      <c r="L208" s="9" t="n">
        <f aca="false">(parametros_manuales!$D$36*(datos_base!$I$2+IF(parametros_manuales!$H$36="Todos",datos_base!$I$9,0))*parametros_manuales!$L$95+parametros_manuales!$D$36*(datos_base!$I$18+IF(parametros_manuales!$H$36="Todos",datos_base!$I$23,0))*parametros_manuales!$L$12+parametros_manuales!$E$36*(datos_base!$I$3+IF(parametros_manuales!$H$36="Todos",datos_base!$I$10,0))*parametros_manuales!$L$100+parametros_manuales!$E$36*(datos_base!$I$19+IF(parametros_manuales!$H$36="Todos",datos_base!$I$24,0))*parametros_manuales!$L$13+parametros_manuales!$F$36*(datos_base!$I$4+IF(parametros_manuales!$H$36="Todos",datos_base!$I$11,0))*parametros_manuales!$L$105+parametros_manuales!$F$36*(datos_base!$I$20+IF(parametros_manuales!$H$36="Todos",datos_base!$I$25,0))*parametros_manuales!$L$14+parametros_manuales!$G$36*(datos_base!$I$5+IF(parametros_manuales!$H$36="Todos",datos_base!$I$12,0))*parametros_manuales!$L$110+parametros_manuales!$G$36*(datos_base!$I$21+IF(parametros_manuales!$H$36="Todos",datos_base!$I$26,0))*parametros_manuales!$L$15)*parametros_manuales!$I$36*parametros_manuales!$J$36</f>
        <v>981.4718931205</v>
      </c>
      <c r="M208" s="9" t="n">
        <f aca="false">(parametros_manuales!$D$36*(datos_base!$I$2+IF(parametros_manuales!$H$36="Todos",datos_base!$I$9,0))*parametros_manuales!$M$95+parametros_manuales!$D$36*(datos_base!$I$18+IF(parametros_manuales!$H$36="Todos",datos_base!$I$23,0))*parametros_manuales!$M$12+parametros_manuales!$E$36*(datos_base!$I$3+IF(parametros_manuales!$H$36="Todos",datos_base!$I$10,0))*parametros_manuales!$M$100+parametros_manuales!$E$36*(datos_base!$I$19+IF(parametros_manuales!$H$36="Todos",datos_base!$I$24,0))*parametros_manuales!$M$13+parametros_manuales!$F$36*(datos_base!$I$4+IF(parametros_manuales!$H$36="Todos",datos_base!$I$11,0))*parametros_manuales!$M$105+parametros_manuales!$F$36*(datos_base!$I$20+IF(parametros_manuales!$H$36="Todos",datos_base!$I$25,0))*parametros_manuales!$M$14+parametros_manuales!$G$36*(datos_base!$I$5+IF(parametros_manuales!$H$36="Todos",datos_base!$I$12,0))*parametros_manuales!$M$110+parametros_manuales!$G$36*(datos_base!$I$21+IF(parametros_manuales!$H$36="Todos",datos_base!$I$26,0))*parametros_manuales!$M$15)*parametros_manuales!$I$36*parametros_manuales!$J$36</f>
        <v>981.8649331205</v>
      </c>
      <c r="N208" s="9" t="n">
        <f aca="false">SUM(B208:M208)</f>
        <v>10907.42681245</v>
      </c>
      <c r="O208" s="9" t="n">
        <f aca="false">MAX(B208:M208)</f>
        <v>981.8649331205</v>
      </c>
      <c r="P208" s="44" t="n">
        <f aca="false">O208/(parametros_manuales!$B$7)</f>
        <v>6.54576622080333</v>
      </c>
      <c r="Q208" s="8" t="str">
        <f aca="false">IF(O208=0,"-",INDEX($B$190:$M$190,MATCH(O208,B208:M208,0)))</f>
        <v>Dic</v>
      </c>
    </row>
    <row r="209" customFormat="false" ht="14.25" hidden="false" customHeight="true" outlineLevel="0" collapsed="false">
      <c r="A209" s="8" t="str">
        <f aca="false">parametros_manuales!$B$37</f>
        <v>Pintura en polvo + horno</v>
      </c>
      <c r="B209" s="9" t="n">
        <f aca="false">(parametros_manuales!$D$37*(datos_base!$I$2+IF(parametros_manuales!$H$37="Todos",datos_base!$I$9,0))*parametros_manuales!$B$95+parametros_manuales!$D$37*(datos_base!$I$18+IF(parametros_manuales!$H$37="Todos",datos_base!$I$23,0))*parametros_manuales!$B$12+parametros_manuales!$E$37*(datos_base!$I$3+IF(parametros_manuales!$H$37="Todos",datos_base!$I$10,0))*parametros_manuales!$B$100+parametros_manuales!$E$37*(datos_base!$I$19+IF(parametros_manuales!$H$37="Todos",datos_base!$I$24,0))*parametros_manuales!$B$13+parametros_manuales!$F$37*(datos_base!$I$4+IF(parametros_manuales!$H$37="Todos",datos_base!$I$11,0))*parametros_manuales!$B$105+parametros_manuales!$F$37*(datos_base!$I$20+IF(parametros_manuales!$H$37="Todos",datos_base!$I$25,0))*parametros_manuales!$B$14+parametros_manuales!$G$37*(datos_base!$I$5+IF(parametros_manuales!$H$37="Todos",datos_base!$I$12,0))*parametros_manuales!$B$110+parametros_manuales!$G$37*(datos_base!$I$21+IF(parametros_manuales!$H$37="Todos",datos_base!$I$26,0))*parametros_manuales!$B$15)*parametros_manuales!$I$37*parametros_manuales!$J$37</f>
        <v>19635.33346241</v>
      </c>
      <c r="C209" s="9" t="n">
        <f aca="false">(parametros_manuales!$D$37*(datos_base!$I$2+IF(parametros_manuales!$H$37="Todos",datos_base!$I$9,0))*parametros_manuales!$C$95+parametros_manuales!$D$37*(datos_base!$I$18+IF(parametros_manuales!$H$37="Todos",datos_base!$I$23,0))*parametros_manuales!$C$12+parametros_manuales!$E$37*(datos_base!$I$3+IF(parametros_manuales!$H$37="Todos",datos_base!$I$10,0))*parametros_manuales!$C$100+parametros_manuales!$E$37*(datos_base!$I$19+IF(parametros_manuales!$H$37="Todos",datos_base!$I$24,0))*parametros_manuales!$C$13+parametros_manuales!$F$37*(datos_base!$I$4+IF(parametros_manuales!$H$37="Todos",datos_base!$I$11,0))*parametros_manuales!$C$105+parametros_manuales!$F$37*(datos_base!$I$20+IF(parametros_manuales!$H$37="Todos",datos_base!$I$25,0))*parametros_manuales!$C$14+parametros_manuales!$G$37*(datos_base!$I$5+IF(parametros_manuales!$H$37="Todos",datos_base!$I$12,0))*parametros_manuales!$C$110+parametros_manuales!$G$37*(datos_base!$I$21+IF(parametros_manuales!$H$37="Todos",datos_base!$I$26,0))*parametros_manuales!$C$15)*parametros_manuales!$I$37*parametros_manuales!$J$37</f>
        <v>19013.21368472</v>
      </c>
      <c r="D209" s="9" t="n">
        <f aca="false">(parametros_manuales!$D$37*(datos_base!$I$2+IF(parametros_manuales!$H$37="Todos",datos_base!$I$9,0))*parametros_manuales!$D$95+parametros_manuales!$D$37*(datos_base!$I$18+IF(parametros_manuales!$H$37="Todos",datos_base!$I$23,0))*parametros_manuales!$D$12+parametros_manuales!$E$37*(datos_base!$I$3+IF(parametros_manuales!$H$37="Todos",datos_base!$I$10,0))*parametros_manuales!$D$100+parametros_manuales!$E$37*(datos_base!$I$19+IF(parametros_manuales!$H$37="Todos",datos_base!$I$24,0))*parametros_manuales!$D$13+parametros_manuales!$F$37*(datos_base!$I$4+IF(parametros_manuales!$H$37="Todos",datos_base!$I$11,0))*parametros_manuales!$D$105+parametros_manuales!$F$37*(datos_base!$I$20+IF(parametros_manuales!$H$37="Todos",datos_base!$I$25,0))*parametros_manuales!$D$14+parametros_manuales!$G$37*(datos_base!$I$5+IF(parametros_manuales!$H$37="Todos",datos_base!$I$12,0))*parametros_manuales!$D$110+parametros_manuales!$G$37*(datos_base!$I$21+IF(parametros_manuales!$H$37="Todos",datos_base!$I$26,0))*parametros_manuales!$D$15)*parametros_manuales!$I$37*parametros_manuales!$J$37</f>
        <v>17761.960188765</v>
      </c>
      <c r="E209" s="9" t="n">
        <f aca="false">(parametros_manuales!$D$37*(datos_base!$I$2+IF(parametros_manuales!$H$37="Todos",datos_base!$I$9,0))*parametros_manuales!$E$95+parametros_manuales!$D$37*(datos_base!$I$18+IF(parametros_manuales!$H$37="Todos",datos_base!$I$23,0))*parametros_manuales!$E$12+parametros_manuales!$E$37*(datos_base!$I$3+IF(parametros_manuales!$H$37="Todos",datos_base!$I$10,0))*parametros_manuales!$E$100+parametros_manuales!$E$37*(datos_base!$I$19+IF(parametros_manuales!$H$37="Todos",datos_base!$I$24,0))*parametros_manuales!$E$13+parametros_manuales!$F$37*(datos_base!$I$4+IF(parametros_manuales!$H$37="Todos",datos_base!$I$11,0))*parametros_manuales!$E$105+parametros_manuales!$F$37*(datos_base!$I$20+IF(parametros_manuales!$H$37="Todos",datos_base!$I$25,0))*parametros_manuales!$E$14+parametros_manuales!$G$37*(datos_base!$I$5+IF(parametros_manuales!$H$37="Todos",datos_base!$I$12,0))*parametros_manuales!$E$110+parametros_manuales!$G$37*(datos_base!$I$21+IF(parametros_manuales!$H$37="Todos",datos_base!$I$26,0))*parametros_manuales!$E$15)*parametros_manuales!$I$37*parametros_manuales!$J$37</f>
        <v>16981.294796365</v>
      </c>
      <c r="F209" s="9" t="n">
        <f aca="false">(parametros_manuales!$D$37*(datos_base!$I$2+IF(parametros_manuales!$H$37="Todos",datos_base!$I$9,0))*parametros_manuales!$F$95+parametros_manuales!$D$37*(datos_base!$I$18+IF(parametros_manuales!$H$37="Todos",datos_base!$I$23,0))*parametros_manuales!$F$12+parametros_manuales!$E$37*(datos_base!$I$3+IF(parametros_manuales!$H$37="Todos",datos_base!$I$10,0))*parametros_manuales!$F$100+parametros_manuales!$E$37*(datos_base!$I$19+IF(parametros_manuales!$H$37="Todos",datos_base!$I$24,0))*parametros_manuales!$F$13+parametros_manuales!$F$37*(datos_base!$I$4+IF(parametros_manuales!$H$37="Todos",datos_base!$I$11,0))*parametros_manuales!$F$105+parametros_manuales!$F$37*(datos_base!$I$20+IF(parametros_manuales!$H$37="Todos",datos_base!$I$25,0))*parametros_manuales!$F$14+parametros_manuales!$G$37*(datos_base!$I$5+IF(parametros_manuales!$H$37="Todos",datos_base!$I$12,0))*parametros_manuales!$F$110+parametros_manuales!$G$37*(datos_base!$I$21+IF(parametros_manuales!$H$37="Todos",datos_base!$I$26,0))*parametros_manuales!$F$15)*parametros_manuales!$I$37*parametros_manuales!$J$37</f>
        <v>15890.55211512</v>
      </c>
      <c r="G209" s="9" t="n">
        <f aca="false">(parametros_manuales!$D$37*(datos_base!$I$2+IF(parametros_manuales!$H$37="Todos",datos_base!$I$9,0))*parametros_manuales!$G$95+parametros_manuales!$D$37*(datos_base!$I$18+IF(parametros_manuales!$H$37="Todos",datos_base!$I$23,0))*parametros_manuales!$G$12+parametros_manuales!$E$37*(datos_base!$I$3+IF(parametros_manuales!$H$37="Todos",datos_base!$I$10,0))*parametros_manuales!$G$100+parametros_manuales!$E$37*(datos_base!$I$19+IF(parametros_manuales!$H$37="Todos",datos_base!$I$24,0))*parametros_manuales!$G$13+parametros_manuales!$F$37*(datos_base!$I$4+IF(parametros_manuales!$H$37="Todos",datos_base!$I$11,0))*parametros_manuales!$G$105+parametros_manuales!$F$37*(datos_base!$I$20+IF(parametros_manuales!$H$37="Todos",datos_base!$I$25,0))*parametros_manuales!$G$14+parametros_manuales!$G$37*(datos_base!$I$5+IF(parametros_manuales!$H$37="Todos",datos_base!$I$12,0))*parametros_manuales!$G$110+parametros_manuales!$G$37*(datos_base!$I$21+IF(parametros_manuales!$H$37="Todos",datos_base!$I$26,0))*parametros_manuales!$G$15)*parametros_manuales!$I$37*parametros_manuales!$J$37</f>
        <v>15580.474826275</v>
      </c>
      <c r="H209" s="9" t="n">
        <f aca="false">(parametros_manuales!$D$37*(datos_base!$I$2+IF(parametros_manuales!$H$37="Todos",datos_base!$I$9,0))*parametros_manuales!$H$95+parametros_manuales!$D$37*(datos_base!$I$18+IF(parametros_manuales!$H$37="Todos",datos_base!$I$23,0))*parametros_manuales!$H$12+parametros_manuales!$E$37*(datos_base!$I$3+IF(parametros_manuales!$H$37="Todos",datos_base!$I$10,0))*parametros_manuales!$H$100+parametros_manuales!$E$37*(datos_base!$I$19+IF(parametros_manuales!$H$37="Todos",datos_base!$I$24,0))*parametros_manuales!$H$13+parametros_manuales!$F$37*(datos_base!$I$4+IF(parametros_manuales!$H$37="Todos",datos_base!$I$11,0))*parametros_manuales!$H$105+parametros_manuales!$F$37*(datos_base!$I$20+IF(parametros_manuales!$H$37="Todos",datos_base!$I$25,0))*parametros_manuales!$H$14+parametros_manuales!$G$37*(datos_base!$I$5+IF(parametros_manuales!$H$37="Todos",datos_base!$I$12,0))*parametros_manuales!$H$110+parametros_manuales!$G$37*(datos_base!$I$21+IF(parametros_manuales!$H$37="Todos",datos_base!$I$26,0))*parametros_manuales!$H$15)*parametros_manuales!$I$37*parametros_manuales!$J$37</f>
        <v>16671.21750752</v>
      </c>
      <c r="I209" s="9" t="n">
        <f aca="false">(parametros_manuales!$D$37*(datos_base!$I$2+IF(parametros_manuales!$H$37="Todos",datos_base!$I$9,0))*parametros_manuales!$I$95+parametros_manuales!$D$37*(datos_base!$I$18+IF(parametros_manuales!$H$37="Todos",datos_base!$I$23,0))*parametros_manuales!$I$12+parametros_manuales!$E$37*(datos_base!$I$3+IF(parametros_manuales!$H$37="Todos",datos_base!$I$10,0))*parametros_manuales!$I$100+parametros_manuales!$E$37*(datos_base!$I$19+IF(parametros_manuales!$H$37="Todos",datos_base!$I$24,0))*parametros_manuales!$I$13+parametros_manuales!$F$37*(datos_base!$I$4+IF(parametros_manuales!$H$37="Todos",datos_base!$I$11,0))*parametros_manuales!$I$105+parametros_manuales!$F$37*(datos_base!$I$20+IF(parametros_manuales!$H$37="Todos",datos_base!$I$25,0))*parametros_manuales!$I$14+parametros_manuales!$G$37*(datos_base!$I$5+IF(parametros_manuales!$H$37="Todos",datos_base!$I$12,0))*parametros_manuales!$I$110+parametros_manuales!$G$37*(datos_base!$I$21+IF(parametros_manuales!$H$37="Todos",datos_base!$I$26,0))*parametros_manuales!$I$15)*parametros_manuales!$I$37*parametros_manuales!$J$37</f>
        <v>19013.21368472</v>
      </c>
      <c r="J209" s="9" t="n">
        <f aca="false">(parametros_manuales!$D$37*(datos_base!$I$2+IF(parametros_manuales!$H$37="Todos",datos_base!$I$9,0))*parametros_manuales!$J$95+parametros_manuales!$D$37*(datos_base!$I$18+IF(parametros_manuales!$H$37="Todos",datos_base!$I$23,0))*parametros_manuales!$J$12+parametros_manuales!$E$37*(datos_base!$I$3+IF(parametros_manuales!$H$37="Todos",datos_base!$I$10,0))*parametros_manuales!$J$100+parametros_manuales!$E$37*(datos_base!$I$19+IF(parametros_manuales!$H$37="Todos",datos_base!$I$24,0))*parametros_manuales!$J$13+parametros_manuales!$F$37*(datos_base!$I$4+IF(parametros_manuales!$H$37="Todos",datos_base!$I$11,0))*parametros_manuales!$J$105+parametros_manuales!$F$37*(datos_base!$I$20+IF(parametros_manuales!$H$37="Todos",datos_base!$I$25,0))*parametros_manuales!$J$14+parametros_manuales!$G$37*(datos_base!$I$5+IF(parametros_manuales!$H$37="Todos",datos_base!$I$12,0))*parametros_manuales!$J$110+parametros_manuales!$G$37*(datos_base!$I$21+IF(parametros_manuales!$H$37="Todos",datos_base!$I$26,0))*parametros_manuales!$J$15)*parametros_manuales!$I$37*parametros_manuales!$J$37</f>
        <v>19013.21368472</v>
      </c>
      <c r="K209" s="9" t="n">
        <f aca="false">(parametros_manuales!$D$37*(datos_base!$I$2+IF(parametros_manuales!$H$37="Todos",datos_base!$I$9,0))*parametros_manuales!$K$95+parametros_manuales!$D$37*(datos_base!$I$18+IF(parametros_manuales!$H$37="Todos",datos_base!$I$23,0))*parametros_manuales!$K$12+parametros_manuales!$E$37*(datos_base!$I$3+IF(parametros_manuales!$H$37="Todos",datos_base!$I$10,0))*parametros_manuales!$K$100+parametros_manuales!$E$37*(datos_base!$I$19+IF(parametros_manuales!$H$37="Todos",datos_base!$I$24,0))*parametros_manuales!$K$13+parametros_manuales!$F$37*(datos_base!$I$4+IF(parametros_manuales!$H$37="Todos",datos_base!$I$11,0))*parametros_manuales!$K$105+parametros_manuales!$F$37*(datos_base!$I$20+IF(parametros_manuales!$H$37="Todos",datos_base!$I$25,0))*parametros_manuales!$K$14+parametros_manuales!$G$37*(datos_base!$I$5+IF(parametros_manuales!$H$37="Todos",datos_base!$I$12,0))*parametros_manuales!$K$110+parametros_manuales!$G$37*(datos_base!$I$21+IF(parametros_manuales!$H$37="Todos",datos_base!$I$26,0))*parametros_manuales!$K$15)*parametros_manuales!$I$37*parametros_manuales!$J$37</f>
        <v>19321.325773565</v>
      </c>
      <c r="L209" s="9" t="n">
        <f aca="false">(parametros_manuales!$D$37*(datos_base!$I$2+IF(parametros_manuales!$H$37="Todos",datos_base!$I$9,0))*parametros_manuales!$L$95+parametros_manuales!$D$37*(datos_base!$I$18+IF(parametros_manuales!$H$37="Todos",datos_base!$I$23,0))*parametros_manuales!$L$12+parametros_manuales!$E$37*(datos_base!$I$3+IF(parametros_manuales!$H$37="Todos",datos_base!$I$10,0))*parametros_manuales!$L$100+parametros_manuales!$E$37*(datos_base!$I$19+IF(parametros_manuales!$H$37="Todos",datos_base!$I$24,0))*parametros_manuales!$L$13+parametros_manuales!$F$37*(datos_base!$I$4+IF(parametros_manuales!$H$37="Todos",datos_base!$I$11,0))*parametros_manuales!$L$105+parametros_manuales!$F$37*(datos_base!$I$20+IF(parametros_manuales!$H$37="Todos",datos_base!$I$25,0))*parametros_manuales!$L$14+parametros_manuales!$G$37*(datos_base!$I$5+IF(parametros_manuales!$H$37="Todos",datos_base!$I$12,0))*parametros_manuales!$L$110+parametros_manuales!$G$37*(datos_base!$I$21+IF(parametros_manuales!$H$37="Todos",datos_base!$I$26,0))*parametros_manuales!$L$15)*parametros_manuales!$I$37*parametros_manuales!$J$37</f>
        <v>19629.43786241</v>
      </c>
      <c r="M209" s="9" t="n">
        <f aca="false">(parametros_manuales!$D$37*(datos_base!$I$2+IF(parametros_manuales!$H$37="Todos",datos_base!$I$9,0))*parametros_manuales!$M$95+parametros_manuales!$D$37*(datos_base!$I$18+IF(parametros_manuales!$H$37="Todos",datos_base!$I$23,0))*parametros_manuales!$M$12+parametros_manuales!$E$37*(datos_base!$I$3+IF(parametros_manuales!$H$37="Todos",datos_base!$I$10,0))*parametros_manuales!$M$100+parametros_manuales!$E$37*(datos_base!$I$19+IF(parametros_manuales!$H$37="Todos",datos_base!$I$24,0))*parametros_manuales!$M$13+parametros_manuales!$F$37*(datos_base!$I$4+IF(parametros_manuales!$H$37="Todos",datos_base!$I$11,0))*parametros_manuales!$M$105+parametros_manuales!$F$37*(datos_base!$I$20+IF(parametros_manuales!$H$37="Todos",datos_base!$I$25,0))*parametros_manuales!$M$14+parametros_manuales!$G$37*(datos_base!$I$5+IF(parametros_manuales!$H$37="Todos",datos_base!$I$12,0))*parametros_manuales!$M$110+parametros_manuales!$G$37*(datos_base!$I$21+IF(parametros_manuales!$H$37="Todos",datos_base!$I$26,0))*parametros_manuales!$M$15)*parametros_manuales!$I$37*parametros_manuales!$J$37</f>
        <v>19637.29866241</v>
      </c>
      <c r="N209" s="9" t="n">
        <f aca="false">SUM(B209:M209)</f>
        <v>218148.536249</v>
      </c>
      <c r="O209" s="9" t="n">
        <f aca="false">MAX(B209:M209)</f>
        <v>19637.29866241</v>
      </c>
      <c r="P209" s="44" t="n">
        <f aca="false">O209/(parametros_manuales!$B$7)</f>
        <v>130.915324416067</v>
      </c>
      <c r="Q209" s="8" t="str">
        <f aca="false">IF(O209=0,"-",INDEX($B$190:$M$190,MATCH(O209,B209:M209,0)))</f>
        <v>Dic</v>
      </c>
    </row>
    <row r="210" customFormat="false" ht="14.25" hidden="false" customHeight="true" outlineLevel="0" collapsed="false">
      <c r="A210" s="8" t="str">
        <f aca="false">parametros_manuales!$B$38</f>
        <v>Carga de polvo</v>
      </c>
      <c r="B210" s="9" t="n">
        <f aca="false">(parametros_manuales!$D$38*(datos_base!$I$2+IF(parametros_manuales!$H$38="Todos",datos_base!$I$9,0))*parametros_manuales!$B$95+parametros_manuales!$D$38*(datos_base!$I$18+IF(parametros_manuales!$H$38="Todos",datos_base!$I$23,0))*parametros_manuales!$B$12+parametros_manuales!$E$38*(datos_base!$I$3+IF(parametros_manuales!$H$38="Todos",datos_base!$I$10,0))*parametros_manuales!$B$100+parametros_manuales!$E$38*(datos_base!$I$19+IF(parametros_manuales!$H$38="Todos",datos_base!$I$24,0))*parametros_manuales!$B$13+parametros_manuales!$F$38*(datos_base!$I$4+IF(parametros_manuales!$H$38="Todos",datos_base!$I$11,0))*parametros_manuales!$B$105+parametros_manuales!$F$38*(datos_base!$I$20+IF(parametros_manuales!$H$38="Todos",datos_base!$I$25,0))*parametros_manuales!$B$14+parametros_manuales!$G$38*(datos_base!$I$5+IF(parametros_manuales!$H$38="Todos",datos_base!$I$12,0))*parametros_manuales!$B$110+parametros_manuales!$G$38*(datos_base!$I$21+IF(parametros_manuales!$H$38="Todos",datos_base!$I$26,0))*parametros_manuales!$B$15)*parametros_manuales!$I$38*parametros_manuales!$J$38</f>
        <v>4956.74946241</v>
      </c>
      <c r="C210" s="9" t="n">
        <f aca="false">(parametros_manuales!$D$38*(datos_base!$I$2+IF(parametros_manuales!$H$38="Todos",datos_base!$I$9,0))*parametros_manuales!$C$95+parametros_manuales!$D$38*(datos_base!$I$18+IF(parametros_manuales!$H$38="Todos",datos_base!$I$23,0))*parametros_manuales!$C$12+parametros_manuales!$E$38*(datos_base!$I$3+IF(parametros_manuales!$H$38="Todos",datos_base!$I$10,0))*parametros_manuales!$C$100+parametros_manuales!$E$38*(datos_base!$I$19+IF(parametros_manuales!$H$38="Todos",datos_base!$I$24,0))*parametros_manuales!$C$13+parametros_manuales!$F$38*(datos_base!$I$4+IF(parametros_manuales!$H$38="Todos",datos_base!$I$11,0))*parametros_manuales!$C$105+parametros_manuales!$F$38*(datos_base!$I$20+IF(parametros_manuales!$H$38="Todos",datos_base!$I$25,0))*parametros_manuales!$C$14+parametros_manuales!$G$38*(datos_base!$I$5+IF(parametros_manuales!$H$38="Todos",datos_base!$I$12,0))*parametros_manuales!$C$110+parametros_manuales!$G$38*(datos_base!$I$21+IF(parametros_manuales!$H$38="Todos",datos_base!$I$26,0))*parametros_manuales!$C$15)*parametros_manuales!$I$38*parametros_manuales!$J$38</f>
        <v>4656.72048472</v>
      </c>
      <c r="D210" s="9" t="n">
        <f aca="false">(parametros_manuales!$D$38*(datos_base!$I$2+IF(parametros_manuales!$H$38="Todos",datos_base!$I$9,0))*parametros_manuales!$D$95+parametros_manuales!$D$38*(datos_base!$I$18+IF(parametros_manuales!$H$38="Todos",datos_base!$I$23,0))*parametros_manuales!$D$12+parametros_manuales!$E$38*(datos_base!$I$3+IF(parametros_manuales!$H$38="Todos",datos_base!$I$10,0))*parametros_manuales!$D$100+parametros_manuales!$E$38*(datos_base!$I$19+IF(parametros_manuales!$H$38="Todos",datos_base!$I$24,0))*parametros_manuales!$D$13+parametros_manuales!$F$38*(datos_base!$I$4+IF(parametros_manuales!$H$38="Todos",datos_base!$I$11,0))*parametros_manuales!$D$105+parametros_manuales!$F$38*(datos_base!$I$20+IF(parametros_manuales!$H$38="Todos",datos_base!$I$25,0))*parametros_manuales!$D$14+parametros_manuales!$G$38*(datos_base!$I$5+IF(parametros_manuales!$H$38="Todos",datos_base!$I$12,0))*parametros_manuales!$D$110+parametros_manuales!$G$38*(datos_base!$I$21+IF(parametros_manuales!$H$38="Todos",datos_base!$I$26,0))*parametros_manuales!$D$15)*parametros_manuales!$I$38*parametros_manuales!$J$38</f>
        <v>4555.076788765</v>
      </c>
      <c r="E210" s="9" t="n">
        <f aca="false">(parametros_manuales!$D$38*(datos_base!$I$2+IF(parametros_manuales!$H$38="Todos",datos_base!$I$9,0))*parametros_manuales!$E$95+parametros_manuales!$D$38*(datos_base!$I$18+IF(parametros_manuales!$H$38="Todos",datos_base!$I$23,0))*parametros_manuales!$E$12+parametros_manuales!$E$38*(datos_base!$I$3+IF(parametros_manuales!$H$38="Todos",datos_base!$I$10,0))*parametros_manuales!$E$100+parametros_manuales!$E$38*(datos_base!$I$19+IF(parametros_manuales!$H$38="Todos",datos_base!$I$24,0))*parametros_manuales!$E$13+parametros_manuales!$F$38*(datos_base!$I$4+IF(parametros_manuales!$H$38="Todos",datos_base!$I$11,0))*parametros_manuales!$E$105+parametros_manuales!$F$38*(datos_base!$I$20+IF(parametros_manuales!$H$38="Todos",datos_base!$I$25,0))*parametros_manuales!$E$14+parametros_manuales!$G$38*(datos_base!$I$5+IF(parametros_manuales!$H$38="Todos",datos_base!$I$12,0))*parametros_manuales!$E$110+parametros_manuales!$G$38*(datos_base!$I$21+IF(parametros_manuales!$H$38="Todos",datos_base!$I$26,0))*parametros_manuales!$E$15)*parametros_manuales!$I$38*parametros_manuales!$J$38</f>
        <v>4429.416396365</v>
      </c>
      <c r="F210" s="9" t="n">
        <f aca="false">(parametros_manuales!$D$38*(datos_base!$I$2+IF(parametros_manuales!$H$38="Todos",datos_base!$I$9,0))*parametros_manuales!$F$95+parametros_manuales!$D$38*(datos_base!$I$18+IF(parametros_manuales!$H$38="Todos",datos_base!$I$23,0))*parametros_manuales!$F$12+parametros_manuales!$E$38*(datos_base!$I$3+IF(parametros_manuales!$H$38="Todos",datos_base!$I$10,0))*parametros_manuales!$F$100+parametros_manuales!$E$38*(datos_base!$I$19+IF(parametros_manuales!$H$38="Todos",datos_base!$I$24,0))*parametros_manuales!$F$13+parametros_manuales!$F$38*(datos_base!$I$4+IF(parametros_manuales!$H$38="Todos",datos_base!$I$11,0))*parametros_manuales!$F$105+parametros_manuales!$F$38*(datos_base!$I$20+IF(parametros_manuales!$H$38="Todos",datos_base!$I$25,0))*parametros_manuales!$F$14+parametros_manuales!$G$38*(datos_base!$I$5+IF(parametros_manuales!$H$38="Todos",datos_base!$I$12,0))*parametros_manuales!$F$110+parametros_manuales!$G$38*(datos_base!$I$21+IF(parametros_manuales!$H$38="Todos",datos_base!$I$26,0))*parametros_manuales!$F$15)*parametros_manuales!$I$38*parametros_manuales!$J$38</f>
        <v>4154.07891512</v>
      </c>
      <c r="G210" s="9" t="n">
        <f aca="false">(parametros_manuales!$D$38*(datos_base!$I$2+IF(parametros_manuales!$H$38="Todos",datos_base!$I$9,0))*parametros_manuales!$G$95+parametros_manuales!$D$38*(datos_base!$I$18+IF(parametros_manuales!$H$38="Todos",datos_base!$I$23,0))*parametros_manuales!$G$12+parametros_manuales!$E$38*(datos_base!$I$3+IF(parametros_manuales!$H$38="Todos",datos_base!$I$10,0))*parametros_manuales!$G$100+parametros_manuales!$E$38*(datos_base!$I$19+IF(parametros_manuales!$H$38="Todos",datos_base!$I$24,0))*parametros_manuales!$G$13+parametros_manuales!$F$38*(datos_base!$I$4+IF(parametros_manuales!$H$38="Todos",datos_base!$I$11,0))*parametros_manuales!$G$105+parametros_manuales!$F$38*(datos_base!$I$20+IF(parametros_manuales!$H$38="Todos",datos_base!$I$25,0))*parametros_manuales!$G$14+parametros_manuales!$G$38*(datos_base!$I$5+IF(parametros_manuales!$H$38="Todos",datos_base!$I$12,0))*parametros_manuales!$G$110+parametros_manuales!$G$38*(datos_base!$I$21+IF(parametros_manuales!$H$38="Todos",datos_base!$I$26,0))*parametros_manuales!$G$15)*parametros_manuales!$I$38*parametros_manuales!$J$38</f>
        <v>4004.401826275</v>
      </c>
      <c r="H210" s="9" t="n">
        <f aca="false">(parametros_manuales!$D$38*(datos_base!$I$2+IF(parametros_manuales!$H$38="Todos",datos_base!$I$9,0))*parametros_manuales!$H$95+parametros_manuales!$D$38*(datos_base!$I$18+IF(parametros_manuales!$H$38="Todos",datos_base!$I$23,0))*parametros_manuales!$H$12+parametros_manuales!$E$38*(datos_base!$I$3+IF(parametros_manuales!$H$38="Todos",datos_base!$I$10,0))*parametros_manuales!$H$100+parametros_manuales!$E$38*(datos_base!$I$19+IF(parametros_manuales!$H$38="Todos",datos_base!$I$24,0))*parametros_manuales!$H$13+parametros_manuales!$F$38*(datos_base!$I$4+IF(parametros_manuales!$H$38="Todos",datos_base!$I$11,0))*parametros_manuales!$H$105+parametros_manuales!$F$38*(datos_base!$I$20+IF(parametros_manuales!$H$38="Todos",datos_base!$I$25,0))*parametros_manuales!$H$14+parametros_manuales!$G$38*(datos_base!$I$5+IF(parametros_manuales!$H$38="Todos",datos_base!$I$12,0))*parametros_manuales!$H$110+parametros_manuales!$G$38*(datos_base!$I$21+IF(parametros_manuales!$H$38="Todos",datos_base!$I$26,0))*parametros_manuales!$H$15)*parametros_manuales!$I$38*parametros_manuales!$J$38</f>
        <v>4279.73930752</v>
      </c>
      <c r="I210" s="9" t="n">
        <f aca="false">(parametros_manuales!$D$38*(datos_base!$I$2+IF(parametros_manuales!$H$38="Todos",datos_base!$I$9,0))*parametros_manuales!$I$95+parametros_manuales!$D$38*(datos_base!$I$18+IF(parametros_manuales!$H$38="Todos",datos_base!$I$23,0))*parametros_manuales!$I$12+parametros_manuales!$E$38*(datos_base!$I$3+IF(parametros_manuales!$H$38="Todos",datos_base!$I$10,0))*parametros_manuales!$I$100+parametros_manuales!$E$38*(datos_base!$I$19+IF(parametros_manuales!$H$38="Todos",datos_base!$I$24,0))*parametros_manuales!$I$13+parametros_manuales!$F$38*(datos_base!$I$4+IF(parametros_manuales!$H$38="Todos",datos_base!$I$11,0))*parametros_manuales!$I$105+parametros_manuales!$F$38*(datos_base!$I$20+IF(parametros_manuales!$H$38="Todos",datos_base!$I$25,0))*parametros_manuales!$I$14+parametros_manuales!$G$38*(datos_base!$I$5+IF(parametros_manuales!$H$38="Todos",datos_base!$I$12,0))*parametros_manuales!$I$110+parametros_manuales!$G$38*(datos_base!$I$21+IF(parametros_manuales!$H$38="Todos",datos_base!$I$26,0))*parametros_manuales!$I$15)*parametros_manuales!$I$38*parametros_manuales!$J$38</f>
        <v>4656.72048472</v>
      </c>
      <c r="J210" s="9" t="n">
        <f aca="false">(parametros_manuales!$D$38*(datos_base!$I$2+IF(parametros_manuales!$H$38="Todos",datos_base!$I$9,0))*parametros_manuales!$J$95+parametros_manuales!$D$38*(datos_base!$I$18+IF(parametros_manuales!$H$38="Todos",datos_base!$I$23,0))*parametros_manuales!$J$12+parametros_manuales!$E$38*(datos_base!$I$3+IF(parametros_manuales!$H$38="Todos",datos_base!$I$10,0))*parametros_manuales!$J$100+parametros_manuales!$E$38*(datos_base!$I$19+IF(parametros_manuales!$H$38="Todos",datos_base!$I$24,0))*parametros_manuales!$J$13+parametros_manuales!$F$38*(datos_base!$I$4+IF(parametros_manuales!$H$38="Todos",datos_base!$I$11,0))*parametros_manuales!$J$105+parametros_manuales!$F$38*(datos_base!$I$20+IF(parametros_manuales!$H$38="Todos",datos_base!$I$25,0))*parametros_manuales!$J$14+parametros_manuales!$G$38*(datos_base!$I$5+IF(parametros_manuales!$H$38="Todos",datos_base!$I$12,0))*parametros_manuales!$J$110+parametros_manuales!$G$38*(datos_base!$I$21+IF(parametros_manuales!$H$38="Todos",datos_base!$I$26,0))*parametros_manuales!$J$15)*parametros_manuales!$I$38*parametros_manuales!$J$38</f>
        <v>4656.72048472</v>
      </c>
      <c r="K210" s="9" t="n">
        <f aca="false">(parametros_manuales!$D$38*(datos_base!$I$2+IF(parametros_manuales!$H$38="Todos",datos_base!$I$9,0))*parametros_manuales!$K$95+parametros_manuales!$D$38*(datos_base!$I$18+IF(parametros_manuales!$H$38="Todos",datos_base!$I$23,0))*parametros_manuales!$K$12+parametros_manuales!$E$38*(datos_base!$I$3+IF(parametros_manuales!$H$38="Todos",datos_base!$I$10,0))*parametros_manuales!$K$100+parametros_manuales!$E$38*(datos_base!$I$19+IF(parametros_manuales!$H$38="Todos",datos_base!$I$24,0))*parametros_manuales!$K$13+parametros_manuales!$F$38*(datos_base!$I$4+IF(parametros_manuales!$H$38="Todos",datos_base!$I$11,0))*parametros_manuales!$K$105+parametros_manuales!$F$38*(datos_base!$I$20+IF(parametros_manuales!$H$38="Todos",datos_base!$I$25,0))*parametros_manuales!$K$14+parametros_manuales!$G$38*(datos_base!$I$5+IF(parametros_manuales!$H$38="Todos",datos_base!$I$12,0))*parametros_manuales!$K$110+parametros_manuales!$G$38*(datos_base!$I$21+IF(parametros_manuales!$H$38="Todos",datos_base!$I$26,0))*parametros_manuales!$K$15)*parametros_manuales!$I$38*parametros_manuales!$J$38</f>
        <v>4805.722773565</v>
      </c>
      <c r="L210" s="9" t="n">
        <f aca="false">(parametros_manuales!$D$38*(datos_base!$I$2+IF(parametros_manuales!$H$38="Todos",datos_base!$I$9,0))*parametros_manuales!$L$95+parametros_manuales!$D$38*(datos_base!$I$18+IF(parametros_manuales!$H$38="Todos",datos_base!$I$23,0))*parametros_manuales!$L$12+parametros_manuales!$E$38*(datos_base!$I$3+IF(parametros_manuales!$H$38="Todos",datos_base!$I$10,0))*parametros_manuales!$L$100+parametros_manuales!$E$38*(datos_base!$I$19+IF(parametros_manuales!$H$38="Todos",datos_base!$I$24,0))*parametros_manuales!$L$13+parametros_manuales!$F$38*(datos_base!$I$4+IF(parametros_manuales!$H$38="Todos",datos_base!$I$11,0))*parametros_manuales!$L$105+parametros_manuales!$F$38*(datos_base!$I$20+IF(parametros_manuales!$H$38="Todos",datos_base!$I$25,0))*parametros_manuales!$L$14+parametros_manuales!$G$38*(datos_base!$I$5+IF(parametros_manuales!$H$38="Todos",datos_base!$I$12,0))*parametros_manuales!$L$110+parametros_manuales!$G$38*(datos_base!$I$21+IF(parametros_manuales!$H$38="Todos",datos_base!$I$26,0))*parametros_manuales!$L$15)*parametros_manuales!$I$38*parametros_manuales!$J$38</f>
        <v>4954.72506241</v>
      </c>
      <c r="M210" s="9" t="n">
        <f aca="false">(parametros_manuales!$D$38*(datos_base!$I$2+IF(parametros_manuales!$H$38="Todos",datos_base!$I$9,0))*parametros_manuales!$M$95+parametros_manuales!$D$38*(datos_base!$I$18+IF(parametros_manuales!$H$38="Todos",datos_base!$I$23,0))*parametros_manuales!$M$12+parametros_manuales!$E$38*(datos_base!$I$3+IF(parametros_manuales!$H$38="Todos",datos_base!$I$10,0))*parametros_manuales!$M$100+parametros_manuales!$E$38*(datos_base!$I$19+IF(parametros_manuales!$H$38="Todos",datos_base!$I$24,0))*parametros_manuales!$M$13+parametros_manuales!$F$38*(datos_base!$I$4+IF(parametros_manuales!$H$38="Todos",datos_base!$I$11,0))*parametros_manuales!$M$105+parametros_manuales!$F$38*(datos_base!$I$20+IF(parametros_manuales!$H$38="Todos",datos_base!$I$25,0))*parametros_manuales!$M$14+parametros_manuales!$G$38*(datos_base!$I$5+IF(parametros_manuales!$H$38="Todos",datos_base!$I$12,0))*parametros_manuales!$M$110+parametros_manuales!$G$38*(datos_base!$I$21+IF(parametros_manuales!$H$38="Todos",datos_base!$I$26,0))*parametros_manuales!$M$15)*parametros_manuales!$I$38*parametros_manuales!$J$38</f>
        <v>4957.42426241</v>
      </c>
      <c r="N210" s="9" t="n">
        <f aca="false">SUM(B210:M210)</f>
        <v>55067.496249</v>
      </c>
      <c r="O210" s="9" t="n">
        <f aca="false">MAX(B210:M210)</f>
        <v>4957.42426241</v>
      </c>
      <c r="P210" s="44" t="n">
        <f aca="false">O210/(parametros_manuales!$B$7)</f>
        <v>33.0494950827333</v>
      </c>
      <c r="Q210" s="8" t="str">
        <f aca="false">IF(O210=0,"-",INDEX($B$190:$M$190,MATCH(O210,B210:M210,0)))</f>
        <v>Dic</v>
      </c>
    </row>
    <row r="211" customFormat="false" ht="14.25" hidden="false" customHeight="true" outlineLevel="0" collapsed="false">
      <c r="A211" s="8" t="str">
        <f aca="false">parametros_manuales!$B$39</f>
        <v>Ensamblaje</v>
      </c>
      <c r="B211" s="9" t="n">
        <f aca="false">(parametros_manuales!$D$39*(datos_base!$I$2+IF(parametros_manuales!$H$39="Todos",datos_base!$I$9,0))*parametros_manuales!$B$95+parametros_manuales!$D$39*(datos_base!$I$18+IF(parametros_manuales!$H$39="Todos",datos_base!$I$23,0))*parametros_manuales!$B$12+parametros_manuales!$E$39*(datos_base!$I$3+IF(parametros_manuales!$H$39="Todos",datos_base!$I$10,0))*parametros_manuales!$B$100+parametros_manuales!$E$39*(datos_base!$I$19+IF(parametros_manuales!$H$39="Todos",datos_base!$I$24,0))*parametros_manuales!$B$13+parametros_manuales!$F$39*(datos_base!$I$4+IF(parametros_manuales!$H$39="Todos",datos_base!$I$11,0))*parametros_manuales!$B$105+parametros_manuales!$F$39*(datos_base!$I$20+IF(parametros_manuales!$H$39="Todos",datos_base!$I$25,0))*parametros_manuales!$B$14+parametros_manuales!$G$39*(datos_base!$I$5+IF(parametros_manuales!$H$39="Todos",datos_base!$I$12,0))*parametros_manuales!$B$110+parametros_manuales!$G$39*(datos_base!$I$21+IF(parametros_manuales!$H$39="Todos",datos_base!$I$26,0))*parametros_manuales!$B$15)*parametros_manuales!$I$39*parametros_manuales!$J$39</f>
        <v>4956.74946241</v>
      </c>
      <c r="C211" s="9" t="n">
        <f aca="false">(parametros_manuales!$D$39*(datos_base!$I$2+IF(parametros_manuales!$H$39="Todos",datos_base!$I$9,0))*parametros_manuales!$C$95+parametros_manuales!$D$39*(datos_base!$I$18+IF(parametros_manuales!$H$39="Todos",datos_base!$I$23,0))*parametros_manuales!$C$12+parametros_manuales!$E$39*(datos_base!$I$3+IF(parametros_manuales!$H$39="Todos",datos_base!$I$10,0))*parametros_manuales!$C$100+parametros_manuales!$E$39*(datos_base!$I$19+IF(parametros_manuales!$H$39="Todos",datos_base!$I$24,0))*parametros_manuales!$C$13+parametros_manuales!$F$39*(datos_base!$I$4+IF(parametros_manuales!$H$39="Todos",datos_base!$I$11,0))*parametros_manuales!$C$105+parametros_manuales!$F$39*(datos_base!$I$20+IF(parametros_manuales!$H$39="Todos",datos_base!$I$25,0))*parametros_manuales!$C$14+parametros_manuales!$G$39*(datos_base!$I$5+IF(parametros_manuales!$H$39="Todos",datos_base!$I$12,0))*parametros_manuales!$C$110+parametros_manuales!$G$39*(datos_base!$I$21+IF(parametros_manuales!$H$39="Todos",datos_base!$I$26,0))*parametros_manuales!$C$15)*parametros_manuales!$I$39*parametros_manuales!$J$39</f>
        <v>4656.72048472</v>
      </c>
      <c r="D211" s="9" t="n">
        <f aca="false">(parametros_manuales!$D$39*(datos_base!$I$2+IF(parametros_manuales!$H$39="Todos",datos_base!$I$9,0))*parametros_manuales!$D$95+parametros_manuales!$D$39*(datos_base!$I$18+IF(parametros_manuales!$H$39="Todos",datos_base!$I$23,0))*parametros_manuales!$D$12+parametros_manuales!$E$39*(datos_base!$I$3+IF(parametros_manuales!$H$39="Todos",datos_base!$I$10,0))*parametros_manuales!$D$100+parametros_manuales!$E$39*(datos_base!$I$19+IF(parametros_manuales!$H$39="Todos",datos_base!$I$24,0))*parametros_manuales!$D$13+parametros_manuales!$F$39*(datos_base!$I$4+IF(parametros_manuales!$H$39="Todos",datos_base!$I$11,0))*parametros_manuales!$D$105+parametros_manuales!$F$39*(datos_base!$I$20+IF(parametros_manuales!$H$39="Todos",datos_base!$I$25,0))*parametros_manuales!$D$14+parametros_manuales!$G$39*(datos_base!$I$5+IF(parametros_manuales!$H$39="Todos",datos_base!$I$12,0))*parametros_manuales!$D$110+parametros_manuales!$G$39*(datos_base!$I$21+IF(parametros_manuales!$H$39="Todos",datos_base!$I$26,0))*parametros_manuales!$D$15)*parametros_manuales!$I$39*parametros_manuales!$J$39</f>
        <v>4555.076788765</v>
      </c>
      <c r="E211" s="9" t="n">
        <f aca="false">(parametros_manuales!$D$39*(datos_base!$I$2+IF(parametros_manuales!$H$39="Todos",datos_base!$I$9,0))*parametros_manuales!$E$95+parametros_manuales!$D$39*(datos_base!$I$18+IF(parametros_manuales!$H$39="Todos",datos_base!$I$23,0))*parametros_manuales!$E$12+parametros_manuales!$E$39*(datos_base!$I$3+IF(parametros_manuales!$H$39="Todos",datos_base!$I$10,0))*parametros_manuales!$E$100+parametros_manuales!$E$39*(datos_base!$I$19+IF(parametros_manuales!$H$39="Todos",datos_base!$I$24,0))*parametros_manuales!$E$13+parametros_manuales!$F$39*(datos_base!$I$4+IF(parametros_manuales!$H$39="Todos",datos_base!$I$11,0))*parametros_manuales!$E$105+parametros_manuales!$F$39*(datos_base!$I$20+IF(parametros_manuales!$H$39="Todos",datos_base!$I$25,0))*parametros_manuales!$E$14+parametros_manuales!$G$39*(datos_base!$I$5+IF(parametros_manuales!$H$39="Todos",datos_base!$I$12,0))*parametros_manuales!$E$110+parametros_manuales!$G$39*(datos_base!$I$21+IF(parametros_manuales!$H$39="Todos",datos_base!$I$26,0))*parametros_manuales!$E$15)*parametros_manuales!$I$39*parametros_manuales!$J$39</f>
        <v>4429.416396365</v>
      </c>
      <c r="F211" s="9" t="n">
        <f aca="false">(parametros_manuales!$D$39*(datos_base!$I$2+IF(parametros_manuales!$H$39="Todos",datos_base!$I$9,0))*parametros_manuales!$F$95+parametros_manuales!$D$39*(datos_base!$I$18+IF(parametros_manuales!$H$39="Todos",datos_base!$I$23,0))*parametros_manuales!$F$12+parametros_manuales!$E$39*(datos_base!$I$3+IF(parametros_manuales!$H$39="Todos",datos_base!$I$10,0))*parametros_manuales!$F$100+parametros_manuales!$E$39*(datos_base!$I$19+IF(parametros_manuales!$H$39="Todos",datos_base!$I$24,0))*parametros_manuales!$F$13+parametros_manuales!$F$39*(datos_base!$I$4+IF(parametros_manuales!$H$39="Todos",datos_base!$I$11,0))*parametros_manuales!$F$105+parametros_manuales!$F$39*(datos_base!$I$20+IF(parametros_manuales!$H$39="Todos",datos_base!$I$25,0))*parametros_manuales!$F$14+parametros_manuales!$G$39*(datos_base!$I$5+IF(parametros_manuales!$H$39="Todos",datos_base!$I$12,0))*parametros_manuales!$F$110+parametros_manuales!$G$39*(datos_base!$I$21+IF(parametros_manuales!$H$39="Todos",datos_base!$I$26,0))*parametros_manuales!$F$15)*parametros_manuales!$I$39*parametros_manuales!$J$39</f>
        <v>4154.07891512</v>
      </c>
      <c r="G211" s="9" t="n">
        <f aca="false">(parametros_manuales!$D$39*(datos_base!$I$2+IF(parametros_manuales!$H$39="Todos",datos_base!$I$9,0))*parametros_manuales!$G$95+parametros_manuales!$D$39*(datos_base!$I$18+IF(parametros_manuales!$H$39="Todos",datos_base!$I$23,0))*parametros_manuales!$G$12+parametros_manuales!$E$39*(datos_base!$I$3+IF(parametros_manuales!$H$39="Todos",datos_base!$I$10,0))*parametros_manuales!$G$100+parametros_manuales!$E$39*(datos_base!$I$19+IF(parametros_manuales!$H$39="Todos",datos_base!$I$24,0))*parametros_manuales!$G$13+parametros_manuales!$F$39*(datos_base!$I$4+IF(parametros_manuales!$H$39="Todos",datos_base!$I$11,0))*parametros_manuales!$G$105+parametros_manuales!$F$39*(datos_base!$I$20+IF(parametros_manuales!$H$39="Todos",datos_base!$I$25,0))*parametros_manuales!$G$14+parametros_manuales!$G$39*(datos_base!$I$5+IF(parametros_manuales!$H$39="Todos",datos_base!$I$12,0))*parametros_manuales!$G$110+parametros_manuales!$G$39*(datos_base!$I$21+IF(parametros_manuales!$H$39="Todos",datos_base!$I$26,0))*parametros_manuales!$G$15)*parametros_manuales!$I$39*parametros_manuales!$J$39</f>
        <v>4004.401826275</v>
      </c>
      <c r="H211" s="9" t="n">
        <f aca="false">(parametros_manuales!$D$39*(datos_base!$I$2+IF(parametros_manuales!$H$39="Todos",datos_base!$I$9,0))*parametros_manuales!$H$95+parametros_manuales!$D$39*(datos_base!$I$18+IF(parametros_manuales!$H$39="Todos",datos_base!$I$23,0))*parametros_manuales!$H$12+parametros_manuales!$E$39*(datos_base!$I$3+IF(parametros_manuales!$H$39="Todos",datos_base!$I$10,0))*parametros_manuales!$H$100+parametros_manuales!$E$39*(datos_base!$I$19+IF(parametros_manuales!$H$39="Todos",datos_base!$I$24,0))*parametros_manuales!$H$13+parametros_manuales!$F$39*(datos_base!$I$4+IF(parametros_manuales!$H$39="Todos",datos_base!$I$11,0))*parametros_manuales!$H$105+parametros_manuales!$F$39*(datos_base!$I$20+IF(parametros_manuales!$H$39="Todos",datos_base!$I$25,0))*parametros_manuales!$H$14+parametros_manuales!$G$39*(datos_base!$I$5+IF(parametros_manuales!$H$39="Todos",datos_base!$I$12,0))*parametros_manuales!$H$110+parametros_manuales!$G$39*(datos_base!$I$21+IF(parametros_manuales!$H$39="Todos",datos_base!$I$26,0))*parametros_manuales!$H$15)*parametros_manuales!$I$39*parametros_manuales!$J$39</f>
        <v>4279.73930752</v>
      </c>
      <c r="I211" s="9" t="n">
        <f aca="false">(parametros_manuales!$D$39*(datos_base!$I$2+IF(parametros_manuales!$H$39="Todos",datos_base!$I$9,0))*parametros_manuales!$I$95+parametros_manuales!$D$39*(datos_base!$I$18+IF(parametros_manuales!$H$39="Todos",datos_base!$I$23,0))*parametros_manuales!$I$12+parametros_manuales!$E$39*(datos_base!$I$3+IF(parametros_manuales!$H$39="Todos",datos_base!$I$10,0))*parametros_manuales!$I$100+parametros_manuales!$E$39*(datos_base!$I$19+IF(parametros_manuales!$H$39="Todos",datos_base!$I$24,0))*parametros_manuales!$I$13+parametros_manuales!$F$39*(datos_base!$I$4+IF(parametros_manuales!$H$39="Todos",datos_base!$I$11,0))*parametros_manuales!$I$105+parametros_manuales!$F$39*(datos_base!$I$20+IF(parametros_manuales!$H$39="Todos",datos_base!$I$25,0))*parametros_manuales!$I$14+parametros_manuales!$G$39*(datos_base!$I$5+IF(parametros_manuales!$H$39="Todos",datos_base!$I$12,0))*parametros_manuales!$I$110+parametros_manuales!$G$39*(datos_base!$I$21+IF(parametros_manuales!$H$39="Todos",datos_base!$I$26,0))*parametros_manuales!$I$15)*parametros_manuales!$I$39*parametros_manuales!$J$39</f>
        <v>4656.72048472</v>
      </c>
      <c r="J211" s="9" t="n">
        <f aca="false">(parametros_manuales!$D$39*(datos_base!$I$2+IF(parametros_manuales!$H$39="Todos",datos_base!$I$9,0))*parametros_manuales!$J$95+parametros_manuales!$D$39*(datos_base!$I$18+IF(parametros_manuales!$H$39="Todos",datos_base!$I$23,0))*parametros_manuales!$J$12+parametros_manuales!$E$39*(datos_base!$I$3+IF(parametros_manuales!$H$39="Todos",datos_base!$I$10,0))*parametros_manuales!$J$100+parametros_manuales!$E$39*(datos_base!$I$19+IF(parametros_manuales!$H$39="Todos",datos_base!$I$24,0))*parametros_manuales!$J$13+parametros_manuales!$F$39*(datos_base!$I$4+IF(parametros_manuales!$H$39="Todos",datos_base!$I$11,0))*parametros_manuales!$J$105+parametros_manuales!$F$39*(datos_base!$I$20+IF(parametros_manuales!$H$39="Todos",datos_base!$I$25,0))*parametros_manuales!$J$14+parametros_manuales!$G$39*(datos_base!$I$5+IF(parametros_manuales!$H$39="Todos",datos_base!$I$12,0))*parametros_manuales!$J$110+parametros_manuales!$G$39*(datos_base!$I$21+IF(parametros_manuales!$H$39="Todos",datos_base!$I$26,0))*parametros_manuales!$J$15)*parametros_manuales!$I$39*parametros_manuales!$J$39</f>
        <v>4656.72048472</v>
      </c>
      <c r="K211" s="9" t="n">
        <f aca="false">(parametros_manuales!$D$39*(datos_base!$I$2+IF(parametros_manuales!$H$39="Todos",datos_base!$I$9,0))*parametros_manuales!$K$95+parametros_manuales!$D$39*(datos_base!$I$18+IF(parametros_manuales!$H$39="Todos",datos_base!$I$23,0))*parametros_manuales!$K$12+parametros_manuales!$E$39*(datos_base!$I$3+IF(parametros_manuales!$H$39="Todos",datos_base!$I$10,0))*parametros_manuales!$K$100+parametros_manuales!$E$39*(datos_base!$I$19+IF(parametros_manuales!$H$39="Todos",datos_base!$I$24,0))*parametros_manuales!$K$13+parametros_manuales!$F$39*(datos_base!$I$4+IF(parametros_manuales!$H$39="Todos",datos_base!$I$11,0))*parametros_manuales!$K$105+parametros_manuales!$F$39*(datos_base!$I$20+IF(parametros_manuales!$H$39="Todos",datos_base!$I$25,0))*parametros_manuales!$K$14+parametros_manuales!$G$39*(datos_base!$I$5+IF(parametros_manuales!$H$39="Todos",datos_base!$I$12,0))*parametros_manuales!$K$110+parametros_manuales!$G$39*(datos_base!$I$21+IF(parametros_manuales!$H$39="Todos",datos_base!$I$26,0))*parametros_manuales!$K$15)*parametros_manuales!$I$39*parametros_manuales!$J$39</f>
        <v>4805.722773565</v>
      </c>
      <c r="L211" s="9" t="n">
        <f aca="false">(parametros_manuales!$D$39*(datos_base!$I$2+IF(parametros_manuales!$H$39="Todos",datos_base!$I$9,0))*parametros_manuales!$L$95+parametros_manuales!$D$39*(datos_base!$I$18+IF(parametros_manuales!$H$39="Todos",datos_base!$I$23,0))*parametros_manuales!$L$12+parametros_manuales!$E$39*(datos_base!$I$3+IF(parametros_manuales!$H$39="Todos",datos_base!$I$10,0))*parametros_manuales!$L$100+parametros_manuales!$E$39*(datos_base!$I$19+IF(parametros_manuales!$H$39="Todos",datos_base!$I$24,0))*parametros_manuales!$L$13+parametros_manuales!$F$39*(datos_base!$I$4+IF(parametros_manuales!$H$39="Todos",datos_base!$I$11,0))*parametros_manuales!$L$105+parametros_manuales!$F$39*(datos_base!$I$20+IF(parametros_manuales!$H$39="Todos",datos_base!$I$25,0))*parametros_manuales!$L$14+parametros_manuales!$G$39*(datos_base!$I$5+IF(parametros_manuales!$H$39="Todos",datos_base!$I$12,0))*parametros_manuales!$L$110+parametros_manuales!$G$39*(datos_base!$I$21+IF(parametros_manuales!$H$39="Todos",datos_base!$I$26,0))*parametros_manuales!$L$15)*parametros_manuales!$I$39*parametros_manuales!$J$39</f>
        <v>4954.72506241</v>
      </c>
      <c r="M211" s="9" t="n">
        <f aca="false">(parametros_manuales!$D$39*(datos_base!$I$2+IF(parametros_manuales!$H$39="Todos",datos_base!$I$9,0))*parametros_manuales!$M$95+parametros_manuales!$D$39*(datos_base!$I$18+IF(parametros_manuales!$H$39="Todos",datos_base!$I$23,0))*parametros_manuales!$M$12+parametros_manuales!$E$39*(datos_base!$I$3+IF(parametros_manuales!$H$39="Todos",datos_base!$I$10,0))*parametros_manuales!$M$100+parametros_manuales!$E$39*(datos_base!$I$19+IF(parametros_manuales!$H$39="Todos",datos_base!$I$24,0))*parametros_manuales!$M$13+parametros_manuales!$F$39*(datos_base!$I$4+IF(parametros_manuales!$H$39="Todos",datos_base!$I$11,0))*parametros_manuales!$M$105+parametros_manuales!$F$39*(datos_base!$I$20+IF(parametros_manuales!$H$39="Todos",datos_base!$I$25,0))*parametros_manuales!$M$14+parametros_manuales!$G$39*(datos_base!$I$5+IF(parametros_manuales!$H$39="Todos",datos_base!$I$12,0))*parametros_manuales!$M$110+parametros_manuales!$G$39*(datos_base!$I$21+IF(parametros_manuales!$H$39="Todos",datos_base!$I$26,0))*parametros_manuales!$M$15)*parametros_manuales!$I$39*parametros_manuales!$J$39</f>
        <v>4957.42426241</v>
      </c>
      <c r="N211" s="9" t="n">
        <f aca="false">SUM(B211:M211)</f>
        <v>55067.496249</v>
      </c>
      <c r="O211" s="9" t="n">
        <f aca="false">MAX(B211:M211)</f>
        <v>4957.42426241</v>
      </c>
      <c r="P211" s="44" t="n">
        <f aca="false">O211/(parametros_manuales!$B$7)</f>
        <v>33.0494950827333</v>
      </c>
      <c r="Q211" s="8" t="str">
        <f aca="false">IF(O211=0,"-",INDEX($B$190:$M$190,MATCH(O211,B211:M211,0)))</f>
        <v>Dic</v>
      </c>
    </row>
    <row r="212" customFormat="false" ht="14.25" hidden="false" customHeight="true" outlineLevel="0" collapsed="false">
      <c r="A212" s="8" t="str">
        <f aca="false">parametros_manuales!$B$40</f>
        <v>Presurización</v>
      </c>
      <c r="B212" s="9" t="n">
        <f aca="false">(parametros_manuales!$D$40*(datos_base!$I$2+IF(parametros_manuales!$H$40="Todos",datos_base!$I$9,0))*parametros_manuales!$B$95+parametros_manuales!$D$40*(datos_base!$I$18+IF(parametros_manuales!$H$40="Todos",datos_base!$I$23,0))*parametros_manuales!$B$12+parametros_manuales!$E$40*(datos_base!$I$3+IF(parametros_manuales!$H$40="Todos",datos_base!$I$10,0))*parametros_manuales!$B$100+parametros_manuales!$E$40*(datos_base!$I$19+IF(parametros_manuales!$H$40="Todos",datos_base!$I$24,0))*parametros_manuales!$B$13+parametros_manuales!$F$40*(datos_base!$I$4+IF(parametros_manuales!$H$40="Todos",datos_base!$I$11,0))*parametros_manuales!$B$105+parametros_manuales!$F$40*(datos_base!$I$20+IF(parametros_manuales!$H$40="Todos",datos_base!$I$25,0))*parametros_manuales!$B$14+parametros_manuales!$G$40*(datos_base!$I$5+IF(parametros_manuales!$H$40="Todos",datos_base!$I$12,0))*parametros_manuales!$B$110+parametros_manuales!$G$40*(datos_base!$I$21+IF(parametros_manuales!$H$40="Todos",datos_base!$I$26,0))*parametros_manuales!$B$15)*parametros_manuales!$I$40*parametros_manuales!$J$40</f>
        <v>4956.74946241</v>
      </c>
      <c r="C212" s="9" t="n">
        <f aca="false">(parametros_manuales!$D$40*(datos_base!$I$2+IF(parametros_manuales!$H$40="Todos",datos_base!$I$9,0))*parametros_manuales!$C$95+parametros_manuales!$D$40*(datos_base!$I$18+IF(parametros_manuales!$H$40="Todos",datos_base!$I$23,0))*parametros_manuales!$C$12+parametros_manuales!$E$40*(datos_base!$I$3+IF(parametros_manuales!$H$40="Todos",datos_base!$I$10,0))*parametros_manuales!$C$100+parametros_manuales!$E$40*(datos_base!$I$19+IF(parametros_manuales!$H$40="Todos",datos_base!$I$24,0))*parametros_manuales!$C$13+parametros_manuales!$F$40*(datos_base!$I$4+IF(parametros_manuales!$H$40="Todos",datos_base!$I$11,0))*parametros_manuales!$C$105+parametros_manuales!$F$40*(datos_base!$I$20+IF(parametros_manuales!$H$40="Todos",datos_base!$I$25,0))*parametros_manuales!$C$14+parametros_manuales!$G$40*(datos_base!$I$5+IF(parametros_manuales!$H$40="Todos",datos_base!$I$12,0))*parametros_manuales!$C$110+parametros_manuales!$G$40*(datos_base!$I$21+IF(parametros_manuales!$H$40="Todos",datos_base!$I$26,0))*parametros_manuales!$C$15)*parametros_manuales!$I$40*parametros_manuales!$J$40</f>
        <v>4656.72048472</v>
      </c>
      <c r="D212" s="9" t="n">
        <f aca="false">(parametros_manuales!$D$40*(datos_base!$I$2+IF(parametros_manuales!$H$40="Todos",datos_base!$I$9,0))*parametros_manuales!$D$95+parametros_manuales!$D$40*(datos_base!$I$18+IF(parametros_manuales!$H$40="Todos",datos_base!$I$23,0))*parametros_manuales!$D$12+parametros_manuales!$E$40*(datos_base!$I$3+IF(parametros_manuales!$H$40="Todos",datos_base!$I$10,0))*parametros_manuales!$D$100+parametros_manuales!$E$40*(datos_base!$I$19+IF(parametros_manuales!$H$40="Todos",datos_base!$I$24,0))*parametros_manuales!$D$13+parametros_manuales!$F$40*(datos_base!$I$4+IF(parametros_manuales!$H$40="Todos",datos_base!$I$11,0))*parametros_manuales!$D$105+parametros_manuales!$F$40*(datos_base!$I$20+IF(parametros_manuales!$H$40="Todos",datos_base!$I$25,0))*parametros_manuales!$D$14+parametros_manuales!$G$40*(datos_base!$I$5+IF(parametros_manuales!$H$40="Todos",datos_base!$I$12,0))*parametros_manuales!$D$110+parametros_manuales!$G$40*(datos_base!$I$21+IF(parametros_manuales!$H$40="Todos",datos_base!$I$26,0))*parametros_manuales!$D$15)*parametros_manuales!$I$40*parametros_manuales!$J$40</f>
        <v>4555.076788765</v>
      </c>
      <c r="E212" s="9" t="n">
        <f aca="false">(parametros_manuales!$D$40*(datos_base!$I$2+IF(parametros_manuales!$H$40="Todos",datos_base!$I$9,0))*parametros_manuales!$E$95+parametros_manuales!$D$40*(datos_base!$I$18+IF(parametros_manuales!$H$40="Todos",datos_base!$I$23,0))*parametros_manuales!$E$12+parametros_manuales!$E$40*(datos_base!$I$3+IF(parametros_manuales!$H$40="Todos",datos_base!$I$10,0))*parametros_manuales!$E$100+parametros_manuales!$E$40*(datos_base!$I$19+IF(parametros_manuales!$H$40="Todos",datos_base!$I$24,0))*parametros_manuales!$E$13+parametros_manuales!$F$40*(datos_base!$I$4+IF(parametros_manuales!$H$40="Todos",datos_base!$I$11,0))*parametros_manuales!$E$105+parametros_manuales!$F$40*(datos_base!$I$20+IF(parametros_manuales!$H$40="Todos",datos_base!$I$25,0))*parametros_manuales!$E$14+parametros_manuales!$G$40*(datos_base!$I$5+IF(parametros_manuales!$H$40="Todos",datos_base!$I$12,0))*parametros_manuales!$E$110+parametros_manuales!$G$40*(datos_base!$I$21+IF(parametros_manuales!$H$40="Todos",datos_base!$I$26,0))*parametros_manuales!$E$15)*parametros_manuales!$I$40*parametros_manuales!$J$40</f>
        <v>4429.416396365</v>
      </c>
      <c r="F212" s="9" t="n">
        <f aca="false">(parametros_manuales!$D$40*(datos_base!$I$2+IF(parametros_manuales!$H$40="Todos",datos_base!$I$9,0))*parametros_manuales!$F$95+parametros_manuales!$D$40*(datos_base!$I$18+IF(parametros_manuales!$H$40="Todos",datos_base!$I$23,0))*parametros_manuales!$F$12+parametros_manuales!$E$40*(datos_base!$I$3+IF(parametros_manuales!$H$40="Todos",datos_base!$I$10,0))*parametros_manuales!$F$100+parametros_manuales!$E$40*(datos_base!$I$19+IF(parametros_manuales!$H$40="Todos",datos_base!$I$24,0))*parametros_manuales!$F$13+parametros_manuales!$F$40*(datos_base!$I$4+IF(parametros_manuales!$H$40="Todos",datos_base!$I$11,0))*parametros_manuales!$F$105+parametros_manuales!$F$40*(datos_base!$I$20+IF(parametros_manuales!$H$40="Todos",datos_base!$I$25,0))*parametros_manuales!$F$14+parametros_manuales!$G$40*(datos_base!$I$5+IF(parametros_manuales!$H$40="Todos",datos_base!$I$12,0))*parametros_manuales!$F$110+parametros_manuales!$G$40*(datos_base!$I$21+IF(parametros_manuales!$H$40="Todos",datos_base!$I$26,0))*parametros_manuales!$F$15)*parametros_manuales!$I$40*parametros_manuales!$J$40</f>
        <v>4154.07891512</v>
      </c>
      <c r="G212" s="9" t="n">
        <f aca="false">(parametros_manuales!$D$40*(datos_base!$I$2+IF(parametros_manuales!$H$40="Todos",datos_base!$I$9,0))*parametros_manuales!$G$95+parametros_manuales!$D$40*(datos_base!$I$18+IF(parametros_manuales!$H$40="Todos",datos_base!$I$23,0))*parametros_manuales!$G$12+parametros_manuales!$E$40*(datos_base!$I$3+IF(parametros_manuales!$H$40="Todos",datos_base!$I$10,0))*parametros_manuales!$G$100+parametros_manuales!$E$40*(datos_base!$I$19+IF(parametros_manuales!$H$40="Todos",datos_base!$I$24,0))*parametros_manuales!$G$13+parametros_manuales!$F$40*(datos_base!$I$4+IF(parametros_manuales!$H$40="Todos",datos_base!$I$11,0))*parametros_manuales!$G$105+parametros_manuales!$F$40*(datos_base!$I$20+IF(parametros_manuales!$H$40="Todos",datos_base!$I$25,0))*parametros_manuales!$G$14+parametros_manuales!$G$40*(datos_base!$I$5+IF(parametros_manuales!$H$40="Todos",datos_base!$I$12,0))*parametros_manuales!$G$110+parametros_manuales!$G$40*(datos_base!$I$21+IF(parametros_manuales!$H$40="Todos",datos_base!$I$26,0))*parametros_manuales!$G$15)*parametros_manuales!$I$40*parametros_manuales!$J$40</f>
        <v>4004.401826275</v>
      </c>
      <c r="H212" s="9" t="n">
        <f aca="false">(parametros_manuales!$D$40*(datos_base!$I$2+IF(parametros_manuales!$H$40="Todos",datos_base!$I$9,0))*parametros_manuales!$H$95+parametros_manuales!$D$40*(datos_base!$I$18+IF(parametros_manuales!$H$40="Todos",datos_base!$I$23,0))*parametros_manuales!$H$12+parametros_manuales!$E$40*(datos_base!$I$3+IF(parametros_manuales!$H$40="Todos",datos_base!$I$10,0))*parametros_manuales!$H$100+parametros_manuales!$E$40*(datos_base!$I$19+IF(parametros_manuales!$H$40="Todos",datos_base!$I$24,0))*parametros_manuales!$H$13+parametros_manuales!$F$40*(datos_base!$I$4+IF(parametros_manuales!$H$40="Todos",datos_base!$I$11,0))*parametros_manuales!$H$105+parametros_manuales!$F$40*(datos_base!$I$20+IF(parametros_manuales!$H$40="Todos",datos_base!$I$25,0))*parametros_manuales!$H$14+parametros_manuales!$G$40*(datos_base!$I$5+IF(parametros_manuales!$H$40="Todos",datos_base!$I$12,0))*parametros_manuales!$H$110+parametros_manuales!$G$40*(datos_base!$I$21+IF(parametros_manuales!$H$40="Todos",datos_base!$I$26,0))*parametros_manuales!$H$15)*parametros_manuales!$I$40*parametros_manuales!$J$40</f>
        <v>4279.73930752</v>
      </c>
      <c r="I212" s="9" t="n">
        <f aca="false">(parametros_manuales!$D$40*(datos_base!$I$2+IF(parametros_manuales!$H$40="Todos",datos_base!$I$9,0))*parametros_manuales!$I$95+parametros_manuales!$D$40*(datos_base!$I$18+IF(parametros_manuales!$H$40="Todos",datos_base!$I$23,0))*parametros_manuales!$I$12+parametros_manuales!$E$40*(datos_base!$I$3+IF(parametros_manuales!$H$40="Todos",datos_base!$I$10,0))*parametros_manuales!$I$100+parametros_manuales!$E$40*(datos_base!$I$19+IF(parametros_manuales!$H$40="Todos",datos_base!$I$24,0))*parametros_manuales!$I$13+parametros_manuales!$F$40*(datos_base!$I$4+IF(parametros_manuales!$H$40="Todos",datos_base!$I$11,0))*parametros_manuales!$I$105+parametros_manuales!$F$40*(datos_base!$I$20+IF(parametros_manuales!$H$40="Todos",datos_base!$I$25,0))*parametros_manuales!$I$14+parametros_manuales!$G$40*(datos_base!$I$5+IF(parametros_manuales!$H$40="Todos",datos_base!$I$12,0))*parametros_manuales!$I$110+parametros_manuales!$G$40*(datos_base!$I$21+IF(parametros_manuales!$H$40="Todos",datos_base!$I$26,0))*parametros_manuales!$I$15)*parametros_manuales!$I$40*parametros_manuales!$J$40</f>
        <v>4656.72048472</v>
      </c>
      <c r="J212" s="9" t="n">
        <f aca="false">(parametros_manuales!$D$40*(datos_base!$I$2+IF(parametros_manuales!$H$40="Todos",datos_base!$I$9,0))*parametros_manuales!$J$95+parametros_manuales!$D$40*(datos_base!$I$18+IF(parametros_manuales!$H$40="Todos",datos_base!$I$23,0))*parametros_manuales!$J$12+parametros_manuales!$E$40*(datos_base!$I$3+IF(parametros_manuales!$H$40="Todos",datos_base!$I$10,0))*parametros_manuales!$J$100+parametros_manuales!$E$40*(datos_base!$I$19+IF(parametros_manuales!$H$40="Todos",datos_base!$I$24,0))*parametros_manuales!$J$13+parametros_manuales!$F$40*(datos_base!$I$4+IF(parametros_manuales!$H$40="Todos",datos_base!$I$11,0))*parametros_manuales!$J$105+parametros_manuales!$F$40*(datos_base!$I$20+IF(parametros_manuales!$H$40="Todos",datos_base!$I$25,0))*parametros_manuales!$J$14+parametros_manuales!$G$40*(datos_base!$I$5+IF(parametros_manuales!$H$40="Todos",datos_base!$I$12,0))*parametros_manuales!$J$110+parametros_manuales!$G$40*(datos_base!$I$21+IF(parametros_manuales!$H$40="Todos",datos_base!$I$26,0))*parametros_manuales!$J$15)*parametros_manuales!$I$40*parametros_manuales!$J$40</f>
        <v>4656.72048472</v>
      </c>
      <c r="K212" s="9" t="n">
        <f aca="false">(parametros_manuales!$D$40*(datos_base!$I$2+IF(parametros_manuales!$H$40="Todos",datos_base!$I$9,0))*parametros_manuales!$K$95+parametros_manuales!$D$40*(datos_base!$I$18+IF(parametros_manuales!$H$40="Todos",datos_base!$I$23,0))*parametros_manuales!$K$12+parametros_manuales!$E$40*(datos_base!$I$3+IF(parametros_manuales!$H$40="Todos",datos_base!$I$10,0))*parametros_manuales!$K$100+parametros_manuales!$E$40*(datos_base!$I$19+IF(parametros_manuales!$H$40="Todos",datos_base!$I$24,0))*parametros_manuales!$K$13+parametros_manuales!$F$40*(datos_base!$I$4+IF(parametros_manuales!$H$40="Todos",datos_base!$I$11,0))*parametros_manuales!$K$105+parametros_manuales!$F$40*(datos_base!$I$20+IF(parametros_manuales!$H$40="Todos",datos_base!$I$25,0))*parametros_manuales!$K$14+parametros_manuales!$G$40*(datos_base!$I$5+IF(parametros_manuales!$H$40="Todos",datos_base!$I$12,0))*parametros_manuales!$K$110+parametros_manuales!$G$40*(datos_base!$I$21+IF(parametros_manuales!$H$40="Todos",datos_base!$I$26,0))*parametros_manuales!$K$15)*parametros_manuales!$I$40*parametros_manuales!$J$40</f>
        <v>4805.722773565</v>
      </c>
      <c r="L212" s="9" t="n">
        <f aca="false">(parametros_manuales!$D$40*(datos_base!$I$2+IF(parametros_manuales!$H$40="Todos",datos_base!$I$9,0))*parametros_manuales!$L$95+parametros_manuales!$D$40*(datos_base!$I$18+IF(parametros_manuales!$H$40="Todos",datos_base!$I$23,0))*parametros_manuales!$L$12+parametros_manuales!$E$40*(datos_base!$I$3+IF(parametros_manuales!$H$40="Todos",datos_base!$I$10,0))*parametros_manuales!$L$100+parametros_manuales!$E$40*(datos_base!$I$19+IF(parametros_manuales!$H$40="Todos",datos_base!$I$24,0))*parametros_manuales!$L$13+parametros_manuales!$F$40*(datos_base!$I$4+IF(parametros_manuales!$H$40="Todos",datos_base!$I$11,0))*parametros_manuales!$L$105+parametros_manuales!$F$40*(datos_base!$I$20+IF(parametros_manuales!$H$40="Todos",datos_base!$I$25,0))*parametros_manuales!$L$14+parametros_manuales!$G$40*(datos_base!$I$5+IF(parametros_manuales!$H$40="Todos",datos_base!$I$12,0))*parametros_manuales!$L$110+parametros_manuales!$G$40*(datos_base!$I$21+IF(parametros_manuales!$H$40="Todos",datos_base!$I$26,0))*parametros_manuales!$L$15)*parametros_manuales!$I$40*parametros_manuales!$J$40</f>
        <v>4954.72506241</v>
      </c>
      <c r="M212" s="9" t="n">
        <f aca="false">(parametros_manuales!$D$40*(datos_base!$I$2+IF(parametros_manuales!$H$40="Todos",datos_base!$I$9,0))*parametros_manuales!$M$95+parametros_manuales!$D$40*(datos_base!$I$18+IF(parametros_manuales!$H$40="Todos",datos_base!$I$23,0))*parametros_manuales!$M$12+parametros_manuales!$E$40*(datos_base!$I$3+IF(parametros_manuales!$H$40="Todos",datos_base!$I$10,0))*parametros_manuales!$M$100+parametros_manuales!$E$40*(datos_base!$I$19+IF(parametros_manuales!$H$40="Todos",datos_base!$I$24,0))*parametros_manuales!$M$13+parametros_manuales!$F$40*(datos_base!$I$4+IF(parametros_manuales!$H$40="Todos",datos_base!$I$11,0))*parametros_manuales!$M$105+parametros_manuales!$F$40*(datos_base!$I$20+IF(parametros_manuales!$H$40="Todos",datos_base!$I$25,0))*parametros_manuales!$M$14+parametros_manuales!$G$40*(datos_base!$I$5+IF(parametros_manuales!$H$40="Todos",datos_base!$I$12,0))*parametros_manuales!$M$110+parametros_manuales!$G$40*(datos_base!$I$21+IF(parametros_manuales!$H$40="Todos",datos_base!$I$26,0))*parametros_manuales!$M$15)*parametros_manuales!$I$40*parametros_manuales!$J$40</f>
        <v>4957.42426241</v>
      </c>
      <c r="N212" s="9" t="n">
        <f aca="false">SUM(B212:M212)</f>
        <v>55067.496249</v>
      </c>
      <c r="O212" s="9" t="n">
        <f aca="false">MAX(B212:M212)</f>
        <v>4957.42426241</v>
      </c>
      <c r="P212" s="44" t="n">
        <f aca="false">O212/(parametros_manuales!$B$7)</f>
        <v>33.0494950827333</v>
      </c>
      <c r="Q212" s="8" t="str">
        <f aca="false">IF(O212=0,"-",INDEX($B$190:$M$190,MATCH(O212,B212:M212,0)))</f>
        <v>Dic</v>
      </c>
    </row>
    <row r="213" customFormat="false" ht="14.25" hidden="false" customHeight="true" outlineLevel="0" collapsed="false">
      <c r="A213" s="8" t="str">
        <f aca="false">parametros_manuales!$B$41</f>
        <v>Control de calidad — Ensayo de pérdidas</v>
      </c>
      <c r="B213" s="9" t="n">
        <f aca="false">(parametros_manuales!$D$41*(datos_base!$I$2+IF(parametros_manuales!$H$41="Todos",datos_base!$I$9,0))*parametros_manuales!$B$95+parametros_manuales!$D$41*(datos_base!$I$18+IF(parametros_manuales!$H$41="Todos",datos_base!$I$23,0))*parametros_manuales!$B$12+parametros_manuales!$E$41*(datos_base!$I$3+IF(parametros_manuales!$H$41="Todos",datos_base!$I$10,0))*parametros_manuales!$B$100+parametros_manuales!$E$41*(datos_base!$I$19+IF(parametros_manuales!$H$41="Todos",datos_base!$I$24,0))*parametros_manuales!$B$13+parametros_manuales!$F$41*(datos_base!$I$4+IF(parametros_manuales!$H$41="Todos",datos_base!$I$11,0))*parametros_manuales!$B$105+parametros_manuales!$F$41*(datos_base!$I$20+IF(parametros_manuales!$H$41="Todos",datos_base!$I$25,0))*parametros_manuales!$B$14+parametros_manuales!$G$41*(datos_base!$I$5+IF(parametros_manuales!$H$41="Todos",datos_base!$I$12,0))*parametros_manuales!$B$110+parametros_manuales!$G$41*(datos_base!$I$21+IF(parametros_manuales!$H$41="Todos",datos_base!$I$26,0))*parametros_manuales!$B$15)*parametros_manuales!$I$41*parametros_manuales!$J$41</f>
        <v>4956.74946241</v>
      </c>
      <c r="C213" s="9" t="n">
        <f aca="false">(parametros_manuales!$D$41*(datos_base!$I$2+IF(parametros_manuales!$H$41="Todos",datos_base!$I$9,0))*parametros_manuales!$C$95+parametros_manuales!$D$41*(datos_base!$I$18+IF(parametros_manuales!$H$41="Todos",datos_base!$I$23,0))*parametros_manuales!$C$12+parametros_manuales!$E$41*(datos_base!$I$3+IF(parametros_manuales!$H$41="Todos",datos_base!$I$10,0))*parametros_manuales!$C$100+parametros_manuales!$E$41*(datos_base!$I$19+IF(parametros_manuales!$H$41="Todos",datos_base!$I$24,0))*parametros_manuales!$C$13+parametros_manuales!$F$41*(datos_base!$I$4+IF(parametros_manuales!$H$41="Todos",datos_base!$I$11,0))*parametros_manuales!$C$105+parametros_manuales!$F$41*(datos_base!$I$20+IF(parametros_manuales!$H$41="Todos",datos_base!$I$25,0))*parametros_manuales!$C$14+parametros_manuales!$G$41*(datos_base!$I$5+IF(parametros_manuales!$H$41="Todos",datos_base!$I$12,0))*parametros_manuales!$C$110+parametros_manuales!$G$41*(datos_base!$I$21+IF(parametros_manuales!$H$41="Todos",datos_base!$I$26,0))*parametros_manuales!$C$15)*parametros_manuales!$I$41*parametros_manuales!$J$41</f>
        <v>4656.72048472</v>
      </c>
      <c r="D213" s="9" t="n">
        <f aca="false">(parametros_manuales!$D$41*(datos_base!$I$2+IF(parametros_manuales!$H$41="Todos",datos_base!$I$9,0))*parametros_manuales!$D$95+parametros_manuales!$D$41*(datos_base!$I$18+IF(parametros_manuales!$H$41="Todos",datos_base!$I$23,0))*parametros_manuales!$D$12+parametros_manuales!$E$41*(datos_base!$I$3+IF(parametros_manuales!$H$41="Todos",datos_base!$I$10,0))*parametros_manuales!$D$100+parametros_manuales!$E$41*(datos_base!$I$19+IF(parametros_manuales!$H$41="Todos",datos_base!$I$24,0))*parametros_manuales!$D$13+parametros_manuales!$F$41*(datos_base!$I$4+IF(parametros_manuales!$H$41="Todos",datos_base!$I$11,0))*parametros_manuales!$D$105+parametros_manuales!$F$41*(datos_base!$I$20+IF(parametros_manuales!$H$41="Todos",datos_base!$I$25,0))*parametros_manuales!$D$14+parametros_manuales!$G$41*(datos_base!$I$5+IF(parametros_manuales!$H$41="Todos",datos_base!$I$12,0))*parametros_manuales!$D$110+parametros_manuales!$G$41*(datos_base!$I$21+IF(parametros_manuales!$H$41="Todos",datos_base!$I$26,0))*parametros_manuales!$D$15)*parametros_manuales!$I$41*parametros_manuales!$J$41</f>
        <v>4555.076788765</v>
      </c>
      <c r="E213" s="9" t="n">
        <f aca="false">(parametros_manuales!$D$41*(datos_base!$I$2+IF(parametros_manuales!$H$41="Todos",datos_base!$I$9,0))*parametros_manuales!$E$95+parametros_manuales!$D$41*(datos_base!$I$18+IF(parametros_manuales!$H$41="Todos",datos_base!$I$23,0))*parametros_manuales!$E$12+parametros_manuales!$E$41*(datos_base!$I$3+IF(parametros_manuales!$H$41="Todos",datos_base!$I$10,0))*parametros_manuales!$E$100+parametros_manuales!$E$41*(datos_base!$I$19+IF(parametros_manuales!$H$41="Todos",datos_base!$I$24,0))*parametros_manuales!$E$13+parametros_manuales!$F$41*(datos_base!$I$4+IF(parametros_manuales!$H$41="Todos",datos_base!$I$11,0))*parametros_manuales!$E$105+parametros_manuales!$F$41*(datos_base!$I$20+IF(parametros_manuales!$H$41="Todos",datos_base!$I$25,0))*parametros_manuales!$E$14+parametros_manuales!$G$41*(datos_base!$I$5+IF(parametros_manuales!$H$41="Todos",datos_base!$I$12,0))*parametros_manuales!$E$110+parametros_manuales!$G$41*(datos_base!$I$21+IF(parametros_manuales!$H$41="Todos",datos_base!$I$26,0))*parametros_manuales!$E$15)*parametros_manuales!$I$41*parametros_manuales!$J$41</f>
        <v>4429.416396365</v>
      </c>
      <c r="F213" s="9" t="n">
        <f aca="false">(parametros_manuales!$D$41*(datos_base!$I$2+IF(parametros_manuales!$H$41="Todos",datos_base!$I$9,0))*parametros_manuales!$F$95+parametros_manuales!$D$41*(datos_base!$I$18+IF(parametros_manuales!$H$41="Todos",datos_base!$I$23,0))*parametros_manuales!$F$12+parametros_manuales!$E$41*(datos_base!$I$3+IF(parametros_manuales!$H$41="Todos",datos_base!$I$10,0))*parametros_manuales!$F$100+parametros_manuales!$E$41*(datos_base!$I$19+IF(parametros_manuales!$H$41="Todos",datos_base!$I$24,0))*parametros_manuales!$F$13+parametros_manuales!$F$41*(datos_base!$I$4+IF(parametros_manuales!$H$41="Todos",datos_base!$I$11,0))*parametros_manuales!$F$105+parametros_manuales!$F$41*(datos_base!$I$20+IF(parametros_manuales!$H$41="Todos",datos_base!$I$25,0))*parametros_manuales!$F$14+parametros_manuales!$G$41*(datos_base!$I$5+IF(parametros_manuales!$H$41="Todos",datos_base!$I$12,0))*parametros_manuales!$F$110+parametros_manuales!$G$41*(datos_base!$I$21+IF(parametros_manuales!$H$41="Todos",datos_base!$I$26,0))*parametros_manuales!$F$15)*parametros_manuales!$I$41*parametros_manuales!$J$41</f>
        <v>4154.07891512</v>
      </c>
      <c r="G213" s="9" t="n">
        <f aca="false">(parametros_manuales!$D$41*(datos_base!$I$2+IF(parametros_manuales!$H$41="Todos",datos_base!$I$9,0))*parametros_manuales!$G$95+parametros_manuales!$D$41*(datos_base!$I$18+IF(parametros_manuales!$H$41="Todos",datos_base!$I$23,0))*parametros_manuales!$G$12+parametros_manuales!$E$41*(datos_base!$I$3+IF(parametros_manuales!$H$41="Todos",datos_base!$I$10,0))*parametros_manuales!$G$100+parametros_manuales!$E$41*(datos_base!$I$19+IF(parametros_manuales!$H$41="Todos",datos_base!$I$24,0))*parametros_manuales!$G$13+parametros_manuales!$F$41*(datos_base!$I$4+IF(parametros_manuales!$H$41="Todos",datos_base!$I$11,0))*parametros_manuales!$G$105+parametros_manuales!$F$41*(datos_base!$I$20+IF(parametros_manuales!$H$41="Todos",datos_base!$I$25,0))*parametros_manuales!$G$14+parametros_manuales!$G$41*(datos_base!$I$5+IF(parametros_manuales!$H$41="Todos",datos_base!$I$12,0))*parametros_manuales!$G$110+parametros_manuales!$G$41*(datos_base!$I$21+IF(parametros_manuales!$H$41="Todos",datos_base!$I$26,0))*parametros_manuales!$G$15)*parametros_manuales!$I$41*parametros_manuales!$J$41</f>
        <v>4004.401826275</v>
      </c>
      <c r="H213" s="9" t="n">
        <f aca="false">(parametros_manuales!$D$41*(datos_base!$I$2+IF(parametros_manuales!$H$41="Todos",datos_base!$I$9,0))*parametros_manuales!$H$95+parametros_manuales!$D$41*(datos_base!$I$18+IF(parametros_manuales!$H$41="Todos",datos_base!$I$23,0))*parametros_manuales!$H$12+parametros_manuales!$E$41*(datos_base!$I$3+IF(parametros_manuales!$H$41="Todos",datos_base!$I$10,0))*parametros_manuales!$H$100+parametros_manuales!$E$41*(datos_base!$I$19+IF(parametros_manuales!$H$41="Todos",datos_base!$I$24,0))*parametros_manuales!$H$13+parametros_manuales!$F$41*(datos_base!$I$4+IF(parametros_manuales!$H$41="Todos",datos_base!$I$11,0))*parametros_manuales!$H$105+parametros_manuales!$F$41*(datos_base!$I$20+IF(parametros_manuales!$H$41="Todos",datos_base!$I$25,0))*parametros_manuales!$H$14+parametros_manuales!$G$41*(datos_base!$I$5+IF(parametros_manuales!$H$41="Todos",datos_base!$I$12,0))*parametros_manuales!$H$110+parametros_manuales!$G$41*(datos_base!$I$21+IF(parametros_manuales!$H$41="Todos",datos_base!$I$26,0))*parametros_manuales!$H$15)*parametros_manuales!$I$41*parametros_manuales!$J$41</f>
        <v>4279.73930752</v>
      </c>
      <c r="I213" s="9" t="n">
        <f aca="false">(parametros_manuales!$D$41*(datos_base!$I$2+IF(parametros_manuales!$H$41="Todos",datos_base!$I$9,0))*parametros_manuales!$I$95+parametros_manuales!$D$41*(datos_base!$I$18+IF(parametros_manuales!$H$41="Todos",datos_base!$I$23,0))*parametros_manuales!$I$12+parametros_manuales!$E$41*(datos_base!$I$3+IF(parametros_manuales!$H$41="Todos",datos_base!$I$10,0))*parametros_manuales!$I$100+parametros_manuales!$E$41*(datos_base!$I$19+IF(parametros_manuales!$H$41="Todos",datos_base!$I$24,0))*parametros_manuales!$I$13+parametros_manuales!$F$41*(datos_base!$I$4+IF(parametros_manuales!$H$41="Todos",datos_base!$I$11,0))*parametros_manuales!$I$105+parametros_manuales!$F$41*(datos_base!$I$20+IF(parametros_manuales!$H$41="Todos",datos_base!$I$25,0))*parametros_manuales!$I$14+parametros_manuales!$G$41*(datos_base!$I$5+IF(parametros_manuales!$H$41="Todos",datos_base!$I$12,0))*parametros_manuales!$I$110+parametros_manuales!$G$41*(datos_base!$I$21+IF(parametros_manuales!$H$41="Todos",datos_base!$I$26,0))*parametros_manuales!$I$15)*parametros_manuales!$I$41*parametros_manuales!$J$41</f>
        <v>4656.72048472</v>
      </c>
      <c r="J213" s="9" t="n">
        <f aca="false">(parametros_manuales!$D$41*(datos_base!$I$2+IF(parametros_manuales!$H$41="Todos",datos_base!$I$9,0))*parametros_manuales!$J$95+parametros_manuales!$D$41*(datos_base!$I$18+IF(parametros_manuales!$H$41="Todos",datos_base!$I$23,0))*parametros_manuales!$J$12+parametros_manuales!$E$41*(datos_base!$I$3+IF(parametros_manuales!$H$41="Todos",datos_base!$I$10,0))*parametros_manuales!$J$100+parametros_manuales!$E$41*(datos_base!$I$19+IF(parametros_manuales!$H$41="Todos",datos_base!$I$24,0))*parametros_manuales!$J$13+parametros_manuales!$F$41*(datos_base!$I$4+IF(parametros_manuales!$H$41="Todos",datos_base!$I$11,0))*parametros_manuales!$J$105+parametros_manuales!$F$41*(datos_base!$I$20+IF(parametros_manuales!$H$41="Todos",datos_base!$I$25,0))*parametros_manuales!$J$14+parametros_manuales!$G$41*(datos_base!$I$5+IF(parametros_manuales!$H$41="Todos",datos_base!$I$12,0))*parametros_manuales!$J$110+parametros_manuales!$G$41*(datos_base!$I$21+IF(parametros_manuales!$H$41="Todos",datos_base!$I$26,0))*parametros_manuales!$J$15)*parametros_manuales!$I$41*parametros_manuales!$J$41</f>
        <v>4656.72048472</v>
      </c>
      <c r="K213" s="9" t="n">
        <f aca="false">(parametros_manuales!$D$41*(datos_base!$I$2+IF(parametros_manuales!$H$41="Todos",datos_base!$I$9,0))*parametros_manuales!$K$95+parametros_manuales!$D$41*(datos_base!$I$18+IF(parametros_manuales!$H$41="Todos",datos_base!$I$23,0))*parametros_manuales!$K$12+parametros_manuales!$E$41*(datos_base!$I$3+IF(parametros_manuales!$H$41="Todos",datos_base!$I$10,0))*parametros_manuales!$K$100+parametros_manuales!$E$41*(datos_base!$I$19+IF(parametros_manuales!$H$41="Todos",datos_base!$I$24,0))*parametros_manuales!$K$13+parametros_manuales!$F$41*(datos_base!$I$4+IF(parametros_manuales!$H$41="Todos",datos_base!$I$11,0))*parametros_manuales!$K$105+parametros_manuales!$F$41*(datos_base!$I$20+IF(parametros_manuales!$H$41="Todos",datos_base!$I$25,0))*parametros_manuales!$K$14+parametros_manuales!$G$41*(datos_base!$I$5+IF(parametros_manuales!$H$41="Todos",datos_base!$I$12,0))*parametros_manuales!$K$110+parametros_manuales!$G$41*(datos_base!$I$21+IF(parametros_manuales!$H$41="Todos",datos_base!$I$26,0))*parametros_manuales!$K$15)*parametros_manuales!$I$41*parametros_manuales!$J$41</f>
        <v>4805.722773565</v>
      </c>
      <c r="L213" s="9" t="n">
        <f aca="false">(parametros_manuales!$D$41*(datos_base!$I$2+IF(parametros_manuales!$H$41="Todos",datos_base!$I$9,0))*parametros_manuales!$L$95+parametros_manuales!$D$41*(datos_base!$I$18+IF(parametros_manuales!$H$41="Todos",datos_base!$I$23,0))*parametros_manuales!$L$12+parametros_manuales!$E$41*(datos_base!$I$3+IF(parametros_manuales!$H$41="Todos",datos_base!$I$10,0))*parametros_manuales!$L$100+parametros_manuales!$E$41*(datos_base!$I$19+IF(parametros_manuales!$H$41="Todos",datos_base!$I$24,0))*parametros_manuales!$L$13+parametros_manuales!$F$41*(datos_base!$I$4+IF(parametros_manuales!$H$41="Todos",datos_base!$I$11,0))*parametros_manuales!$L$105+parametros_manuales!$F$41*(datos_base!$I$20+IF(parametros_manuales!$H$41="Todos",datos_base!$I$25,0))*parametros_manuales!$L$14+parametros_manuales!$G$41*(datos_base!$I$5+IF(parametros_manuales!$H$41="Todos",datos_base!$I$12,0))*parametros_manuales!$L$110+parametros_manuales!$G$41*(datos_base!$I$21+IF(parametros_manuales!$H$41="Todos",datos_base!$I$26,0))*parametros_manuales!$L$15)*parametros_manuales!$I$41*parametros_manuales!$J$41</f>
        <v>4954.72506241</v>
      </c>
      <c r="M213" s="9" t="n">
        <f aca="false">(parametros_manuales!$D$41*(datos_base!$I$2+IF(parametros_manuales!$H$41="Todos",datos_base!$I$9,0))*parametros_manuales!$M$95+parametros_manuales!$D$41*(datos_base!$I$18+IF(parametros_manuales!$H$41="Todos",datos_base!$I$23,0))*parametros_manuales!$M$12+parametros_manuales!$E$41*(datos_base!$I$3+IF(parametros_manuales!$H$41="Todos",datos_base!$I$10,0))*parametros_manuales!$M$100+parametros_manuales!$E$41*(datos_base!$I$19+IF(parametros_manuales!$H$41="Todos",datos_base!$I$24,0))*parametros_manuales!$M$13+parametros_manuales!$F$41*(datos_base!$I$4+IF(parametros_manuales!$H$41="Todos",datos_base!$I$11,0))*parametros_manuales!$M$105+parametros_manuales!$F$41*(datos_base!$I$20+IF(parametros_manuales!$H$41="Todos",datos_base!$I$25,0))*parametros_manuales!$M$14+parametros_manuales!$G$41*(datos_base!$I$5+IF(parametros_manuales!$H$41="Todos",datos_base!$I$12,0))*parametros_manuales!$M$110+parametros_manuales!$G$41*(datos_base!$I$21+IF(parametros_manuales!$H$41="Todos",datos_base!$I$26,0))*parametros_manuales!$M$15)*parametros_manuales!$I$41*parametros_manuales!$J$41</f>
        <v>4957.42426241</v>
      </c>
      <c r="N213" s="9" t="n">
        <f aca="false">SUM(B213:M213)</f>
        <v>55067.496249</v>
      </c>
      <c r="O213" s="9" t="n">
        <f aca="false">MAX(B213:M213)</f>
        <v>4957.42426241</v>
      </c>
      <c r="P213" s="44" t="n">
        <f aca="false">O213/(parametros_manuales!$B$7)</f>
        <v>33.0494950827333</v>
      </c>
      <c r="Q213" s="8" t="str">
        <f aca="false">IF(O213=0,"-",INDEX($B$190:$M$190,MATCH(O213,B213:M213,0)))</f>
        <v>Dic</v>
      </c>
    </row>
    <row r="214" customFormat="false" ht="14.25" hidden="false" customHeight="true" outlineLevel="0" collapsed="false">
      <c r="A214" s="8" t="str">
        <f aca="false">parametros_manuales!$B$42</f>
        <v>Etiquetado</v>
      </c>
      <c r="B214" s="9" t="n">
        <f aca="false">(parametros_manuales!$D$42*(datos_base!$I$2+IF(parametros_manuales!$H$42="Todos",datos_base!$I$9,0))*parametros_manuales!$B$95+parametros_manuales!$D$42*(datos_base!$I$18+IF(parametros_manuales!$H$42="Todos",datos_base!$I$23,0))*parametros_manuales!$B$12+parametros_manuales!$E$42*(datos_base!$I$3+IF(parametros_manuales!$H$42="Todos",datos_base!$I$10,0))*parametros_manuales!$B$100+parametros_manuales!$E$42*(datos_base!$I$19+IF(parametros_manuales!$H$42="Todos",datos_base!$I$24,0))*parametros_manuales!$B$13+parametros_manuales!$F$42*(datos_base!$I$4+IF(parametros_manuales!$H$42="Todos",datos_base!$I$11,0))*parametros_manuales!$B$105+parametros_manuales!$F$42*(datos_base!$I$20+IF(parametros_manuales!$H$42="Todos",datos_base!$I$25,0))*parametros_manuales!$B$14+parametros_manuales!$G$42*(datos_base!$I$5+IF(parametros_manuales!$H$42="Todos",datos_base!$I$12,0))*parametros_manuales!$B$110+parametros_manuales!$G$42*(datos_base!$I$21+IF(parametros_manuales!$H$42="Todos",datos_base!$I$26,0))*parametros_manuales!$B$15)*parametros_manuales!$I$42*parametros_manuales!$J$42</f>
        <v>4956.74946241</v>
      </c>
      <c r="C214" s="9" t="n">
        <f aca="false">(parametros_manuales!$D$42*(datos_base!$I$2+IF(parametros_manuales!$H$42="Todos",datos_base!$I$9,0))*parametros_manuales!$C$95+parametros_manuales!$D$42*(datos_base!$I$18+IF(parametros_manuales!$H$42="Todos",datos_base!$I$23,0))*parametros_manuales!$C$12+parametros_manuales!$E$42*(datos_base!$I$3+IF(parametros_manuales!$H$42="Todos",datos_base!$I$10,0))*parametros_manuales!$C$100+parametros_manuales!$E$42*(datos_base!$I$19+IF(parametros_manuales!$H$42="Todos",datos_base!$I$24,0))*parametros_manuales!$C$13+parametros_manuales!$F$42*(datos_base!$I$4+IF(parametros_manuales!$H$42="Todos",datos_base!$I$11,0))*parametros_manuales!$C$105+parametros_manuales!$F$42*(datos_base!$I$20+IF(parametros_manuales!$H$42="Todos",datos_base!$I$25,0))*parametros_manuales!$C$14+parametros_manuales!$G$42*(datos_base!$I$5+IF(parametros_manuales!$H$42="Todos",datos_base!$I$12,0))*parametros_manuales!$C$110+parametros_manuales!$G$42*(datos_base!$I$21+IF(parametros_manuales!$H$42="Todos",datos_base!$I$26,0))*parametros_manuales!$C$15)*parametros_manuales!$I$42*parametros_manuales!$J$42</f>
        <v>4656.72048472</v>
      </c>
      <c r="D214" s="9" t="n">
        <f aca="false">(parametros_manuales!$D$42*(datos_base!$I$2+IF(parametros_manuales!$H$42="Todos",datos_base!$I$9,0))*parametros_manuales!$D$95+parametros_manuales!$D$42*(datos_base!$I$18+IF(parametros_manuales!$H$42="Todos",datos_base!$I$23,0))*parametros_manuales!$D$12+parametros_manuales!$E$42*(datos_base!$I$3+IF(parametros_manuales!$H$42="Todos",datos_base!$I$10,0))*parametros_manuales!$D$100+parametros_manuales!$E$42*(datos_base!$I$19+IF(parametros_manuales!$H$42="Todos",datos_base!$I$24,0))*parametros_manuales!$D$13+parametros_manuales!$F$42*(datos_base!$I$4+IF(parametros_manuales!$H$42="Todos",datos_base!$I$11,0))*parametros_manuales!$D$105+parametros_manuales!$F$42*(datos_base!$I$20+IF(parametros_manuales!$H$42="Todos",datos_base!$I$25,0))*parametros_manuales!$D$14+parametros_manuales!$G$42*(datos_base!$I$5+IF(parametros_manuales!$H$42="Todos",datos_base!$I$12,0))*parametros_manuales!$D$110+parametros_manuales!$G$42*(datos_base!$I$21+IF(parametros_manuales!$H$42="Todos",datos_base!$I$26,0))*parametros_manuales!$D$15)*parametros_manuales!$I$42*parametros_manuales!$J$42</f>
        <v>4555.076788765</v>
      </c>
      <c r="E214" s="9" t="n">
        <f aca="false">(parametros_manuales!$D$42*(datos_base!$I$2+IF(parametros_manuales!$H$42="Todos",datos_base!$I$9,0))*parametros_manuales!$E$95+parametros_manuales!$D$42*(datos_base!$I$18+IF(parametros_manuales!$H$42="Todos",datos_base!$I$23,0))*parametros_manuales!$E$12+parametros_manuales!$E$42*(datos_base!$I$3+IF(parametros_manuales!$H$42="Todos",datos_base!$I$10,0))*parametros_manuales!$E$100+parametros_manuales!$E$42*(datos_base!$I$19+IF(parametros_manuales!$H$42="Todos",datos_base!$I$24,0))*parametros_manuales!$E$13+parametros_manuales!$F$42*(datos_base!$I$4+IF(parametros_manuales!$H$42="Todos",datos_base!$I$11,0))*parametros_manuales!$E$105+parametros_manuales!$F$42*(datos_base!$I$20+IF(parametros_manuales!$H$42="Todos",datos_base!$I$25,0))*parametros_manuales!$E$14+parametros_manuales!$G$42*(datos_base!$I$5+IF(parametros_manuales!$H$42="Todos",datos_base!$I$12,0))*parametros_manuales!$E$110+parametros_manuales!$G$42*(datos_base!$I$21+IF(parametros_manuales!$H$42="Todos",datos_base!$I$26,0))*parametros_manuales!$E$15)*parametros_manuales!$I$42*parametros_manuales!$J$42</f>
        <v>4429.416396365</v>
      </c>
      <c r="F214" s="9" t="n">
        <f aca="false">(parametros_manuales!$D$42*(datos_base!$I$2+IF(parametros_manuales!$H$42="Todos",datos_base!$I$9,0))*parametros_manuales!$F$95+parametros_manuales!$D$42*(datos_base!$I$18+IF(parametros_manuales!$H$42="Todos",datos_base!$I$23,0))*parametros_manuales!$F$12+parametros_manuales!$E$42*(datos_base!$I$3+IF(parametros_manuales!$H$42="Todos",datos_base!$I$10,0))*parametros_manuales!$F$100+parametros_manuales!$E$42*(datos_base!$I$19+IF(parametros_manuales!$H$42="Todos",datos_base!$I$24,0))*parametros_manuales!$F$13+parametros_manuales!$F$42*(datos_base!$I$4+IF(parametros_manuales!$H$42="Todos",datos_base!$I$11,0))*parametros_manuales!$F$105+parametros_manuales!$F$42*(datos_base!$I$20+IF(parametros_manuales!$H$42="Todos",datos_base!$I$25,0))*parametros_manuales!$F$14+parametros_manuales!$G$42*(datos_base!$I$5+IF(parametros_manuales!$H$42="Todos",datos_base!$I$12,0))*parametros_manuales!$F$110+parametros_manuales!$G$42*(datos_base!$I$21+IF(parametros_manuales!$H$42="Todos",datos_base!$I$26,0))*parametros_manuales!$F$15)*parametros_manuales!$I$42*parametros_manuales!$J$42</f>
        <v>4154.07891512</v>
      </c>
      <c r="G214" s="9" t="n">
        <f aca="false">(parametros_manuales!$D$42*(datos_base!$I$2+IF(parametros_manuales!$H$42="Todos",datos_base!$I$9,0))*parametros_manuales!$G$95+parametros_manuales!$D$42*(datos_base!$I$18+IF(parametros_manuales!$H$42="Todos",datos_base!$I$23,0))*parametros_manuales!$G$12+parametros_manuales!$E$42*(datos_base!$I$3+IF(parametros_manuales!$H$42="Todos",datos_base!$I$10,0))*parametros_manuales!$G$100+parametros_manuales!$E$42*(datos_base!$I$19+IF(parametros_manuales!$H$42="Todos",datos_base!$I$24,0))*parametros_manuales!$G$13+parametros_manuales!$F$42*(datos_base!$I$4+IF(parametros_manuales!$H$42="Todos",datos_base!$I$11,0))*parametros_manuales!$G$105+parametros_manuales!$F$42*(datos_base!$I$20+IF(parametros_manuales!$H$42="Todos",datos_base!$I$25,0))*parametros_manuales!$G$14+parametros_manuales!$G$42*(datos_base!$I$5+IF(parametros_manuales!$H$42="Todos",datos_base!$I$12,0))*parametros_manuales!$G$110+parametros_manuales!$G$42*(datos_base!$I$21+IF(parametros_manuales!$H$42="Todos",datos_base!$I$26,0))*parametros_manuales!$G$15)*parametros_manuales!$I$42*parametros_manuales!$J$42</f>
        <v>4004.401826275</v>
      </c>
      <c r="H214" s="9" t="n">
        <f aca="false">(parametros_manuales!$D$42*(datos_base!$I$2+IF(parametros_manuales!$H$42="Todos",datos_base!$I$9,0))*parametros_manuales!$H$95+parametros_manuales!$D$42*(datos_base!$I$18+IF(parametros_manuales!$H$42="Todos",datos_base!$I$23,0))*parametros_manuales!$H$12+parametros_manuales!$E$42*(datos_base!$I$3+IF(parametros_manuales!$H$42="Todos",datos_base!$I$10,0))*parametros_manuales!$H$100+parametros_manuales!$E$42*(datos_base!$I$19+IF(parametros_manuales!$H$42="Todos",datos_base!$I$24,0))*parametros_manuales!$H$13+parametros_manuales!$F$42*(datos_base!$I$4+IF(parametros_manuales!$H$42="Todos",datos_base!$I$11,0))*parametros_manuales!$H$105+parametros_manuales!$F$42*(datos_base!$I$20+IF(parametros_manuales!$H$42="Todos",datos_base!$I$25,0))*parametros_manuales!$H$14+parametros_manuales!$G$42*(datos_base!$I$5+IF(parametros_manuales!$H$42="Todos",datos_base!$I$12,0))*parametros_manuales!$H$110+parametros_manuales!$G$42*(datos_base!$I$21+IF(parametros_manuales!$H$42="Todos",datos_base!$I$26,0))*parametros_manuales!$H$15)*parametros_manuales!$I$42*parametros_manuales!$J$42</f>
        <v>4279.73930752</v>
      </c>
      <c r="I214" s="9" t="n">
        <f aca="false">(parametros_manuales!$D$42*(datos_base!$I$2+IF(parametros_manuales!$H$42="Todos",datos_base!$I$9,0))*parametros_manuales!$I$95+parametros_manuales!$D$42*(datos_base!$I$18+IF(parametros_manuales!$H$42="Todos",datos_base!$I$23,0))*parametros_manuales!$I$12+parametros_manuales!$E$42*(datos_base!$I$3+IF(parametros_manuales!$H$42="Todos",datos_base!$I$10,0))*parametros_manuales!$I$100+parametros_manuales!$E$42*(datos_base!$I$19+IF(parametros_manuales!$H$42="Todos",datos_base!$I$24,0))*parametros_manuales!$I$13+parametros_manuales!$F$42*(datos_base!$I$4+IF(parametros_manuales!$H$42="Todos",datos_base!$I$11,0))*parametros_manuales!$I$105+parametros_manuales!$F$42*(datos_base!$I$20+IF(parametros_manuales!$H$42="Todos",datos_base!$I$25,0))*parametros_manuales!$I$14+parametros_manuales!$G$42*(datos_base!$I$5+IF(parametros_manuales!$H$42="Todos",datos_base!$I$12,0))*parametros_manuales!$I$110+parametros_manuales!$G$42*(datos_base!$I$21+IF(parametros_manuales!$H$42="Todos",datos_base!$I$26,0))*parametros_manuales!$I$15)*parametros_manuales!$I$42*parametros_manuales!$J$42</f>
        <v>4656.72048472</v>
      </c>
      <c r="J214" s="9" t="n">
        <f aca="false">(parametros_manuales!$D$42*(datos_base!$I$2+IF(parametros_manuales!$H$42="Todos",datos_base!$I$9,0))*parametros_manuales!$J$95+parametros_manuales!$D$42*(datos_base!$I$18+IF(parametros_manuales!$H$42="Todos",datos_base!$I$23,0))*parametros_manuales!$J$12+parametros_manuales!$E$42*(datos_base!$I$3+IF(parametros_manuales!$H$42="Todos",datos_base!$I$10,0))*parametros_manuales!$J$100+parametros_manuales!$E$42*(datos_base!$I$19+IF(parametros_manuales!$H$42="Todos",datos_base!$I$24,0))*parametros_manuales!$J$13+parametros_manuales!$F$42*(datos_base!$I$4+IF(parametros_manuales!$H$42="Todos",datos_base!$I$11,0))*parametros_manuales!$J$105+parametros_manuales!$F$42*(datos_base!$I$20+IF(parametros_manuales!$H$42="Todos",datos_base!$I$25,0))*parametros_manuales!$J$14+parametros_manuales!$G$42*(datos_base!$I$5+IF(parametros_manuales!$H$42="Todos",datos_base!$I$12,0))*parametros_manuales!$J$110+parametros_manuales!$G$42*(datos_base!$I$21+IF(parametros_manuales!$H$42="Todos",datos_base!$I$26,0))*parametros_manuales!$J$15)*parametros_manuales!$I$42*parametros_manuales!$J$42</f>
        <v>4656.72048472</v>
      </c>
      <c r="K214" s="9" t="n">
        <f aca="false">(parametros_manuales!$D$42*(datos_base!$I$2+IF(parametros_manuales!$H$42="Todos",datos_base!$I$9,0))*parametros_manuales!$K$95+parametros_manuales!$D$42*(datos_base!$I$18+IF(parametros_manuales!$H$42="Todos",datos_base!$I$23,0))*parametros_manuales!$K$12+parametros_manuales!$E$42*(datos_base!$I$3+IF(parametros_manuales!$H$42="Todos",datos_base!$I$10,0))*parametros_manuales!$K$100+parametros_manuales!$E$42*(datos_base!$I$19+IF(parametros_manuales!$H$42="Todos",datos_base!$I$24,0))*parametros_manuales!$K$13+parametros_manuales!$F$42*(datos_base!$I$4+IF(parametros_manuales!$H$42="Todos",datos_base!$I$11,0))*parametros_manuales!$K$105+parametros_manuales!$F$42*(datos_base!$I$20+IF(parametros_manuales!$H$42="Todos",datos_base!$I$25,0))*parametros_manuales!$K$14+parametros_manuales!$G$42*(datos_base!$I$5+IF(parametros_manuales!$H$42="Todos",datos_base!$I$12,0))*parametros_manuales!$K$110+parametros_manuales!$G$42*(datos_base!$I$21+IF(parametros_manuales!$H$42="Todos",datos_base!$I$26,0))*parametros_manuales!$K$15)*parametros_manuales!$I$42*parametros_manuales!$J$42</f>
        <v>4805.722773565</v>
      </c>
      <c r="L214" s="9" t="n">
        <f aca="false">(parametros_manuales!$D$42*(datos_base!$I$2+IF(parametros_manuales!$H$42="Todos",datos_base!$I$9,0))*parametros_manuales!$L$95+parametros_manuales!$D$42*(datos_base!$I$18+IF(parametros_manuales!$H$42="Todos",datos_base!$I$23,0))*parametros_manuales!$L$12+parametros_manuales!$E$42*(datos_base!$I$3+IF(parametros_manuales!$H$42="Todos",datos_base!$I$10,0))*parametros_manuales!$L$100+parametros_manuales!$E$42*(datos_base!$I$19+IF(parametros_manuales!$H$42="Todos",datos_base!$I$24,0))*parametros_manuales!$L$13+parametros_manuales!$F$42*(datos_base!$I$4+IF(parametros_manuales!$H$42="Todos",datos_base!$I$11,0))*parametros_manuales!$L$105+parametros_manuales!$F$42*(datos_base!$I$20+IF(parametros_manuales!$H$42="Todos",datos_base!$I$25,0))*parametros_manuales!$L$14+parametros_manuales!$G$42*(datos_base!$I$5+IF(parametros_manuales!$H$42="Todos",datos_base!$I$12,0))*parametros_manuales!$L$110+parametros_manuales!$G$42*(datos_base!$I$21+IF(parametros_manuales!$H$42="Todos",datos_base!$I$26,0))*parametros_manuales!$L$15)*parametros_manuales!$I$42*parametros_manuales!$J$42</f>
        <v>4954.72506241</v>
      </c>
      <c r="M214" s="9" t="n">
        <f aca="false">(parametros_manuales!$D$42*(datos_base!$I$2+IF(parametros_manuales!$H$42="Todos",datos_base!$I$9,0))*parametros_manuales!$M$95+parametros_manuales!$D$42*(datos_base!$I$18+IF(parametros_manuales!$H$42="Todos",datos_base!$I$23,0))*parametros_manuales!$M$12+parametros_manuales!$E$42*(datos_base!$I$3+IF(parametros_manuales!$H$42="Todos",datos_base!$I$10,0))*parametros_manuales!$M$100+parametros_manuales!$E$42*(datos_base!$I$19+IF(parametros_manuales!$H$42="Todos",datos_base!$I$24,0))*parametros_manuales!$M$13+parametros_manuales!$F$42*(datos_base!$I$4+IF(parametros_manuales!$H$42="Todos",datos_base!$I$11,0))*parametros_manuales!$M$105+parametros_manuales!$F$42*(datos_base!$I$20+IF(parametros_manuales!$H$42="Todos",datos_base!$I$25,0))*parametros_manuales!$M$14+parametros_manuales!$G$42*(datos_base!$I$5+IF(parametros_manuales!$H$42="Todos",datos_base!$I$12,0))*parametros_manuales!$M$110+parametros_manuales!$G$42*(datos_base!$I$21+IF(parametros_manuales!$H$42="Todos",datos_base!$I$26,0))*parametros_manuales!$M$15)*parametros_manuales!$I$42*parametros_manuales!$J$42</f>
        <v>4957.42426241</v>
      </c>
      <c r="N214" s="9" t="n">
        <f aca="false">SUM(B214:M214)</f>
        <v>55067.496249</v>
      </c>
      <c r="O214" s="9" t="n">
        <f aca="false">MAX(B214:M214)</f>
        <v>4957.42426241</v>
      </c>
      <c r="P214" s="44" t="n">
        <f aca="false">O214/(parametros_manuales!$B$7)</f>
        <v>33.0494950827333</v>
      </c>
      <c r="Q214" s="8" t="str">
        <f aca="false">IF(O214=0,"-",INDEX($B$190:$M$190,MATCH(O214,B214:M214,0)))</f>
        <v>Dic</v>
      </c>
    </row>
    <row r="215" customFormat="false" ht="14.25" hidden="false" customHeight="true" outlineLevel="0" collapsed="false">
      <c r="A215" s="8" t="str">
        <f aca="false">parametros_manuales!$B$43</f>
        <v>Embalaje y paletizado</v>
      </c>
      <c r="B215" s="9" t="n">
        <f aca="false">(parametros_manuales!$D$43*(datos_base!$I$2+IF(parametros_manuales!$H$43="Todos",datos_base!$I$9,0))*parametros_manuales!$B$95+parametros_manuales!$D$43*(datos_base!$I$18+IF(parametros_manuales!$H$43="Todos",datos_base!$I$23,0))*parametros_manuales!$B$12+parametros_manuales!$E$43*(datos_base!$I$3+IF(parametros_manuales!$H$43="Todos",datos_base!$I$10,0))*parametros_manuales!$B$100+parametros_manuales!$E$43*(datos_base!$I$19+IF(parametros_manuales!$H$43="Todos",datos_base!$I$24,0))*parametros_manuales!$B$13+parametros_manuales!$F$43*(datos_base!$I$4+IF(parametros_manuales!$H$43="Todos",datos_base!$I$11,0))*parametros_manuales!$B$105+parametros_manuales!$F$43*(datos_base!$I$20+IF(parametros_manuales!$H$43="Todos",datos_base!$I$25,0))*parametros_manuales!$B$14+parametros_manuales!$G$43*(datos_base!$I$5+IF(parametros_manuales!$H$43="Todos",datos_base!$I$12,0))*parametros_manuales!$B$110+parametros_manuales!$G$43*(datos_base!$I$21+IF(parametros_manuales!$H$43="Todos",datos_base!$I$26,0))*parametros_manuales!$B$15)*parametros_manuales!$I$43*parametros_manuales!$J$43</f>
        <v>19635.33346241</v>
      </c>
      <c r="C215" s="9" t="n">
        <f aca="false">(parametros_manuales!$D$43*(datos_base!$I$2+IF(parametros_manuales!$H$43="Todos",datos_base!$I$9,0))*parametros_manuales!$C$95+parametros_manuales!$D$43*(datos_base!$I$18+IF(parametros_manuales!$H$43="Todos",datos_base!$I$23,0))*parametros_manuales!$C$12+parametros_manuales!$E$43*(datos_base!$I$3+IF(parametros_manuales!$H$43="Todos",datos_base!$I$10,0))*parametros_manuales!$C$100+parametros_manuales!$E$43*(datos_base!$I$19+IF(parametros_manuales!$H$43="Todos",datos_base!$I$24,0))*parametros_manuales!$C$13+parametros_manuales!$F$43*(datos_base!$I$4+IF(parametros_manuales!$H$43="Todos",datos_base!$I$11,0))*parametros_manuales!$C$105+parametros_manuales!$F$43*(datos_base!$I$20+IF(parametros_manuales!$H$43="Todos",datos_base!$I$25,0))*parametros_manuales!$C$14+parametros_manuales!$G$43*(datos_base!$I$5+IF(parametros_manuales!$H$43="Todos",datos_base!$I$12,0))*parametros_manuales!$C$110+parametros_manuales!$G$43*(datos_base!$I$21+IF(parametros_manuales!$H$43="Todos",datos_base!$I$26,0))*parametros_manuales!$C$15)*parametros_manuales!$I$43*parametros_manuales!$J$43</f>
        <v>19013.21368472</v>
      </c>
      <c r="D215" s="9" t="n">
        <f aca="false">(parametros_manuales!$D$43*(datos_base!$I$2+IF(parametros_manuales!$H$43="Todos",datos_base!$I$9,0))*parametros_manuales!$D$95+parametros_manuales!$D$43*(datos_base!$I$18+IF(parametros_manuales!$H$43="Todos",datos_base!$I$23,0))*parametros_manuales!$D$12+parametros_manuales!$E$43*(datos_base!$I$3+IF(parametros_manuales!$H$43="Todos",datos_base!$I$10,0))*parametros_manuales!$D$100+parametros_manuales!$E$43*(datos_base!$I$19+IF(parametros_manuales!$H$43="Todos",datos_base!$I$24,0))*parametros_manuales!$D$13+parametros_manuales!$F$43*(datos_base!$I$4+IF(parametros_manuales!$H$43="Todos",datos_base!$I$11,0))*parametros_manuales!$D$105+parametros_manuales!$F$43*(datos_base!$I$20+IF(parametros_manuales!$H$43="Todos",datos_base!$I$25,0))*parametros_manuales!$D$14+parametros_manuales!$G$43*(datos_base!$I$5+IF(parametros_manuales!$H$43="Todos",datos_base!$I$12,0))*parametros_manuales!$D$110+parametros_manuales!$G$43*(datos_base!$I$21+IF(parametros_manuales!$H$43="Todos",datos_base!$I$26,0))*parametros_manuales!$D$15)*parametros_manuales!$I$43*parametros_manuales!$J$43</f>
        <v>17761.960188765</v>
      </c>
      <c r="E215" s="9" t="n">
        <f aca="false">(parametros_manuales!$D$43*(datos_base!$I$2+IF(parametros_manuales!$H$43="Todos",datos_base!$I$9,0))*parametros_manuales!$E$95+parametros_manuales!$D$43*(datos_base!$I$18+IF(parametros_manuales!$H$43="Todos",datos_base!$I$23,0))*parametros_manuales!$E$12+parametros_manuales!$E$43*(datos_base!$I$3+IF(parametros_manuales!$H$43="Todos",datos_base!$I$10,0))*parametros_manuales!$E$100+parametros_manuales!$E$43*(datos_base!$I$19+IF(parametros_manuales!$H$43="Todos",datos_base!$I$24,0))*parametros_manuales!$E$13+parametros_manuales!$F$43*(datos_base!$I$4+IF(parametros_manuales!$H$43="Todos",datos_base!$I$11,0))*parametros_manuales!$E$105+parametros_manuales!$F$43*(datos_base!$I$20+IF(parametros_manuales!$H$43="Todos",datos_base!$I$25,0))*parametros_manuales!$E$14+parametros_manuales!$G$43*(datos_base!$I$5+IF(parametros_manuales!$H$43="Todos",datos_base!$I$12,0))*parametros_manuales!$E$110+parametros_manuales!$G$43*(datos_base!$I$21+IF(parametros_manuales!$H$43="Todos",datos_base!$I$26,0))*parametros_manuales!$E$15)*parametros_manuales!$I$43*parametros_manuales!$J$43</f>
        <v>16981.294796365</v>
      </c>
      <c r="F215" s="9" t="n">
        <f aca="false">(parametros_manuales!$D$43*(datos_base!$I$2+IF(parametros_manuales!$H$43="Todos",datos_base!$I$9,0))*parametros_manuales!$F$95+parametros_manuales!$D$43*(datos_base!$I$18+IF(parametros_manuales!$H$43="Todos",datos_base!$I$23,0))*parametros_manuales!$F$12+parametros_manuales!$E$43*(datos_base!$I$3+IF(parametros_manuales!$H$43="Todos",datos_base!$I$10,0))*parametros_manuales!$F$100+parametros_manuales!$E$43*(datos_base!$I$19+IF(parametros_manuales!$H$43="Todos",datos_base!$I$24,0))*parametros_manuales!$F$13+parametros_manuales!$F$43*(datos_base!$I$4+IF(parametros_manuales!$H$43="Todos",datos_base!$I$11,0))*parametros_manuales!$F$105+parametros_manuales!$F$43*(datos_base!$I$20+IF(parametros_manuales!$H$43="Todos",datos_base!$I$25,0))*parametros_manuales!$F$14+parametros_manuales!$G$43*(datos_base!$I$5+IF(parametros_manuales!$H$43="Todos",datos_base!$I$12,0))*parametros_manuales!$F$110+parametros_manuales!$G$43*(datos_base!$I$21+IF(parametros_manuales!$H$43="Todos",datos_base!$I$26,0))*parametros_manuales!$F$15)*parametros_manuales!$I$43*parametros_manuales!$J$43</f>
        <v>15890.55211512</v>
      </c>
      <c r="G215" s="9" t="n">
        <f aca="false">(parametros_manuales!$D$43*(datos_base!$I$2+IF(parametros_manuales!$H$43="Todos",datos_base!$I$9,0))*parametros_manuales!$G$95+parametros_manuales!$D$43*(datos_base!$I$18+IF(parametros_manuales!$H$43="Todos",datos_base!$I$23,0))*parametros_manuales!$G$12+parametros_manuales!$E$43*(datos_base!$I$3+IF(parametros_manuales!$H$43="Todos",datos_base!$I$10,0))*parametros_manuales!$G$100+parametros_manuales!$E$43*(datos_base!$I$19+IF(parametros_manuales!$H$43="Todos",datos_base!$I$24,0))*parametros_manuales!$G$13+parametros_manuales!$F$43*(datos_base!$I$4+IF(parametros_manuales!$H$43="Todos",datos_base!$I$11,0))*parametros_manuales!$G$105+parametros_manuales!$F$43*(datos_base!$I$20+IF(parametros_manuales!$H$43="Todos",datos_base!$I$25,0))*parametros_manuales!$G$14+parametros_manuales!$G$43*(datos_base!$I$5+IF(parametros_manuales!$H$43="Todos",datos_base!$I$12,0))*parametros_manuales!$G$110+parametros_manuales!$G$43*(datos_base!$I$21+IF(parametros_manuales!$H$43="Todos",datos_base!$I$26,0))*parametros_manuales!$G$15)*parametros_manuales!$I$43*parametros_manuales!$J$43</f>
        <v>15580.474826275</v>
      </c>
      <c r="H215" s="9" t="n">
        <f aca="false">(parametros_manuales!$D$43*(datos_base!$I$2+IF(parametros_manuales!$H$43="Todos",datos_base!$I$9,0))*parametros_manuales!$H$95+parametros_manuales!$D$43*(datos_base!$I$18+IF(parametros_manuales!$H$43="Todos",datos_base!$I$23,0))*parametros_manuales!$H$12+parametros_manuales!$E$43*(datos_base!$I$3+IF(parametros_manuales!$H$43="Todos",datos_base!$I$10,0))*parametros_manuales!$H$100+parametros_manuales!$E$43*(datos_base!$I$19+IF(parametros_manuales!$H$43="Todos",datos_base!$I$24,0))*parametros_manuales!$H$13+parametros_manuales!$F$43*(datos_base!$I$4+IF(parametros_manuales!$H$43="Todos",datos_base!$I$11,0))*parametros_manuales!$H$105+parametros_manuales!$F$43*(datos_base!$I$20+IF(parametros_manuales!$H$43="Todos",datos_base!$I$25,0))*parametros_manuales!$H$14+parametros_manuales!$G$43*(datos_base!$I$5+IF(parametros_manuales!$H$43="Todos",datos_base!$I$12,0))*parametros_manuales!$H$110+parametros_manuales!$G$43*(datos_base!$I$21+IF(parametros_manuales!$H$43="Todos",datos_base!$I$26,0))*parametros_manuales!$H$15)*parametros_manuales!$I$43*parametros_manuales!$J$43</f>
        <v>16671.21750752</v>
      </c>
      <c r="I215" s="9" t="n">
        <f aca="false">(parametros_manuales!$D$43*(datos_base!$I$2+IF(parametros_manuales!$H$43="Todos",datos_base!$I$9,0))*parametros_manuales!$I$95+parametros_manuales!$D$43*(datos_base!$I$18+IF(parametros_manuales!$H$43="Todos",datos_base!$I$23,0))*parametros_manuales!$I$12+parametros_manuales!$E$43*(datos_base!$I$3+IF(parametros_manuales!$H$43="Todos",datos_base!$I$10,0))*parametros_manuales!$I$100+parametros_manuales!$E$43*(datos_base!$I$19+IF(parametros_manuales!$H$43="Todos",datos_base!$I$24,0))*parametros_manuales!$I$13+parametros_manuales!$F$43*(datos_base!$I$4+IF(parametros_manuales!$H$43="Todos",datos_base!$I$11,0))*parametros_manuales!$I$105+parametros_manuales!$F$43*(datos_base!$I$20+IF(parametros_manuales!$H$43="Todos",datos_base!$I$25,0))*parametros_manuales!$I$14+parametros_manuales!$G$43*(datos_base!$I$5+IF(parametros_manuales!$H$43="Todos",datos_base!$I$12,0))*parametros_manuales!$I$110+parametros_manuales!$G$43*(datos_base!$I$21+IF(parametros_manuales!$H$43="Todos",datos_base!$I$26,0))*parametros_manuales!$I$15)*parametros_manuales!$I$43*parametros_manuales!$J$43</f>
        <v>19013.21368472</v>
      </c>
      <c r="J215" s="9" t="n">
        <f aca="false">(parametros_manuales!$D$43*(datos_base!$I$2+IF(parametros_manuales!$H$43="Todos",datos_base!$I$9,0))*parametros_manuales!$J$95+parametros_manuales!$D$43*(datos_base!$I$18+IF(parametros_manuales!$H$43="Todos",datos_base!$I$23,0))*parametros_manuales!$J$12+parametros_manuales!$E$43*(datos_base!$I$3+IF(parametros_manuales!$H$43="Todos",datos_base!$I$10,0))*parametros_manuales!$J$100+parametros_manuales!$E$43*(datos_base!$I$19+IF(parametros_manuales!$H$43="Todos",datos_base!$I$24,0))*parametros_manuales!$J$13+parametros_manuales!$F$43*(datos_base!$I$4+IF(parametros_manuales!$H$43="Todos",datos_base!$I$11,0))*parametros_manuales!$J$105+parametros_manuales!$F$43*(datos_base!$I$20+IF(parametros_manuales!$H$43="Todos",datos_base!$I$25,0))*parametros_manuales!$J$14+parametros_manuales!$G$43*(datos_base!$I$5+IF(parametros_manuales!$H$43="Todos",datos_base!$I$12,0))*parametros_manuales!$J$110+parametros_manuales!$G$43*(datos_base!$I$21+IF(parametros_manuales!$H$43="Todos",datos_base!$I$26,0))*parametros_manuales!$J$15)*parametros_manuales!$I$43*parametros_manuales!$J$43</f>
        <v>19013.21368472</v>
      </c>
      <c r="K215" s="9" t="n">
        <f aca="false">(parametros_manuales!$D$43*(datos_base!$I$2+IF(parametros_manuales!$H$43="Todos",datos_base!$I$9,0))*parametros_manuales!$K$95+parametros_manuales!$D$43*(datos_base!$I$18+IF(parametros_manuales!$H$43="Todos",datos_base!$I$23,0))*parametros_manuales!$K$12+parametros_manuales!$E$43*(datos_base!$I$3+IF(parametros_manuales!$H$43="Todos",datos_base!$I$10,0))*parametros_manuales!$K$100+parametros_manuales!$E$43*(datos_base!$I$19+IF(parametros_manuales!$H$43="Todos",datos_base!$I$24,0))*parametros_manuales!$K$13+parametros_manuales!$F$43*(datos_base!$I$4+IF(parametros_manuales!$H$43="Todos",datos_base!$I$11,0))*parametros_manuales!$K$105+parametros_manuales!$F$43*(datos_base!$I$20+IF(parametros_manuales!$H$43="Todos",datos_base!$I$25,0))*parametros_manuales!$K$14+parametros_manuales!$G$43*(datos_base!$I$5+IF(parametros_manuales!$H$43="Todos",datos_base!$I$12,0))*parametros_manuales!$K$110+parametros_manuales!$G$43*(datos_base!$I$21+IF(parametros_manuales!$H$43="Todos",datos_base!$I$26,0))*parametros_manuales!$K$15)*parametros_manuales!$I$43*parametros_manuales!$J$43</f>
        <v>19321.325773565</v>
      </c>
      <c r="L215" s="9" t="n">
        <f aca="false">(parametros_manuales!$D$43*(datos_base!$I$2+IF(parametros_manuales!$H$43="Todos",datos_base!$I$9,0))*parametros_manuales!$L$95+parametros_manuales!$D$43*(datos_base!$I$18+IF(parametros_manuales!$H$43="Todos",datos_base!$I$23,0))*parametros_manuales!$L$12+parametros_manuales!$E$43*(datos_base!$I$3+IF(parametros_manuales!$H$43="Todos",datos_base!$I$10,0))*parametros_manuales!$L$100+parametros_manuales!$E$43*(datos_base!$I$19+IF(parametros_manuales!$H$43="Todos",datos_base!$I$24,0))*parametros_manuales!$L$13+parametros_manuales!$F$43*(datos_base!$I$4+IF(parametros_manuales!$H$43="Todos",datos_base!$I$11,0))*parametros_manuales!$L$105+parametros_manuales!$F$43*(datos_base!$I$20+IF(parametros_manuales!$H$43="Todos",datos_base!$I$25,0))*parametros_manuales!$L$14+parametros_manuales!$G$43*(datos_base!$I$5+IF(parametros_manuales!$H$43="Todos",datos_base!$I$12,0))*parametros_manuales!$L$110+parametros_manuales!$G$43*(datos_base!$I$21+IF(parametros_manuales!$H$43="Todos",datos_base!$I$26,0))*parametros_manuales!$L$15)*parametros_manuales!$I$43*parametros_manuales!$J$43</f>
        <v>19629.43786241</v>
      </c>
      <c r="M215" s="9" t="n">
        <f aca="false">(parametros_manuales!$D$43*(datos_base!$I$2+IF(parametros_manuales!$H$43="Todos",datos_base!$I$9,0))*parametros_manuales!$M$95+parametros_manuales!$D$43*(datos_base!$I$18+IF(parametros_manuales!$H$43="Todos",datos_base!$I$23,0))*parametros_manuales!$M$12+parametros_manuales!$E$43*(datos_base!$I$3+IF(parametros_manuales!$H$43="Todos",datos_base!$I$10,0))*parametros_manuales!$M$100+parametros_manuales!$E$43*(datos_base!$I$19+IF(parametros_manuales!$H$43="Todos",datos_base!$I$24,0))*parametros_manuales!$M$13+parametros_manuales!$F$43*(datos_base!$I$4+IF(parametros_manuales!$H$43="Todos",datos_base!$I$11,0))*parametros_manuales!$M$105+parametros_manuales!$F$43*(datos_base!$I$20+IF(parametros_manuales!$H$43="Todos",datos_base!$I$25,0))*parametros_manuales!$M$14+parametros_manuales!$G$43*(datos_base!$I$5+IF(parametros_manuales!$H$43="Todos",datos_base!$I$12,0))*parametros_manuales!$M$110+parametros_manuales!$G$43*(datos_base!$I$21+IF(parametros_manuales!$H$43="Todos",datos_base!$I$26,0))*parametros_manuales!$M$15)*parametros_manuales!$I$43*parametros_manuales!$J$43</f>
        <v>19637.29866241</v>
      </c>
      <c r="N215" s="9" t="n">
        <f aca="false">SUM(B215:M215)</f>
        <v>218148.536249</v>
      </c>
      <c r="O215" s="9" t="n">
        <f aca="false">MAX(B215:M215)</f>
        <v>19637.29866241</v>
      </c>
      <c r="P215" s="44" t="n">
        <f aca="false">O215/(parametros_manuales!$B$7)</f>
        <v>130.915324416067</v>
      </c>
      <c r="Q215" s="8" t="str">
        <f aca="false">IF(O215=0,"-",INDEX($B$190:$M$190,MATCH(O215,B215:M215,0)))</f>
        <v>Dic</v>
      </c>
    </row>
    <row r="216" customFormat="false" ht="14.25" hidden="false" customHeight="true" outlineLevel="0" collapsed="false"/>
    <row r="217" customFormat="false" ht="14.25" hidden="false" customHeight="true" outlineLevel="0" collapsed="false">
      <c r="A217" s="7" t="s">
        <v>208</v>
      </c>
      <c r="B217" s="7" t="s">
        <v>59</v>
      </c>
      <c r="C217" s="7" t="s">
        <v>60</v>
      </c>
      <c r="D217" s="7" t="s">
        <v>61</v>
      </c>
      <c r="E217" s="7" t="s">
        <v>62</v>
      </c>
      <c r="F217" s="7" t="s">
        <v>63</v>
      </c>
      <c r="G217" s="7" t="s">
        <v>64</v>
      </c>
      <c r="H217" s="7" t="s">
        <v>65</v>
      </c>
      <c r="I217" s="7" t="s">
        <v>66</v>
      </c>
      <c r="J217" s="7" t="s">
        <v>67</v>
      </c>
      <c r="K217" s="7" t="s">
        <v>68</v>
      </c>
      <c r="L217" s="7" t="s">
        <v>69</v>
      </c>
      <c r="M217" s="7" t="s">
        <v>70</v>
      </c>
      <c r="N217" s="7" t="s">
        <v>181</v>
      </c>
      <c r="O217" s="7" t="s">
        <v>198</v>
      </c>
      <c r="P217" s="7" t="s">
        <v>199</v>
      </c>
      <c r="Q217" s="7" t="s">
        <v>200</v>
      </c>
    </row>
    <row r="218" customFormat="false" ht="14.25" hidden="false" customHeight="true" outlineLevel="0" collapsed="false">
      <c r="A218" s="8" t="str">
        <f aca="false">parametros_manuales!$B$19</f>
        <v>Recepción de materia prima</v>
      </c>
      <c r="B218" s="9" t="n">
        <f aca="false">(parametros_manuales!$D$19*(datos_base!$J$2+IF(parametros_manuales!$H$19="Todos",datos_base!$J$9,0))*parametros_manuales!$B$95+parametros_manuales!$D$19*(datos_base!$J$18+IF(parametros_manuales!$H$19="Todos",datos_base!$J$23,0))*parametros_manuales!$B$12+parametros_manuales!$E$19*(datos_base!$J$3+IF(parametros_manuales!$H$19="Todos",datos_base!$J$10,0))*parametros_manuales!$B$100+parametros_manuales!$E$19*(datos_base!$J$19+IF(parametros_manuales!$H$19="Todos",datos_base!$J$24,0))*parametros_manuales!$B$13+parametros_manuales!$F$19*(datos_base!$J$4+IF(parametros_manuales!$H$19="Todos",datos_base!$J$11,0))*parametros_manuales!$B$105+parametros_manuales!$F$19*(datos_base!$J$20+IF(parametros_manuales!$H$19="Todos",datos_base!$J$25,0))*parametros_manuales!$B$14+parametros_manuales!$G$19*(datos_base!$J$5+IF(parametros_manuales!$H$19="Todos",datos_base!$J$12,0))*parametros_manuales!$B$110+parametros_manuales!$G$19*(datos_base!$J$21+IF(parametros_manuales!$H$19="Todos",datos_base!$J$26,0))*parametros_manuales!$B$15)*parametros_manuales!$I$19*parametros_manuales!$J$19</f>
        <v>22156.38572883</v>
      </c>
      <c r="C218" s="9" t="n">
        <f aca="false">(parametros_manuales!$D$19*(datos_base!$J$2+IF(parametros_manuales!$H$19="Todos",datos_base!$J$9,0))*parametros_manuales!$C$95+parametros_manuales!$D$19*(datos_base!$J$18+IF(parametros_manuales!$H$19="Todos",datos_base!$J$23,0))*parametros_manuales!$C$12+parametros_manuales!$E$19*(datos_base!$J$3+IF(parametros_manuales!$H$19="Todos",datos_base!$J$10,0))*parametros_manuales!$C$100+parametros_manuales!$E$19*(datos_base!$J$19+IF(parametros_manuales!$H$19="Todos",datos_base!$J$24,0))*parametros_manuales!$C$13+parametros_manuales!$F$19*(datos_base!$J$4+IF(parametros_manuales!$H$19="Todos",datos_base!$J$11,0))*parametros_manuales!$C$105+parametros_manuales!$F$19*(datos_base!$J$20+IF(parametros_manuales!$H$19="Todos",datos_base!$J$25,0))*parametros_manuales!$C$14+parametros_manuales!$G$19*(datos_base!$J$5+IF(parametros_manuales!$H$19="Todos",datos_base!$J$12,0))*parametros_manuales!$C$110+parametros_manuales!$G$19*(datos_base!$J$21+IF(parametros_manuales!$H$19="Todos",datos_base!$J$26,0))*parametros_manuales!$C$15)*parametros_manuales!$I$19*parametros_manuales!$J$19</f>
        <v>21446.85592036</v>
      </c>
      <c r="D218" s="9" t="n">
        <f aca="false">(parametros_manuales!$D$19*(datos_base!$J$2+IF(parametros_manuales!$H$19="Todos",datos_base!$J$9,0))*parametros_manuales!$D$95+parametros_manuales!$D$19*(datos_base!$J$18+IF(parametros_manuales!$H$19="Todos",datos_base!$J$23,0))*parametros_manuales!$D$12+parametros_manuales!$E$19*(datos_base!$J$3+IF(parametros_manuales!$H$19="Todos",datos_base!$J$10,0))*parametros_manuales!$D$100+parametros_manuales!$E$19*(datos_base!$J$19+IF(parametros_manuales!$H$19="Todos",datos_base!$J$24,0))*parametros_manuales!$D$13+parametros_manuales!$F$19*(datos_base!$J$4+IF(parametros_manuales!$H$19="Todos",datos_base!$J$11,0))*parametros_manuales!$D$105+parametros_manuales!$F$19*(datos_base!$J$20+IF(parametros_manuales!$H$19="Todos",datos_base!$J$25,0))*parametros_manuales!$D$14+parametros_manuales!$G$19*(datos_base!$J$5+IF(parametros_manuales!$H$19="Todos",datos_base!$J$12,0))*parametros_manuales!$D$110+parametros_manuales!$G$19*(datos_base!$J$21+IF(parametros_manuales!$H$19="Todos",datos_base!$J$26,0))*parametros_manuales!$D$15)*parametros_manuales!$I$19*parametros_manuales!$J$19</f>
        <v>20046.766663195</v>
      </c>
      <c r="E218" s="9" t="n">
        <f aca="false">(parametros_manuales!$D$19*(datos_base!$J$2+IF(parametros_manuales!$H$19="Todos",datos_base!$J$9,0))*parametros_manuales!$E$95+parametros_manuales!$D$19*(datos_base!$J$18+IF(parametros_manuales!$H$19="Todos",datos_base!$J$23,0))*parametros_manuales!$E$12+parametros_manuales!$E$19*(datos_base!$J$3+IF(parametros_manuales!$H$19="Todos",datos_base!$J$10,0))*parametros_manuales!$E$100+parametros_manuales!$E$19*(datos_base!$J$19+IF(parametros_manuales!$H$19="Todos",datos_base!$J$24,0))*parametros_manuales!$E$13+parametros_manuales!$F$19*(datos_base!$J$4+IF(parametros_manuales!$H$19="Todos",datos_base!$J$11,0))*parametros_manuales!$E$105+parametros_manuales!$F$19*(datos_base!$J$20+IF(parametros_manuales!$H$19="Todos",datos_base!$J$25,0))*parametros_manuales!$E$14+parametros_manuales!$G$19*(datos_base!$J$5+IF(parametros_manuales!$H$19="Todos",datos_base!$J$12,0))*parametros_manuales!$E$110+parametros_manuales!$G$19*(datos_base!$J$21+IF(parametros_manuales!$H$19="Todos",datos_base!$J$26,0))*parametros_manuales!$E$15)*parametros_manuales!$I$19*parametros_manuales!$J$19</f>
        <v>19169.800982495</v>
      </c>
      <c r="F218" s="9" t="n">
        <f aca="false">(parametros_manuales!$D$19*(datos_base!$J$2+IF(parametros_manuales!$H$19="Todos",datos_base!$J$9,0))*parametros_manuales!$F$95+parametros_manuales!$D$19*(datos_base!$J$18+IF(parametros_manuales!$H$19="Todos",datos_base!$J$23,0))*parametros_manuales!$F$12+parametros_manuales!$E$19*(datos_base!$J$3+IF(parametros_manuales!$H$19="Todos",datos_base!$J$10,0))*parametros_manuales!$F$100+parametros_manuales!$E$19*(datos_base!$J$19+IF(parametros_manuales!$H$19="Todos",datos_base!$J$24,0))*parametros_manuales!$F$13+parametros_manuales!$F$19*(datos_base!$J$4+IF(parametros_manuales!$H$19="Todos",datos_base!$J$11,0))*parametros_manuales!$F$105+parametros_manuales!$F$19*(datos_base!$J$20+IF(parametros_manuales!$H$19="Todos",datos_base!$J$25,0))*parametros_manuales!$F$14+parametros_manuales!$G$19*(datos_base!$J$5+IF(parametros_manuales!$H$19="Todos",datos_base!$J$12,0))*parametros_manuales!$F$110+parametros_manuales!$G$19*(datos_base!$J$21+IF(parametros_manuales!$H$19="Todos",datos_base!$J$26,0))*parametros_manuales!$F$15)*parametros_manuales!$I$19*parametros_manuales!$J$19</f>
        <v>17938.99319756</v>
      </c>
      <c r="G218" s="9" t="n">
        <f aca="false">(parametros_manuales!$D$19*(datos_base!$J$2+IF(parametros_manuales!$H$19="Todos",datos_base!$J$9,0))*parametros_manuales!$G$95+parametros_manuales!$D$19*(datos_base!$J$18+IF(parametros_manuales!$H$19="Todos",datos_base!$J$23,0))*parametros_manuales!$G$12+parametros_manuales!$E$19*(datos_base!$J$3+IF(parametros_manuales!$H$19="Todos",datos_base!$J$10,0))*parametros_manuales!$G$100+parametros_manuales!$E$19*(datos_base!$J$19+IF(parametros_manuales!$H$19="Todos",datos_base!$J$24,0))*parametros_manuales!$G$13+parametros_manuales!$F$19*(datos_base!$J$4+IF(parametros_manuales!$H$19="Todos",datos_base!$J$11,0))*parametros_manuales!$G$105+parametros_manuales!$F$19*(datos_base!$J$20+IF(parametros_manuales!$H$19="Todos",datos_base!$J$25,0))*parametros_manuales!$G$14+parametros_manuales!$G$19*(datos_base!$J$5+IF(parametros_manuales!$H$19="Todos",datos_base!$J$12,0))*parametros_manuales!$G$110+parametros_manuales!$G$19*(datos_base!$J$21+IF(parametros_manuales!$H$19="Todos",datos_base!$J$26,0))*parametros_manuales!$G$15)*parametros_manuales!$I$19*parametros_manuales!$J$19</f>
        <v>17585.151093325</v>
      </c>
      <c r="H218" s="9" t="n">
        <f aca="false">(parametros_manuales!$D$19*(datos_base!$J$2+IF(parametros_manuales!$H$19="Todos",datos_base!$J$9,0))*parametros_manuales!$H$95+parametros_manuales!$D$19*(datos_base!$J$18+IF(parametros_manuales!$H$19="Todos",datos_base!$J$23,0))*parametros_manuales!$H$12+parametros_manuales!$E$19*(datos_base!$J$3+IF(parametros_manuales!$H$19="Todos",datos_base!$J$10,0))*parametros_manuales!$H$100+parametros_manuales!$E$19*(datos_base!$J$19+IF(parametros_manuales!$H$19="Todos",datos_base!$J$24,0))*parametros_manuales!$H$13+parametros_manuales!$F$19*(datos_base!$J$4+IF(parametros_manuales!$H$19="Todos",datos_base!$J$11,0))*parametros_manuales!$H$105+parametros_manuales!$F$19*(datos_base!$J$20+IF(parametros_manuales!$H$19="Todos",datos_base!$J$25,0))*parametros_manuales!$H$14+parametros_manuales!$G$19*(datos_base!$J$5+IF(parametros_manuales!$H$19="Todos",datos_base!$J$12,0))*parametros_manuales!$H$110+parametros_manuales!$G$19*(datos_base!$J$21+IF(parametros_manuales!$H$19="Todos",datos_base!$J$26,0))*parametros_manuales!$H$15)*parametros_manuales!$I$19*parametros_manuales!$J$19</f>
        <v>18815.95887826</v>
      </c>
      <c r="I218" s="9" t="n">
        <f aca="false">(parametros_manuales!$D$19*(datos_base!$J$2+IF(parametros_manuales!$H$19="Todos",datos_base!$J$9,0))*parametros_manuales!$I$95+parametros_manuales!$D$19*(datos_base!$J$18+IF(parametros_manuales!$H$19="Todos",datos_base!$J$23,0))*parametros_manuales!$I$12+parametros_manuales!$E$19*(datos_base!$J$3+IF(parametros_manuales!$H$19="Todos",datos_base!$J$10,0))*parametros_manuales!$I$100+parametros_manuales!$E$19*(datos_base!$J$19+IF(parametros_manuales!$H$19="Todos",datos_base!$J$24,0))*parametros_manuales!$I$13+parametros_manuales!$F$19*(datos_base!$J$4+IF(parametros_manuales!$H$19="Todos",datos_base!$J$11,0))*parametros_manuales!$I$105+parametros_manuales!$F$19*(datos_base!$J$20+IF(parametros_manuales!$H$19="Todos",datos_base!$J$25,0))*parametros_manuales!$I$14+parametros_manuales!$G$19*(datos_base!$J$5+IF(parametros_manuales!$H$19="Todos",datos_base!$J$12,0))*parametros_manuales!$I$110+parametros_manuales!$G$19*(datos_base!$J$21+IF(parametros_manuales!$H$19="Todos",datos_base!$J$26,0))*parametros_manuales!$I$15)*parametros_manuales!$I$19*parametros_manuales!$J$19</f>
        <v>21446.85592036</v>
      </c>
      <c r="J218" s="9" t="n">
        <f aca="false">(parametros_manuales!$D$19*(datos_base!$J$2+IF(parametros_manuales!$H$19="Todos",datos_base!$J$9,0))*parametros_manuales!$J$95+parametros_manuales!$D$19*(datos_base!$J$18+IF(parametros_manuales!$H$19="Todos",datos_base!$J$23,0))*parametros_manuales!$J$12+parametros_manuales!$E$19*(datos_base!$J$3+IF(parametros_manuales!$H$19="Todos",datos_base!$J$10,0))*parametros_manuales!$J$100+parametros_manuales!$E$19*(datos_base!$J$19+IF(parametros_manuales!$H$19="Todos",datos_base!$J$24,0))*parametros_manuales!$J$13+parametros_manuales!$F$19*(datos_base!$J$4+IF(parametros_manuales!$H$19="Todos",datos_base!$J$11,0))*parametros_manuales!$J$105+parametros_manuales!$F$19*(datos_base!$J$20+IF(parametros_manuales!$H$19="Todos",datos_base!$J$25,0))*parametros_manuales!$J$14+parametros_manuales!$G$19*(datos_base!$J$5+IF(parametros_manuales!$H$19="Todos",datos_base!$J$12,0))*parametros_manuales!$J$110+parametros_manuales!$G$19*(datos_base!$J$21+IF(parametros_manuales!$H$19="Todos",datos_base!$J$26,0))*parametros_manuales!$J$15)*parametros_manuales!$I$19*parametros_manuales!$J$19</f>
        <v>21446.85592036</v>
      </c>
      <c r="K218" s="9" t="n">
        <f aca="false">(parametros_manuales!$D$19*(datos_base!$J$2+IF(parametros_manuales!$H$19="Todos",datos_base!$J$9,0))*parametros_manuales!$K$95+parametros_manuales!$D$19*(datos_base!$J$18+IF(parametros_manuales!$H$19="Todos",datos_base!$J$23,0))*parametros_manuales!$K$12+parametros_manuales!$E$19*(datos_base!$J$3+IF(parametros_manuales!$H$19="Todos",datos_base!$J$10,0))*parametros_manuales!$K$100+parametros_manuales!$E$19*(datos_base!$J$19+IF(parametros_manuales!$H$19="Todos",datos_base!$J$24,0))*parametros_manuales!$K$13+parametros_manuales!$F$19*(datos_base!$J$4+IF(parametros_manuales!$H$19="Todos",datos_base!$J$11,0))*parametros_manuales!$K$105+parametros_manuales!$F$19*(datos_base!$J$20+IF(parametros_manuales!$H$19="Todos",datos_base!$J$25,0))*parametros_manuales!$K$14+parametros_manuales!$G$19*(datos_base!$J$5+IF(parametros_manuales!$H$19="Todos",datos_base!$J$12,0))*parametros_manuales!$K$110+parametros_manuales!$G$19*(datos_base!$J$21+IF(parametros_manuales!$H$19="Todos",datos_base!$J$26,0))*parametros_manuales!$K$15)*parametros_manuales!$I$19*parametros_manuales!$J$19</f>
        <v>21798.852424595</v>
      </c>
      <c r="L218" s="9" t="n">
        <f aca="false">(parametros_manuales!$D$19*(datos_base!$J$2+IF(parametros_manuales!$H$19="Todos",datos_base!$J$9,0))*parametros_manuales!$L$95+parametros_manuales!$D$19*(datos_base!$J$18+IF(parametros_manuales!$H$19="Todos",datos_base!$J$23,0))*parametros_manuales!$L$12+parametros_manuales!$E$19*(datos_base!$J$3+IF(parametros_manuales!$H$19="Todos",datos_base!$J$10,0))*parametros_manuales!$L$100+parametros_manuales!$E$19*(datos_base!$J$19+IF(parametros_manuales!$H$19="Todos",datos_base!$J$24,0))*parametros_manuales!$L$13+parametros_manuales!$F$19*(datos_base!$J$4+IF(parametros_manuales!$H$19="Todos",datos_base!$J$11,0))*parametros_manuales!$L$105+parametros_manuales!$F$19*(datos_base!$J$20+IF(parametros_manuales!$H$19="Todos",datos_base!$J$25,0))*parametros_manuales!$L$14+parametros_manuales!$G$19*(datos_base!$J$5+IF(parametros_manuales!$H$19="Todos",datos_base!$J$12,0))*parametros_manuales!$L$110+parametros_manuales!$G$19*(datos_base!$J$21+IF(parametros_manuales!$H$19="Todos",datos_base!$J$26,0))*parametros_manuales!$L$15)*parametros_manuales!$I$19*parametros_manuales!$J$19</f>
        <v>22150.84892883</v>
      </c>
      <c r="M218" s="9" t="n">
        <f aca="false">(parametros_manuales!$D$19*(datos_base!$J$2+IF(parametros_manuales!$H$19="Todos",datos_base!$J$9,0))*parametros_manuales!$M$95+parametros_manuales!$D$19*(datos_base!$J$18+IF(parametros_manuales!$H$19="Todos",datos_base!$J$23,0))*parametros_manuales!$M$12+parametros_manuales!$E$19*(datos_base!$J$3+IF(parametros_manuales!$H$19="Todos",datos_base!$J$10,0))*parametros_manuales!$M$100+parametros_manuales!$E$19*(datos_base!$J$19+IF(parametros_manuales!$H$19="Todos",datos_base!$J$24,0))*parametros_manuales!$M$13+parametros_manuales!$F$19*(datos_base!$J$4+IF(parametros_manuales!$H$19="Todos",datos_base!$J$11,0))*parametros_manuales!$M$105+parametros_manuales!$F$19*(datos_base!$J$20+IF(parametros_manuales!$H$19="Todos",datos_base!$J$25,0))*parametros_manuales!$M$14+parametros_manuales!$G$19*(datos_base!$J$5+IF(parametros_manuales!$H$19="Todos",datos_base!$J$12,0))*parametros_manuales!$M$110+parametros_manuales!$G$19*(datos_base!$J$21+IF(parametros_manuales!$H$19="Todos",datos_base!$J$26,0))*parametros_manuales!$M$15)*parametros_manuales!$I$19*parametros_manuales!$J$19</f>
        <v>22158.23132883</v>
      </c>
      <c r="N218" s="9" t="n">
        <f aca="false">SUM(B218:M218)</f>
        <v>246161.556987</v>
      </c>
      <c r="O218" s="9" t="n">
        <f aca="false">MAX(B218:M218)</f>
        <v>22158.23132883</v>
      </c>
      <c r="P218" s="44" t="n">
        <f aca="false">O218/(parametros_manuales!$B$7)</f>
        <v>147.7215421922</v>
      </c>
      <c r="Q218" s="8" t="str">
        <f aca="false">IF(O218=0,"-",INDEX($B$217:$M$217,MATCH(O218,B218:M218,0)))</f>
        <v>Dic</v>
      </c>
    </row>
    <row r="219" customFormat="false" ht="14.25" hidden="false" customHeight="true" outlineLevel="0" collapsed="false">
      <c r="A219" s="8" t="str">
        <f aca="false">parametros_manuales!$B$20</f>
        <v>Corte de chapa (guillotina) — 2,5 a 10 kg</v>
      </c>
      <c r="B219" s="9" t="n">
        <f aca="false">(parametros_manuales!$D$20*(datos_base!$J$2+IF(parametros_manuales!$H$20="Todos",datos_base!$J$9,0))*parametros_manuales!$B$95+parametros_manuales!$D$20*(datos_base!$J$18+IF(parametros_manuales!$H$20="Todos",datos_base!$J$23,0))*parametros_manuales!$B$12+parametros_manuales!$E$20*(datos_base!$J$3+IF(parametros_manuales!$H$20="Todos",datos_base!$J$10,0))*parametros_manuales!$B$100+parametros_manuales!$E$20*(datos_base!$J$19+IF(parametros_manuales!$H$20="Todos",datos_base!$J$24,0))*parametros_manuales!$B$13+parametros_manuales!$F$20*(datos_base!$J$4+IF(parametros_manuales!$H$20="Todos",datos_base!$J$11,0))*parametros_manuales!$B$105+parametros_manuales!$F$20*(datos_base!$J$20+IF(parametros_manuales!$H$20="Todos",datos_base!$J$25,0))*parametros_manuales!$B$14+parametros_manuales!$G$20*(datos_base!$J$5+IF(parametros_manuales!$H$20="Todos",datos_base!$J$12,0))*parametros_manuales!$B$110+parametros_manuales!$G$20*(datos_base!$J$21+IF(parametros_manuales!$H$20="Todos",datos_base!$J$26,0))*parametros_manuales!$B$15)*parametros_manuales!$I$20*parametros_manuales!$J$20</f>
        <v>6371.00347623</v>
      </c>
      <c r="C219" s="9" t="n">
        <f aca="false">(parametros_manuales!$D$20*(datos_base!$J$2+IF(parametros_manuales!$H$20="Todos",datos_base!$J$9,0))*parametros_manuales!$C$95+parametros_manuales!$D$20*(datos_base!$J$18+IF(parametros_manuales!$H$20="Todos",datos_base!$J$23,0))*parametros_manuales!$C$12+parametros_manuales!$E$20*(datos_base!$J$3+IF(parametros_manuales!$H$20="Todos",datos_base!$J$10,0))*parametros_manuales!$C$100+parametros_manuales!$E$20*(datos_base!$J$19+IF(parametros_manuales!$H$20="Todos",datos_base!$J$24,0))*parametros_manuales!$C$13+parametros_manuales!$F$20*(datos_base!$J$4+IF(parametros_manuales!$H$20="Todos",datos_base!$J$11,0))*parametros_manuales!$C$105+parametros_manuales!$F$20*(datos_base!$J$20+IF(parametros_manuales!$H$20="Todos",datos_base!$J$25,0))*parametros_manuales!$C$14+parametros_manuales!$G$20*(datos_base!$J$5+IF(parametros_manuales!$H$20="Todos",datos_base!$J$12,0))*parametros_manuales!$C$110+parametros_manuales!$G$20*(datos_base!$J$21+IF(parametros_manuales!$H$20="Todos",datos_base!$J$26,0))*parametros_manuales!$C$15)*parametros_manuales!$I$20*parametros_manuales!$J$20</f>
        <v>5661.47366776</v>
      </c>
      <c r="D219" s="9" t="n">
        <f aca="false">(parametros_manuales!$D$20*(datos_base!$J$2+IF(parametros_manuales!$H$20="Todos",datos_base!$J$9,0))*parametros_manuales!$D$95+parametros_manuales!$D$20*(datos_base!$J$18+IF(parametros_manuales!$H$20="Todos",datos_base!$J$23,0))*parametros_manuales!$D$12+parametros_manuales!$E$20*(datos_base!$J$3+IF(parametros_manuales!$H$20="Todos",datos_base!$J$10,0))*parametros_manuales!$D$100+parametros_manuales!$E$20*(datos_base!$J$19+IF(parametros_manuales!$H$20="Todos",datos_base!$J$24,0))*parametros_manuales!$D$13+parametros_manuales!$F$20*(datos_base!$J$4+IF(parametros_manuales!$H$20="Todos",datos_base!$J$11,0))*parametros_manuales!$D$105+parametros_manuales!$F$20*(datos_base!$J$20+IF(parametros_manuales!$H$20="Todos",datos_base!$J$25,0))*parametros_manuales!$D$14+parametros_manuales!$G$20*(datos_base!$J$5+IF(parametros_manuales!$H$20="Todos",datos_base!$J$12,0))*parametros_manuales!$D$110+parametros_manuales!$G$20*(datos_base!$J$21+IF(parametros_manuales!$H$20="Todos",datos_base!$J$26,0))*parametros_manuales!$D$15)*parametros_manuales!$I$20*parametros_manuales!$J$20</f>
        <v>6015.315771995</v>
      </c>
      <c r="E219" s="9" t="n">
        <f aca="false">(parametros_manuales!$D$20*(datos_base!$J$2+IF(parametros_manuales!$H$20="Todos",datos_base!$J$9,0))*parametros_manuales!$E$95+parametros_manuales!$D$20*(datos_base!$J$18+IF(parametros_manuales!$H$20="Todos",datos_base!$J$23,0))*parametros_manuales!$E$12+parametros_manuales!$E$20*(datos_base!$J$3+IF(parametros_manuales!$H$20="Todos",datos_base!$J$10,0))*parametros_manuales!$E$100+parametros_manuales!$E$20*(datos_base!$J$19+IF(parametros_manuales!$H$20="Todos",datos_base!$J$24,0))*parametros_manuales!$E$13+parametros_manuales!$F$20*(datos_base!$J$4+IF(parametros_manuales!$H$20="Todos",datos_base!$J$11,0))*parametros_manuales!$E$105+parametros_manuales!$F$20*(datos_base!$J$20+IF(parametros_manuales!$H$20="Todos",datos_base!$J$25,0))*parametros_manuales!$E$14+parametros_manuales!$G$20*(datos_base!$J$5+IF(parametros_manuales!$H$20="Todos",datos_base!$J$12,0))*parametros_manuales!$E$110+parametros_manuales!$G$20*(datos_base!$J$21+IF(parametros_manuales!$H$20="Todos",datos_base!$J$26,0))*parametros_manuales!$E$15)*parametros_manuales!$I$20*parametros_manuales!$J$20</f>
        <v>6015.315771995</v>
      </c>
      <c r="F219" s="9" t="n">
        <f aca="false">(parametros_manuales!$D$20*(datos_base!$J$2+IF(parametros_manuales!$H$20="Todos",datos_base!$J$9,0))*parametros_manuales!$F$95+parametros_manuales!$D$20*(datos_base!$J$18+IF(parametros_manuales!$H$20="Todos",datos_base!$J$23,0))*parametros_manuales!$F$12+parametros_manuales!$E$20*(datos_base!$J$3+IF(parametros_manuales!$H$20="Todos",datos_base!$J$10,0))*parametros_manuales!$F$100+parametros_manuales!$E$20*(datos_base!$J$19+IF(parametros_manuales!$H$20="Todos",datos_base!$J$24,0))*parametros_manuales!$F$13+parametros_manuales!$F$20*(datos_base!$J$4+IF(parametros_manuales!$H$20="Todos",datos_base!$J$11,0))*parametros_manuales!$F$105+parametros_manuales!$F$20*(datos_base!$J$20+IF(parametros_manuales!$H$20="Todos",datos_base!$J$25,0))*parametros_manuales!$F$14+parametros_manuales!$G$20*(datos_base!$J$5+IF(parametros_manuales!$H$20="Todos",datos_base!$J$12,0))*parametros_manuales!$F$110+parametros_manuales!$G$20*(datos_base!$J$21+IF(parametros_manuales!$H$20="Todos",datos_base!$J$26,0))*parametros_manuales!$F$15)*parametros_manuales!$I$20*parametros_manuales!$J$20</f>
        <v>5661.47366776</v>
      </c>
      <c r="G219" s="9" t="n">
        <f aca="false">(parametros_manuales!$D$20*(datos_base!$J$2+IF(parametros_manuales!$H$20="Todos",datos_base!$J$9,0))*parametros_manuales!$G$95+parametros_manuales!$D$20*(datos_base!$J$18+IF(parametros_manuales!$H$20="Todos",datos_base!$J$23,0))*parametros_manuales!$G$12+parametros_manuales!$E$20*(datos_base!$J$3+IF(parametros_manuales!$H$20="Todos",datos_base!$J$10,0))*parametros_manuales!$G$100+parametros_manuales!$E$20*(datos_base!$J$19+IF(parametros_manuales!$H$20="Todos",datos_base!$J$24,0))*parametros_manuales!$G$13+parametros_manuales!$F$20*(datos_base!$J$4+IF(parametros_manuales!$H$20="Todos",datos_base!$J$11,0))*parametros_manuales!$G$105+parametros_manuales!$F$20*(datos_base!$J$20+IF(parametros_manuales!$H$20="Todos",datos_base!$J$25,0))*parametros_manuales!$G$14+parametros_manuales!$G$20*(datos_base!$J$5+IF(parametros_manuales!$H$20="Todos",datos_base!$J$12,0))*parametros_manuales!$G$110+parametros_manuales!$G$20*(datos_base!$J$21+IF(parametros_manuales!$H$20="Todos",datos_base!$J$26,0))*parametros_manuales!$G$15)*parametros_manuales!$I$20*parametros_manuales!$J$20</f>
        <v>5307.631563525</v>
      </c>
      <c r="H219" s="9" t="n">
        <f aca="false">(parametros_manuales!$D$20*(datos_base!$J$2+IF(parametros_manuales!$H$20="Todos",datos_base!$J$9,0))*parametros_manuales!$H$95+parametros_manuales!$D$20*(datos_base!$J$18+IF(parametros_manuales!$H$20="Todos",datos_base!$J$23,0))*parametros_manuales!$H$12+parametros_manuales!$E$20*(datos_base!$J$3+IF(parametros_manuales!$H$20="Todos",datos_base!$J$10,0))*parametros_manuales!$H$100+parametros_manuales!$E$20*(datos_base!$J$19+IF(parametros_manuales!$H$20="Todos",datos_base!$J$24,0))*parametros_manuales!$H$13+parametros_manuales!$F$20*(datos_base!$J$4+IF(parametros_manuales!$H$20="Todos",datos_base!$J$11,0))*parametros_manuales!$H$105+parametros_manuales!$F$20*(datos_base!$J$20+IF(parametros_manuales!$H$20="Todos",datos_base!$J$25,0))*parametros_manuales!$H$14+parametros_manuales!$G$20*(datos_base!$J$5+IF(parametros_manuales!$H$20="Todos",datos_base!$J$12,0))*parametros_manuales!$H$110+parametros_manuales!$G$20*(datos_base!$J$21+IF(parametros_manuales!$H$20="Todos",datos_base!$J$26,0))*parametros_manuales!$H$15)*parametros_manuales!$I$20*parametros_manuales!$J$20</f>
        <v>5661.47366776</v>
      </c>
      <c r="I219" s="9" t="n">
        <f aca="false">(parametros_manuales!$D$20*(datos_base!$J$2+IF(parametros_manuales!$H$20="Todos",datos_base!$J$9,0))*parametros_manuales!$I$95+parametros_manuales!$D$20*(datos_base!$J$18+IF(parametros_manuales!$H$20="Todos",datos_base!$J$23,0))*parametros_manuales!$I$12+parametros_manuales!$E$20*(datos_base!$J$3+IF(parametros_manuales!$H$20="Todos",datos_base!$J$10,0))*parametros_manuales!$I$100+parametros_manuales!$E$20*(datos_base!$J$19+IF(parametros_manuales!$H$20="Todos",datos_base!$J$24,0))*parametros_manuales!$I$13+parametros_manuales!$F$20*(datos_base!$J$4+IF(parametros_manuales!$H$20="Todos",datos_base!$J$11,0))*parametros_manuales!$I$105+parametros_manuales!$F$20*(datos_base!$J$20+IF(parametros_manuales!$H$20="Todos",datos_base!$J$25,0))*parametros_manuales!$I$14+parametros_manuales!$G$20*(datos_base!$J$5+IF(parametros_manuales!$H$20="Todos",datos_base!$J$12,0))*parametros_manuales!$I$110+parametros_manuales!$G$20*(datos_base!$J$21+IF(parametros_manuales!$H$20="Todos",datos_base!$J$26,0))*parametros_manuales!$I$15)*parametros_manuales!$I$20*parametros_manuales!$J$20</f>
        <v>5661.47366776</v>
      </c>
      <c r="J219" s="9" t="n">
        <f aca="false">(parametros_manuales!$D$20*(datos_base!$J$2+IF(parametros_manuales!$H$20="Todos",datos_base!$J$9,0))*parametros_manuales!$J$95+parametros_manuales!$D$20*(datos_base!$J$18+IF(parametros_manuales!$H$20="Todos",datos_base!$J$23,0))*parametros_manuales!$J$12+parametros_manuales!$E$20*(datos_base!$J$3+IF(parametros_manuales!$H$20="Todos",datos_base!$J$10,0))*parametros_manuales!$J$100+parametros_manuales!$E$20*(datos_base!$J$19+IF(parametros_manuales!$H$20="Todos",datos_base!$J$24,0))*parametros_manuales!$J$13+parametros_manuales!$F$20*(datos_base!$J$4+IF(parametros_manuales!$H$20="Todos",datos_base!$J$11,0))*parametros_manuales!$J$105+parametros_manuales!$F$20*(datos_base!$J$20+IF(parametros_manuales!$H$20="Todos",datos_base!$J$25,0))*parametros_manuales!$J$14+parametros_manuales!$G$20*(datos_base!$J$5+IF(parametros_manuales!$H$20="Todos",datos_base!$J$12,0))*parametros_manuales!$J$110+parametros_manuales!$G$20*(datos_base!$J$21+IF(parametros_manuales!$H$20="Todos",datos_base!$J$26,0))*parametros_manuales!$J$15)*parametros_manuales!$I$20*parametros_manuales!$J$20</f>
        <v>5661.47366776</v>
      </c>
      <c r="K219" s="9" t="n">
        <f aca="false">(parametros_manuales!$D$20*(datos_base!$J$2+IF(parametros_manuales!$H$20="Todos",datos_base!$J$9,0))*parametros_manuales!$K$95+parametros_manuales!$D$20*(datos_base!$J$18+IF(parametros_manuales!$H$20="Todos",datos_base!$J$23,0))*parametros_manuales!$K$12+parametros_manuales!$E$20*(datos_base!$J$3+IF(parametros_manuales!$H$20="Todos",datos_base!$J$10,0))*parametros_manuales!$K$100+parametros_manuales!$E$20*(datos_base!$J$19+IF(parametros_manuales!$H$20="Todos",datos_base!$J$24,0))*parametros_manuales!$K$13+parametros_manuales!$F$20*(datos_base!$J$4+IF(parametros_manuales!$H$20="Todos",datos_base!$J$11,0))*parametros_manuales!$K$105+parametros_manuales!$F$20*(datos_base!$J$20+IF(parametros_manuales!$H$20="Todos",datos_base!$J$25,0))*parametros_manuales!$K$14+parametros_manuales!$G$20*(datos_base!$J$5+IF(parametros_manuales!$H$20="Todos",datos_base!$J$12,0))*parametros_manuales!$K$110+parametros_manuales!$G$20*(datos_base!$J$21+IF(parametros_manuales!$H$20="Todos",datos_base!$J$26,0))*parametros_manuales!$K$15)*parametros_manuales!$I$20*parametros_manuales!$J$20</f>
        <v>6013.470171995</v>
      </c>
      <c r="L219" s="9" t="n">
        <f aca="false">(parametros_manuales!$D$20*(datos_base!$J$2+IF(parametros_manuales!$H$20="Todos",datos_base!$J$9,0))*parametros_manuales!$L$95+parametros_manuales!$D$20*(datos_base!$J$18+IF(parametros_manuales!$H$20="Todos",datos_base!$J$23,0))*parametros_manuales!$L$12+parametros_manuales!$E$20*(datos_base!$J$3+IF(parametros_manuales!$H$20="Todos",datos_base!$J$10,0))*parametros_manuales!$L$100+parametros_manuales!$E$20*(datos_base!$J$19+IF(parametros_manuales!$H$20="Todos",datos_base!$J$24,0))*parametros_manuales!$L$13+parametros_manuales!$F$20*(datos_base!$J$4+IF(parametros_manuales!$H$20="Todos",datos_base!$J$11,0))*parametros_manuales!$L$105+parametros_manuales!$F$20*(datos_base!$J$20+IF(parametros_manuales!$H$20="Todos",datos_base!$J$25,0))*parametros_manuales!$L$14+parametros_manuales!$G$20*(datos_base!$J$5+IF(parametros_manuales!$H$20="Todos",datos_base!$J$12,0))*parametros_manuales!$L$110+parametros_manuales!$G$20*(datos_base!$J$21+IF(parametros_manuales!$H$20="Todos",datos_base!$J$26,0))*parametros_manuales!$L$15)*parametros_manuales!$I$20*parametros_manuales!$J$20</f>
        <v>6365.46667623</v>
      </c>
      <c r="M219" s="9" t="n">
        <f aca="false">(parametros_manuales!$D$20*(datos_base!$J$2+IF(parametros_manuales!$H$20="Todos",datos_base!$J$9,0))*parametros_manuales!$M$95+parametros_manuales!$D$20*(datos_base!$J$18+IF(parametros_manuales!$H$20="Todos",datos_base!$J$23,0))*parametros_manuales!$M$12+parametros_manuales!$E$20*(datos_base!$J$3+IF(parametros_manuales!$H$20="Todos",datos_base!$J$10,0))*parametros_manuales!$M$100+parametros_manuales!$E$20*(datos_base!$J$19+IF(parametros_manuales!$H$20="Todos",datos_base!$J$24,0))*parametros_manuales!$M$13+parametros_manuales!$F$20*(datos_base!$J$4+IF(parametros_manuales!$H$20="Todos",datos_base!$J$11,0))*parametros_manuales!$M$105+parametros_manuales!$F$20*(datos_base!$J$20+IF(parametros_manuales!$H$20="Todos",datos_base!$J$25,0))*parametros_manuales!$M$14+parametros_manuales!$G$20*(datos_base!$J$5+IF(parametros_manuales!$H$20="Todos",datos_base!$J$12,0))*parametros_manuales!$M$110+parametros_manuales!$G$20*(datos_base!$J$21+IF(parametros_manuales!$H$20="Todos",datos_base!$J$26,0))*parametros_manuales!$M$15)*parametros_manuales!$I$20*parametros_manuales!$J$20</f>
        <v>6372.84907623</v>
      </c>
      <c r="N219" s="9" t="n">
        <f aca="false">SUM(B219:M219)</f>
        <v>70768.420847</v>
      </c>
      <c r="O219" s="9" t="n">
        <f aca="false">MAX(B219:M219)</f>
        <v>6372.84907623</v>
      </c>
      <c r="P219" s="44" t="n">
        <f aca="false">O219/(parametros_manuales!$B$7)</f>
        <v>42.4856605082</v>
      </c>
      <c r="Q219" s="8" t="str">
        <f aca="false">IF(O219=0,"-",INDEX($B$217:$M$217,MATCH(O219,B219:M219,0)))</f>
        <v>Dic</v>
      </c>
    </row>
    <row r="220" customFormat="false" ht="14.25" hidden="false" customHeight="true" outlineLevel="0" collapsed="false">
      <c r="A220" s="8" t="str">
        <f aca="false">parametros_manuales!$B$21</f>
        <v>Corte de tubo — 1 kg</v>
      </c>
      <c r="B220" s="9" t="n">
        <f aca="false">(parametros_manuales!$D$21*(datos_base!$J$2+IF(parametros_manuales!$H$21="Todos",datos_base!$J$9,0))*parametros_manuales!$B$95+parametros_manuales!$D$21*(datos_base!$J$18+IF(parametros_manuales!$H$21="Todos",datos_base!$J$23,0))*parametros_manuales!$B$12+parametros_manuales!$E$21*(datos_base!$J$3+IF(parametros_manuales!$H$21="Todos",datos_base!$J$10,0))*parametros_manuales!$B$100+parametros_manuales!$E$21*(datos_base!$J$19+IF(parametros_manuales!$H$21="Todos",datos_base!$J$24,0))*parametros_manuales!$B$13+parametros_manuales!$F$21*(datos_base!$J$4+IF(parametros_manuales!$H$21="Todos",datos_base!$J$11,0))*parametros_manuales!$B$105+parametros_manuales!$F$21*(datos_base!$J$20+IF(parametros_manuales!$H$21="Todos",datos_base!$J$25,0))*parametros_manuales!$B$14+parametros_manuales!$G$21*(datos_base!$J$5+IF(parametros_manuales!$H$21="Todos",datos_base!$J$12,0))*parametros_manuales!$B$110+parametros_manuales!$G$21*(datos_base!$J$21+IF(parametros_manuales!$H$21="Todos",datos_base!$J$26,0))*parametros_manuales!$B$15)*parametros_manuales!$I$21*parametros_manuales!$J$21</f>
        <v>15785.3822526</v>
      </c>
      <c r="C220" s="9" t="n">
        <f aca="false">(parametros_manuales!$D$21*(datos_base!$J$2+IF(parametros_manuales!$H$21="Todos",datos_base!$J$9,0))*parametros_manuales!$C$95+parametros_manuales!$D$21*(datos_base!$J$18+IF(parametros_manuales!$H$21="Todos",datos_base!$J$23,0))*parametros_manuales!$C$12+parametros_manuales!$E$21*(datos_base!$J$3+IF(parametros_manuales!$H$21="Todos",datos_base!$J$10,0))*parametros_manuales!$C$100+parametros_manuales!$E$21*(datos_base!$J$19+IF(parametros_manuales!$H$21="Todos",datos_base!$J$24,0))*parametros_manuales!$C$13+parametros_manuales!$F$21*(datos_base!$J$4+IF(parametros_manuales!$H$21="Todos",datos_base!$J$11,0))*parametros_manuales!$C$105+parametros_manuales!$F$21*(datos_base!$J$20+IF(parametros_manuales!$H$21="Todos",datos_base!$J$25,0))*parametros_manuales!$C$14+parametros_manuales!$G$21*(datos_base!$J$5+IF(parametros_manuales!$H$21="Todos",datos_base!$J$12,0))*parametros_manuales!$C$110+parametros_manuales!$G$21*(datos_base!$J$21+IF(parametros_manuales!$H$21="Todos",datos_base!$J$26,0))*parametros_manuales!$C$15)*parametros_manuales!$I$21*parametros_manuales!$J$21</f>
        <v>15785.3822526</v>
      </c>
      <c r="D220" s="9" t="n">
        <f aca="false">(parametros_manuales!$D$21*(datos_base!$J$2+IF(parametros_manuales!$H$21="Todos",datos_base!$J$9,0))*parametros_manuales!$D$95+parametros_manuales!$D$21*(datos_base!$J$18+IF(parametros_manuales!$H$21="Todos",datos_base!$J$23,0))*parametros_manuales!$D$12+parametros_manuales!$E$21*(datos_base!$J$3+IF(parametros_manuales!$H$21="Todos",datos_base!$J$10,0))*parametros_manuales!$D$100+parametros_manuales!$E$21*(datos_base!$J$19+IF(parametros_manuales!$H$21="Todos",datos_base!$J$24,0))*parametros_manuales!$D$13+parametros_manuales!$F$21*(datos_base!$J$4+IF(parametros_manuales!$H$21="Todos",datos_base!$J$11,0))*parametros_manuales!$D$105+parametros_manuales!$F$21*(datos_base!$J$20+IF(parametros_manuales!$H$21="Todos",datos_base!$J$25,0))*parametros_manuales!$D$14+parametros_manuales!$G$21*(datos_base!$J$5+IF(parametros_manuales!$H$21="Todos",datos_base!$J$12,0))*parametros_manuales!$D$110+parametros_manuales!$G$21*(datos_base!$J$21+IF(parametros_manuales!$H$21="Todos",datos_base!$J$26,0))*parametros_manuales!$D$15)*parametros_manuales!$I$21*parametros_manuales!$J$21</f>
        <v>14031.4508912</v>
      </c>
      <c r="E220" s="9" t="n">
        <f aca="false">(parametros_manuales!$D$21*(datos_base!$J$2+IF(parametros_manuales!$H$21="Todos",datos_base!$J$9,0))*parametros_manuales!$E$95+parametros_manuales!$D$21*(datos_base!$J$18+IF(parametros_manuales!$H$21="Todos",datos_base!$J$23,0))*parametros_manuales!$E$12+parametros_manuales!$E$21*(datos_base!$J$3+IF(parametros_manuales!$H$21="Todos",datos_base!$J$10,0))*parametros_manuales!$E$100+parametros_manuales!$E$21*(datos_base!$J$19+IF(parametros_manuales!$H$21="Todos",datos_base!$J$24,0))*parametros_manuales!$E$13+parametros_manuales!$F$21*(datos_base!$J$4+IF(parametros_manuales!$H$21="Todos",datos_base!$J$11,0))*parametros_manuales!$E$105+parametros_manuales!$F$21*(datos_base!$J$20+IF(parametros_manuales!$H$21="Todos",datos_base!$J$25,0))*parametros_manuales!$E$14+parametros_manuales!$G$21*(datos_base!$J$5+IF(parametros_manuales!$H$21="Todos",datos_base!$J$12,0))*parametros_manuales!$E$110+parametros_manuales!$G$21*(datos_base!$J$21+IF(parametros_manuales!$H$21="Todos",datos_base!$J$26,0))*parametros_manuales!$E$15)*parametros_manuales!$I$21*parametros_manuales!$J$21</f>
        <v>13154.4852105</v>
      </c>
      <c r="F220" s="9" t="n">
        <f aca="false">(parametros_manuales!$D$21*(datos_base!$J$2+IF(parametros_manuales!$H$21="Todos",datos_base!$J$9,0))*parametros_manuales!$F$95+parametros_manuales!$D$21*(datos_base!$J$18+IF(parametros_manuales!$H$21="Todos",datos_base!$J$23,0))*parametros_manuales!$F$12+parametros_manuales!$E$21*(datos_base!$J$3+IF(parametros_manuales!$H$21="Todos",datos_base!$J$10,0))*parametros_manuales!$F$100+parametros_manuales!$E$21*(datos_base!$J$19+IF(parametros_manuales!$H$21="Todos",datos_base!$J$24,0))*parametros_manuales!$F$13+parametros_manuales!$F$21*(datos_base!$J$4+IF(parametros_manuales!$H$21="Todos",datos_base!$J$11,0))*parametros_manuales!$F$105+parametros_manuales!$F$21*(datos_base!$J$20+IF(parametros_manuales!$H$21="Todos",datos_base!$J$25,0))*parametros_manuales!$F$14+parametros_manuales!$G$21*(datos_base!$J$5+IF(parametros_manuales!$H$21="Todos",datos_base!$J$12,0))*parametros_manuales!$F$110+parametros_manuales!$G$21*(datos_base!$J$21+IF(parametros_manuales!$H$21="Todos",datos_base!$J$26,0))*parametros_manuales!$F$15)*parametros_manuales!$I$21*parametros_manuales!$J$21</f>
        <v>12277.5195298</v>
      </c>
      <c r="G220" s="9" t="n">
        <f aca="false">(parametros_manuales!$D$21*(datos_base!$J$2+IF(parametros_manuales!$H$21="Todos",datos_base!$J$9,0))*parametros_manuales!$G$95+parametros_manuales!$D$21*(datos_base!$J$18+IF(parametros_manuales!$H$21="Todos",datos_base!$J$23,0))*parametros_manuales!$G$12+parametros_manuales!$E$21*(datos_base!$J$3+IF(parametros_manuales!$H$21="Todos",datos_base!$J$10,0))*parametros_manuales!$G$100+parametros_manuales!$E$21*(datos_base!$J$19+IF(parametros_manuales!$H$21="Todos",datos_base!$J$24,0))*parametros_manuales!$G$13+parametros_manuales!$F$21*(datos_base!$J$4+IF(parametros_manuales!$H$21="Todos",datos_base!$J$11,0))*parametros_manuales!$G$105+parametros_manuales!$F$21*(datos_base!$J$20+IF(parametros_manuales!$H$21="Todos",datos_base!$J$25,0))*parametros_manuales!$G$14+parametros_manuales!$G$21*(datos_base!$J$5+IF(parametros_manuales!$H$21="Todos",datos_base!$J$12,0))*parametros_manuales!$G$110+parametros_manuales!$G$21*(datos_base!$J$21+IF(parametros_manuales!$H$21="Todos",datos_base!$J$26,0))*parametros_manuales!$G$15)*parametros_manuales!$I$21*parametros_manuales!$J$21</f>
        <v>12277.5195298</v>
      </c>
      <c r="H220" s="9" t="n">
        <f aca="false">(parametros_manuales!$D$21*(datos_base!$J$2+IF(parametros_manuales!$H$21="Todos",datos_base!$J$9,0))*parametros_manuales!$H$95+parametros_manuales!$D$21*(datos_base!$J$18+IF(parametros_manuales!$H$21="Todos",datos_base!$J$23,0))*parametros_manuales!$H$12+parametros_manuales!$E$21*(datos_base!$J$3+IF(parametros_manuales!$H$21="Todos",datos_base!$J$10,0))*parametros_manuales!$H$100+parametros_manuales!$E$21*(datos_base!$J$19+IF(parametros_manuales!$H$21="Todos",datos_base!$J$24,0))*parametros_manuales!$H$13+parametros_manuales!$F$21*(datos_base!$J$4+IF(parametros_manuales!$H$21="Todos",datos_base!$J$11,0))*parametros_manuales!$H$105+parametros_manuales!$F$21*(datos_base!$J$20+IF(parametros_manuales!$H$21="Todos",datos_base!$J$25,0))*parametros_manuales!$H$14+parametros_manuales!$G$21*(datos_base!$J$5+IF(parametros_manuales!$H$21="Todos",datos_base!$J$12,0))*parametros_manuales!$H$110+parametros_manuales!$G$21*(datos_base!$J$21+IF(parametros_manuales!$H$21="Todos",datos_base!$J$26,0))*parametros_manuales!$H$15)*parametros_manuales!$I$21*parametros_manuales!$J$21</f>
        <v>13154.4852105</v>
      </c>
      <c r="I220" s="9" t="n">
        <f aca="false">(parametros_manuales!$D$21*(datos_base!$J$2+IF(parametros_manuales!$H$21="Todos",datos_base!$J$9,0))*parametros_manuales!$I$95+parametros_manuales!$D$21*(datos_base!$J$18+IF(parametros_manuales!$H$21="Todos",datos_base!$J$23,0))*parametros_manuales!$I$12+parametros_manuales!$E$21*(datos_base!$J$3+IF(parametros_manuales!$H$21="Todos",datos_base!$J$10,0))*parametros_manuales!$I$100+parametros_manuales!$E$21*(datos_base!$J$19+IF(parametros_manuales!$H$21="Todos",datos_base!$J$24,0))*parametros_manuales!$I$13+parametros_manuales!$F$21*(datos_base!$J$4+IF(parametros_manuales!$H$21="Todos",datos_base!$J$11,0))*parametros_manuales!$I$105+parametros_manuales!$F$21*(datos_base!$J$20+IF(parametros_manuales!$H$21="Todos",datos_base!$J$25,0))*parametros_manuales!$I$14+parametros_manuales!$G$21*(datos_base!$J$5+IF(parametros_manuales!$H$21="Todos",datos_base!$J$12,0))*parametros_manuales!$I$110+parametros_manuales!$G$21*(datos_base!$J$21+IF(parametros_manuales!$H$21="Todos",datos_base!$J$26,0))*parametros_manuales!$I$15)*parametros_manuales!$I$21*parametros_manuales!$J$21</f>
        <v>15785.3822526</v>
      </c>
      <c r="J220" s="9" t="n">
        <f aca="false">(parametros_manuales!$D$21*(datos_base!$J$2+IF(parametros_manuales!$H$21="Todos",datos_base!$J$9,0))*parametros_manuales!$J$95+parametros_manuales!$D$21*(datos_base!$J$18+IF(parametros_manuales!$H$21="Todos",datos_base!$J$23,0))*parametros_manuales!$J$12+parametros_manuales!$E$21*(datos_base!$J$3+IF(parametros_manuales!$H$21="Todos",datos_base!$J$10,0))*parametros_manuales!$J$100+parametros_manuales!$E$21*(datos_base!$J$19+IF(parametros_manuales!$H$21="Todos",datos_base!$J$24,0))*parametros_manuales!$J$13+parametros_manuales!$F$21*(datos_base!$J$4+IF(parametros_manuales!$H$21="Todos",datos_base!$J$11,0))*parametros_manuales!$J$105+parametros_manuales!$F$21*(datos_base!$J$20+IF(parametros_manuales!$H$21="Todos",datos_base!$J$25,0))*parametros_manuales!$J$14+parametros_manuales!$G$21*(datos_base!$J$5+IF(parametros_manuales!$H$21="Todos",datos_base!$J$12,0))*parametros_manuales!$J$110+parametros_manuales!$G$21*(datos_base!$J$21+IF(parametros_manuales!$H$21="Todos",datos_base!$J$26,0))*parametros_manuales!$J$15)*parametros_manuales!$I$21*parametros_manuales!$J$21</f>
        <v>15785.3822526</v>
      </c>
      <c r="K220" s="9" t="n">
        <f aca="false">(parametros_manuales!$D$21*(datos_base!$J$2+IF(parametros_manuales!$H$21="Todos",datos_base!$J$9,0))*parametros_manuales!$K$95+parametros_manuales!$D$21*(datos_base!$J$18+IF(parametros_manuales!$H$21="Todos",datos_base!$J$23,0))*parametros_manuales!$K$12+parametros_manuales!$E$21*(datos_base!$J$3+IF(parametros_manuales!$H$21="Todos",datos_base!$J$10,0))*parametros_manuales!$K$100+parametros_manuales!$E$21*(datos_base!$J$19+IF(parametros_manuales!$H$21="Todos",datos_base!$J$24,0))*parametros_manuales!$K$13+parametros_manuales!$F$21*(datos_base!$J$4+IF(parametros_manuales!$H$21="Todos",datos_base!$J$11,0))*parametros_manuales!$K$105+parametros_manuales!$F$21*(datos_base!$J$20+IF(parametros_manuales!$H$21="Todos",datos_base!$J$25,0))*parametros_manuales!$K$14+parametros_manuales!$G$21*(datos_base!$J$5+IF(parametros_manuales!$H$21="Todos",datos_base!$J$12,0))*parametros_manuales!$K$110+parametros_manuales!$G$21*(datos_base!$J$21+IF(parametros_manuales!$H$21="Todos",datos_base!$J$26,0))*parametros_manuales!$K$15)*parametros_manuales!$I$21*parametros_manuales!$J$21</f>
        <v>15785.3822526</v>
      </c>
      <c r="L220" s="9" t="n">
        <f aca="false">(parametros_manuales!$D$21*(datos_base!$J$2+IF(parametros_manuales!$H$21="Todos",datos_base!$J$9,0))*parametros_manuales!$L$95+parametros_manuales!$D$21*(datos_base!$J$18+IF(parametros_manuales!$H$21="Todos",datos_base!$J$23,0))*parametros_manuales!$L$12+parametros_manuales!$E$21*(datos_base!$J$3+IF(parametros_manuales!$H$21="Todos",datos_base!$J$10,0))*parametros_manuales!$L$100+parametros_manuales!$E$21*(datos_base!$J$19+IF(parametros_manuales!$H$21="Todos",datos_base!$J$24,0))*parametros_manuales!$L$13+parametros_manuales!$F$21*(datos_base!$J$4+IF(parametros_manuales!$H$21="Todos",datos_base!$J$11,0))*parametros_manuales!$L$105+parametros_manuales!$F$21*(datos_base!$J$20+IF(parametros_manuales!$H$21="Todos",datos_base!$J$25,0))*parametros_manuales!$L$14+parametros_manuales!$G$21*(datos_base!$J$5+IF(parametros_manuales!$H$21="Todos",datos_base!$J$12,0))*parametros_manuales!$L$110+parametros_manuales!$G$21*(datos_base!$J$21+IF(parametros_manuales!$H$21="Todos",datos_base!$J$26,0))*parametros_manuales!$L$15)*parametros_manuales!$I$21*parametros_manuales!$J$21</f>
        <v>15785.3822526</v>
      </c>
      <c r="M220" s="9" t="n">
        <f aca="false">(parametros_manuales!$D$21*(datos_base!$J$2+IF(parametros_manuales!$H$21="Todos",datos_base!$J$9,0))*parametros_manuales!$M$95+parametros_manuales!$D$21*(datos_base!$J$18+IF(parametros_manuales!$H$21="Todos",datos_base!$J$23,0))*parametros_manuales!$M$12+parametros_manuales!$E$21*(datos_base!$J$3+IF(parametros_manuales!$H$21="Todos",datos_base!$J$10,0))*parametros_manuales!$M$100+parametros_manuales!$E$21*(datos_base!$J$19+IF(parametros_manuales!$H$21="Todos",datos_base!$J$24,0))*parametros_manuales!$M$13+parametros_manuales!$F$21*(datos_base!$J$4+IF(parametros_manuales!$H$21="Todos",datos_base!$J$11,0))*parametros_manuales!$M$105+parametros_manuales!$F$21*(datos_base!$J$20+IF(parametros_manuales!$H$21="Todos",datos_base!$J$25,0))*parametros_manuales!$M$14+parametros_manuales!$G$21*(datos_base!$J$5+IF(parametros_manuales!$H$21="Todos",datos_base!$J$12,0))*parametros_manuales!$M$110+parametros_manuales!$G$21*(datos_base!$J$21+IF(parametros_manuales!$H$21="Todos",datos_base!$J$26,0))*parametros_manuales!$M$15)*parametros_manuales!$I$21*parametros_manuales!$J$21</f>
        <v>15785.3822526</v>
      </c>
      <c r="N220" s="9" t="n">
        <f aca="false">SUM(B220:M220)</f>
        <v>175393.13614</v>
      </c>
      <c r="O220" s="9" t="n">
        <f aca="false">MAX(B220:M220)</f>
        <v>15785.3822526</v>
      </c>
      <c r="P220" s="44" t="n">
        <f aca="false">O220/(parametros_manuales!$B$7)</f>
        <v>105.235881684</v>
      </c>
      <c r="Q220" s="8" t="str">
        <f aca="false">IF(O220=0,"-",INDEX($B$217:$M$217,MATCH(O220,B220:M220,0)))</f>
        <v>Ene</v>
      </c>
    </row>
    <row r="221" customFormat="false" ht="14.25" hidden="false" customHeight="true" outlineLevel="0" collapsed="false">
      <c r="A221" s="8" t="str">
        <f aca="false">parametros_manuales!$B$22</f>
        <v>Corte de disco y embutido (cúpula y fondo)</v>
      </c>
      <c r="B221" s="9" t="n">
        <f aca="false">(parametros_manuales!$D$22*(datos_base!$J$2+IF(parametros_manuales!$H$22="Todos",datos_base!$J$9,0))*parametros_manuales!$B$95+parametros_manuales!$D$22*(datos_base!$J$18+IF(parametros_manuales!$H$22="Todos",datos_base!$J$23,0))*parametros_manuales!$B$12+parametros_manuales!$E$22*(datos_base!$J$3+IF(parametros_manuales!$H$22="Todos",datos_base!$J$10,0))*parametros_manuales!$B$100+parametros_manuales!$E$22*(datos_base!$J$19+IF(parametros_manuales!$H$22="Todos",datos_base!$J$24,0))*parametros_manuales!$B$13+parametros_manuales!$F$22*(datos_base!$J$4+IF(parametros_manuales!$H$22="Todos",datos_base!$J$11,0))*parametros_manuales!$B$105+parametros_manuales!$F$22*(datos_base!$J$20+IF(parametros_manuales!$H$22="Todos",datos_base!$J$25,0))*parametros_manuales!$B$14+parametros_manuales!$G$22*(datos_base!$J$5+IF(parametros_manuales!$H$22="Todos",datos_base!$J$12,0))*parametros_manuales!$B$110+parametros_manuales!$G$22*(datos_base!$J$21+IF(parametros_manuales!$H$22="Todos",datos_base!$J$26,0))*parametros_manuales!$B$15)*parametros_manuales!$I$22*parametros_manuales!$J$22</f>
        <v>44312.77145766</v>
      </c>
      <c r="C221" s="9" t="n">
        <f aca="false">(parametros_manuales!$D$22*(datos_base!$J$2+IF(parametros_manuales!$H$22="Todos",datos_base!$J$9,0))*parametros_manuales!$C$95+parametros_manuales!$D$22*(datos_base!$J$18+IF(parametros_manuales!$H$22="Todos",datos_base!$J$23,0))*parametros_manuales!$C$12+parametros_manuales!$E$22*(datos_base!$J$3+IF(parametros_manuales!$H$22="Todos",datos_base!$J$10,0))*parametros_manuales!$C$100+parametros_manuales!$E$22*(datos_base!$J$19+IF(parametros_manuales!$H$22="Todos",datos_base!$J$24,0))*parametros_manuales!$C$13+parametros_manuales!$F$22*(datos_base!$J$4+IF(parametros_manuales!$H$22="Todos",datos_base!$J$11,0))*parametros_manuales!$C$105+parametros_manuales!$F$22*(datos_base!$J$20+IF(parametros_manuales!$H$22="Todos",datos_base!$J$25,0))*parametros_manuales!$C$14+parametros_manuales!$G$22*(datos_base!$J$5+IF(parametros_manuales!$H$22="Todos",datos_base!$J$12,0))*parametros_manuales!$C$110+parametros_manuales!$G$22*(datos_base!$J$21+IF(parametros_manuales!$H$22="Todos",datos_base!$J$26,0))*parametros_manuales!$C$15)*parametros_manuales!$I$22*parametros_manuales!$J$22</f>
        <v>42893.71184072</v>
      </c>
      <c r="D221" s="9" t="n">
        <f aca="false">(parametros_manuales!$D$22*(datos_base!$J$2+IF(parametros_manuales!$H$22="Todos",datos_base!$J$9,0))*parametros_manuales!$D$95+parametros_manuales!$D$22*(datos_base!$J$18+IF(parametros_manuales!$H$22="Todos",datos_base!$J$23,0))*parametros_manuales!$D$12+parametros_manuales!$E$22*(datos_base!$J$3+IF(parametros_manuales!$H$22="Todos",datos_base!$J$10,0))*parametros_manuales!$D$100+parametros_manuales!$E$22*(datos_base!$J$19+IF(parametros_manuales!$H$22="Todos",datos_base!$J$24,0))*parametros_manuales!$D$13+parametros_manuales!$F$22*(datos_base!$J$4+IF(parametros_manuales!$H$22="Todos",datos_base!$J$11,0))*parametros_manuales!$D$105+parametros_manuales!$F$22*(datos_base!$J$20+IF(parametros_manuales!$H$22="Todos",datos_base!$J$25,0))*parametros_manuales!$D$14+parametros_manuales!$G$22*(datos_base!$J$5+IF(parametros_manuales!$H$22="Todos",datos_base!$J$12,0))*parametros_manuales!$D$110+parametros_manuales!$G$22*(datos_base!$J$21+IF(parametros_manuales!$H$22="Todos",datos_base!$J$26,0))*parametros_manuales!$D$15)*parametros_manuales!$I$22*parametros_manuales!$J$22</f>
        <v>40093.53332639</v>
      </c>
      <c r="E221" s="9" t="n">
        <f aca="false">(parametros_manuales!$D$22*(datos_base!$J$2+IF(parametros_manuales!$H$22="Todos",datos_base!$J$9,0))*parametros_manuales!$E$95+parametros_manuales!$D$22*(datos_base!$J$18+IF(parametros_manuales!$H$22="Todos",datos_base!$J$23,0))*parametros_manuales!$E$12+parametros_manuales!$E$22*(datos_base!$J$3+IF(parametros_manuales!$H$22="Todos",datos_base!$J$10,0))*parametros_manuales!$E$100+parametros_manuales!$E$22*(datos_base!$J$19+IF(parametros_manuales!$H$22="Todos",datos_base!$J$24,0))*parametros_manuales!$E$13+parametros_manuales!$F$22*(datos_base!$J$4+IF(parametros_manuales!$H$22="Todos",datos_base!$J$11,0))*parametros_manuales!$E$105+parametros_manuales!$F$22*(datos_base!$J$20+IF(parametros_manuales!$H$22="Todos",datos_base!$J$25,0))*parametros_manuales!$E$14+parametros_manuales!$G$22*(datos_base!$J$5+IF(parametros_manuales!$H$22="Todos",datos_base!$J$12,0))*parametros_manuales!$E$110+parametros_manuales!$G$22*(datos_base!$J$21+IF(parametros_manuales!$H$22="Todos",datos_base!$J$26,0))*parametros_manuales!$E$15)*parametros_manuales!$I$22*parametros_manuales!$J$22</f>
        <v>38339.60196499</v>
      </c>
      <c r="F221" s="9" t="n">
        <f aca="false">(parametros_manuales!$D$22*(datos_base!$J$2+IF(parametros_manuales!$H$22="Todos",datos_base!$J$9,0))*parametros_manuales!$F$95+parametros_manuales!$D$22*(datos_base!$J$18+IF(parametros_manuales!$H$22="Todos",datos_base!$J$23,0))*parametros_manuales!$F$12+parametros_manuales!$E$22*(datos_base!$J$3+IF(parametros_manuales!$H$22="Todos",datos_base!$J$10,0))*parametros_manuales!$F$100+parametros_manuales!$E$22*(datos_base!$J$19+IF(parametros_manuales!$H$22="Todos",datos_base!$J$24,0))*parametros_manuales!$F$13+parametros_manuales!$F$22*(datos_base!$J$4+IF(parametros_manuales!$H$22="Todos",datos_base!$J$11,0))*parametros_manuales!$F$105+parametros_manuales!$F$22*(datos_base!$J$20+IF(parametros_manuales!$H$22="Todos",datos_base!$J$25,0))*parametros_manuales!$F$14+parametros_manuales!$G$22*(datos_base!$J$5+IF(parametros_manuales!$H$22="Todos",datos_base!$J$12,0))*parametros_manuales!$F$110+parametros_manuales!$G$22*(datos_base!$J$21+IF(parametros_manuales!$H$22="Todos",datos_base!$J$26,0))*parametros_manuales!$F$15)*parametros_manuales!$I$22*parametros_manuales!$J$22</f>
        <v>35877.98639512</v>
      </c>
      <c r="G221" s="9" t="n">
        <f aca="false">(parametros_manuales!$D$22*(datos_base!$J$2+IF(parametros_manuales!$H$22="Todos",datos_base!$J$9,0))*parametros_manuales!$G$95+parametros_manuales!$D$22*(datos_base!$J$18+IF(parametros_manuales!$H$22="Todos",datos_base!$J$23,0))*parametros_manuales!$G$12+parametros_manuales!$E$22*(datos_base!$J$3+IF(parametros_manuales!$H$22="Todos",datos_base!$J$10,0))*parametros_manuales!$G$100+parametros_manuales!$E$22*(datos_base!$J$19+IF(parametros_manuales!$H$22="Todos",datos_base!$J$24,0))*parametros_manuales!$G$13+parametros_manuales!$F$22*(datos_base!$J$4+IF(parametros_manuales!$H$22="Todos",datos_base!$J$11,0))*parametros_manuales!$G$105+parametros_manuales!$F$22*(datos_base!$J$20+IF(parametros_manuales!$H$22="Todos",datos_base!$J$25,0))*parametros_manuales!$G$14+parametros_manuales!$G$22*(datos_base!$J$5+IF(parametros_manuales!$H$22="Todos",datos_base!$J$12,0))*parametros_manuales!$G$110+parametros_manuales!$G$22*(datos_base!$J$21+IF(parametros_manuales!$H$22="Todos",datos_base!$J$26,0))*parametros_manuales!$G$15)*parametros_manuales!$I$22*parametros_manuales!$J$22</f>
        <v>35170.30218665</v>
      </c>
      <c r="H221" s="9" t="n">
        <f aca="false">(parametros_manuales!$D$22*(datos_base!$J$2+IF(parametros_manuales!$H$22="Todos",datos_base!$J$9,0))*parametros_manuales!$H$95+parametros_manuales!$D$22*(datos_base!$J$18+IF(parametros_manuales!$H$22="Todos",datos_base!$J$23,0))*parametros_manuales!$H$12+parametros_manuales!$E$22*(datos_base!$J$3+IF(parametros_manuales!$H$22="Todos",datos_base!$J$10,0))*parametros_manuales!$H$100+parametros_manuales!$E$22*(datos_base!$J$19+IF(parametros_manuales!$H$22="Todos",datos_base!$J$24,0))*parametros_manuales!$H$13+parametros_manuales!$F$22*(datos_base!$J$4+IF(parametros_manuales!$H$22="Todos",datos_base!$J$11,0))*parametros_manuales!$H$105+parametros_manuales!$F$22*(datos_base!$J$20+IF(parametros_manuales!$H$22="Todos",datos_base!$J$25,0))*parametros_manuales!$H$14+parametros_manuales!$G$22*(datos_base!$J$5+IF(parametros_manuales!$H$22="Todos",datos_base!$J$12,0))*parametros_manuales!$H$110+parametros_manuales!$G$22*(datos_base!$J$21+IF(parametros_manuales!$H$22="Todos",datos_base!$J$26,0))*parametros_manuales!$H$15)*parametros_manuales!$I$22*parametros_manuales!$J$22</f>
        <v>37631.91775652</v>
      </c>
      <c r="I221" s="9" t="n">
        <f aca="false">(parametros_manuales!$D$22*(datos_base!$J$2+IF(parametros_manuales!$H$22="Todos",datos_base!$J$9,0))*parametros_manuales!$I$95+parametros_manuales!$D$22*(datos_base!$J$18+IF(parametros_manuales!$H$22="Todos",datos_base!$J$23,0))*parametros_manuales!$I$12+parametros_manuales!$E$22*(datos_base!$J$3+IF(parametros_manuales!$H$22="Todos",datos_base!$J$10,0))*parametros_manuales!$I$100+parametros_manuales!$E$22*(datos_base!$J$19+IF(parametros_manuales!$H$22="Todos",datos_base!$J$24,0))*parametros_manuales!$I$13+parametros_manuales!$F$22*(datos_base!$J$4+IF(parametros_manuales!$H$22="Todos",datos_base!$J$11,0))*parametros_manuales!$I$105+parametros_manuales!$F$22*(datos_base!$J$20+IF(parametros_manuales!$H$22="Todos",datos_base!$J$25,0))*parametros_manuales!$I$14+parametros_manuales!$G$22*(datos_base!$J$5+IF(parametros_manuales!$H$22="Todos",datos_base!$J$12,0))*parametros_manuales!$I$110+parametros_manuales!$G$22*(datos_base!$J$21+IF(parametros_manuales!$H$22="Todos",datos_base!$J$26,0))*parametros_manuales!$I$15)*parametros_manuales!$I$22*parametros_manuales!$J$22</f>
        <v>42893.71184072</v>
      </c>
      <c r="J221" s="9" t="n">
        <f aca="false">(parametros_manuales!$D$22*(datos_base!$J$2+IF(parametros_manuales!$H$22="Todos",datos_base!$J$9,0))*parametros_manuales!$J$95+parametros_manuales!$D$22*(datos_base!$J$18+IF(parametros_manuales!$H$22="Todos",datos_base!$J$23,0))*parametros_manuales!$J$12+parametros_manuales!$E$22*(datos_base!$J$3+IF(parametros_manuales!$H$22="Todos",datos_base!$J$10,0))*parametros_manuales!$J$100+parametros_manuales!$E$22*(datos_base!$J$19+IF(parametros_manuales!$H$22="Todos",datos_base!$J$24,0))*parametros_manuales!$J$13+parametros_manuales!$F$22*(datos_base!$J$4+IF(parametros_manuales!$H$22="Todos",datos_base!$J$11,0))*parametros_manuales!$J$105+parametros_manuales!$F$22*(datos_base!$J$20+IF(parametros_manuales!$H$22="Todos",datos_base!$J$25,0))*parametros_manuales!$J$14+parametros_manuales!$G$22*(datos_base!$J$5+IF(parametros_manuales!$H$22="Todos",datos_base!$J$12,0))*parametros_manuales!$J$110+parametros_manuales!$G$22*(datos_base!$J$21+IF(parametros_manuales!$H$22="Todos",datos_base!$J$26,0))*parametros_manuales!$J$15)*parametros_manuales!$I$22*parametros_manuales!$J$22</f>
        <v>42893.71184072</v>
      </c>
      <c r="K221" s="9" t="n">
        <f aca="false">(parametros_manuales!$D$22*(datos_base!$J$2+IF(parametros_manuales!$H$22="Todos",datos_base!$J$9,0))*parametros_manuales!$K$95+parametros_manuales!$D$22*(datos_base!$J$18+IF(parametros_manuales!$H$22="Todos",datos_base!$J$23,0))*parametros_manuales!$K$12+parametros_manuales!$E$22*(datos_base!$J$3+IF(parametros_manuales!$H$22="Todos",datos_base!$J$10,0))*parametros_manuales!$K$100+parametros_manuales!$E$22*(datos_base!$J$19+IF(parametros_manuales!$H$22="Todos",datos_base!$J$24,0))*parametros_manuales!$K$13+parametros_manuales!$F$22*(datos_base!$J$4+IF(parametros_manuales!$H$22="Todos",datos_base!$J$11,0))*parametros_manuales!$K$105+parametros_manuales!$F$22*(datos_base!$J$20+IF(parametros_manuales!$H$22="Todos",datos_base!$J$25,0))*parametros_manuales!$K$14+parametros_manuales!$G$22*(datos_base!$J$5+IF(parametros_manuales!$H$22="Todos",datos_base!$J$12,0))*parametros_manuales!$K$110+parametros_manuales!$G$22*(datos_base!$J$21+IF(parametros_manuales!$H$22="Todos",datos_base!$J$26,0))*parametros_manuales!$K$15)*parametros_manuales!$I$22*parametros_manuales!$J$22</f>
        <v>43597.70484919</v>
      </c>
      <c r="L221" s="9" t="n">
        <f aca="false">(parametros_manuales!$D$22*(datos_base!$J$2+IF(parametros_manuales!$H$22="Todos",datos_base!$J$9,0))*parametros_manuales!$L$95+parametros_manuales!$D$22*(datos_base!$J$18+IF(parametros_manuales!$H$22="Todos",datos_base!$J$23,0))*parametros_manuales!$L$12+parametros_manuales!$E$22*(datos_base!$J$3+IF(parametros_manuales!$H$22="Todos",datos_base!$J$10,0))*parametros_manuales!$L$100+parametros_manuales!$E$22*(datos_base!$J$19+IF(parametros_manuales!$H$22="Todos",datos_base!$J$24,0))*parametros_manuales!$L$13+parametros_manuales!$F$22*(datos_base!$J$4+IF(parametros_manuales!$H$22="Todos",datos_base!$J$11,0))*parametros_manuales!$L$105+parametros_manuales!$F$22*(datos_base!$J$20+IF(parametros_manuales!$H$22="Todos",datos_base!$J$25,0))*parametros_manuales!$L$14+parametros_manuales!$G$22*(datos_base!$J$5+IF(parametros_manuales!$H$22="Todos",datos_base!$J$12,0))*parametros_manuales!$L$110+parametros_manuales!$G$22*(datos_base!$J$21+IF(parametros_manuales!$H$22="Todos",datos_base!$J$26,0))*parametros_manuales!$L$15)*parametros_manuales!$I$22*parametros_manuales!$J$22</f>
        <v>44301.69785766</v>
      </c>
      <c r="M221" s="9" t="n">
        <f aca="false">(parametros_manuales!$D$22*(datos_base!$J$2+IF(parametros_manuales!$H$22="Todos",datos_base!$J$9,0))*parametros_manuales!$M$95+parametros_manuales!$D$22*(datos_base!$J$18+IF(parametros_manuales!$H$22="Todos",datos_base!$J$23,0))*parametros_manuales!$M$12+parametros_manuales!$E$22*(datos_base!$J$3+IF(parametros_manuales!$H$22="Todos",datos_base!$J$10,0))*parametros_manuales!$M$100+parametros_manuales!$E$22*(datos_base!$J$19+IF(parametros_manuales!$H$22="Todos",datos_base!$J$24,0))*parametros_manuales!$M$13+parametros_manuales!$F$22*(datos_base!$J$4+IF(parametros_manuales!$H$22="Todos",datos_base!$J$11,0))*parametros_manuales!$M$105+parametros_manuales!$F$22*(datos_base!$J$20+IF(parametros_manuales!$H$22="Todos",datos_base!$J$25,0))*parametros_manuales!$M$14+parametros_manuales!$G$22*(datos_base!$J$5+IF(parametros_manuales!$H$22="Todos",datos_base!$J$12,0))*parametros_manuales!$M$110+parametros_manuales!$G$22*(datos_base!$J$21+IF(parametros_manuales!$H$22="Todos",datos_base!$J$26,0))*parametros_manuales!$M$15)*parametros_manuales!$I$22*parametros_manuales!$J$22</f>
        <v>44316.46265766</v>
      </c>
      <c r="N221" s="9" t="n">
        <f aca="false">SUM(B221:M221)</f>
        <v>492323.113974</v>
      </c>
      <c r="O221" s="9" t="n">
        <f aca="false">MAX(B221:M221)</f>
        <v>44316.46265766</v>
      </c>
      <c r="P221" s="44" t="n">
        <f aca="false">O221/(parametros_manuales!$B$7)</f>
        <v>295.4430843844</v>
      </c>
      <c r="Q221" s="8" t="str">
        <f aca="false">IF(O221=0,"-",INDEX($B$217:$M$217,MATCH(O221,B221:M221,0)))</f>
        <v>Dic</v>
      </c>
    </row>
    <row r="222" customFormat="false" ht="14.25" hidden="false" customHeight="true" outlineLevel="0" collapsed="false">
      <c r="A222" s="8" t="str">
        <f aca="false">parametros_manuales!$B$23</f>
        <v>Preparación de cuello</v>
      </c>
      <c r="B222" s="9" t="n">
        <f aca="false">(parametros_manuales!$D$23*(datos_base!$J$2+IF(parametros_manuales!$H$23="Todos",datos_base!$J$9,0))*parametros_manuales!$B$95+parametros_manuales!$D$23*(datos_base!$J$18+IF(parametros_manuales!$H$23="Todos",datos_base!$J$23,0))*parametros_manuales!$B$12+parametros_manuales!$E$23*(datos_base!$J$3+IF(parametros_manuales!$H$23="Todos",datos_base!$J$10,0))*parametros_manuales!$B$100+parametros_manuales!$E$23*(datos_base!$J$19+IF(parametros_manuales!$H$23="Todos",datos_base!$J$24,0))*parametros_manuales!$B$13+parametros_manuales!$F$23*(datos_base!$J$4+IF(parametros_manuales!$H$23="Todos",datos_base!$J$11,0))*parametros_manuales!$B$105+parametros_manuales!$F$23*(datos_base!$J$20+IF(parametros_manuales!$H$23="Todos",datos_base!$J$25,0))*parametros_manuales!$B$14+parametros_manuales!$G$23*(datos_base!$J$5+IF(parametros_manuales!$H$23="Todos",datos_base!$J$12,0))*parametros_manuales!$B$110+parametros_manuales!$G$23*(datos_base!$J$21+IF(parametros_manuales!$H$23="Todos",datos_base!$J$26,0))*parametros_manuales!$B$15)*parametros_manuales!$I$23*parametros_manuales!$J$23</f>
        <v>22156.38572883</v>
      </c>
      <c r="C222" s="9" t="n">
        <f aca="false">(parametros_manuales!$D$23*(datos_base!$J$2+IF(parametros_manuales!$H$23="Todos",datos_base!$J$9,0))*parametros_manuales!$C$95+parametros_manuales!$D$23*(datos_base!$J$18+IF(parametros_manuales!$H$23="Todos",datos_base!$J$23,0))*parametros_manuales!$C$12+parametros_manuales!$E$23*(datos_base!$J$3+IF(parametros_manuales!$H$23="Todos",datos_base!$J$10,0))*parametros_manuales!$C$100+parametros_manuales!$E$23*(datos_base!$J$19+IF(parametros_manuales!$H$23="Todos",datos_base!$J$24,0))*parametros_manuales!$C$13+parametros_manuales!$F$23*(datos_base!$J$4+IF(parametros_manuales!$H$23="Todos",datos_base!$J$11,0))*parametros_manuales!$C$105+parametros_manuales!$F$23*(datos_base!$J$20+IF(parametros_manuales!$H$23="Todos",datos_base!$J$25,0))*parametros_manuales!$C$14+parametros_manuales!$G$23*(datos_base!$J$5+IF(parametros_manuales!$H$23="Todos",datos_base!$J$12,0))*parametros_manuales!$C$110+parametros_manuales!$G$23*(datos_base!$J$21+IF(parametros_manuales!$H$23="Todos",datos_base!$J$26,0))*parametros_manuales!$C$15)*parametros_manuales!$I$23*parametros_manuales!$J$23</f>
        <v>21446.85592036</v>
      </c>
      <c r="D222" s="9" t="n">
        <f aca="false">(parametros_manuales!$D$23*(datos_base!$J$2+IF(parametros_manuales!$H$23="Todos",datos_base!$J$9,0))*parametros_manuales!$D$95+parametros_manuales!$D$23*(datos_base!$J$18+IF(parametros_manuales!$H$23="Todos",datos_base!$J$23,0))*parametros_manuales!$D$12+parametros_manuales!$E$23*(datos_base!$J$3+IF(parametros_manuales!$H$23="Todos",datos_base!$J$10,0))*parametros_manuales!$D$100+parametros_manuales!$E$23*(datos_base!$J$19+IF(parametros_manuales!$H$23="Todos",datos_base!$J$24,0))*parametros_manuales!$D$13+parametros_manuales!$F$23*(datos_base!$J$4+IF(parametros_manuales!$H$23="Todos",datos_base!$J$11,0))*parametros_manuales!$D$105+parametros_manuales!$F$23*(datos_base!$J$20+IF(parametros_manuales!$H$23="Todos",datos_base!$J$25,0))*parametros_manuales!$D$14+parametros_manuales!$G$23*(datos_base!$J$5+IF(parametros_manuales!$H$23="Todos",datos_base!$J$12,0))*parametros_manuales!$D$110+parametros_manuales!$G$23*(datos_base!$J$21+IF(parametros_manuales!$H$23="Todos",datos_base!$J$26,0))*parametros_manuales!$D$15)*parametros_manuales!$I$23*parametros_manuales!$J$23</f>
        <v>20046.766663195</v>
      </c>
      <c r="E222" s="9" t="n">
        <f aca="false">(parametros_manuales!$D$23*(datos_base!$J$2+IF(parametros_manuales!$H$23="Todos",datos_base!$J$9,0))*parametros_manuales!$E$95+parametros_manuales!$D$23*(datos_base!$J$18+IF(parametros_manuales!$H$23="Todos",datos_base!$J$23,0))*parametros_manuales!$E$12+parametros_manuales!$E$23*(datos_base!$J$3+IF(parametros_manuales!$H$23="Todos",datos_base!$J$10,0))*parametros_manuales!$E$100+parametros_manuales!$E$23*(datos_base!$J$19+IF(parametros_manuales!$H$23="Todos",datos_base!$J$24,0))*parametros_manuales!$E$13+parametros_manuales!$F$23*(datos_base!$J$4+IF(parametros_manuales!$H$23="Todos",datos_base!$J$11,0))*parametros_manuales!$E$105+parametros_manuales!$F$23*(datos_base!$J$20+IF(parametros_manuales!$H$23="Todos",datos_base!$J$25,0))*parametros_manuales!$E$14+parametros_manuales!$G$23*(datos_base!$J$5+IF(parametros_manuales!$H$23="Todos",datos_base!$J$12,0))*parametros_manuales!$E$110+parametros_manuales!$G$23*(datos_base!$J$21+IF(parametros_manuales!$H$23="Todos",datos_base!$J$26,0))*parametros_manuales!$E$15)*parametros_manuales!$I$23*parametros_manuales!$J$23</f>
        <v>19169.800982495</v>
      </c>
      <c r="F222" s="9" t="n">
        <f aca="false">(parametros_manuales!$D$23*(datos_base!$J$2+IF(parametros_manuales!$H$23="Todos",datos_base!$J$9,0))*parametros_manuales!$F$95+parametros_manuales!$D$23*(datos_base!$J$18+IF(parametros_manuales!$H$23="Todos",datos_base!$J$23,0))*parametros_manuales!$F$12+parametros_manuales!$E$23*(datos_base!$J$3+IF(parametros_manuales!$H$23="Todos",datos_base!$J$10,0))*parametros_manuales!$F$100+parametros_manuales!$E$23*(datos_base!$J$19+IF(parametros_manuales!$H$23="Todos",datos_base!$J$24,0))*parametros_manuales!$F$13+parametros_manuales!$F$23*(datos_base!$J$4+IF(parametros_manuales!$H$23="Todos",datos_base!$J$11,0))*parametros_manuales!$F$105+parametros_manuales!$F$23*(datos_base!$J$20+IF(parametros_manuales!$H$23="Todos",datos_base!$J$25,0))*parametros_manuales!$F$14+parametros_manuales!$G$23*(datos_base!$J$5+IF(parametros_manuales!$H$23="Todos",datos_base!$J$12,0))*parametros_manuales!$F$110+parametros_manuales!$G$23*(datos_base!$J$21+IF(parametros_manuales!$H$23="Todos",datos_base!$J$26,0))*parametros_manuales!$F$15)*parametros_manuales!$I$23*parametros_manuales!$J$23</f>
        <v>17938.99319756</v>
      </c>
      <c r="G222" s="9" t="n">
        <f aca="false">(parametros_manuales!$D$23*(datos_base!$J$2+IF(parametros_manuales!$H$23="Todos",datos_base!$J$9,0))*parametros_manuales!$G$95+parametros_manuales!$D$23*(datos_base!$J$18+IF(parametros_manuales!$H$23="Todos",datos_base!$J$23,0))*parametros_manuales!$G$12+parametros_manuales!$E$23*(datos_base!$J$3+IF(parametros_manuales!$H$23="Todos",datos_base!$J$10,0))*parametros_manuales!$G$100+parametros_manuales!$E$23*(datos_base!$J$19+IF(parametros_manuales!$H$23="Todos",datos_base!$J$24,0))*parametros_manuales!$G$13+parametros_manuales!$F$23*(datos_base!$J$4+IF(parametros_manuales!$H$23="Todos",datos_base!$J$11,0))*parametros_manuales!$G$105+parametros_manuales!$F$23*(datos_base!$J$20+IF(parametros_manuales!$H$23="Todos",datos_base!$J$25,0))*parametros_manuales!$G$14+parametros_manuales!$G$23*(datos_base!$J$5+IF(parametros_manuales!$H$23="Todos",datos_base!$J$12,0))*parametros_manuales!$G$110+parametros_manuales!$G$23*(datos_base!$J$21+IF(parametros_manuales!$H$23="Todos",datos_base!$J$26,0))*parametros_manuales!$G$15)*parametros_manuales!$I$23*parametros_manuales!$J$23</f>
        <v>17585.151093325</v>
      </c>
      <c r="H222" s="9" t="n">
        <f aca="false">(parametros_manuales!$D$23*(datos_base!$J$2+IF(parametros_manuales!$H$23="Todos",datos_base!$J$9,0))*parametros_manuales!$H$95+parametros_manuales!$D$23*(datos_base!$J$18+IF(parametros_manuales!$H$23="Todos",datos_base!$J$23,0))*parametros_manuales!$H$12+parametros_manuales!$E$23*(datos_base!$J$3+IF(parametros_manuales!$H$23="Todos",datos_base!$J$10,0))*parametros_manuales!$H$100+parametros_manuales!$E$23*(datos_base!$J$19+IF(parametros_manuales!$H$23="Todos",datos_base!$J$24,0))*parametros_manuales!$H$13+parametros_manuales!$F$23*(datos_base!$J$4+IF(parametros_manuales!$H$23="Todos",datos_base!$J$11,0))*parametros_manuales!$H$105+parametros_manuales!$F$23*(datos_base!$J$20+IF(parametros_manuales!$H$23="Todos",datos_base!$J$25,0))*parametros_manuales!$H$14+parametros_manuales!$G$23*(datos_base!$J$5+IF(parametros_manuales!$H$23="Todos",datos_base!$J$12,0))*parametros_manuales!$H$110+parametros_manuales!$G$23*(datos_base!$J$21+IF(parametros_manuales!$H$23="Todos",datos_base!$J$26,0))*parametros_manuales!$H$15)*parametros_manuales!$I$23*parametros_manuales!$J$23</f>
        <v>18815.95887826</v>
      </c>
      <c r="I222" s="9" t="n">
        <f aca="false">(parametros_manuales!$D$23*(datos_base!$J$2+IF(parametros_manuales!$H$23="Todos",datos_base!$J$9,0))*parametros_manuales!$I$95+parametros_manuales!$D$23*(datos_base!$J$18+IF(parametros_manuales!$H$23="Todos",datos_base!$J$23,0))*parametros_manuales!$I$12+parametros_manuales!$E$23*(datos_base!$J$3+IF(parametros_manuales!$H$23="Todos",datos_base!$J$10,0))*parametros_manuales!$I$100+parametros_manuales!$E$23*(datos_base!$J$19+IF(parametros_manuales!$H$23="Todos",datos_base!$J$24,0))*parametros_manuales!$I$13+parametros_manuales!$F$23*(datos_base!$J$4+IF(parametros_manuales!$H$23="Todos",datos_base!$J$11,0))*parametros_manuales!$I$105+parametros_manuales!$F$23*(datos_base!$J$20+IF(parametros_manuales!$H$23="Todos",datos_base!$J$25,0))*parametros_manuales!$I$14+parametros_manuales!$G$23*(datos_base!$J$5+IF(parametros_manuales!$H$23="Todos",datos_base!$J$12,0))*parametros_manuales!$I$110+parametros_manuales!$G$23*(datos_base!$J$21+IF(parametros_manuales!$H$23="Todos",datos_base!$J$26,0))*parametros_manuales!$I$15)*parametros_manuales!$I$23*parametros_manuales!$J$23</f>
        <v>21446.85592036</v>
      </c>
      <c r="J222" s="9" t="n">
        <f aca="false">(parametros_manuales!$D$23*(datos_base!$J$2+IF(parametros_manuales!$H$23="Todos",datos_base!$J$9,0))*parametros_manuales!$J$95+parametros_manuales!$D$23*(datos_base!$J$18+IF(parametros_manuales!$H$23="Todos",datos_base!$J$23,0))*parametros_manuales!$J$12+parametros_manuales!$E$23*(datos_base!$J$3+IF(parametros_manuales!$H$23="Todos",datos_base!$J$10,0))*parametros_manuales!$J$100+parametros_manuales!$E$23*(datos_base!$J$19+IF(parametros_manuales!$H$23="Todos",datos_base!$J$24,0))*parametros_manuales!$J$13+parametros_manuales!$F$23*(datos_base!$J$4+IF(parametros_manuales!$H$23="Todos",datos_base!$J$11,0))*parametros_manuales!$J$105+parametros_manuales!$F$23*(datos_base!$J$20+IF(parametros_manuales!$H$23="Todos",datos_base!$J$25,0))*parametros_manuales!$J$14+parametros_manuales!$G$23*(datos_base!$J$5+IF(parametros_manuales!$H$23="Todos",datos_base!$J$12,0))*parametros_manuales!$J$110+parametros_manuales!$G$23*(datos_base!$J$21+IF(parametros_manuales!$H$23="Todos",datos_base!$J$26,0))*parametros_manuales!$J$15)*parametros_manuales!$I$23*parametros_manuales!$J$23</f>
        <v>21446.85592036</v>
      </c>
      <c r="K222" s="9" t="n">
        <f aca="false">(parametros_manuales!$D$23*(datos_base!$J$2+IF(parametros_manuales!$H$23="Todos",datos_base!$J$9,0))*parametros_manuales!$K$95+parametros_manuales!$D$23*(datos_base!$J$18+IF(parametros_manuales!$H$23="Todos",datos_base!$J$23,0))*parametros_manuales!$K$12+parametros_manuales!$E$23*(datos_base!$J$3+IF(parametros_manuales!$H$23="Todos",datos_base!$J$10,0))*parametros_manuales!$K$100+parametros_manuales!$E$23*(datos_base!$J$19+IF(parametros_manuales!$H$23="Todos",datos_base!$J$24,0))*parametros_manuales!$K$13+parametros_manuales!$F$23*(datos_base!$J$4+IF(parametros_manuales!$H$23="Todos",datos_base!$J$11,0))*parametros_manuales!$K$105+parametros_manuales!$F$23*(datos_base!$J$20+IF(parametros_manuales!$H$23="Todos",datos_base!$J$25,0))*parametros_manuales!$K$14+parametros_manuales!$G$23*(datos_base!$J$5+IF(parametros_manuales!$H$23="Todos",datos_base!$J$12,0))*parametros_manuales!$K$110+parametros_manuales!$G$23*(datos_base!$J$21+IF(parametros_manuales!$H$23="Todos",datos_base!$J$26,0))*parametros_manuales!$K$15)*parametros_manuales!$I$23*parametros_manuales!$J$23</f>
        <v>21798.852424595</v>
      </c>
      <c r="L222" s="9" t="n">
        <f aca="false">(parametros_manuales!$D$23*(datos_base!$J$2+IF(parametros_manuales!$H$23="Todos",datos_base!$J$9,0))*parametros_manuales!$L$95+parametros_manuales!$D$23*(datos_base!$J$18+IF(parametros_manuales!$H$23="Todos",datos_base!$J$23,0))*parametros_manuales!$L$12+parametros_manuales!$E$23*(datos_base!$J$3+IF(parametros_manuales!$H$23="Todos",datos_base!$J$10,0))*parametros_manuales!$L$100+parametros_manuales!$E$23*(datos_base!$J$19+IF(parametros_manuales!$H$23="Todos",datos_base!$J$24,0))*parametros_manuales!$L$13+parametros_manuales!$F$23*(datos_base!$J$4+IF(parametros_manuales!$H$23="Todos",datos_base!$J$11,0))*parametros_manuales!$L$105+parametros_manuales!$F$23*(datos_base!$J$20+IF(parametros_manuales!$H$23="Todos",datos_base!$J$25,0))*parametros_manuales!$L$14+parametros_manuales!$G$23*(datos_base!$J$5+IF(parametros_manuales!$H$23="Todos",datos_base!$J$12,0))*parametros_manuales!$L$110+parametros_manuales!$G$23*(datos_base!$J$21+IF(parametros_manuales!$H$23="Todos",datos_base!$J$26,0))*parametros_manuales!$L$15)*parametros_manuales!$I$23*parametros_manuales!$J$23</f>
        <v>22150.84892883</v>
      </c>
      <c r="M222" s="9" t="n">
        <f aca="false">(parametros_manuales!$D$23*(datos_base!$J$2+IF(parametros_manuales!$H$23="Todos",datos_base!$J$9,0))*parametros_manuales!$M$95+parametros_manuales!$D$23*(datos_base!$J$18+IF(parametros_manuales!$H$23="Todos",datos_base!$J$23,0))*parametros_manuales!$M$12+parametros_manuales!$E$23*(datos_base!$J$3+IF(parametros_manuales!$H$23="Todos",datos_base!$J$10,0))*parametros_manuales!$M$100+parametros_manuales!$E$23*(datos_base!$J$19+IF(parametros_manuales!$H$23="Todos",datos_base!$J$24,0))*parametros_manuales!$M$13+parametros_manuales!$F$23*(datos_base!$J$4+IF(parametros_manuales!$H$23="Todos",datos_base!$J$11,0))*parametros_manuales!$M$105+parametros_manuales!$F$23*(datos_base!$J$20+IF(parametros_manuales!$H$23="Todos",datos_base!$J$25,0))*parametros_manuales!$M$14+parametros_manuales!$G$23*(datos_base!$J$5+IF(parametros_manuales!$H$23="Todos",datos_base!$J$12,0))*parametros_manuales!$M$110+parametros_manuales!$G$23*(datos_base!$J$21+IF(parametros_manuales!$H$23="Todos",datos_base!$J$26,0))*parametros_manuales!$M$15)*parametros_manuales!$I$23*parametros_manuales!$J$23</f>
        <v>22158.23132883</v>
      </c>
      <c r="N222" s="9" t="n">
        <f aca="false">SUM(B222:M222)</f>
        <v>246161.556987</v>
      </c>
      <c r="O222" s="9" t="n">
        <f aca="false">MAX(B222:M222)</f>
        <v>22158.23132883</v>
      </c>
      <c r="P222" s="44" t="n">
        <f aca="false">O222/(parametros_manuales!$B$7)</f>
        <v>147.7215421922</v>
      </c>
      <c r="Q222" s="8" t="str">
        <f aca="false">IF(O222=0,"-",INDEX($B$217:$M$217,MATCH(O222,B222:M222,0)))</f>
        <v>Dic</v>
      </c>
    </row>
    <row r="223" customFormat="false" ht="14.25" hidden="false" customHeight="true" outlineLevel="0" collapsed="false">
      <c r="A223" s="8" t="str">
        <f aca="false">parametros_manuales!$B$24</f>
        <v>Numerado de cúpula</v>
      </c>
      <c r="B223" s="9" t="n">
        <f aca="false">(parametros_manuales!$D$24*(datos_base!$J$2+IF(parametros_manuales!$H$24="Todos",datos_base!$J$9,0))*parametros_manuales!$B$95+parametros_manuales!$D$24*(datos_base!$J$18+IF(parametros_manuales!$H$24="Todos",datos_base!$J$23,0))*parametros_manuales!$B$12+parametros_manuales!$E$24*(datos_base!$J$3+IF(parametros_manuales!$H$24="Todos",datos_base!$J$10,0))*parametros_manuales!$B$100+parametros_manuales!$E$24*(datos_base!$J$19+IF(parametros_manuales!$H$24="Todos",datos_base!$J$24,0))*parametros_manuales!$B$13+parametros_manuales!$F$24*(datos_base!$J$4+IF(parametros_manuales!$H$24="Todos",datos_base!$J$11,0))*parametros_manuales!$B$105+parametros_manuales!$F$24*(datos_base!$J$20+IF(parametros_manuales!$H$24="Todos",datos_base!$J$25,0))*parametros_manuales!$B$14+parametros_manuales!$G$24*(datos_base!$J$5+IF(parametros_manuales!$H$24="Todos",datos_base!$J$12,0))*parametros_manuales!$B$110+parametros_manuales!$G$24*(datos_base!$J$21+IF(parametros_manuales!$H$24="Todos",datos_base!$J$26,0))*parametros_manuales!$B$15)*parametros_manuales!$I$24*parametros_manuales!$J$24</f>
        <v>22156.38572883</v>
      </c>
      <c r="C223" s="9" t="n">
        <f aca="false">(parametros_manuales!$D$24*(datos_base!$J$2+IF(parametros_manuales!$H$24="Todos",datos_base!$J$9,0))*parametros_manuales!$C$95+parametros_manuales!$D$24*(datos_base!$J$18+IF(parametros_manuales!$H$24="Todos",datos_base!$J$23,0))*parametros_manuales!$C$12+parametros_manuales!$E$24*(datos_base!$J$3+IF(parametros_manuales!$H$24="Todos",datos_base!$J$10,0))*parametros_manuales!$C$100+parametros_manuales!$E$24*(datos_base!$J$19+IF(parametros_manuales!$H$24="Todos",datos_base!$J$24,0))*parametros_manuales!$C$13+parametros_manuales!$F$24*(datos_base!$J$4+IF(parametros_manuales!$H$24="Todos",datos_base!$J$11,0))*parametros_manuales!$C$105+parametros_manuales!$F$24*(datos_base!$J$20+IF(parametros_manuales!$H$24="Todos",datos_base!$J$25,0))*parametros_manuales!$C$14+parametros_manuales!$G$24*(datos_base!$J$5+IF(parametros_manuales!$H$24="Todos",datos_base!$J$12,0))*parametros_manuales!$C$110+parametros_manuales!$G$24*(datos_base!$J$21+IF(parametros_manuales!$H$24="Todos",datos_base!$J$26,0))*parametros_manuales!$C$15)*parametros_manuales!$I$24*parametros_manuales!$J$24</f>
        <v>21446.85592036</v>
      </c>
      <c r="D223" s="9" t="n">
        <f aca="false">(parametros_manuales!$D$24*(datos_base!$J$2+IF(parametros_manuales!$H$24="Todos",datos_base!$J$9,0))*parametros_manuales!$D$95+parametros_manuales!$D$24*(datos_base!$J$18+IF(parametros_manuales!$H$24="Todos",datos_base!$J$23,0))*parametros_manuales!$D$12+parametros_manuales!$E$24*(datos_base!$J$3+IF(parametros_manuales!$H$24="Todos",datos_base!$J$10,0))*parametros_manuales!$D$100+parametros_manuales!$E$24*(datos_base!$J$19+IF(parametros_manuales!$H$24="Todos",datos_base!$J$24,0))*parametros_manuales!$D$13+parametros_manuales!$F$24*(datos_base!$J$4+IF(parametros_manuales!$H$24="Todos",datos_base!$J$11,0))*parametros_manuales!$D$105+parametros_manuales!$F$24*(datos_base!$J$20+IF(parametros_manuales!$H$24="Todos",datos_base!$J$25,0))*parametros_manuales!$D$14+parametros_manuales!$G$24*(datos_base!$J$5+IF(parametros_manuales!$H$24="Todos",datos_base!$J$12,0))*parametros_manuales!$D$110+parametros_manuales!$G$24*(datos_base!$J$21+IF(parametros_manuales!$H$24="Todos",datos_base!$J$26,0))*parametros_manuales!$D$15)*parametros_manuales!$I$24*parametros_manuales!$J$24</f>
        <v>20046.766663195</v>
      </c>
      <c r="E223" s="9" t="n">
        <f aca="false">(parametros_manuales!$D$24*(datos_base!$J$2+IF(parametros_manuales!$H$24="Todos",datos_base!$J$9,0))*parametros_manuales!$E$95+parametros_manuales!$D$24*(datos_base!$J$18+IF(parametros_manuales!$H$24="Todos",datos_base!$J$23,0))*parametros_manuales!$E$12+parametros_manuales!$E$24*(datos_base!$J$3+IF(parametros_manuales!$H$24="Todos",datos_base!$J$10,0))*parametros_manuales!$E$100+parametros_manuales!$E$24*(datos_base!$J$19+IF(parametros_manuales!$H$24="Todos",datos_base!$J$24,0))*parametros_manuales!$E$13+parametros_manuales!$F$24*(datos_base!$J$4+IF(parametros_manuales!$H$24="Todos",datos_base!$J$11,0))*parametros_manuales!$E$105+parametros_manuales!$F$24*(datos_base!$J$20+IF(parametros_manuales!$H$24="Todos",datos_base!$J$25,0))*parametros_manuales!$E$14+parametros_manuales!$G$24*(datos_base!$J$5+IF(parametros_manuales!$H$24="Todos",datos_base!$J$12,0))*parametros_manuales!$E$110+parametros_manuales!$G$24*(datos_base!$J$21+IF(parametros_manuales!$H$24="Todos",datos_base!$J$26,0))*parametros_manuales!$E$15)*parametros_manuales!$I$24*parametros_manuales!$J$24</f>
        <v>19169.800982495</v>
      </c>
      <c r="F223" s="9" t="n">
        <f aca="false">(parametros_manuales!$D$24*(datos_base!$J$2+IF(parametros_manuales!$H$24="Todos",datos_base!$J$9,0))*parametros_manuales!$F$95+parametros_manuales!$D$24*(datos_base!$J$18+IF(parametros_manuales!$H$24="Todos",datos_base!$J$23,0))*parametros_manuales!$F$12+parametros_manuales!$E$24*(datos_base!$J$3+IF(parametros_manuales!$H$24="Todos",datos_base!$J$10,0))*parametros_manuales!$F$100+parametros_manuales!$E$24*(datos_base!$J$19+IF(parametros_manuales!$H$24="Todos",datos_base!$J$24,0))*parametros_manuales!$F$13+parametros_manuales!$F$24*(datos_base!$J$4+IF(parametros_manuales!$H$24="Todos",datos_base!$J$11,0))*parametros_manuales!$F$105+parametros_manuales!$F$24*(datos_base!$J$20+IF(parametros_manuales!$H$24="Todos",datos_base!$J$25,0))*parametros_manuales!$F$14+parametros_manuales!$G$24*(datos_base!$J$5+IF(parametros_manuales!$H$24="Todos",datos_base!$J$12,0))*parametros_manuales!$F$110+parametros_manuales!$G$24*(datos_base!$J$21+IF(parametros_manuales!$H$24="Todos",datos_base!$J$26,0))*parametros_manuales!$F$15)*parametros_manuales!$I$24*parametros_manuales!$J$24</f>
        <v>17938.99319756</v>
      </c>
      <c r="G223" s="9" t="n">
        <f aca="false">(parametros_manuales!$D$24*(datos_base!$J$2+IF(parametros_manuales!$H$24="Todos",datos_base!$J$9,0))*parametros_manuales!$G$95+parametros_manuales!$D$24*(datos_base!$J$18+IF(parametros_manuales!$H$24="Todos",datos_base!$J$23,0))*parametros_manuales!$G$12+parametros_manuales!$E$24*(datos_base!$J$3+IF(parametros_manuales!$H$24="Todos",datos_base!$J$10,0))*parametros_manuales!$G$100+parametros_manuales!$E$24*(datos_base!$J$19+IF(parametros_manuales!$H$24="Todos",datos_base!$J$24,0))*parametros_manuales!$G$13+parametros_manuales!$F$24*(datos_base!$J$4+IF(parametros_manuales!$H$24="Todos",datos_base!$J$11,0))*parametros_manuales!$G$105+parametros_manuales!$F$24*(datos_base!$J$20+IF(parametros_manuales!$H$24="Todos",datos_base!$J$25,0))*parametros_manuales!$G$14+parametros_manuales!$G$24*(datos_base!$J$5+IF(parametros_manuales!$H$24="Todos",datos_base!$J$12,0))*parametros_manuales!$G$110+parametros_manuales!$G$24*(datos_base!$J$21+IF(parametros_manuales!$H$24="Todos",datos_base!$J$26,0))*parametros_manuales!$G$15)*parametros_manuales!$I$24*parametros_manuales!$J$24</f>
        <v>17585.151093325</v>
      </c>
      <c r="H223" s="9" t="n">
        <f aca="false">(parametros_manuales!$D$24*(datos_base!$J$2+IF(parametros_manuales!$H$24="Todos",datos_base!$J$9,0))*parametros_manuales!$H$95+parametros_manuales!$D$24*(datos_base!$J$18+IF(parametros_manuales!$H$24="Todos",datos_base!$J$23,0))*parametros_manuales!$H$12+parametros_manuales!$E$24*(datos_base!$J$3+IF(parametros_manuales!$H$24="Todos",datos_base!$J$10,0))*parametros_manuales!$H$100+parametros_manuales!$E$24*(datos_base!$J$19+IF(parametros_manuales!$H$24="Todos",datos_base!$J$24,0))*parametros_manuales!$H$13+parametros_manuales!$F$24*(datos_base!$J$4+IF(parametros_manuales!$H$24="Todos",datos_base!$J$11,0))*parametros_manuales!$H$105+parametros_manuales!$F$24*(datos_base!$J$20+IF(parametros_manuales!$H$24="Todos",datos_base!$J$25,0))*parametros_manuales!$H$14+parametros_manuales!$G$24*(datos_base!$J$5+IF(parametros_manuales!$H$24="Todos",datos_base!$J$12,0))*parametros_manuales!$H$110+parametros_manuales!$G$24*(datos_base!$J$21+IF(parametros_manuales!$H$24="Todos",datos_base!$J$26,0))*parametros_manuales!$H$15)*parametros_manuales!$I$24*parametros_manuales!$J$24</f>
        <v>18815.95887826</v>
      </c>
      <c r="I223" s="9" t="n">
        <f aca="false">(parametros_manuales!$D$24*(datos_base!$J$2+IF(parametros_manuales!$H$24="Todos",datos_base!$J$9,0))*parametros_manuales!$I$95+parametros_manuales!$D$24*(datos_base!$J$18+IF(parametros_manuales!$H$24="Todos",datos_base!$J$23,0))*parametros_manuales!$I$12+parametros_manuales!$E$24*(datos_base!$J$3+IF(parametros_manuales!$H$24="Todos",datos_base!$J$10,0))*parametros_manuales!$I$100+parametros_manuales!$E$24*(datos_base!$J$19+IF(parametros_manuales!$H$24="Todos",datos_base!$J$24,0))*parametros_manuales!$I$13+parametros_manuales!$F$24*(datos_base!$J$4+IF(parametros_manuales!$H$24="Todos",datos_base!$J$11,0))*parametros_manuales!$I$105+parametros_manuales!$F$24*(datos_base!$J$20+IF(parametros_manuales!$H$24="Todos",datos_base!$J$25,0))*parametros_manuales!$I$14+parametros_manuales!$G$24*(datos_base!$J$5+IF(parametros_manuales!$H$24="Todos",datos_base!$J$12,0))*parametros_manuales!$I$110+parametros_manuales!$G$24*(datos_base!$J$21+IF(parametros_manuales!$H$24="Todos",datos_base!$J$26,0))*parametros_manuales!$I$15)*parametros_manuales!$I$24*parametros_manuales!$J$24</f>
        <v>21446.85592036</v>
      </c>
      <c r="J223" s="9" t="n">
        <f aca="false">(parametros_manuales!$D$24*(datos_base!$J$2+IF(parametros_manuales!$H$24="Todos",datos_base!$J$9,0))*parametros_manuales!$J$95+parametros_manuales!$D$24*(datos_base!$J$18+IF(parametros_manuales!$H$24="Todos",datos_base!$J$23,0))*parametros_manuales!$J$12+parametros_manuales!$E$24*(datos_base!$J$3+IF(parametros_manuales!$H$24="Todos",datos_base!$J$10,0))*parametros_manuales!$J$100+parametros_manuales!$E$24*(datos_base!$J$19+IF(parametros_manuales!$H$24="Todos",datos_base!$J$24,0))*parametros_manuales!$J$13+parametros_manuales!$F$24*(datos_base!$J$4+IF(parametros_manuales!$H$24="Todos",datos_base!$J$11,0))*parametros_manuales!$J$105+parametros_manuales!$F$24*(datos_base!$J$20+IF(parametros_manuales!$H$24="Todos",datos_base!$J$25,0))*parametros_manuales!$J$14+parametros_manuales!$G$24*(datos_base!$J$5+IF(parametros_manuales!$H$24="Todos",datos_base!$J$12,0))*parametros_manuales!$J$110+parametros_manuales!$G$24*(datos_base!$J$21+IF(parametros_manuales!$H$24="Todos",datos_base!$J$26,0))*parametros_manuales!$J$15)*parametros_manuales!$I$24*parametros_manuales!$J$24</f>
        <v>21446.85592036</v>
      </c>
      <c r="K223" s="9" t="n">
        <f aca="false">(parametros_manuales!$D$24*(datos_base!$J$2+IF(parametros_manuales!$H$24="Todos",datos_base!$J$9,0))*parametros_manuales!$K$95+parametros_manuales!$D$24*(datos_base!$J$18+IF(parametros_manuales!$H$24="Todos",datos_base!$J$23,0))*parametros_manuales!$K$12+parametros_manuales!$E$24*(datos_base!$J$3+IF(parametros_manuales!$H$24="Todos",datos_base!$J$10,0))*parametros_manuales!$K$100+parametros_manuales!$E$24*(datos_base!$J$19+IF(parametros_manuales!$H$24="Todos",datos_base!$J$24,0))*parametros_manuales!$K$13+parametros_manuales!$F$24*(datos_base!$J$4+IF(parametros_manuales!$H$24="Todos",datos_base!$J$11,0))*parametros_manuales!$K$105+parametros_manuales!$F$24*(datos_base!$J$20+IF(parametros_manuales!$H$24="Todos",datos_base!$J$25,0))*parametros_manuales!$K$14+parametros_manuales!$G$24*(datos_base!$J$5+IF(parametros_manuales!$H$24="Todos",datos_base!$J$12,0))*parametros_manuales!$K$110+parametros_manuales!$G$24*(datos_base!$J$21+IF(parametros_manuales!$H$24="Todos",datos_base!$J$26,0))*parametros_manuales!$K$15)*parametros_manuales!$I$24*parametros_manuales!$J$24</f>
        <v>21798.852424595</v>
      </c>
      <c r="L223" s="9" t="n">
        <f aca="false">(parametros_manuales!$D$24*(datos_base!$J$2+IF(parametros_manuales!$H$24="Todos",datos_base!$J$9,0))*parametros_manuales!$L$95+parametros_manuales!$D$24*(datos_base!$J$18+IF(parametros_manuales!$H$24="Todos",datos_base!$J$23,0))*parametros_manuales!$L$12+parametros_manuales!$E$24*(datos_base!$J$3+IF(parametros_manuales!$H$24="Todos",datos_base!$J$10,0))*parametros_manuales!$L$100+parametros_manuales!$E$24*(datos_base!$J$19+IF(parametros_manuales!$H$24="Todos",datos_base!$J$24,0))*parametros_manuales!$L$13+parametros_manuales!$F$24*(datos_base!$J$4+IF(parametros_manuales!$H$24="Todos",datos_base!$J$11,0))*parametros_manuales!$L$105+parametros_manuales!$F$24*(datos_base!$J$20+IF(parametros_manuales!$H$24="Todos",datos_base!$J$25,0))*parametros_manuales!$L$14+parametros_manuales!$G$24*(datos_base!$J$5+IF(parametros_manuales!$H$24="Todos",datos_base!$J$12,0))*parametros_manuales!$L$110+parametros_manuales!$G$24*(datos_base!$J$21+IF(parametros_manuales!$H$24="Todos",datos_base!$J$26,0))*parametros_manuales!$L$15)*parametros_manuales!$I$24*parametros_manuales!$J$24</f>
        <v>22150.84892883</v>
      </c>
      <c r="M223" s="9" t="n">
        <f aca="false">(parametros_manuales!$D$24*(datos_base!$J$2+IF(parametros_manuales!$H$24="Todos",datos_base!$J$9,0))*parametros_manuales!$M$95+parametros_manuales!$D$24*(datos_base!$J$18+IF(parametros_manuales!$H$24="Todos",datos_base!$J$23,0))*parametros_manuales!$M$12+parametros_manuales!$E$24*(datos_base!$J$3+IF(parametros_manuales!$H$24="Todos",datos_base!$J$10,0))*parametros_manuales!$M$100+parametros_manuales!$E$24*(datos_base!$J$19+IF(parametros_manuales!$H$24="Todos",datos_base!$J$24,0))*parametros_manuales!$M$13+parametros_manuales!$F$24*(datos_base!$J$4+IF(parametros_manuales!$H$24="Todos",datos_base!$J$11,0))*parametros_manuales!$M$105+parametros_manuales!$F$24*(datos_base!$J$20+IF(parametros_manuales!$H$24="Todos",datos_base!$J$25,0))*parametros_manuales!$M$14+parametros_manuales!$G$24*(datos_base!$J$5+IF(parametros_manuales!$H$24="Todos",datos_base!$J$12,0))*parametros_manuales!$M$110+parametros_manuales!$G$24*(datos_base!$J$21+IF(parametros_manuales!$H$24="Todos",datos_base!$J$26,0))*parametros_manuales!$M$15)*parametros_manuales!$I$24*parametros_manuales!$J$24</f>
        <v>22158.23132883</v>
      </c>
      <c r="N223" s="9" t="n">
        <f aca="false">SUM(B223:M223)</f>
        <v>246161.556987</v>
      </c>
      <c r="O223" s="9" t="n">
        <f aca="false">MAX(B223:M223)</f>
        <v>22158.23132883</v>
      </c>
      <c r="P223" s="44" t="n">
        <f aca="false">O223/(parametros_manuales!$B$7)</f>
        <v>147.7215421922</v>
      </c>
      <c r="Q223" s="8" t="str">
        <f aca="false">IF(O223=0,"-",INDEX($B$217:$M$217,MATCH(O223,B223:M223,0)))</f>
        <v>Dic</v>
      </c>
    </row>
    <row r="224" customFormat="false" ht="14.25" hidden="false" customHeight="true" outlineLevel="0" collapsed="false">
      <c r="A224" s="8" t="str">
        <f aca="false">parametros_manuales!$B$25</f>
        <v>Soldadura del cuello a la cúpula</v>
      </c>
      <c r="B224" s="9" t="n">
        <f aca="false">(parametros_manuales!$D$25*(datos_base!$J$2+IF(parametros_manuales!$H$25="Todos",datos_base!$J$9,0))*parametros_manuales!$B$95+parametros_manuales!$D$25*(datos_base!$J$18+IF(parametros_manuales!$H$25="Todos",datos_base!$J$23,0))*parametros_manuales!$B$12+parametros_manuales!$E$25*(datos_base!$J$3+IF(parametros_manuales!$H$25="Todos",datos_base!$J$10,0))*parametros_manuales!$B$100+parametros_manuales!$E$25*(datos_base!$J$19+IF(parametros_manuales!$H$25="Todos",datos_base!$J$24,0))*parametros_manuales!$B$13+parametros_manuales!$F$25*(datos_base!$J$4+IF(parametros_manuales!$H$25="Todos",datos_base!$J$11,0))*parametros_manuales!$B$105+parametros_manuales!$F$25*(datos_base!$J$20+IF(parametros_manuales!$H$25="Todos",datos_base!$J$25,0))*parametros_manuales!$B$14+parametros_manuales!$G$25*(datos_base!$J$5+IF(parametros_manuales!$H$25="Todos",datos_base!$J$12,0))*parametros_manuales!$B$110+parametros_manuales!$G$25*(datos_base!$J$21+IF(parametros_manuales!$H$25="Todos",datos_base!$J$26,0))*parametros_manuales!$B$15)*parametros_manuales!$I$25*parametros_manuales!$J$25</f>
        <v>22156.38572883</v>
      </c>
      <c r="C224" s="9" t="n">
        <f aca="false">(parametros_manuales!$D$25*(datos_base!$J$2+IF(parametros_manuales!$H$25="Todos",datos_base!$J$9,0))*parametros_manuales!$C$95+parametros_manuales!$D$25*(datos_base!$J$18+IF(parametros_manuales!$H$25="Todos",datos_base!$J$23,0))*parametros_manuales!$C$12+parametros_manuales!$E$25*(datos_base!$J$3+IF(parametros_manuales!$H$25="Todos",datos_base!$J$10,0))*parametros_manuales!$C$100+parametros_manuales!$E$25*(datos_base!$J$19+IF(parametros_manuales!$H$25="Todos",datos_base!$J$24,0))*parametros_manuales!$C$13+parametros_manuales!$F$25*(datos_base!$J$4+IF(parametros_manuales!$H$25="Todos",datos_base!$J$11,0))*parametros_manuales!$C$105+parametros_manuales!$F$25*(datos_base!$J$20+IF(parametros_manuales!$H$25="Todos",datos_base!$J$25,0))*parametros_manuales!$C$14+parametros_manuales!$G$25*(datos_base!$J$5+IF(parametros_manuales!$H$25="Todos",datos_base!$J$12,0))*parametros_manuales!$C$110+parametros_manuales!$G$25*(datos_base!$J$21+IF(parametros_manuales!$H$25="Todos",datos_base!$J$26,0))*parametros_manuales!$C$15)*parametros_manuales!$I$25*parametros_manuales!$J$25</f>
        <v>21446.85592036</v>
      </c>
      <c r="D224" s="9" t="n">
        <f aca="false">(parametros_manuales!$D$25*(datos_base!$J$2+IF(parametros_manuales!$H$25="Todos",datos_base!$J$9,0))*parametros_manuales!$D$95+parametros_manuales!$D$25*(datos_base!$J$18+IF(parametros_manuales!$H$25="Todos",datos_base!$J$23,0))*parametros_manuales!$D$12+parametros_manuales!$E$25*(datos_base!$J$3+IF(parametros_manuales!$H$25="Todos",datos_base!$J$10,0))*parametros_manuales!$D$100+parametros_manuales!$E$25*(datos_base!$J$19+IF(parametros_manuales!$H$25="Todos",datos_base!$J$24,0))*parametros_manuales!$D$13+parametros_manuales!$F$25*(datos_base!$J$4+IF(parametros_manuales!$H$25="Todos",datos_base!$J$11,0))*parametros_manuales!$D$105+parametros_manuales!$F$25*(datos_base!$J$20+IF(parametros_manuales!$H$25="Todos",datos_base!$J$25,0))*parametros_manuales!$D$14+parametros_manuales!$G$25*(datos_base!$J$5+IF(parametros_manuales!$H$25="Todos",datos_base!$J$12,0))*parametros_manuales!$D$110+parametros_manuales!$G$25*(datos_base!$J$21+IF(parametros_manuales!$H$25="Todos",datos_base!$J$26,0))*parametros_manuales!$D$15)*parametros_manuales!$I$25*parametros_manuales!$J$25</f>
        <v>20046.766663195</v>
      </c>
      <c r="E224" s="9" t="n">
        <f aca="false">(parametros_manuales!$D$25*(datos_base!$J$2+IF(parametros_manuales!$H$25="Todos",datos_base!$J$9,0))*parametros_manuales!$E$95+parametros_manuales!$D$25*(datos_base!$J$18+IF(parametros_manuales!$H$25="Todos",datos_base!$J$23,0))*parametros_manuales!$E$12+parametros_manuales!$E$25*(datos_base!$J$3+IF(parametros_manuales!$H$25="Todos",datos_base!$J$10,0))*parametros_manuales!$E$100+parametros_manuales!$E$25*(datos_base!$J$19+IF(parametros_manuales!$H$25="Todos",datos_base!$J$24,0))*parametros_manuales!$E$13+parametros_manuales!$F$25*(datos_base!$J$4+IF(parametros_manuales!$H$25="Todos",datos_base!$J$11,0))*parametros_manuales!$E$105+parametros_manuales!$F$25*(datos_base!$J$20+IF(parametros_manuales!$H$25="Todos",datos_base!$J$25,0))*parametros_manuales!$E$14+parametros_manuales!$G$25*(datos_base!$J$5+IF(parametros_manuales!$H$25="Todos",datos_base!$J$12,0))*parametros_manuales!$E$110+parametros_manuales!$G$25*(datos_base!$J$21+IF(parametros_manuales!$H$25="Todos",datos_base!$J$26,0))*parametros_manuales!$E$15)*parametros_manuales!$I$25*parametros_manuales!$J$25</f>
        <v>19169.800982495</v>
      </c>
      <c r="F224" s="9" t="n">
        <f aca="false">(parametros_manuales!$D$25*(datos_base!$J$2+IF(parametros_manuales!$H$25="Todos",datos_base!$J$9,0))*parametros_manuales!$F$95+parametros_manuales!$D$25*(datos_base!$J$18+IF(parametros_manuales!$H$25="Todos",datos_base!$J$23,0))*parametros_manuales!$F$12+parametros_manuales!$E$25*(datos_base!$J$3+IF(parametros_manuales!$H$25="Todos",datos_base!$J$10,0))*parametros_manuales!$F$100+parametros_manuales!$E$25*(datos_base!$J$19+IF(parametros_manuales!$H$25="Todos",datos_base!$J$24,0))*parametros_manuales!$F$13+parametros_manuales!$F$25*(datos_base!$J$4+IF(parametros_manuales!$H$25="Todos",datos_base!$J$11,0))*parametros_manuales!$F$105+parametros_manuales!$F$25*(datos_base!$J$20+IF(parametros_manuales!$H$25="Todos",datos_base!$J$25,0))*parametros_manuales!$F$14+parametros_manuales!$G$25*(datos_base!$J$5+IF(parametros_manuales!$H$25="Todos",datos_base!$J$12,0))*parametros_manuales!$F$110+parametros_manuales!$G$25*(datos_base!$J$21+IF(parametros_manuales!$H$25="Todos",datos_base!$J$26,0))*parametros_manuales!$F$15)*parametros_manuales!$I$25*parametros_manuales!$J$25</f>
        <v>17938.99319756</v>
      </c>
      <c r="G224" s="9" t="n">
        <f aca="false">(parametros_manuales!$D$25*(datos_base!$J$2+IF(parametros_manuales!$H$25="Todos",datos_base!$J$9,0))*parametros_manuales!$G$95+parametros_manuales!$D$25*(datos_base!$J$18+IF(parametros_manuales!$H$25="Todos",datos_base!$J$23,0))*parametros_manuales!$G$12+parametros_manuales!$E$25*(datos_base!$J$3+IF(parametros_manuales!$H$25="Todos",datos_base!$J$10,0))*parametros_manuales!$G$100+parametros_manuales!$E$25*(datos_base!$J$19+IF(parametros_manuales!$H$25="Todos",datos_base!$J$24,0))*parametros_manuales!$G$13+parametros_manuales!$F$25*(datos_base!$J$4+IF(parametros_manuales!$H$25="Todos",datos_base!$J$11,0))*parametros_manuales!$G$105+parametros_manuales!$F$25*(datos_base!$J$20+IF(parametros_manuales!$H$25="Todos",datos_base!$J$25,0))*parametros_manuales!$G$14+parametros_manuales!$G$25*(datos_base!$J$5+IF(parametros_manuales!$H$25="Todos",datos_base!$J$12,0))*parametros_manuales!$G$110+parametros_manuales!$G$25*(datos_base!$J$21+IF(parametros_manuales!$H$25="Todos",datos_base!$J$26,0))*parametros_manuales!$G$15)*parametros_manuales!$I$25*parametros_manuales!$J$25</f>
        <v>17585.151093325</v>
      </c>
      <c r="H224" s="9" t="n">
        <f aca="false">(parametros_manuales!$D$25*(datos_base!$J$2+IF(parametros_manuales!$H$25="Todos",datos_base!$J$9,0))*parametros_manuales!$H$95+parametros_manuales!$D$25*(datos_base!$J$18+IF(parametros_manuales!$H$25="Todos",datos_base!$J$23,0))*parametros_manuales!$H$12+parametros_manuales!$E$25*(datos_base!$J$3+IF(parametros_manuales!$H$25="Todos",datos_base!$J$10,0))*parametros_manuales!$H$100+parametros_manuales!$E$25*(datos_base!$J$19+IF(parametros_manuales!$H$25="Todos",datos_base!$J$24,0))*parametros_manuales!$H$13+parametros_manuales!$F$25*(datos_base!$J$4+IF(parametros_manuales!$H$25="Todos",datos_base!$J$11,0))*parametros_manuales!$H$105+parametros_manuales!$F$25*(datos_base!$J$20+IF(parametros_manuales!$H$25="Todos",datos_base!$J$25,0))*parametros_manuales!$H$14+parametros_manuales!$G$25*(datos_base!$J$5+IF(parametros_manuales!$H$25="Todos",datos_base!$J$12,0))*parametros_manuales!$H$110+parametros_manuales!$G$25*(datos_base!$J$21+IF(parametros_manuales!$H$25="Todos",datos_base!$J$26,0))*parametros_manuales!$H$15)*parametros_manuales!$I$25*parametros_manuales!$J$25</f>
        <v>18815.95887826</v>
      </c>
      <c r="I224" s="9" t="n">
        <f aca="false">(parametros_manuales!$D$25*(datos_base!$J$2+IF(parametros_manuales!$H$25="Todos",datos_base!$J$9,0))*parametros_manuales!$I$95+parametros_manuales!$D$25*(datos_base!$J$18+IF(parametros_manuales!$H$25="Todos",datos_base!$J$23,0))*parametros_manuales!$I$12+parametros_manuales!$E$25*(datos_base!$J$3+IF(parametros_manuales!$H$25="Todos",datos_base!$J$10,0))*parametros_manuales!$I$100+parametros_manuales!$E$25*(datos_base!$J$19+IF(parametros_manuales!$H$25="Todos",datos_base!$J$24,0))*parametros_manuales!$I$13+parametros_manuales!$F$25*(datos_base!$J$4+IF(parametros_manuales!$H$25="Todos",datos_base!$J$11,0))*parametros_manuales!$I$105+parametros_manuales!$F$25*(datos_base!$J$20+IF(parametros_manuales!$H$25="Todos",datos_base!$J$25,0))*parametros_manuales!$I$14+parametros_manuales!$G$25*(datos_base!$J$5+IF(parametros_manuales!$H$25="Todos",datos_base!$J$12,0))*parametros_manuales!$I$110+parametros_manuales!$G$25*(datos_base!$J$21+IF(parametros_manuales!$H$25="Todos",datos_base!$J$26,0))*parametros_manuales!$I$15)*parametros_manuales!$I$25*parametros_manuales!$J$25</f>
        <v>21446.85592036</v>
      </c>
      <c r="J224" s="9" t="n">
        <f aca="false">(parametros_manuales!$D$25*(datos_base!$J$2+IF(parametros_manuales!$H$25="Todos",datos_base!$J$9,0))*parametros_manuales!$J$95+parametros_manuales!$D$25*(datos_base!$J$18+IF(parametros_manuales!$H$25="Todos",datos_base!$J$23,0))*parametros_manuales!$J$12+parametros_manuales!$E$25*(datos_base!$J$3+IF(parametros_manuales!$H$25="Todos",datos_base!$J$10,0))*parametros_manuales!$J$100+parametros_manuales!$E$25*(datos_base!$J$19+IF(parametros_manuales!$H$25="Todos",datos_base!$J$24,0))*parametros_manuales!$J$13+parametros_manuales!$F$25*(datos_base!$J$4+IF(parametros_manuales!$H$25="Todos",datos_base!$J$11,0))*parametros_manuales!$J$105+parametros_manuales!$F$25*(datos_base!$J$20+IF(parametros_manuales!$H$25="Todos",datos_base!$J$25,0))*parametros_manuales!$J$14+parametros_manuales!$G$25*(datos_base!$J$5+IF(parametros_manuales!$H$25="Todos",datos_base!$J$12,0))*parametros_manuales!$J$110+parametros_manuales!$G$25*(datos_base!$J$21+IF(parametros_manuales!$H$25="Todos",datos_base!$J$26,0))*parametros_manuales!$J$15)*parametros_manuales!$I$25*parametros_manuales!$J$25</f>
        <v>21446.85592036</v>
      </c>
      <c r="K224" s="9" t="n">
        <f aca="false">(parametros_manuales!$D$25*(datos_base!$J$2+IF(parametros_manuales!$H$25="Todos",datos_base!$J$9,0))*parametros_manuales!$K$95+parametros_manuales!$D$25*(datos_base!$J$18+IF(parametros_manuales!$H$25="Todos",datos_base!$J$23,0))*parametros_manuales!$K$12+parametros_manuales!$E$25*(datos_base!$J$3+IF(parametros_manuales!$H$25="Todos",datos_base!$J$10,0))*parametros_manuales!$K$100+parametros_manuales!$E$25*(datos_base!$J$19+IF(parametros_manuales!$H$25="Todos",datos_base!$J$24,0))*parametros_manuales!$K$13+parametros_manuales!$F$25*(datos_base!$J$4+IF(parametros_manuales!$H$25="Todos",datos_base!$J$11,0))*parametros_manuales!$K$105+parametros_manuales!$F$25*(datos_base!$J$20+IF(parametros_manuales!$H$25="Todos",datos_base!$J$25,0))*parametros_manuales!$K$14+parametros_manuales!$G$25*(datos_base!$J$5+IF(parametros_manuales!$H$25="Todos",datos_base!$J$12,0))*parametros_manuales!$K$110+parametros_manuales!$G$25*(datos_base!$J$21+IF(parametros_manuales!$H$25="Todos",datos_base!$J$26,0))*parametros_manuales!$K$15)*parametros_manuales!$I$25*parametros_manuales!$J$25</f>
        <v>21798.852424595</v>
      </c>
      <c r="L224" s="9" t="n">
        <f aca="false">(parametros_manuales!$D$25*(datos_base!$J$2+IF(parametros_manuales!$H$25="Todos",datos_base!$J$9,0))*parametros_manuales!$L$95+parametros_manuales!$D$25*(datos_base!$J$18+IF(parametros_manuales!$H$25="Todos",datos_base!$J$23,0))*parametros_manuales!$L$12+parametros_manuales!$E$25*(datos_base!$J$3+IF(parametros_manuales!$H$25="Todos",datos_base!$J$10,0))*parametros_manuales!$L$100+parametros_manuales!$E$25*(datos_base!$J$19+IF(parametros_manuales!$H$25="Todos",datos_base!$J$24,0))*parametros_manuales!$L$13+parametros_manuales!$F$25*(datos_base!$J$4+IF(parametros_manuales!$H$25="Todos",datos_base!$J$11,0))*parametros_manuales!$L$105+parametros_manuales!$F$25*(datos_base!$J$20+IF(parametros_manuales!$H$25="Todos",datos_base!$J$25,0))*parametros_manuales!$L$14+parametros_manuales!$G$25*(datos_base!$J$5+IF(parametros_manuales!$H$25="Todos",datos_base!$J$12,0))*parametros_manuales!$L$110+parametros_manuales!$G$25*(datos_base!$J$21+IF(parametros_manuales!$H$25="Todos",datos_base!$J$26,0))*parametros_manuales!$L$15)*parametros_manuales!$I$25*parametros_manuales!$J$25</f>
        <v>22150.84892883</v>
      </c>
      <c r="M224" s="9" t="n">
        <f aca="false">(parametros_manuales!$D$25*(datos_base!$J$2+IF(parametros_manuales!$H$25="Todos",datos_base!$J$9,0))*parametros_manuales!$M$95+parametros_manuales!$D$25*(datos_base!$J$18+IF(parametros_manuales!$H$25="Todos",datos_base!$J$23,0))*parametros_manuales!$M$12+parametros_manuales!$E$25*(datos_base!$J$3+IF(parametros_manuales!$H$25="Todos",datos_base!$J$10,0))*parametros_manuales!$M$100+parametros_manuales!$E$25*(datos_base!$J$19+IF(parametros_manuales!$H$25="Todos",datos_base!$J$24,0))*parametros_manuales!$M$13+parametros_manuales!$F$25*(datos_base!$J$4+IF(parametros_manuales!$H$25="Todos",datos_base!$J$11,0))*parametros_manuales!$M$105+parametros_manuales!$F$25*(datos_base!$J$20+IF(parametros_manuales!$H$25="Todos",datos_base!$J$25,0))*parametros_manuales!$M$14+parametros_manuales!$G$25*(datos_base!$J$5+IF(parametros_manuales!$H$25="Todos",datos_base!$J$12,0))*parametros_manuales!$M$110+parametros_manuales!$G$25*(datos_base!$J$21+IF(parametros_manuales!$H$25="Todos",datos_base!$J$26,0))*parametros_manuales!$M$15)*parametros_manuales!$I$25*parametros_manuales!$J$25</f>
        <v>22158.23132883</v>
      </c>
      <c r="N224" s="9" t="n">
        <f aca="false">SUM(B224:M224)</f>
        <v>246161.556987</v>
      </c>
      <c r="O224" s="9" t="n">
        <f aca="false">MAX(B224:M224)</f>
        <v>22158.23132883</v>
      </c>
      <c r="P224" s="44" t="n">
        <f aca="false">O224/(parametros_manuales!$B$7)</f>
        <v>147.7215421922</v>
      </c>
      <c r="Q224" s="8" t="str">
        <f aca="false">IF(O224=0,"-",INDEX($B$217:$M$217,MATCH(O224,B224:M224,0)))</f>
        <v>Dic</v>
      </c>
    </row>
    <row r="225" customFormat="false" ht="14.25" hidden="false" customHeight="true" outlineLevel="0" collapsed="false">
      <c r="A225" s="8" t="str">
        <f aca="false">parametros_manuales!$B$26</f>
        <v>Cilindrado</v>
      </c>
      <c r="B225" s="9" t="n">
        <f aca="false">(parametros_manuales!$D$26*(datos_base!$J$2+IF(parametros_manuales!$H$26="Todos",datos_base!$J$9,0))*parametros_manuales!$B$95+parametros_manuales!$D$26*(datos_base!$J$18+IF(parametros_manuales!$H$26="Todos",datos_base!$J$23,0))*parametros_manuales!$B$12+parametros_manuales!$E$26*(datos_base!$J$3+IF(parametros_manuales!$H$26="Todos",datos_base!$J$10,0))*parametros_manuales!$B$100+parametros_manuales!$E$26*(datos_base!$J$19+IF(parametros_manuales!$H$26="Todos",datos_base!$J$24,0))*parametros_manuales!$B$13+parametros_manuales!$F$26*(datos_base!$J$4+IF(parametros_manuales!$H$26="Todos",datos_base!$J$11,0))*parametros_manuales!$B$105+parametros_manuales!$F$26*(datos_base!$J$20+IF(parametros_manuales!$H$26="Todos",datos_base!$J$25,0))*parametros_manuales!$B$14+parametros_manuales!$G$26*(datos_base!$J$5+IF(parametros_manuales!$H$26="Todos",datos_base!$J$12,0))*parametros_manuales!$B$110+parametros_manuales!$G$26*(datos_base!$J$21+IF(parametros_manuales!$H$26="Todos",datos_base!$J$26,0))*parametros_manuales!$B$15)*parametros_manuales!$I$26*parametros_manuales!$J$26</f>
        <v>6371.00347623</v>
      </c>
      <c r="C225" s="9" t="n">
        <f aca="false">(parametros_manuales!$D$26*(datos_base!$J$2+IF(parametros_manuales!$H$26="Todos",datos_base!$J$9,0))*parametros_manuales!$C$95+parametros_manuales!$D$26*(datos_base!$J$18+IF(parametros_manuales!$H$26="Todos",datos_base!$J$23,0))*parametros_manuales!$C$12+parametros_manuales!$E$26*(datos_base!$J$3+IF(parametros_manuales!$H$26="Todos",datos_base!$J$10,0))*parametros_manuales!$C$100+parametros_manuales!$E$26*(datos_base!$J$19+IF(parametros_manuales!$H$26="Todos",datos_base!$J$24,0))*parametros_manuales!$C$13+parametros_manuales!$F$26*(datos_base!$J$4+IF(parametros_manuales!$H$26="Todos",datos_base!$J$11,0))*parametros_manuales!$C$105+parametros_manuales!$F$26*(datos_base!$J$20+IF(parametros_manuales!$H$26="Todos",datos_base!$J$25,0))*parametros_manuales!$C$14+parametros_manuales!$G$26*(datos_base!$J$5+IF(parametros_manuales!$H$26="Todos",datos_base!$J$12,0))*parametros_manuales!$C$110+parametros_manuales!$G$26*(datos_base!$J$21+IF(parametros_manuales!$H$26="Todos",datos_base!$J$26,0))*parametros_manuales!$C$15)*parametros_manuales!$I$26*parametros_manuales!$J$26</f>
        <v>5661.47366776</v>
      </c>
      <c r="D225" s="9" t="n">
        <f aca="false">(parametros_manuales!$D$26*(datos_base!$J$2+IF(parametros_manuales!$H$26="Todos",datos_base!$J$9,0))*parametros_manuales!$D$95+parametros_manuales!$D$26*(datos_base!$J$18+IF(parametros_manuales!$H$26="Todos",datos_base!$J$23,0))*parametros_manuales!$D$12+parametros_manuales!$E$26*(datos_base!$J$3+IF(parametros_manuales!$H$26="Todos",datos_base!$J$10,0))*parametros_manuales!$D$100+parametros_manuales!$E$26*(datos_base!$J$19+IF(parametros_manuales!$H$26="Todos",datos_base!$J$24,0))*parametros_manuales!$D$13+parametros_manuales!$F$26*(datos_base!$J$4+IF(parametros_manuales!$H$26="Todos",datos_base!$J$11,0))*parametros_manuales!$D$105+parametros_manuales!$F$26*(datos_base!$J$20+IF(parametros_manuales!$H$26="Todos",datos_base!$J$25,0))*parametros_manuales!$D$14+parametros_manuales!$G$26*(datos_base!$J$5+IF(parametros_manuales!$H$26="Todos",datos_base!$J$12,0))*parametros_manuales!$D$110+parametros_manuales!$G$26*(datos_base!$J$21+IF(parametros_manuales!$H$26="Todos",datos_base!$J$26,0))*parametros_manuales!$D$15)*parametros_manuales!$I$26*parametros_manuales!$J$26</f>
        <v>6015.315771995</v>
      </c>
      <c r="E225" s="9" t="n">
        <f aca="false">(parametros_manuales!$D$26*(datos_base!$J$2+IF(parametros_manuales!$H$26="Todos",datos_base!$J$9,0))*parametros_manuales!$E$95+parametros_manuales!$D$26*(datos_base!$J$18+IF(parametros_manuales!$H$26="Todos",datos_base!$J$23,0))*parametros_manuales!$E$12+parametros_manuales!$E$26*(datos_base!$J$3+IF(parametros_manuales!$H$26="Todos",datos_base!$J$10,0))*parametros_manuales!$E$100+parametros_manuales!$E$26*(datos_base!$J$19+IF(parametros_manuales!$H$26="Todos",datos_base!$J$24,0))*parametros_manuales!$E$13+parametros_manuales!$F$26*(datos_base!$J$4+IF(parametros_manuales!$H$26="Todos",datos_base!$J$11,0))*parametros_manuales!$E$105+parametros_manuales!$F$26*(datos_base!$J$20+IF(parametros_manuales!$H$26="Todos",datos_base!$J$25,0))*parametros_manuales!$E$14+parametros_manuales!$G$26*(datos_base!$J$5+IF(parametros_manuales!$H$26="Todos",datos_base!$J$12,0))*parametros_manuales!$E$110+parametros_manuales!$G$26*(datos_base!$J$21+IF(parametros_manuales!$H$26="Todos",datos_base!$J$26,0))*parametros_manuales!$E$15)*parametros_manuales!$I$26*parametros_manuales!$J$26</f>
        <v>6015.315771995</v>
      </c>
      <c r="F225" s="9" t="n">
        <f aca="false">(parametros_manuales!$D$26*(datos_base!$J$2+IF(parametros_manuales!$H$26="Todos",datos_base!$J$9,0))*parametros_manuales!$F$95+parametros_manuales!$D$26*(datos_base!$J$18+IF(parametros_manuales!$H$26="Todos",datos_base!$J$23,0))*parametros_manuales!$F$12+parametros_manuales!$E$26*(datos_base!$J$3+IF(parametros_manuales!$H$26="Todos",datos_base!$J$10,0))*parametros_manuales!$F$100+parametros_manuales!$E$26*(datos_base!$J$19+IF(parametros_manuales!$H$26="Todos",datos_base!$J$24,0))*parametros_manuales!$F$13+parametros_manuales!$F$26*(datos_base!$J$4+IF(parametros_manuales!$H$26="Todos",datos_base!$J$11,0))*parametros_manuales!$F$105+parametros_manuales!$F$26*(datos_base!$J$20+IF(parametros_manuales!$H$26="Todos",datos_base!$J$25,0))*parametros_manuales!$F$14+parametros_manuales!$G$26*(datos_base!$J$5+IF(parametros_manuales!$H$26="Todos",datos_base!$J$12,0))*parametros_manuales!$F$110+parametros_manuales!$G$26*(datos_base!$J$21+IF(parametros_manuales!$H$26="Todos",datos_base!$J$26,0))*parametros_manuales!$F$15)*parametros_manuales!$I$26*parametros_manuales!$J$26</f>
        <v>5661.47366776</v>
      </c>
      <c r="G225" s="9" t="n">
        <f aca="false">(parametros_manuales!$D$26*(datos_base!$J$2+IF(parametros_manuales!$H$26="Todos",datos_base!$J$9,0))*parametros_manuales!$G$95+parametros_manuales!$D$26*(datos_base!$J$18+IF(parametros_manuales!$H$26="Todos",datos_base!$J$23,0))*parametros_manuales!$G$12+parametros_manuales!$E$26*(datos_base!$J$3+IF(parametros_manuales!$H$26="Todos",datos_base!$J$10,0))*parametros_manuales!$G$100+parametros_manuales!$E$26*(datos_base!$J$19+IF(parametros_manuales!$H$26="Todos",datos_base!$J$24,0))*parametros_manuales!$G$13+parametros_manuales!$F$26*(datos_base!$J$4+IF(parametros_manuales!$H$26="Todos",datos_base!$J$11,0))*parametros_manuales!$G$105+parametros_manuales!$F$26*(datos_base!$J$20+IF(parametros_manuales!$H$26="Todos",datos_base!$J$25,0))*parametros_manuales!$G$14+parametros_manuales!$G$26*(datos_base!$J$5+IF(parametros_manuales!$H$26="Todos",datos_base!$J$12,0))*parametros_manuales!$G$110+parametros_manuales!$G$26*(datos_base!$J$21+IF(parametros_manuales!$H$26="Todos",datos_base!$J$26,0))*parametros_manuales!$G$15)*parametros_manuales!$I$26*parametros_manuales!$J$26</f>
        <v>5307.631563525</v>
      </c>
      <c r="H225" s="9" t="n">
        <f aca="false">(parametros_manuales!$D$26*(datos_base!$J$2+IF(parametros_manuales!$H$26="Todos",datos_base!$J$9,0))*parametros_manuales!$H$95+parametros_manuales!$D$26*(datos_base!$J$18+IF(parametros_manuales!$H$26="Todos",datos_base!$J$23,0))*parametros_manuales!$H$12+parametros_manuales!$E$26*(datos_base!$J$3+IF(parametros_manuales!$H$26="Todos",datos_base!$J$10,0))*parametros_manuales!$H$100+parametros_manuales!$E$26*(datos_base!$J$19+IF(parametros_manuales!$H$26="Todos",datos_base!$J$24,0))*parametros_manuales!$H$13+parametros_manuales!$F$26*(datos_base!$J$4+IF(parametros_manuales!$H$26="Todos",datos_base!$J$11,0))*parametros_manuales!$H$105+parametros_manuales!$F$26*(datos_base!$J$20+IF(parametros_manuales!$H$26="Todos",datos_base!$J$25,0))*parametros_manuales!$H$14+parametros_manuales!$G$26*(datos_base!$J$5+IF(parametros_manuales!$H$26="Todos",datos_base!$J$12,0))*parametros_manuales!$H$110+parametros_manuales!$G$26*(datos_base!$J$21+IF(parametros_manuales!$H$26="Todos",datos_base!$J$26,0))*parametros_manuales!$H$15)*parametros_manuales!$I$26*parametros_manuales!$J$26</f>
        <v>5661.47366776</v>
      </c>
      <c r="I225" s="9" t="n">
        <f aca="false">(parametros_manuales!$D$26*(datos_base!$J$2+IF(parametros_manuales!$H$26="Todos",datos_base!$J$9,0))*parametros_manuales!$I$95+parametros_manuales!$D$26*(datos_base!$J$18+IF(parametros_manuales!$H$26="Todos",datos_base!$J$23,0))*parametros_manuales!$I$12+parametros_manuales!$E$26*(datos_base!$J$3+IF(parametros_manuales!$H$26="Todos",datos_base!$J$10,0))*parametros_manuales!$I$100+parametros_manuales!$E$26*(datos_base!$J$19+IF(parametros_manuales!$H$26="Todos",datos_base!$J$24,0))*parametros_manuales!$I$13+parametros_manuales!$F$26*(datos_base!$J$4+IF(parametros_manuales!$H$26="Todos",datos_base!$J$11,0))*parametros_manuales!$I$105+parametros_manuales!$F$26*(datos_base!$J$20+IF(parametros_manuales!$H$26="Todos",datos_base!$J$25,0))*parametros_manuales!$I$14+parametros_manuales!$G$26*(datos_base!$J$5+IF(parametros_manuales!$H$26="Todos",datos_base!$J$12,0))*parametros_manuales!$I$110+parametros_manuales!$G$26*(datos_base!$J$21+IF(parametros_manuales!$H$26="Todos",datos_base!$J$26,0))*parametros_manuales!$I$15)*parametros_manuales!$I$26*parametros_manuales!$J$26</f>
        <v>5661.47366776</v>
      </c>
      <c r="J225" s="9" t="n">
        <f aca="false">(parametros_manuales!$D$26*(datos_base!$J$2+IF(parametros_manuales!$H$26="Todos",datos_base!$J$9,0))*parametros_manuales!$J$95+parametros_manuales!$D$26*(datos_base!$J$18+IF(parametros_manuales!$H$26="Todos",datos_base!$J$23,0))*parametros_manuales!$J$12+parametros_manuales!$E$26*(datos_base!$J$3+IF(parametros_manuales!$H$26="Todos",datos_base!$J$10,0))*parametros_manuales!$J$100+parametros_manuales!$E$26*(datos_base!$J$19+IF(parametros_manuales!$H$26="Todos",datos_base!$J$24,0))*parametros_manuales!$J$13+parametros_manuales!$F$26*(datos_base!$J$4+IF(parametros_manuales!$H$26="Todos",datos_base!$J$11,0))*parametros_manuales!$J$105+parametros_manuales!$F$26*(datos_base!$J$20+IF(parametros_manuales!$H$26="Todos",datos_base!$J$25,0))*parametros_manuales!$J$14+parametros_manuales!$G$26*(datos_base!$J$5+IF(parametros_manuales!$H$26="Todos",datos_base!$J$12,0))*parametros_manuales!$J$110+parametros_manuales!$G$26*(datos_base!$J$21+IF(parametros_manuales!$H$26="Todos",datos_base!$J$26,0))*parametros_manuales!$J$15)*parametros_manuales!$I$26*parametros_manuales!$J$26</f>
        <v>5661.47366776</v>
      </c>
      <c r="K225" s="9" t="n">
        <f aca="false">(parametros_manuales!$D$26*(datos_base!$J$2+IF(parametros_manuales!$H$26="Todos",datos_base!$J$9,0))*parametros_manuales!$K$95+parametros_manuales!$D$26*(datos_base!$J$18+IF(parametros_manuales!$H$26="Todos",datos_base!$J$23,0))*parametros_manuales!$K$12+parametros_manuales!$E$26*(datos_base!$J$3+IF(parametros_manuales!$H$26="Todos",datos_base!$J$10,0))*parametros_manuales!$K$100+parametros_manuales!$E$26*(datos_base!$J$19+IF(parametros_manuales!$H$26="Todos",datos_base!$J$24,0))*parametros_manuales!$K$13+parametros_manuales!$F$26*(datos_base!$J$4+IF(parametros_manuales!$H$26="Todos",datos_base!$J$11,0))*parametros_manuales!$K$105+parametros_manuales!$F$26*(datos_base!$J$20+IF(parametros_manuales!$H$26="Todos",datos_base!$J$25,0))*parametros_manuales!$K$14+parametros_manuales!$G$26*(datos_base!$J$5+IF(parametros_manuales!$H$26="Todos",datos_base!$J$12,0))*parametros_manuales!$K$110+parametros_manuales!$G$26*(datos_base!$J$21+IF(parametros_manuales!$H$26="Todos",datos_base!$J$26,0))*parametros_manuales!$K$15)*parametros_manuales!$I$26*parametros_manuales!$J$26</f>
        <v>6013.470171995</v>
      </c>
      <c r="L225" s="9" t="n">
        <f aca="false">(parametros_manuales!$D$26*(datos_base!$J$2+IF(parametros_manuales!$H$26="Todos",datos_base!$J$9,0))*parametros_manuales!$L$95+parametros_manuales!$D$26*(datos_base!$J$18+IF(parametros_manuales!$H$26="Todos",datos_base!$J$23,0))*parametros_manuales!$L$12+parametros_manuales!$E$26*(datos_base!$J$3+IF(parametros_manuales!$H$26="Todos",datos_base!$J$10,0))*parametros_manuales!$L$100+parametros_manuales!$E$26*(datos_base!$J$19+IF(parametros_manuales!$H$26="Todos",datos_base!$J$24,0))*parametros_manuales!$L$13+parametros_manuales!$F$26*(datos_base!$J$4+IF(parametros_manuales!$H$26="Todos",datos_base!$J$11,0))*parametros_manuales!$L$105+parametros_manuales!$F$26*(datos_base!$J$20+IF(parametros_manuales!$H$26="Todos",datos_base!$J$25,0))*parametros_manuales!$L$14+parametros_manuales!$G$26*(datos_base!$J$5+IF(parametros_manuales!$H$26="Todos",datos_base!$J$12,0))*parametros_manuales!$L$110+parametros_manuales!$G$26*(datos_base!$J$21+IF(parametros_manuales!$H$26="Todos",datos_base!$J$26,0))*parametros_manuales!$L$15)*parametros_manuales!$I$26*parametros_manuales!$J$26</f>
        <v>6365.46667623</v>
      </c>
      <c r="M225" s="9" t="n">
        <f aca="false">(parametros_manuales!$D$26*(datos_base!$J$2+IF(parametros_manuales!$H$26="Todos",datos_base!$J$9,0))*parametros_manuales!$M$95+parametros_manuales!$D$26*(datos_base!$J$18+IF(parametros_manuales!$H$26="Todos",datos_base!$J$23,0))*parametros_manuales!$M$12+parametros_manuales!$E$26*(datos_base!$J$3+IF(parametros_manuales!$H$26="Todos",datos_base!$J$10,0))*parametros_manuales!$M$100+parametros_manuales!$E$26*(datos_base!$J$19+IF(parametros_manuales!$H$26="Todos",datos_base!$J$24,0))*parametros_manuales!$M$13+parametros_manuales!$F$26*(datos_base!$J$4+IF(parametros_manuales!$H$26="Todos",datos_base!$J$11,0))*parametros_manuales!$M$105+parametros_manuales!$F$26*(datos_base!$J$20+IF(parametros_manuales!$H$26="Todos",datos_base!$J$25,0))*parametros_manuales!$M$14+parametros_manuales!$G$26*(datos_base!$J$5+IF(parametros_manuales!$H$26="Todos",datos_base!$J$12,0))*parametros_manuales!$M$110+parametros_manuales!$G$26*(datos_base!$J$21+IF(parametros_manuales!$H$26="Todos",datos_base!$J$26,0))*parametros_manuales!$M$15)*parametros_manuales!$I$26*parametros_manuales!$J$26</f>
        <v>6372.84907623</v>
      </c>
      <c r="N225" s="9" t="n">
        <f aca="false">SUM(B225:M225)</f>
        <v>70768.420847</v>
      </c>
      <c r="O225" s="9" t="n">
        <f aca="false">MAX(B225:M225)</f>
        <v>6372.84907623</v>
      </c>
      <c r="P225" s="44" t="n">
        <f aca="false">O225/(parametros_manuales!$B$7)</f>
        <v>42.4856605082</v>
      </c>
      <c r="Q225" s="8" t="str">
        <f aca="false">IF(O225=0,"-",INDEX($B$217:$M$217,MATCH(O225,B225:M225,0)))</f>
        <v>Dic</v>
      </c>
    </row>
    <row r="226" customFormat="false" ht="14.25" hidden="false" customHeight="true" outlineLevel="0" collapsed="false">
      <c r="A226" s="8" t="str">
        <f aca="false">parametros_manuales!$B$27</f>
        <v>Soldadura longitudinal</v>
      </c>
      <c r="B226" s="9" t="n">
        <f aca="false">(parametros_manuales!$D$27*(datos_base!$J$2+IF(parametros_manuales!$H$27="Todos",datos_base!$J$9,0))*parametros_manuales!$B$95+parametros_manuales!$D$27*(datos_base!$J$18+IF(parametros_manuales!$H$27="Todos",datos_base!$J$23,0))*parametros_manuales!$B$12+parametros_manuales!$E$27*(datos_base!$J$3+IF(parametros_manuales!$H$27="Todos",datos_base!$J$10,0))*parametros_manuales!$B$100+parametros_manuales!$E$27*(datos_base!$J$19+IF(parametros_manuales!$H$27="Todos",datos_base!$J$24,0))*parametros_manuales!$B$13+parametros_manuales!$F$27*(datos_base!$J$4+IF(parametros_manuales!$H$27="Todos",datos_base!$J$11,0))*parametros_manuales!$B$105+parametros_manuales!$F$27*(datos_base!$J$20+IF(parametros_manuales!$H$27="Todos",datos_base!$J$25,0))*parametros_manuales!$B$14+parametros_manuales!$G$27*(datos_base!$J$5+IF(parametros_manuales!$H$27="Todos",datos_base!$J$12,0))*parametros_manuales!$B$110+parametros_manuales!$G$27*(datos_base!$J$21+IF(parametros_manuales!$H$27="Todos",datos_base!$J$26,0))*parametros_manuales!$B$15)*parametros_manuales!$I$27*parametros_manuales!$J$27</f>
        <v>6371.00347623</v>
      </c>
      <c r="C226" s="9" t="n">
        <f aca="false">(parametros_manuales!$D$27*(datos_base!$J$2+IF(parametros_manuales!$H$27="Todos",datos_base!$J$9,0))*parametros_manuales!$C$95+parametros_manuales!$D$27*(datos_base!$J$18+IF(parametros_manuales!$H$27="Todos",datos_base!$J$23,0))*parametros_manuales!$C$12+parametros_manuales!$E$27*(datos_base!$J$3+IF(parametros_manuales!$H$27="Todos",datos_base!$J$10,0))*parametros_manuales!$C$100+parametros_manuales!$E$27*(datos_base!$J$19+IF(parametros_manuales!$H$27="Todos",datos_base!$J$24,0))*parametros_manuales!$C$13+parametros_manuales!$F$27*(datos_base!$J$4+IF(parametros_manuales!$H$27="Todos",datos_base!$J$11,0))*parametros_manuales!$C$105+parametros_manuales!$F$27*(datos_base!$J$20+IF(parametros_manuales!$H$27="Todos",datos_base!$J$25,0))*parametros_manuales!$C$14+parametros_manuales!$G$27*(datos_base!$J$5+IF(parametros_manuales!$H$27="Todos",datos_base!$J$12,0))*parametros_manuales!$C$110+parametros_manuales!$G$27*(datos_base!$J$21+IF(parametros_manuales!$H$27="Todos",datos_base!$J$26,0))*parametros_manuales!$C$15)*parametros_manuales!$I$27*parametros_manuales!$J$27</f>
        <v>5661.47366776</v>
      </c>
      <c r="D226" s="9" t="n">
        <f aca="false">(parametros_manuales!$D$27*(datos_base!$J$2+IF(parametros_manuales!$H$27="Todos",datos_base!$J$9,0))*parametros_manuales!$D$95+parametros_manuales!$D$27*(datos_base!$J$18+IF(parametros_manuales!$H$27="Todos",datos_base!$J$23,0))*parametros_manuales!$D$12+parametros_manuales!$E$27*(datos_base!$J$3+IF(parametros_manuales!$H$27="Todos",datos_base!$J$10,0))*parametros_manuales!$D$100+parametros_manuales!$E$27*(datos_base!$J$19+IF(parametros_manuales!$H$27="Todos",datos_base!$J$24,0))*parametros_manuales!$D$13+parametros_manuales!$F$27*(datos_base!$J$4+IF(parametros_manuales!$H$27="Todos",datos_base!$J$11,0))*parametros_manuales!$D$105+parametros_manuales!$F$27*(datos_base!$J$20+IF(parametros_manuales!$H$27="Todos",datos_base!$J$25,0))*parametros_manuales!$D$14+parametros_manuales!$G$27*(datos_base!$J$5+IF(parametros_manuales!$H$27="Todos",datos_base!$J$12,0))*parametros_manuales!$D$110+parametros_manuales!$G$27*(datos_base!$J$21+IF(parametros_manuales!$H$27="Todos",datos_base!$J$26,0))*parametros_manuales!$D$15)*parametros_manuales!$I$27*parametros_manuales!$J$27</f>
        <v>6015.315771995</v>
      </c>
      <c r="E226" s="9" t="n">
        <f aca="false">(parametros_manuales!$D$27*(datos_base!$J$2+IF(parametros_manuales!$H$27="Todos",datos_base!$J$9,0))*parametros_manuales!$E$95+parametros_manuales!$D$27*(datos_base!$J$18+IF(parametros_manuales!$H$27="Todos",datos_base!$J$23,0))*parametros_manuales!$E$12+parametros_manuales!$E$27*(datos_base!$J$3+IF(parametros_manuales!$H$27="Todos",datos_base!$J$10,0))*parametros_manuales!$E$100+parametros_manuales!$E$27*(datos_base!$J$19+IF(parametros_manuales!$H$27="Todos",datos_base!$J$24,0))*parametros_manuales!$E$13+parametros_manuales!$F$27*(datos_base!$J$4+IF(parametros_manuales!$H$27="Todos",datos_base!$J$11,0))*parametros_manuales!$E$105+parametros_manuales!$F$27*(datos_base!$J$20+IF(parametros_manuales!$H$27="Todos",datos_base!$J$25,0))*parametros_manuales!$E$14+parametros_manuales!$G$27*(datos_base!$J$5+IF(parametros_manuales!$H$27="Todos",datos_base!$J$12,0))*parametros_manuales!$E$110+parametros_manuales!$G$27*(datos_base!$J$21+IF(parametros_manuales!$H$27="Todos",datos_base!$J$26,0))*parametros_manuales!$E$15)*parametros_manuales!$I$27*parametros_manuales!$J$27</f>
        <v>6015.315771995</v>
      </c>
      <c r="F226" s="9" t="n">
        <f aca="false">(parametros_manuales!$D$27*(datos_base!$J$2+IF(parametros_manuales!$H$27="Todos",datos_base!$J$9,0))*parametros_manuales!$F$95+parametros_manuales!$D$27*(datos_base!$J$18+IF(parametros_manuales!$H$27="Todos",datos_base!$J$23,0))*parametros_manuales!$F$12+parametros_manuales!$E$27*(datos_base!$J$3+IF(parametros_manuales!$H$27="Todos",datos_base!$J$10,0))*parametros_manuales!$F$100+parametros_manuales!$E$27*(datos_base!$J$19+IF(parametros_manuales!$H$27="Todos",datos_base!$J$24,0))*parametros_manuales!$F$13+parametros_manuales!$F$27*(datos_base!$J$4+IF(parametros_manuales!$H$27="Todos",datos_base!$J$11,0))*parametros_manuales!$F$105+parametros_manuales!$F$27*(datos_base!$J$20+IF(parametros_manuales!$H$27="Todos",datos_base!$J$25,0))*parametros_manuales!$F$14+parametros_manuales!$G$27*(datos_base!$J$5+IF(parametros_manuales!$H$27="Todos",datos_base!$J$12,0))*parametros_manuales!$F$110+parametros_manuales!$G$27*(datos_base!$J$21+IF(parametros_manuales!$H$27="Todos",datos_base!$J$26,0))*parametros_manuales!$F$15)*parametros_manuales!$I$27*parametros_manuales!$J$27</f>
        <v>5661.47366776</v>
      </c>
      <c r="G226" s="9" t="n">
        <f aca="false">(parametros_manuales!$D$27*(datos_base!$J$2+IF(parametros_manuales!$H$27="Todos",datos_base!$J$9,0))*parametros_manuales!$G$95+parametros_manuales!$D$27*(datos_base!$J$18+IF(parametros_manuales!$H$27="Todos",datos_base!$J$23,0))*parametros_manuales!$G$12+parametros_manuales!$E$27*(datos_base!$J$3+IF(parametros_manuales!$H$27="Todos",datos_base!$J$10,0))*parametros_manuales!$G$100+parametros_manuales!$E$27*(datos_base!$J$19+IF(parametros_manuales!$H$27="Todos",datos_base!$J$24,0))*parametros_manuales!$G$13+parametros_manuales!$F$27*(datos_base!$J$4+IF(parametros_manuales!$H$27="Todos",datos_base!$J$11,0))*parametros_manuales!$G$105+parametros_manuales!$F$27*(datos_base!$J$20+IF(parametros_manuales!$H$27="Todos",datos_base!$J$25,0))*parametros_manuales!$G$14+parametros_manuales!$G$27*(datos_base!$J$5+IF(parametros_manuales!$H$27="Todos",datos_base!$J$12,0))*parametros_manuales!$G$110+parametros_manuales!$G$27*(datos_base!$J$21+IF(parametros_manuales!$H$27="Todos",datos_base!$J$26,0))*parametros_manuales!$G$15)*parametros_manuales!$I$27*parametros_manuales!$J$27</f>
        <v>5307.631563525</v>
      </c>
      <c r="H226" s="9" t="n">
        <f aca="false">(parametros_manuales!$D$27*(datos_base!$J$2+IF(parametros_manuales!$H$27="Todos",datos_base!$J$9,0))*parametros_manuales!$H$95+parametros_manuales!$D$27*(datos_base!$J$18+IF(parametros_manuales!$H$27="Todos",datos_base!$J$23,0))*parametros_manuales!$H$12+parametros_manuales!$E$27*(datos_base!$J$3+IF(parametros_manuales!$H$27="Todos",datos_base!$J$10,0))*parametros_manuales!$H$100+parametros_manuales!$E$27*(datos_base!$J$19+IF(parametros_manuales!$H$27="Todos",datos_base!$J$24,0))*parametros_manuales!$H$13+parametros_manuales!$F$27*(datos_base!$J$4+IF(parametros_manuales!$H$27="Todos",datos_base!$J$11,0))*parametros_manuales!$H$105+parametros_manuales!$F$27*(datos_base!$J$20+IF(parametros_manuales!$H$27="Todos",datos_base!$J$25,0))*parametros_manuales!$H$14+parametros_manuales!$G$27*(datos_base!$J$5+IF(parametros_manuales!$H$27="Todos",datos_base!$J$12,0))*parametros_manuales!$H$110+parametros_manuales!$G$27*(datos_base!$J$21+IF(parametros_manuales!$H$27="Todos",datos_base!$J$26,0))*parametros_manuales!$H$15)*parametros_manuales!$I$27*parametros_manuales!$J$27</f>
        <v>5661.47366776</v>
      </c>
      <c r="I226" s="9" t="n">
        <f aca="false">(parametros_manuales!$D$27*(datos_base!$J$2+IF(parametros_manuales!$H$27="Todos",datos_base!$J$9,0))*parametros_manuales!$I$95+parametros_manuales!$D$27*(datos_base!$J$18+IF(parametros_manuales!$H$27="Todos",datos_base!$J$23,0))*parametros_manuales!$I$12+parametros_manuales!$E$27*(datos_base!$J$3+IF(parametros_manuales!$H$27="Todos",datos_base!$J$10,0))*parametros_manuales!$I$100+parametros_manuales!$E$27*(datos_base!$J$19+IF(parametros_manuales!$H$27="Todos",datos_base!$J$24,0))*parametros_manuales!$I$13+parametros_manuales!$F$27*(datos_base!$J$4+IF(parametros_manuales!$H$27="Todos",datos_base!$J$11,0))*parametros_manuales!$I$105+parametros_manuales!$F$27*(datos_base!$J$20+IF(parametros_manuales!$H$27="Todos",datos_base!$J$25,0))*parametros_manuales!$I$14+parametros_manuales!$G$27*(datos_base!$J$5+IF(parametros_manuales!$H$27="Todos",datos_base!$J$12,0))*parametros_manuales!$I$110+parametros_manuales!$G$27*(datos_base!$J$21+IF(parametros_manuales!$H$27="Todos",datos_base!$J$26,0))*parametros_manuales!$I$15)*parametros_manuales!$I$27*parametros_manuales!$J$27</f>
        <v>5661.47366776</v>
      </c>
      <c r="J226" s="9" t="n">
        <f aca="false">(parametros_manuales!$D$27*(datos_base!$J$2+IF(parametros_manuales!$H$27="Todos",datos_base!$J$9,0))*parametros_manuales!$J$95+parametros_manuales!$D$27*(datos_base!$J$18+IF(parametros_manuales!$H$27="Todos",datos_base!$J$23,0))*parametros_manuales!$J$12+parametros_manuales!$E$27*(datos_base!$J$3+IF(parametros_manuales!$H$27="Todos",datos_base!$J$10,0))*parametros_manuales!$J$100+parametros_manuales!$E$27*(datos_base!$J$19+IF(parametros_manuales!$H$27="Todos",datos_base!$J$24,0))*parametros_manuales!$J$13+parametros_manuales!$F$27*(datos_base!$J$4+IF(parametros_manuales!$H$27="Todos",datos_base!$J$11,0))*parametros_manuales!$J$105+parametros_manuales!$F$27*(datos_base!$J$20+IF(parametros_manuales!$H$27="Todos",datos_base!$J$25,0))*parametros_manuales!$J$14+parametros_manuales!$G$27*(datos_base!$J$5+IF(parametros_manuales!$H$27="Todos",datos_base!$J$12,0))*parametros_manuales!$J$110+parametros_manuales!$G$27*(datos_base!$J$21+IF(parametros_manuales!$H$27="Todos",datos_base!$J$26,0))*parametros_manuales!$J$15)*parametros_manuales!$I$27*parametros_manuales!$J$27</f>
        <v>5661.47366776</v>
      </c>
      <c r="K226" s="9" t="n">
        <f aca="false">(parametros_manuales!$D$27*(datos_base!$J$2+IF(parametros_manuales!$H$27="Todos",datos_base!$J$9,0))*parametros_manuales!$K$95+parametros_manuales!$D$27*(datos_base!$J$18+IF(parametros_manuales!$H$27="Todos",datos_base!$J$23,0))*parametros_manuales!$K$12+parametros_manuales!$E$27*(datos_base!$J$3+IF(parametros_manuales!$H$27="Todos",datos_base!$J$10,0))*parametros_manuales!$K$100+parametros_manuales!$E$27*(datos_base!$J$19+IF(parametros_manuales!$H$27="Todos",datos_base!$J$24,0))*parametros_manuales!$K$13+parametros_manuales!$F$27*(datos_base!$J$4+IF(parametros_manuales!$H$27="Todos",datos_base!$J$11,0))*parametros_manuales!$K$105+parametros_manuales!$F$27*(datos_base!$J$20+IF(parametros_manuales!$H$27="Todos",datos_base!$J$25,0))*parametros_manuales!$K$14+parametros_manuales!$G$27*(datos_base!$J$5+IF(parametros_manuales!$H$27="Todos",datos_base!$J$12,0))*parametros_manuales!$K$110+parametros_manuales!$G$27*(datos_base!$J$21+IF(parametros_manuales!$H$27="Todos",datos_base!$J$26,0))*parametros_manuales!$K$15)*parametros_manuales!$I$27*parametros_manuales!$J$27</f>
        <v>6013.470171995</v>
      </c>
      <c r="L226" s="9" t="n">
        <f aca="false">(parametros_manuales!$D$27*(datos_base!$J$2+IF(parametros_manuales!$H$27="Todos",datos_base!$J$9,0))*parametros_manuales!$L$95+parametros_manuales!$D$27*(datos_base!$J$18+IF(parametros_manuales!$H$27="Todos",datos_base!$J$23,0))*parametros_manuales!$L$12+parametros_manuales!$E$27*(datos_base!$J$3+IF(parametros_manuales!$H$27="Todos",datos_base!$J$10,0))*parametros_manuales!$L$100+parametros_manuales!$E$27*(datos_base!$J$19+IF(parametros_manuales!$H$27="Todos",datos_base!$J$24,0))*parametros_manuales!$L$13+parametros_manuales!$F$27*(datos_base!$J$4+IF(parametros_manuales!$H$27="Todos",datos_base!$J$11,0))*parametros_manuales!$L$105+parametros_manuales!$F$27*(datos_base!$J$20+IF(parametros_manuales!$H$27="Todos",datos_base!$J$25,0))*parametros_manuales!$L$14+parametros_manuales!$G$27*(datos_base!$J$5+IF(parametros_manuales!$H$27="Todos",datos_base!$J$12,0))*parametros_manuales!$L$110+parametros_manuales!$G$27*(datos_base!$J$21+IF(parametros_manuales!$H$27="Todos",datos_base!$J$26,0))*parametros_manuales!$L$15)*parametros_manuales!$I$27*parametros_manuales!$J$27</f>
        <v>6365.46667623</v>
      </c>
      <c r="M226" s="9" t="n">
        <f aca="false">(parametros_manuales!$D$27*(datos_base!$J$2+IF(parametros_manuales!$H$27="Todos",datos_base!$J$9,0))*parametros_manuales!$M$95+parametros_manuales!$D$27*(datos_base!$J$18+IF(parametros_manuales!$H$27="Todos",datos_base!$J$23,0))*parametros_manuales!$M$12+parametros_manuales!$E$27*(datos_base!$J$3+IF(parametros_manuales!$H$27="Todos",datos_base!$J$10,0))*parametros_manuales!$M$100+parametros_manuales!$E$27*(datos_base!$J$19+IF(parametros_manuales!$H$27="Todos",datos_base!$J$24,0))*parametros_manuales!$M$13+parametros_manuales!$F$27*(datos_base!$J$4+IF(parametros_manuales!$H$27="Todos",datos_base!$J$11,0))*parametros_manuales!$M$105+parametros_manuales!$F$27*(datos_base!$J$20+IF(parametros_manuales!$H$27="Todos",datos_base!$J$25,0))*parametros_manuales!$M$14+parametros_manuales!$G$27*(datos_base!$J$5+IF(parametros_manuales!$H$27="Todos",datos_base!$J$12,0))*parametros_manuales!$M$110+parametros_manuales!$G$27*(datos_base!$J$21+IF(parametros_manuales!$H$27="Todos",datos_base!$J$26,0))*parametros_manuales!$M$15)*parametros_manuales!$I$27*parametros_manuales!$J$27</f>
        <v>6372.84907623</v>
      </c>
      <c r="N226" s="9" t="n">
        <f aca="false">SUM(B226:M226)</f>
        <v>70768.420847</v>
      </c>
      <c r="O226" s="9" t="n">
        <f aca="false">MAX(B226:M226)</f>
        <v>6372.84907623</v>
      </c>
      <c r="P226" s="44" t="n">
        <f aca="false">O226/(parametros_manuales!$B$7)</f>
        <v>42.4856605082</v>
      </c>
      <c r="Q226" s="8" t="str">
        <f aca="false">IF(O226=0,"-",INDEX($B$217:$M$217,MATCH(O226,B226:M226,0)))</f>
        <v>Dic</v>
      </c>
    </row>
    <row r="227" customFormat="false" ht="14.25" hidden="false" customHeight="true" outlineLevel="0" collapsed="false">
      <c r="A227" s="8" t="str">
        <f aca="false">parametros_manuales!$B$28</f>
        <v>Encastre de fondo</v>
      </c>
      <c r="B227" s="9" t="n">
        <f aca="false">(parametros_manuales!$D$28*(datos_base!$J$2+IF(parametros_manuales!$H$28="Todos",datos_base!$J$9,0))*parametros_manuales!$B$95+parametros_manuales!$D$28*(datos_base!$J$18+IF(parametros_manuales!$H$28="Todos",datos_base!$J$23,0))*parametros_manuales!$B$12+parametros_manuales!$E$28*(datos_base!$J$3+IF(parametros_manuales!$H$28="Todos",datos_base!$J$10,0))*parametros_manuales!$B$100+parametros_manuales!$E$28*(datos_base!$J$19+IF(parametros_manuales!$H$28="Todos",datos_base!$J$24,0))*parametros_manuales!$B$13+parametros_manuales!$F$28*(datos_base!$J$4+IF(parametros_manuales!$H$28="Todos",datos_base!$J$11,0))*parametros_manuales!$B$105+parametros_manuales!$F$28*(datos_base!$J$20+IF(parametros_manuales!$H$28="Todos",datos_base!$J$25,0))*parametros_manuales!$B$14+parametros_manuales!$G$28*(datos_base!$J$5+IF(parametros_manuales!$H$28="Todos",datos_base!$J$12,0))*parametros_manuales!$B$110+parametros_manuales!$G$28*(datos_base!$J$21+IF(parametros_manuales!$H$28="Todos",datos_base!$J$26,0))*parametros_manuales!$B$15)*parametros_manuales!$I$28*parametros_manuales!$J$28</f>
        <v>22156.38572883</v>
      </c>
      <c r="C227" s="9" t="n">
        <f aca="false">(parametros_manuales!$D$28*(datos_base!$J$2+IF(parametros_manuales!$H$28="Todos",datos_base!$J$9,0))*parametros_manuales!$C$95+parametros_manuales!$D$28*(datos_base!$J$18+IF(parametros_manuales!$H$28="Todos",datos_base!$J$23,0))*parametros_manuales!$C$12+parametros_manuales!$E$28*(datos_base!$J$3+IF(parametros_manuales!$H$28="Todos",datos_base!$J$10,0))*parametros_manuales!$C$100+parametros_manuales!$E$28*(datos_base!$J$19+IF(parametros_manuales!$H$28="Todos",datos_base!$J$24,0))*parametros_manuales!$C$13+parametros_manuales!$F$28*(datos_base!$J$4+IF(parametros_manuales!$H$28="Todos",datos_base!$J$11,0))*parametros_manuales!$C$105+parametros_manuales!$F$28*(datos_base!$J$20+IF(parametros_manuales!$H$28="Todos",datos_base!$J$25,0))*parametros_manuales!$C$14+parametros_manuales!$G$28*(datos_base!$J$5+IF(parametros_manuales!$H$28="Todos",datos_base!$J$12,0))*parametros_manuales!$C$110+parametros_manuales!$G$28*(datos_base!$J$21+IF(parametros_manuales!$H$28="Todos",datos_base!$J$26,0))*parametros_manuales!$C$15)*parametros_manuales!$I$28*parametros_manuales!$J$28</f>
        <v>21446.85592036</v>
      </c>
      <c r="D227" s="9" t="n">
        <f aca="false">(parametros_manuales!$D$28*(datos_base!$J$2+IF(parametros_manuales!$H$28="Todos",datos_base!$J$9,0))*parametros_manuales!$D$95+parametros_manuales!$D$28*(datos_base!$J$18+IF(parametros_manuales!$H$28="Todos",datos_base!$J$23,0))*parametros_manuales!$D$12+parametros_manuales!$E$28*(datos_base!$J$3+IF(parametros_manuales!$H$28="Todos",datos_base!$J$10,0))*parametros_manuales!$D$100+parametros_manuales!$E$28*(datos_base!$J$19+IF(parametros_manuales!$H$28="Todos",datos_base!$J$24,0))*parametros_manuales!$D$13+parametros_manuales!$F$28*(datos_base!$J$4+IF(parametros_manuales!$H$28="Todos",datos_base!$J$11,0))*parametros_manuales!$D$105+parametros_manuales!$F$28*(datos_base!$J$20+IF(parametros_manuales!$H$28="Todos",datos_base!$J$25,0))*parametros_manuales!$D$14+parametros_manuales!$G$28*(datos_base!$J$5+IF(parametros_manuales!$H$28="Todos",datos_base!$J$12,0))*parametros_manuales!$D$110+parametros_manuales!$G$28*(datos_base!$J$21+IF(parametros_manuales!$H$28="Todos",datos_base!$J$26,0))*parametros_manuales!$D$15)*parametros_manuales!$I$28*parametros_manuales!$J$28</f>
        <v>20046.766663195</v>
      </c>
      <c r="E227" s="9" t="n">
        <f aca="false">(parametros_manuales!$D$28*(datos_base!$J$2+IF(parametros_manuales!$H$28="Todos",datos_base!$J$9,0))*parametros_manuales!$E$95+parametros_manuales!$D$28*(datos_base!$J$18+IF(parametros_manuales!$H$28="Todos",datos_base!$J$23,0))*parametros_manuales!$E$12+parametros_manuales!$E$28*(datos_base!$J$3+IF(parametros_manuales!$H$28="Todos",datos_base!$J$10,0))*parametros_manuales!$E$100+parametros_manuales!$E$28*(datos_base!$J$19+IF(parametros_manuales!$H$28="Todos",datos_base!$J$24,0))*parametros_manuales!$E$13+parametros_manuales!$F$28*(datos_base!$J$4+IF(parametros_manuales!$H$28="Todos",datos_base!$J$11,0))*parametros_manuales!$E$105+parametros_manuales!$F$28*(datos_base!$J$20+IF(parametros_manuales!$H$28="Todos",datos_base!$J$25,0))*parametros_manuales!$E$14+parametros_manuales!$G$28*(datos_base!$J$5+IF(parametros_manuales!$H$28="Todos",datos_base!$J$12,0))*parametros_manuales!$E$110+parametros_manuales!$G$28*(datos_base!$J$21+IF(parametros_manuales!$H$28="Todos",datos_base!$J$26,0))*parametros_manuales!$E$15)*parametros_manuales!$I$28*parametros_manuales!$J$28</f>
        <v>19169.800982495</v>
      </c>
      <c r="F227" s="9" t="n">
        <f aca="false">(parametros_manuales!$D$28*(datos_base!$J$2+IF(parametros_manuales!$H$28="Todos",datos_base!$J$9,0))*parametros_manuales!$F$95+parametros_manuales!$D$28*(datos_base!$J$18+IF(parametros_manuales!$H$28="Todos",datos_base!$J$23,0))*parametros_manuales!$F$12+parametros_manuales!$E$28*(datos_base!$J$3+IF(parametros_manuales!$H$28="Todos",datos_base!$J$10,0))*parametros_manuales!$F$100+parametros_manuales!$E$28*(datos_base!$J$19+IF(parametros_manuales!$H$28="Todos",datos_base!$J$24,0))*parametros_manuales!$F$13+parametros_manuales!$F$28*(datos_base!$J$4+IF(parametros_manuales!$H$28="Todos",datos_base!$J$11,0))*parametros_manuales!$F$105+parametros_manuales!$F$28*(datos_base!$J$20+IF(parametros_manuales!$H$28="Todos",datos_base!$J$25,0))*parametros_manuales!$F$14+parametros_manuales!$G$28*(datos_base!$J$5+IF(parametros_manuales!$H$28="Todos",datos_base!$J$12,0))*parametros_manuales!$F$110+parametros_manuales!$G$28*(datos_base!$J$21+IF(parametros_manuales!$H$28="Todos",datos_base!$J$26,0))*parametros_manuales!$F$15)*parametros_manuales!$I$28*parametros_manuales!$J$28</f>
        <v>17938.99319756</v>
      </c>
      <c r="G227" s="9" t="n">
        <f aca="false">(parametros_manuales!$D$28*(datos_base!$J$2+IF(parametros_manuales!$H$28="Todos",datos_base!$J$9,0))*parametros_manuales!$G$95+parametros_manuales!$D$28*(datos_base!$J$18+IF(parametros_manuales!$H$28="Todos",datos_base!$J$23,0))*parametros_manuales!$G$12+parametros_manuales!$E$28*(datos_base!$J$3+IF(parametros_manuales!$H$28="Todos",datos_base!$J$10,0))*parametros_manuales!$G$100+parametros_manuales!$E$28*(datos_base!$J$19+IF(parametros_manuales!$H$28="Todos",datos_base!$J$24,0))*parametros_manuales!$G$13+parametros_manuales!$F$28*(datos_base!$J$4+IF(parametros_manuales!$H$28="Todos",datos_base!$J$11,0))*parametros_manuales!$G$105+parametros_manuales!$F$28*(datos_base!$J$20+IF(parametros_manuales!$H$28="Todos",datos_base!$J$25,0))*parametros_manuales!$G$14+parametros_manuales!$G$28*(datos_base!$J$5+IF(parametros_manuales!$H$28="Todos",datos_base!$J$12,0))*parametros_manuales!$G$110+parametros_manuales!$G$28*(datos_base!$J$21+IF(parametros_manuales!$H$28="Todos",datos_base!$J$26,0))*parametros_manuales!$G$15)*parametros_manuales!$I$28*parametros_manuales!$J$28</f>
        <v>17585.151093325</v>
      </c>
      <c r="H227" s="9" t="n">
        <f aca="false">(parametros_manuales!$D$28*(datos_base!$J$2+IF(parametros_manuales!$H$28="Todos",datos_base!$J$9,0))*parametros_manuales!$H$95+parametros_manuales!$D$28*(datos_base!$J$18+IF(parametros_manuales!$H$28="Todos",datos_base!$J$23,0))*parametros_manuales!$H$12+parametros_manuales!$E$28*(datos_base!$J$3+IF(parametros_manuales!$H$28="Todos",datos_base!$J$10,0))*parametros_manuales!$H$100+parametros_manuales!$E$28*(datos_base!$J$19+IF(parametros_manuales!$H$28="Todos",datos_base!$J$24,0))*parametros_manuales!$H$13+parametros_manuales!$F$28*(datos_base!$J$4+IF(parametros_manuales!$H$28="Todos",datos_base!$J$11,0))*parametros_manuales!$H$105+parametros_manuales!$F$28*(datos_base!$J$20+IF(parametros_manuales!$H$28="Todos",datos_base!$J$25,0))*parametros_manuales!$H$14+parametros_manuales!$G$28*(datos_base!$J$5+IF(parametros_manuales!$H$28="Todos",datos_base!$J$12,0))*parametros_manuales!$H$110+parametros_manuales!$G$28*(datos_base!$J$21+IF(parametros_manuales!$H$28="Todos",datos_base!$J$26,0))*parametros_manuales!$H$15)*parametros_manuales!$I$28*parametros_manuales!$J$28</f>
        <v>18815.95887826</v>
      </c>
      <c r="I227" s="9" t="n">
        <f aca="false">(parametros_manuales!$D$28*(datos_base!$J$2+IF(parametros_manuales!$H$28="Todos",datos_base!$J$9,0))*parametros_manuales!$I$95+parametros_manuales!$D$28*(datos_base!$J$18+IF(parametros_manuales!$H$28="Todos",datos_base!$J$23,0))*parametros_manuales!$I$12+parametros_manuales!$E$28*(datos_base!$J$3+IF(parametros_manuales!$H$28="Todos",datos_base!$J$10,0))*parametros_manuales!$I$100+parametros_manuales!$E$28*(datos_base!$J$19+IF(parametros_manuales!$H$28="Todos",datos_base!$J$24,0))*parametros_manuales!$I$13+parametros_manuales!$F$28*(datos_base!$J$4+IF(parametros_manuales!$H$28="Todos",datos_base!$J$11,0))*parametros_manuales!$I$105+parametros_manuales!$F$28*(datos_base!$J$20+IF(parametros_manuales!$H$28="Todos",datos_base!$J$25,0))*parametros_manuales!$I$14+parametros_manuales!$G$28*(datos_base!$J$5+IF(parametros_manuales!$H$28="Todos",datos_base!$J$12,0))*parametros_manuales!$I$110+parametros_manuales!$G$28*(datos_base!$J$21+IF(parametros_manuales!$H$28="Todos",datos_base!$J$26,0))*parametros_manuales!$I$15)*parametros_manuales!$I$28*parametros_manuales!$J$28</f>
        <v>21446.85592036</v>
      </c>
      <c r="J227" s="9" t="n">
        <f aca="false">(parametros_manuales!$D$28*(datos_base!$J$2+IF(parametros_manuales!$H$28="Todos",datos_base!$J$9,0))*parametros_manuales!$J$95+parametros_manuales!$D$28*(datos_base!$J$18+IF(parametros_manuales!$H$28="Todos",datos_base!$J$23,0))*parametros_manuales!$J$12+parametros_manuales!$E$28*(datos_base!$J$3+IF(parametros_manuales!$H$28="Todos",datos_base!$J$10,0))*parametros_manuales!$J$100+parametros_manuales!$E$28*(datos_base!$J$19+IF(parametros_manuales!$H$28="Todos",datos_base!$J$24,0))*parametros_manuales!$J$13+parametros_manuales!$F$28*(datos_base!$J$4+IF(parametros_manuales!$H$28="Todos",datos_base!$J$11,0))*parametros_manuales!$J$105+parametros_manuales!$F$28*(datos_base!$J$20+IF(parametros_manuales!$H$28="Todos",datos_base!$J$25,0))*parametros_manuales!$J$14+parametros_manuales!$G$28*(datos_base!$J$5+IF(parametros_manuales!$H$28="Todos",datos_base!$J$12,0))*parametros_manuales!$J$110+parametros_manuales!$G$28*(datos_base!$J$21+IF(parametros_manuales!$H$28="Todos",datos_base!$J$26,0))*parametros_manuales!$J$15)*parametros_manuales!$I$28*parametros_manuales!$J$28</f>
        <v>21446.85592036</v>
      </c>
      <c r="K227" s="9" t="n">
        <f aca="false">(parametros_manuales!$D$28*(datos_base!$J$2+IF(parametros_manuales!$H$28="Todos",datos_base!$J$9,0))*parametros_manuales!$K$95+parametros_manuales!$D$28*(datos_base!$J$18+IF(parametros_manuales!$H$28="Todos",datos_base!$J$23,0))*parametros_manuales!$K$12+parametros_manuales!$E$28*(datos_base!$J$3+IF(parametros_manuales!$H$28="Todos",datos_base!$J$10,0))*parametros_manuales!$K$100+parametros_manuales!$E$28*(datos_base!$J$19+IF(parametros_manuales!$H$28="Todos",datos_base!$J$24,0))*parametros_manuales!$K$13+parametros_manuales!$F$28*(datos_base!$J$4+IF(parametros_manuales!$H$28="Todos",datos_base!$J$11,0))*parametros_manuales!$K$105+parametros_manuales!$F$28*(datos_base!$J$20+IF(parametros_manuales!$H$28="Todos",datos_base!$J$25,0))*parametros_manuales!$K$14+parametros_manuales!$G$28*(datos_base!$J$5+IF(parametros_manuales!$H$28="Todos",datos_base!$J$12,0))*parametros_manuales!$K$110+parametros_manuales!$G$28*(datos_base!$J$21+IF(parametros_manuales!$H$28="Todos",datos_base!$J$26,0))*parametros_manuales!$K$15)*parametros_manuales!$I$28*parametros_manuales!$J$28</f>
        <v>21798.852424595</v>
      </c>
      <c r="L227" s="9" t="n">
        <f aca="false">(parametros_manuales!$D$28*(datos_base!$J$2+IF(parametros_manuales!$H$28="Todos",datos_base!$J$9,0))*parametros_manuales!$L$95+parametros_manuales!$D$28*(datos_base!$J$18+IF(parametros_manuales!$H$28="Todos",datos_base!$J$23,0))*parametros_manuales!$L$12+parametros_manuales!$E$28*(datos_base!$J$3+IF(parametros_manuales!$H$28="Todos",datos_base!$J$10,0))*parametros_manuales!$L$100+parametros_manuales!$E$28*(datos_base!$J$19+IF(parametros_manuales!$H$28="Todos",datos_base!$J$24,0))*parametros_manuales!$L$13+parametros_manuales!$F$28*(datos_base!$J$4+IF(parametros_manuales!$H$28="Todos",datos_base!$J$11,0))*parametros_manuales!$L$105+parametros_manuales!$F$28*(datos_base!$J$20+IF(parametros_manuales!$H$28="Todos",datos_base!$J$25,0))*parametros_manuales!$L$14+parametros_manuales!$G$28*(datos_base!$J$5+IF(parametros_manuales!$H$28="Todos",datos_base!$J$12,0))*parametros_manuales!$L$110+parametros_manuales!$G$28*(datos_base!$J$21+IF(parametros_manuales!$H$28="Todos",datos_base!$J$26,0))*parametros_manuales!$L$15)*parametros_manuales!$I$28*parametros_manuales!$J$28</f>
        <v>22150.84892883</v>
      </c>
      <c r="M227" s="9" t="n">
        <f aca="false">(parametros_manuales!$D$28*(datos_base!$J$2+IF(parametros_manuales!$H$28="Todos",datos_base!$J$9,0))*parametros_manuales!$M$95+parametros_manuales!$D$28*(datos_base!$J$18+IF(parametros_manuales!$H$28="Todos",datos_base!$J$23,0))*parametros_manuales!$M$12+parametros_manuales!$E$28*(datos_base!$J$3+IF(parametros_manuales!$H$28="Todos",datos_base!$J$10,0))*parametros_manuales!$M$100+parametros_manuales!$E$28*(datos_base!$J$19+IF(parametros_manuales!$H$28="Todos",datos_base!$J$24,0))*parametros_manuales!$M$13+parametros_manuales!$F$28*(datos_base!$J$4+IF(parametros_manuales!$H$28="Todos",datos_base!$J$11,0))*parametros_manuales!$M$105+parametros_manuales!$F$28*(datos_base!$J$20+IF(parametros_manuales!$H$28="Todos",datos_base!$J$25,0))*parametros_manuales!$M$14+parametros_manuales!$G$28*(datos_base!$J$5+IF(parametros_manuales!$H$28="Todos",datos_base!$J$12,0))*parametros_manuales!$M$110+parametros_manuales!$G$28*(datos_base!$J$21+IF(parametros_manuales!$H$28="Todos",datos_base!$J$26,0))*parametros_manuales!$M$15)*parametros_manuales!$I$28*parametros_manuales!$J$28</f>
        <v>22158.23132883</v>
      </c>
      <c r="N227" s="9" t="n">
        <f aca="false">SUM(B227:M227)</f>
        <v>246161.556987</v>
      </c>
      <c r="O227" s="9" t="n">
        <f aca="false">MAX(B227:M227)</f>
        <v>22158.23132883</v>
      </c>
      <c r="P227" s="44" t="n">
        <f aca="false">O227/(parametros_manuales!$B$7)</f>
        <v>147.7215421922</v>
      </c>
      <c r="Q227" s="8" t="str">
        <f aca="false">IF(O227=0,"-",INDEX($B$217:$M$217,MATCH(O227,B227:M227,0)))</f>
        <v>Dic</v>
      </c>
    </row>
    <row r="228" customFormat="false" ht="14.25" hidden="false" customHeight="true" outlineLevel="0" collapsed="false">
      <c r="A228" s="8" t="str">
        <f aca="false">parametros_manuales!$B$29</f>
        <v>Bordoneado</v>
      </c>
      <c r="B228" s="9" t="n">
        <f aca="false">(parametros_manuales!$D$29*(datos_base!$J$2+IF(parametros_manuales!$H$29="Todos",datos_base!$J$9,0))*parametros_manuales!$B$95+parametros_manuales!$D$29*(datos_base!$J$18+IF(parametros_manuales!$H$29="Todos",datos_base!$J$23,0))*parametros_manuales!$B$12+parametros_manuales!$E$29*(datos_base!$J$3+IF(parametros_manuales!$H$29="Todos",datos_base!$J$10,0))*parametros_manuales!$B$100+parametros_manuales!$E$29*(datos_base!$J$19+IF(parametros_manuales!$H$29="Todos",datos_base!$J$24,0))*parametros_manuales!$B$13+parametros_manuales!$F$29*(datos_base!$J$4+IF(parametros_manuales!$H$29="Todos",datos_base!$J$11,0))*parametros_manuales!$B$105+parametros_manuales!$F$29*(datos_base!$J$20+IF(parametros_manuales!$H$29="Todos",datos_base!$J$25,0))*parametros_manuales!$B$14+parametros_manuales!$G$29*(datos_base!$J$5+IF(parametros_manuales!$H$29="Todos",datos_base!$J$12,0))*parametros_manuales!$B$110+parametros_manuales!$G$29*(datos_base!$J$21+IF(parametros_manuales!$H$29="Todos",datos_base!$J$26,0))*parametros_manuales!$B$15)*parametros_manuales!$I$29*parametros_manuales!$J$29</f>
        <v>22156.38572883</v>
      </c>
      <c r="C228" s="9" t="n">
        <f aca="false">(parametros_manuales!$D$29*(datos_base!$J$2+IF(parametros_manuales!$H$29="Todos",datos_base!$J$9,0))*parametros_manuales!$C$95+parametros_manuales!$D$29*(datos_base!$J$18+IF(parametros_manuales!$H$29="Todos",datos_base!$J$23,0))*parametros_manuales!$C$12+parametros_manuales!$E$29*(datos_base!$J$3+IF(parametros_manuales!$H$29="Todos",datos_base!$J$10,0))*parametros_manuales!$C$100+parametros_manuales!$E$29*(datos_base!$J$19+IF(parametros_manuales!$H$29="Todos",datos_base!$J$24,0))*parametros_manuales!$C$13+parametros_manuales!$F$29*(datos_base!$J$4+IF(parametros_manuales!$H$29="Todos",datos_base!$J$11,0))*parametros_manuales!$C$105+parametros_manuales!$F$29*(datos_base!$J$20+IF(parametros_manuales!$H$29="Todos",datos_base!$J$25,0))*parametros_manuales!$C$14+parametros_manuales!$G$29*(datos_base!$J$5+IF(parametros_manuales!$H$29="Todos",datos_base!$J$12,0))*parametros_manuales!$C$110+parametros_manuales!$G$29*(datos_base!$J$21+IF(parametros_manuales!$H$29="Todos",datos_base!$J$26,0))*parametros_manuales!$C$15)*parametros_manuales!$I$29*parametros_manuales!$J$29</f>
        <v>21446.85592036</v>
      </c>
      <c r="D228" s="9" t="n">
        <f aca="false">(parametros_manuales!$D$29*(datos_base!$J$2+IF(parametros_manuales!$H$29="Todos",datos_base!$J$9,0))*parametros_manuales!$D$95+parametros_manuales!$D$29*(datos_base!$J$18+IF(parametros_manuales!$H$29="Todos",datos_base!$J$23,0))*parametros_manuales!$D$12+parametros_manuales!$E$29*(datos_base!$J$3+IF(parametros_manuales!$H$29="Todos",datos_base!$J$10,0))*parametros_manuales!$D$100+parametros_manuales!$E$29*(datos_base!$J$19+IF(parametros_manuales!$H$29="Todos",datos_base!$J$24,0))*parametros_manuales!$D$13+parametros_manuales!$F$29*(datos_base!$J$4+IF(parametros_manuales!$H$29="Todos",datos_base!$J$11,0))*parametros_manuales!$D$105+parametros_manuales!$F$29*(datos_base!$J$20+IF(parametros_manuales!$H$29="Todos",datos_base!$J$25,0))*parametros_manuales!$D$14+parametros_manuales!$G$29*(datos_base!$J$5+IF(parametros_manuales!$H$29="Todos",datos_base!$J$12,0))*parametros_manuales!$D$110+parametros_manuales!$G$29*(datos_base!$J$21+IF(parametros_manuales!$H$29="Todos",datos_base!$J$26,0))*parametros_manuales!$D$15)*parametros_manuales!$I$29*parametros_manuales!$J$29</f>
        <v>20046.766663195</v>
      </c>
      <c r="E228" s="9" t="n">
        <f aca="false">(parametros_manuales!$D$29*(datos_base!$J$2+IF(parametros_manuales!$H$29="Todos",datos_base!$J$9,0))*parametros_manuales!$E$95+parametros_manuales!$D$29*(datos_base!$J$18+IF(parametros_manuales!$H$29="Todos",datos_base!$J$23,0))*parametros_manuales!$E$12+parametros_manuales!$E$29*(datos_base!$J$3+IF(parametros_manuales!$H$29="Todos",datos_base!$J$10,0))*parametros_manuales!$E$100+parametros_manuales!$E$29*(datos_base!$J$19+IF(parametros_manuales!$H$29="Todos",datos_base!$J$24,0))*parametros_manuales!$E$13+parametros_manuales!$F$29*(datos_base!$J$4+IF(parametros_manuales!$H$29="Todos",datos_base!$J$11,0))*parametros_manuales!$E$105+parametros_manuales!$F$29*(datos_base!$J$20+IF(parametros_manuales!$H$29="Todos",datos_base!$J$25,0))*parametros_manuales!$E$14+parametros_manuales!$G$29*(datos_base!$J$5+IF(parametros_manuales!$H$29="Todos",datos_base!$J$12,0))*parametros_manuales!$E$110+parametros_manuales!$G$29*(datos_base!$J$21+IF(parametros_manuales!$H$29="Todos",datos_base!$J$26,0))*parametros_manuales!$E$15)*parametros_manuales!$I$29*parametros_manuales!$J$29</f>
        <v>19169.800982495</v>
      </c>
      <c r="F228" s="9" t="n">
        <f aca="false">(parametros_manuales!$D$29*(datos_base!$J$2+IF(parametros_manuales!$H$29="Todos",datos_base!$J$9,0))*parametros_manuales!$F$95+parametros_manuales!$D$29*(datos_base!$J$18+IF(parametros_manuales!$H$29="Todos",datos_base!$J$23,0))*parametros_manuales!$F$12+parametros_manuales!$E$29*(datos_base!$J$3+IF(parametros_manuales!$H$29="Todos",datos_base!$J$10,0))*parametros_manuales!$F$100+parametros_manuales!$E$29*(datos_base!$J$19+IF(parametros_manuales!$H$29="Todos",datos_base!$J$24,0))*parametros_manuales!$F$13+parametros_manuales!$F$29*(datos_base!$J$4+IF(parametros_manuales!$H$29="Todos",datos_base!$J$11,0))*parametros_manuales!$F$105+parametros_manuales!$F$29*(datos_base!$J$20+IF(parametros_manuales!$H$29="Todos",datos_base!$J$25,0))*parametros_manuales!$F$14+parametros_manuales!$G$29*(datos_base!$J$5+IF(parametros_manuales!$H$29="Todos",datos_base!$J$12,0))*parametros_manuales!$F$110+parametros_manuales!$G$29*(datos_base!$J$21+IF(parametros_manuales!$H$29="Todos",datos_base!$J$26,0))*parametros_manuales!$F$15)*parametros_manuales!$I$29*parametros_manuales!$J$29</f>
        <v>17938.99319756</v>
      </c>
      <c r="G228" s="9" t="n">
        <f aca="false">(parametros_manuales!$D$29*(datos_base!$J$2+IF(parametros_manuales!$H$29="Todos",datos_base!$J$9,0))*parametros_manuales!$G$95+parametros_manuales!$D$29*(datos_base!$J$18+IF(parametros_manuales!$H$29="Todos",datos_base!$J$23,0))*parametros_manuales!$G$12+parametros_manuales!$E$29*(datos_base!$J$3+IF(parametros_manuales!$H$29="Todos",datos_base!$J$10,0))*parametros_manuales!$G$100+parametros_manuales!$E$29*(datos_base!$J$19+IF(parametros_manuales!$H$29="Todos",datos_base!$J$24,0))*parametros_manuales!$G$13+parametros_manuales!$F$29*(datos_base!$J$4+IF(parametros_manuales!$H$29="Todos",datos_base!$J$11,0))*parametros_manuales!$G$105+parametros_manuales!$F$29*(datos_base!$J$20+IF(parametros_manuales!$H$29="Todos",datos_base!$J$25,0))*parametros_manuales!$G$14+parametros_manuales!$G$29*(datos_base!$J$5+IF(parametros_manuales!$H$29="Todos",datos_base!$J$12,0))*parametros_manuales!$G$110+parametros_manuales!$G$29*(datos_base!$J$21+IF(parametros_manuales!$H$29="Todos",datos_base!$J$26,0))*parametros_manuales!$G$15)*parametros_manuales!$I$29*parametros_manuales!$J$29</f>
        <v>17585.151093325</v>
      </c>
      <c r="H228" s="9" t="n">
        <f aca="false">(parametros_manuales!$D$29*(datos_base!$J$2+IF(parametros_manuales!$H$29="Todos",datos_base!$J$9,0))*parametros_manuales!$H$95+parametros_manuales!$D$29*(datos_base!$J$18+IF(parametros_manuales!$H$29="Todos",datos_base!$J$23,0))*parametros_manuales!$H$12+parametros_manuales!$E$29*(datos_base!$J$3+IF(parametros_manuales!$H$29="Todos",datos_base!$J$10,0))*parametros_manuales!$H$100+parametros_manuales!$E$29*(datos_base!$J$19+IF(parametros_manuales!$H$29="Todos",datos_base!$J$24,0))*parametros_manuales!$H$13+parametros_manuales!$F$29*(datos_base!$J$4+IF(parametros_manuales!$H$29="Todos",datos_base!$J$11,0))*parametros_manuales!$H$105+parametros_manuales!$F$29*(datos_base!$J$20+IF(parametros_manuales!$H$29="Todos",datos_base!$J$25,0))*parametros_manuales!$H$14+parametros_manuales!$G$29*(datos_base!$J$5+IF(parametros_manuales!$H$29="Todos",datos_base!$J$12,0))*parametros_manuales!$H$110+parametros_manuales!$G$29*(datos_base!$J$21+IF(parametros_manuales!$H$29="Todos",datos_base!$J$26,0))*parametros_manuales!$H$15)*parametros_manuales!$I$29*parametros_manuales!$J$29</f>
        <v>18815.95887826</v>
      </c>
      <c r="I228" s="9" t="n">
        <f aca="false">(parametros_manuales!$D$29*(datos_base!$J$2+IF(parametros_manuales!$H$29="Todos",datos_base!$J$9,0))*parametros_manuales!$I$95+parametros_manuales!$D$29*(datos_base!$J$18+IF(parametros_manuales!$H$29="Todos",datos_base!$J$23,0))*parametros_manuales!$I$12+parametros_manuales!$E$29*(datos_base!$J$3+IF(parametros_manuales!$H$29="Todos",datos_base!$J$10,0))*parametros_manuales!$I$100+parametros_manuales!$E$29*(datos_base!$J$19+IF(parametros_manuales!$H$29="Todos",datos_base!$J$24,0))*parametros_manuales!$I$13+parametros_manuales!$F$29*(datos_base!$J$4+IF(parametros_manuales!$H$29="Todos",datos_base!$J$11,0))*parametros_manuales!$I$105+parametros_manuales!$F$29*(datos_base!$J$20+IF(parametros_manuales!$H$29="Todos",datos_base!$J$25,0))*parametros_manuales!$I$14+parametros_manuales!$G$29*(datos_base!$J$5+IF(parametros_manuales!$H$29="Todos",datos_base!$J$12,0))*parametros_manuales!$I$110+parametros_manuales!$G$29*(datos_base!$J$21+IF(parametros_manuales!$H$29="Todos",datos_base!$J$26,0))*parametros_manuales!$I$15)*parametros_manuales!$I$29*parametros_manuales!$J$29</f>
        <v>21446.85592036</v>
      </c>
      <c r="J228" s="9" t="n">
        <f aca="false">(parametros_manuales!$D$29*(datos_base!$J$2+IF(parametros_manuales!$H$29="Todos",datos_base!$J$9,0))*parametros_manuales!$J$95+parametros_manuales!$D$29*(datos_base!$J$18+IF(parametros_manuales!$H$29="Todos",datos_base!$J$23,0))*parametros_manuales!$J$12+parametros_manuales!$E$29*(datos_base!$J$3+IF(parametros_manuales!$H$29="Todos",datos_base!$J$10,0))*parametros_manuales!$J$100+parametros_manuales!$E$29*(datos_base!$J$19+IF(parametros_manuales!$H$29="Todos",datos_base!$J$24,0))*parametros_manuales!$J$13+parametros_manuales!$F$29*(datos_base!$J$4+IF(parametros_manuales!$H$29="Todos",datos_base!$J$11,0))*parametros_manuales!$J$105+parametros_manuales!$F$29*(datos_base!$J$20+IF(parametros_manuales!$H$29="Todos",datos_base!$J$25,0))*parametros_manuales!$J$14+parametros_manuales!$G$29*(datos_base!$J$5+IF(parametros_manuales!$H$29="Todos",datos_base!$J$12,0))*parametros_manuales!$J$110+parametros_manuales!$G$29*(datos_base!$J$21+IF(parametros_manuales!$H$29="Todos",datos_base!$J$26,0))*parametros_manuales!$J$15)*parametros_manuales!$I$29*parametros_manuales!$J$29</f>
        <v>21446.85592036</v>
      </c>
      <c r="K228" s="9" t="n">
        <f aca="false">(parametros_manuales!$D$29*(datos_base!$J$2+IF(parametros_manuales!$H$29="Todos",datos_base!$J$9,0))*parametros_manuales!$K$95+parametros_manuales!$D$29*(datos_base!$J$18+IF(parametros_manuales!$H$29="Todos",datos_base!$J$23,0))*parametros_manuales!$K$12+parametros_manuales!$E$29*(datos_base!$J$3+IF(parametros_manuales!$H$29="Todos",datos_base!$J$10,0))*parametros_manuales!$K$100+parametros_manuales!$E$29*(datos_base!$J$19+IF(parametros_manuales!$H$29="Todos",datos_base!$J$24,0))*parametros_manuales!$K$13+parametros_manuales!$F$29*(datos_base!$J$4+IF(parametros_manuales!$H$29="Todos",datos_base!$J$11,0))*parametros_manuales!$K$105+parametros_manuales!$F$29*(datos_base!$J$20+IF(parametros_manuales!$H$29="Todos",datos_base!$J$25,0))*parametros_manuales!$K$14+parametros_manuales!$G$29*(datos_base!$J$5+IF(parametros_manuales!$H$29="Todos",datos_base!$J$12,0))*parametros_manuales!$K$110+parametros_manuales!$G$29*(datos_base!$J$21+IF(parametros_manuales!$H$29="Todos",datos_base!$J$26,0))*parametros_manuales!$K$15)*parametros_manuales!$I$29*parametros_manuales!$J$29</f>
        <v>21798.852424595</v>
      </c>
      <c r="L228" s="9" t="n">
        <f aca="false">(parametros_manuales!$D$29*(datos_base!$J$2+IF(parametros_manuales!$H$29="Todos",datos_base!$J$9,0))*parametros_manuales!$L$95+parametros_manuales!$D$29*(datos_base!$J$18+IF(parametros_manuales!$H$29="Todos",datos_base!$J$23,0))*parametros_manuales!$L$12+parametros_manuales!$E$29*(datos_base!$J$3+IF(parametros_manuales!$H$29="Todos",datos_base!$J$10,0))*parametros_manuales!$L$100+parametros_manuales!$E$29*(datos_base!$J$19+IF(parametros_manuales!$H$29="Todos",datos_base!$J$24,0))*parametros_manuales!$L$13+parametros_manuales!$F$29*(datos_base!$J$4+IF(parametros_manuales!$H$29="Todos",datos_base!$J$11,0))*parametros_manuales!$L$105+parametros_manuales!$F$29*(datos_base!$J$20+IF(parametros_manuales!$H$29="Todos",datos_base!$J$25,0))*parametros_manuales!$L$14+parametros_manuales!$G$29*(datos_base!$J$5+IF(parametros_manuales!$H$29="Todos",datos_base!$J$12,0))*parametros_manuales!$L$110+parametros_manuales!$G$29*(datos_base!$J$21+IF(parametros_manuales!$H$29="Todos",datos_base!$J$26,0))*parametros_manuales!$L$15)*parametros_manuales!$I$29*parametros_manuales!$J$29</f>
        <v>22150.84892883</v>
      </c>
      <c r="M228" s="9" t="n">
        <f aca="false">(parametros_manuales!$D$29*(datos_base!$J$2+IF(parametros_manuales!$H$29="Todos",datos_base!$J$9,0))*parametros_manuales!$M$95+parametros_manuales!$D$29*(datos_base!$J$18+IF(parametros_manuales!$H$29="Todos",datos_base!$J$23,0))*parametros_manuales!$M$12+parametros_manuales!$E$29*(datos_base!$J$3+IF(parametros_manuales!$H$29="Todos",datos_base!$J$10,0))*parametros_manuales!$M$100+parametros_manuales!$E$29*(datos_base!$J$19+IF(parametros_manuales!$H$29="Todos",datos_base!$J$24,0))*parametros_manuales!$M$13+parametros_manuales!$F$29*(datos_base!$J$4+IF(parametros_manuales!$H$29="Todos",datos_base!$J$11,0))*parametros_manuales!$M$105+parametros_manuales!$F$29*(datos_base!$J$20+IF(parametros_manuales!$H$29="Todos",datos_base!$J$25,0))*parametros_manuales!$M$14+parametros_manuales!$G$29*(datos_base!$J$5+IF(parametros_manuales!$H$29="Todos",datos_base!$J$12,0))*parametros_manuales!$M$110+parametros_manuales!$G$29*(datos_base!$J$21+IF(parametros_manuales!$H$29="Todos",datos_base!$J$26,0))*parametros_manuales!$M$15)*parametros_manuales!$I$29*parametros_manuales!$J$29</f>
        <v>22158.23132883</v>
      </c>
      <c r="N228" s="9" t="n">
        <f aca="false">SUM(B228:M228)</f>
        <v>246161.556987</v>
      </c>
      <c r="O228" s="9" t="n">
        <f aca="false">MAX(B228:M228)</f>
        <v>22158.23132883</v>
      </c>
      <c r="P228" s="44" t="n">
        <f aca="false">O228/(parametros_manuales!$B$7)</f>
        <v>147.7215421922</v>
      </c>
      <c r="Q228" s="8" t="str">
        <f aca="false">IF(O228=0,"-",INDEX($B$217:$M$217,MATCH(O228,B228:M228,0)))</f>
        <v>Dic</v>
      </c>
    </row>
    <row r="229" customFormat="false" ht="14.25" hidden="false" customHeight="true" outlineLevel="0" collapsed="false">
      <c r="A229" s="8" t="str">
        <f aca="false">parametros_manuales!$B$30</f>
        <v>Soldadura circunferencial de cúpula y fondo</v>
      </c>
      <c r="B229" s="9" t="n">
        <f aca="false">(parametros_manuales!$D$30*(datos_base!$J$2+IF(parametros_manuales!$H$30="Todos",datos_base!$J$9,0))*parametros_manuales!$B$95+parametros_manuales!$D$30*(datos_base!$J$18+IF(parametros_manuales!$H$30="Todos",datos_base!$J$23,0))*parametros_manuales!$B$12+parametros_manuales!$E$30*(datos_base!$J$3+IF(parametros_manuales!$H$30="Todos",datos_base!$J$10,0))*parametros_manuales!$B$100+parametros_manuales!$E$30*(datos_base!$J$19+IF(parametros_manuales!$H$30="Todos",datos_base!$J$24,0))*parametros_manuales!$B$13+parametros_manuales!$F$30*(datos_base!$J$4+IF(parametros_manuales!$H$30="Todos",datos_base!$J$11,0))*parametros_manuales!$B$105+parametros_manuales!$F$30*(datos_base!$J$20+IF(parametros_manuales!$H$30="Todos",datos_base!$J$25,0))*parametros_manuales!$B$14+parametros_manuales!$G$30*(datos_base!$J$5+IF(parametros_manuales!$H$30="Todos",datos_base!$J$12,0))*parametros_manuales!$B$110+parametros_manuales!$G$30*(datos_base!$J$21+IF(parametros_manuales!$H$30="Todos",datos_base!$J$26,0))*parametros_manuales!$B$15)*parametros_manuales!$I$30*parametros_manuales!$J$30</f>
        <v>22156.38572883</v>
      </c>
      <c r="C229" s="9" t="n">
        <f aca="false">(parametros_manuales!$D$30*(datos_base!$J$2+IF(parametros_manuales!$H$30="Todos",datos_base!$J$9,0))*parametros_manuales!$C$95+parametros_manuales!$D$30*(datos_base!$J$18+IF(parametros_manuales!$H$30="Todos",datos_base!$J$23,0))*parametros_manuales!$C$12+parametros_manuales!$E$30*(datos_base!$J$3+IF(parametros_manuales!$H$30="Todos",datos_base!$J$10,0))*parametros_manuales!$C$100+parametros_manuales!$E$30*(datos_base!$J$19+IF(parametros_manuales!$H$30="Todos",datos_base!$J$24,0))*parametros_manuales!$C$13+parametros_manuales!$F$30*(datos_base!$J$4+IF(parametros_manuales!$H$30="Todos",datos_base!$J$11,0))*parametros_manuales!$C$105+parametros_manuales!$F$30*(datos_base!$J$20+IF(parametros_manuales!$H$30="Todos",datos_base!$J$25,0))*parametros_manuales!$C$14+parametros_manuales!$G$30*(datos_base!$J$5+IF(parametros_manuales!$H$30="Todos",datos_base!$J$12,0))*parametros_manuales!$C$110+parametros_manuales!$G$30*(datos_base!$J$21+IF(parametros_manuales!$H$30="Todos",datos_base!$J$26,0))*parametros_manuales!$C$15)*parametros_manuales!$I$30*parametros_manuales!$J$30</f>
        <v>21446.85592036</v>
      </c>
      <c r="D229" s="9" t="n">
        <f aca="false">(parametros_manuales!$D$30*(datos_base!$J$2+IF(parametros_manuales!$H$30="Todos",datos_base!$J$9,0))*parametros_manuales!$D$95+parametros_manuales!$D$30*(datos_base!$J$18+IF(parametros_manuales!$H$30="Todos",datos_base!$J$23,0))*parametros_manuales!$D$12+parametros_manuales!$E$30*(datos_base!$J$3+IF(parametros_manuales!$H$30="Todos",datos_base!$J$10,0))*parametros_manuales!$D$100+parametros_manuales!$E$30*(datos_base!$J$19+IF(parametros_manuales!$H$30="Todos",datos_base!$J$24,0))*parametros_manuales!$D$13+parametros_manuales!$F$30*(datos_base!$J$4+IF(parametros_manuales!$H$30="Todos",datos_base!$J$11,0))*parametros_manuales!$D$105+parametros_manuales!$F$30*(datos_base!$J$20+IF(parametros_manuales!$H$30="Todos",datos_base!$J$25,0))*parametros_manuales!$D$14+parametros_manuales!$G$30*(datos_base!$J$5+IF(parametros_manuales!$H$30="Todos",datos_base!$J$12,0))*parametros_manuales!$D$110+parametros_manuales!$G$30*(datos_base!$J$21+IF(parametros_manuales!$H$30="Todos",datos_base!$J$26,0))*parametros_manuales!$D$15)*parametros_manuales!$I$30*parametros_manuales!$J$30</f>
        <v>20046.766663195</v>
      </c>
      <c r="E229" s="9" t="n">
        <f aca="false">(parametros_manuales!$D$30*(datos_base!$J$2+IF(parametros_manuales!$H$30="Todos",datos_base!$J$9,0))*parametros_manuales!$E$95+parametros_manuales!$D$30*(datos_base!$J$18+IF(parametros_manuales!$H$30="Todos",datos_base!$J$23,0))*parametros_manuales!$E$12+parametros_manuales!$E$30*(datos_base!$J$3+IF(parametros_manuales!$H$30="Todos",datos_base!$J$10,0))*parametros_manuales!$E$100+parametros_manuales!$E$30*(datos_base!$J$19+IF(parametros_manuales!$H$30="Todos",datos_base!$J$24,0))*parametros_manuales!$E$13+parametros_manuales!$F$30*(datos_base!$J$4+IF(parametros_manuales!$H$30="Todos",datos_base!$J$11,0))*parametros_manuales!$E$105+parametros_manuales!$F$30*(datos_base!$J$20+IF(parametros_manuales!$H$30="Todos",datos_base!$J$25,0))*parametros_manuales!$E$14+parametros_manuales!$G$30*(datos_base!$J$5+IF(parametros_manuales!$H$30="Todos",datos_base!$J$12,0))*parametros_manuales!$E$110+parametros_manuales!$G$30*(datos_base!$J$21+IF(parametros_manuales!$H$30="Todos",datos_base!$J$26,0))*parametros_manuales!$E$15)*parametros_manuales!$I$30*parametros_manuales!$J$30</f>
        <v>19169.800982495</v>
      </c>
      <c r="F229" s="9" t="n">
        <f aca="false">(parametros_manuales!$D$30*(datos_base!$J$2+IF(parametros_manuales!$H$30="Todos",datos_base!$J$9,0))*parametros_manuales!$F$95+parametros_manuales!$D$30*(datos_base!$J$18+IF(parametros_manuales!$H$30="Todos",datos_base!$J$23,0))*parametros_manuales!$F$12+parametros_manuales!$E$30*(datos_base!$J$3+IF(parametros_manuales!$H$30="Todos",datos_base!$J$10,0))*parametros_manuales!$F$100+parametros_manuales!$E$30*(datos_base!$J$19+IF(parametros_manuales!$H$30="Todos",datos_base!$J$24,0))*parametros_manuales!$F$13+parametros_manuales!$F$30*(datos_base!$J$4+IF(parametros_manuales!$H$30="Todos",datos_base!$J$11,0))*parametros_manuales!$F$105+parametros_manuales!$F$30*(datos_base!$J$20+IF(parametros_manuales!$H$30="Todos",datos_base!$J$25,0))*parametros_manuales!$F$14+parametros_manuales!$G$30*(datos_base!$J$5+IF(parametros_manuales!$H$30="Todos",datos_base!$J$12,0))*parametros_manuales!$F$110+parametros_manuales!$G$30*(datos_base!$J$21+IF(parametros_manuales!$H$30="Todos",datos_base!$J$26,0))*parametros_manuales!$F$15)*parametros_manuales!$I$30*parametros_manuales!$J$30</f>
        <v>17938.99319756</v>
      </c>
      <c r="G229" s="9" t="n">
        <f aca="false">(parametros_manuales!$D$30*(datos_base!$J$2+IF(parametros_manuales!$H$30="Todos",datos_base!$J$9,0))*parametros_manuales!$G$95+parametros_manuales!$D$30*(datos_base!$J$18+IF(parametros_manuales!$H$30="Todos",datos_base!$J$23,0))*parametros_manuales!$G$12+parametros_manuales!$E$30*(datos_base!$J$3+IF(parametros_manuales!$H$30="Todos",datos_base!$J$10,0))*parametros_manuales!$G$100+parametros_manuales!$E$30*(datos_base!$J$19+IF(parametros_manuales!$H$30="Todos",datos_base!$J$24,0))*parametros_manuales!$G$13+parametros_manuales!$F$30*(datos_base!$J$4+IF(parametros_manuales!$H$30="Todos",datos_base!$J$11,0))*parametros_manuales!$G$105+parametros_manuales!$F$30*(datos_base!$J$20+IF(parametros_manuales!$H$30="Todos",datos_base!$J$25,0))*parametros_manuales!$G$14+parametros_manuales!$G$30*(datos_base!$J$5+IF(parametros_manuales!$H$30="Todos",datos_base!$J$12,0))*parametros_manuales!$G$110+parametros_manuales!$G$30*(datos_base!$J$21+IF(parametros_manuales!$H$30="Todos",datos_base!$J$26,0))*parametros_manuales!$G$15)*parametros_manuales!$I$30*parametros_manuales!$J$30</f>
        <v>17585.151093325</v>
      </c>
      <c r="H229" s="9" t="n">
        <f aca="false">(parametros_manuales!$D$30*(datos_base!$J$2+IF(parametros_manuales!$H$30="Todos",datos_base!$J$9,0))*parametros_manuales!$H$95+parametros_manuales!$D$30*(datos_base!$J$18+IF(parametros_manuales!$H$30="Todos",datos_base!$J$23,0))*parametros_manuales!$H$12+parametros_manuales!$E$30*(datos_base!$J$3+IF(parametros_manuales!$H$30="Todos",datos_base!$J$10,0))*parametros_manuales!$H$100+parametros_manuales!$E$30*(datos_base!$J$19+IF(parametros_manuales!$H$30="Todos",datos_base!$J$24,0))*parametros_manuales!$H$13+parametros_manuales!$F$30*(datos_base!$J$4+IF(parametros_manuales!$H$30="Todos",datos_base!$J$11,0))*parametros_manuales!$H$105+parametros_manuales!$F$30*(datos_base!$J$20+IF(parametros_manuales!$H$30="Todos",datos_base!$J$25,0))*parametros_manuales!$H$14+parametros_manuales!$G$30*(datos_base!$J$5+IF(parametros_manuales!$H$30="Todos",datos_base!$J$12,0))*parametros_manuales!$H$110+parametros_manuales!$G$30*(datos_base!$J$21+IF(parametros_manuales!$H$30="Todos",datos_base!$J$26,0))*parametros_manuales!$H$15)*parametros_manuales!$I$30*parametros_manuales!$J$30</f>
        <v>18815.95887826</v>
      </c>
      <c r="I229" s="9" t="n">
        <f aca="false">(parametros_manuales!$D$30*(datos_base!$J$2+IF(parametros_manuales!$H$30="Todos",datos_base!$J$9,0))*parametros_manuales!$I$95+parametros_manuales!$D$30*(datos_base!$J$18+IF(parametros_manuales!$H$30="Todos",datos_base!$J$23,0))*parametros_manuales!$I$12+parametros_manuales!$E$30*(datos_base!$J$3+IF(parametros_manuales!$H$30="Todos",datos_base!$J$10,0))*parametros_manuales!$I$100+parametros_manuales!$E$30*(datos_base!$J$19+IF(parametros_manuales!$H$30="Todos",datos_base!$J$24,0))*parametros_manuales!$I$13+parametros_manuales!$F$30*(datos_base!$J$4+IF(parametros_manuales!$H$30="Todos",datos_base!$J$11,0))*parametros_manuales!$I$105+parametros_manuales!$F$30*(datos_base!$J$20+IF(parametros_manuales!$H$30="Todos",datos_base!$J$25,0))*parametros_manuales!$I$14+parametros_manuales!$G$30*(datos_base!$J$5+IF(parametros_manuales!$H$30="Todos",datos_base!$J$12,0))*parametros_manuales!$I$110+parametros_manuales!$G$30*(datos_base!$J$21+IF(parametros_manuales!$H$30="Todos",datos_base!$J$26,0))*parametros_manuales!$I$15)*parametros_manuales!$I$30*parametros_manuales!$J$30</f>
        <v>21446.85592036</v>
      </c>
      <c r="J229" s="9" t="n">
        <f aca="false">(parametros_manuales!$D$30*(datos_base!$J$2+IF(parametros_manuales!$H$30="Todos",datos_base!$J$9,0))*parametros_manuales!$J$95+parametros_manuales!$D$30*(datos_base!$J$18+IF(parametros_manuales!$H$30="Todos",datos_base!$J$23,0))*parametros_manuales!$J$12+parametros_manuales!$E$30*(datos_base!$J$3+IF(parametros_manuales!$H$30="Todos",datos_base!$J$10,0))*parametros_manuales!$J$100+parametros_manuales!$E$30*(datos_base!$J$19+IF(parametros_manuales!$H$30="Todos",datos_base!$J$24,0))*parametros_manuales!$J$13+parametros_manuales!$F$30*(datos_base!$J$4+IF(parametros_manuales!$H$30="Todos",datos_base!$J$11,0))*parametros_manuales!$J$105+parametros_manuales!$F$30*(datos_base!$J$20+IF(parametros_manuales!$H$30="Todos",datos_base!$J$25,0))*parametros_manuales!$J$14+parametros_manuales!$G$30*(datos_base!$J$5+IF(parametros_manuales!$H$30="Todos",datos_base!$J$12,0))*parametros_manuales!$J$110+parametros_manuales!$G$30*(datos_base!$J$21+IF(parametros_manuales!$H$30="Todos",datos_base!$J$26,0))*parametros_manuales!$J$15)*parametros_manuales!$I$30*parametros_manuales!$J$30</f>
        <v>21446.85592036</v>
      </c>
      <c r="K229" s="9" t="n">
        <f aca="false">(parametros_manuales!$D$30*(datos_base!$J$2+IF(parametros_manuales!$H$30="Todos",datos_base!$J$9,0))*parametros_manuales!$K$95+parametros_manuales!$D$30*(datos_base!$J$18+IF(parametros_manuales!$H$30="Todos",datos_base!$J$23,0))*parametros_manuales!$K$12+parametros_manuales!$E$30*(datos_base!$J$3+IF(parametros_manuales!$H$30="Todos",datos_base!$J$10,0))*parametros_manuales!$K$100+parametros_manuales!$E$30*(datos_base!$J$19+IF(parametros_manuales!$H$30="Todos",datos_base!$J$24,0))*parametros_manuales!$K$13+parametros_manuales!$F$30*(datos_base!$J$4+IF(parametros_manuales!$H$30="Todos",datos_base!$J$11,0))*parametros_manuales!$K$105+parametros_manuales!$F$30*(datos_base!$J$20+IF(parametros_manuales!$H$30="Todos",datos_base!$J$25,0))*parametros_manuales!$K$14+parametros_manuales!$G$30*(datos_base!$J$5+IF(parametros_manuales!$H$30="Todos",datos_base!$J$12,0))*parametros_manuales!$K$110+parametros_manuales!$G$30*(datos_base!$J$21+IF(parametros_manuales!$H$30="Todos",datos_base!$J$26,0))*parametros_manuales!$K$15)*parametros_manuales!$I$30*parametros_manuales!$J$30</f>
        <v>21798.852424595</v>
      </c>
      <c r="L229" s="9" t="n">
        <f aca="false">(parametros_manuales!$D$30*(datos_base!$J$2+IF(parametros_manuales!$H$30="Todos",datos_base!$J$9,0))*parametros_manuales!$L$95+parametros_manuales!$D$30*(datos_base!$J$18+IF(parametros_manuales!$H$30="Todos",datos_base!$J$23,0))*parametros_manuales!$L$12+parametros_manuales!$E$30*(datos_base!$J$3+IF(parametros_manuales!$H$30="Todos",datos_base!$J$10,0))*parametros_manuales!$L$100+parametros_manuales!$E$30*(datos_base!$J$19+IF(parametros_manuales!$H$30="Todos",datos_base!$J$24,0))*parametros_manuales!$L$13+parametros_manuales!$F$30*(datos_base!$J$4+IF(parametros_manuales!$H$30="Todos",datos_base!$J$11,0))*parametros_manuales!$L$105+parametros_manuales!$F$30*(datos_base!$J$20+IF(parametros_manuales!$H$30="Todos",datos_base!$J$25,0))*parametros_manuales!$L$14+parametros_manuales!$G$30*(datos_base!$J$5+IF(parametros_manuales!$H$30="Todos",datos_base!$J$12,0))*parametros_manuales!$L$110+parametros_manuales!$G$30*(datos_base!$J$21+IF(parametros_manuales!$H$30="Todos",datos_base!$J$26,0))*parametros_manuales!$L$15)*parametros_manuales!$I$30*parametros_manuales!$J$30</f>
        <v>22150.84892883</v>
      </c>
      <c r="M229" s="9" t="n">
        <f aca="false">(parametros_manuales!$D$30*(datos_base!$J$2+IF(parametros_manuales!$H$30="Todos",datos_base!$J$9,0))*parametros_manuales!$M$95+parametros_manuales!$D$30*(datos_base!$J$18+IF(parametros_manuales!$H$30="Todos",datos_base!$J$23,0))*parametros_manuales!$M$12+parametros_manuales!$E$30*(datos_base!$J$3+IF(parametros_manuales!$H$30="Todos",datos_base!$J$10,0))*parametros_manuales!$M$100+parametros_manuales!$E$30*(datos_base!$J$19+IF(parametros_manuales!$H$30="Todos",datos_base!$J$24,0))*parametros_manuales!$M$13+parametros_manuales!$F$30*(datos_base!$J$4+IF(parametros_manuales!$H$30="Todos",datos_base!$J$11,0))*parametros_manuales!$M$105+parametros_manuales!$F$30*(datos_base!$J$20+IF(parametros_manuales!$H$30="Todos",datos_base!$J$25,0))*parametros_manuales!$M$14+parametros_manuales!$G$30*(datos_base!$J$5+IF(parametros_manuales!$H$30="Todos",datos_base!$J$12,0))*parametros_manuales!$M$110+parametros_manuales!$G$30*(datos_base!$J$21+IF(parametros_manuales!$H$30="Todos",datos_base!$J$26,0))*parametros_manuales!$M$15)*parametros_manuales!$I$30*parametros_manuales!$J$30</f>
        <v>22158.23132883</v>
      </c>
      <c r="N229" s="9" t="n">
        <f aca="false">SUM(B229:M229)</f>
        <v>246161.556987</v>
      </c>
      <c r="O229" s="9" t="n">
        <f aca="false">MAX(B229:M229)</f>
        <v>22158.23132883</v>
      </c>
      <c r="P229" s="44" t="n">
        <f aca="false">O229/(parametros_manuales!$B$7)</f>
        <v>147.7215421922</v>
      </c>
      <c r="Q229" s="8" t="str">
        <f aca="false">IF(O229=0,"-",INDEX($B$217:$M$217,MATCH(O229,B229:M229,0)))</f>
        <v>Dic</v>
      </c>
    </row>
    <row r="230" customFormat="false" ht="14.25" hidden="false" customHeight="true" outlineLevel="0" collapsed="false">
      <c r="A230" s="8" t="str">
        <f aca="false">parametros_manuales!$B$31</f>
        <v>Control de calidad — Espesor</v>
      </c>
      <c r="B230" s="9" t="n">
        <f aca="false">(parametros_manuales!$D$31*(datos_base!$J$2+IF(parametros_manuales!$H$31="Todos",datos_base!$J$9,0))*parametros_manuales!$B$95+parametros_manuales!$D$31*(datos_base!$J$18+IF(parametros_manuales!$H$31="Todos",datos_base!$J$23,0))*parametros_manuales!$B$12+parametros_manuales!$E$31*(datos_base!$J$3+IF(parametros_manuales!$H$31="Todos",datos_base!$J$10,0))*parametros_manuales!$B$100+parametros_manuales!$E$31*(datos_base!$J$19+IF(parametros_manuales!$H$31="Todos",datos_base!$J$24,0))*parametros_manuales!$B$13+parametros_manuales!$F$31*(datos_base!$J$4+IF(parametros_manuales!$H$31="Todos",datos_base!$J$11,0))*parametros_manuales!$B$105+parametros_manuales!$F$31*(datos_base!$J$20+IF(parametros_manuales!$H$31="Todos",datos_base!$J$25,0))*parametros_manuales!$B$14+parametros_manuales!$G$31*(datos_base!$J$5+IF(parametros_manuales!$H$31="Todos",datos_base!$J$12,0))*parametros_manuales!$B$110+parametros_manuales!$G$31*(datos_base!$J$21+IF(parametros_manuales!$H$31="Todos",datos_base!$J$26,0))*parametros_manuales!$B$15)*parametros_manuales!$I$31*parametros_manuales!$J$31</f>
        <v>443.1277145766</v>
      </c>
      <c r="C230" s="9" t="n">
        <f aca="false">(parametros_manuales!$D$31*(datos_base!$J$2+IF(parametros_manuales!$H$31="Todos",datos_base!$J$9,0))*parametros_manuales!$C$95+parametros_manuales!$D$31*(datos_base!$J$18+IF(parametros_manuales!$H$31="Todos",datos_base!$J$23,0))*parametros_manuales!$C$12+parametros_manuales!$E$31*(datos_base!$J$3+IF(parametros_manuales!$H$31="Todos",datos_base!$J$10,0))*parametros_manuales!$C$100+parametros_manuales!$E$31*(datos_base!$J$19+IF(parametros_manuales!$H$31="Todos",datos_base!$J$24,0))*parametros_manuales!$C$13+parametros_manuales!$F$31*(datos_base!$J$4+IF(parametros_manuales!$H$31="Todos",datos_base!$J$11,0))*parametros_manuales!$C$105+parametros_manuales!$F$31*(datos_base!$J$20+IF(parametros_manuales!$H$31="Todos",datos_base!$J$25,0))*parametros_manuales!$C$14+parametros_manuales!$G$31*(datos_base!$J$5+IF(parametros_manuales!$H$31="Todos",datos_base!$J$12,0))*parametros_manuales!$C$110+parametros_manuales!$G$31*(datos_base!$J$21+IF(parametros_manuales!$H$31="Todos",datos_base!$J$26,0))*parametros_manuales!$C$15)*parametros_manuales!$I$31*parametros_manuales!$J$31</f>
        <v>428.9371184072</v>
      </c>
      <c r="D230" s="9" t="n">
        <f aca="false">(parametros_manuales!$D$31*(datos_base!$J$2+IF(parametros_manuales!$H$31="Todos",datos_base!$J$9,0))*parametros_manuales!$D$95+parametros_manuales!$D$31*(datos_base!$J$18+IF(parametros_manuales!$H$31="Todos",datos_base!$J$23,0))*parametros_manuales!$D$12+parametros_manuales!$E$31*(datos_base!$J$3+IF(parametros_manuales!$H$31="Todos",datos_base!$J$10,0))*parametros_manuales!$D$100+parametros_manuales!$E$31*(datos_base!$J$19+IF(parametros_manuales!$H$31="Todos",datos_base!$J$24,0))*parametros_manuales!$D$13+parametros_manuales!$F$31*(datos_base!$J$4+IF(parametros_manuales!$H$31="Todos",datos_base!$J$11,0))*parametros_manuales!$D$105+parametros_manuales!$F$31*(datos_base!$J$20+IF(parametros_manuales!$H$31="Todos",datos_base!$J$25,0))*parametros_manuales!$D$14+parametros_manuales!$G$31*(datos_base!$J$5+IF(parametros_manuales!$H$31="Todos",datos_base!$J$12,0))*parametros_manuales!$D$110+parametros_manuales!$G$31*(datos_base!$J$21+IF(parametros_manuales!$H$31="Todos",datos_base!$J$26,0))*parametros_manuales!$D$15)*parametros_manuales!$I$31*parametros_manuales!$J$31</f>
        <v>400.9353332639</v>
      </c>
      <c r="E230" s="9" t="n">
        <f aca="false">(parametros_manuales!$D$31*(datos_base!$J$2+IF(parametros_manuales!$H$31="Todos",datos_base!$J$9,0))*parametros_manuales!$E$95+parametros_manuales!$D$31*(datos_base!$J$18+IF(parametros_manuales!$H$31="Todos",datos_base!$J$23,0))*parametros_manuales!$E$12+parametros_manuales!$E$31*(datos_base!$J$3+IF(parametros_manuales!$H$31="Todos",datos_base!$J$10,0))*parametros_manuales!$E$100+parametros_manuales!$E$31*(datos_base!$J$19+IF(parametros_manuales!$H$31="Todos",datos_base!$J$24,0))*parametros_manuales!$E$13+parametros_manuales!$F$31*(datos_base!$J$4+IF(parametros_manuales!$H$31="Todos",datos_base!$J$11,0))*parametros_manuales!$E$105+parametros_manuales!$F$31*(datos_base!$J$20+IF(parametros_manuales!$H$31="Todos",datos_base!$J$25,0))*parametros_manuales!$E$14+parametros_manuales!$G$31*(datos_base!$J$5+IF(parametros_manuales!$H$31="Todos",datos_base!$J$12,0))*parametros_manuales!$E$110+parametros_manuales!$G$31*(datos_base!$J$21+IF(parametros_manuales!$H$31="Todos",datos_base!$J$26,0))*parametros_manuales!$E$15)*parametros_manuales!$I$31*parametros_manuales!$J$31</f>
        <v>383.3960196499</v>
      </c>
      <c r="F230" s="9" t="n">
        <f aca="false">(parametros_manuales!$D$31*(datos_base!$J$2+IF(parametros_manuales!$H$31="Todos",datos_base!$J$9,0))*parametros_manuales!$F$95+parametros_manuales!$D$31*(datos_base!$J$18+IF(parametros_manuales!$H$31="Todos",datos_base!$J$23,0))*parametros_manuales!$F$12+parametros_manuales!$E$31*(datos_base!$J$3+IF(parametros_manuales!$H$31="Todos",datos_base!$J$10,0))*parametros_manuales!$F$100+parametros_manuales!$E$31*(datos_base!$J$19+IF(parametros_manuales!$H$31="Todos",datos_base!$J$24,0))*parametros_manuales!$F$13+parametros_manuales!$F$31*(datos_base!$J$4+IF(parametros_manuales!$H$31="Todos",datos_base!$J$11,0))*parametros_manuales!$F$105+parametros_manuales!$F$31*(datos_base!$J$20+IF(parametros_manuales!$H$31="Todos",datos_base!$J$25,0))*parametros_manuales!$F$14+parametros_manuales!$G$31*(datos_base!$J$5+IF(parametros_manuales!$H$31="Todos",datos_base!$J$12,0))*parametros_manuales!$F$110+parametros_manuales!$G$31*(datos_base!$J$21+IF(parametros_manuales!$H$31="Todos",datos_base!$J$26,0))*parametros_manuales!$F$15)*parametros_manuales!$I$31*parametros_manuales!$J$31</f>
        <v>358.7798639512</v>
      </c>
      <c r="G230" s="9" t="n">
        <f aca="false">(parametros_manuales!$D$31*(datos_base!$J$2+IF(parametros_manuales!$H$31="Todos",datos_base!$J$9,0))*parametros_manuales!$G$95+parametros_manuales!$D$31*(datos_base!$J$18+IF(parametros_manuales!$H$31="Todos",datos_base!$J$23,0))*parametros_manuales!$G$12+parametros_manuales!$E$31*(datos_base!$J$3+IF(parametros_manuales!$H$31="Todos",datos_base!$J$10,0))*parametros_manuales!$G$100+parametros_manuales!$E$31*(datos_base!$J$19+IF(parametros_manuales!$H$31="Todos",datos_base!$J$24,0))*parametros_manuales!$G$13+parametros_manuales!$F$31*(datos_base!$J$4+IF(parametros_manuales!$H$31="Todos",datos_base!$J$11,0))*parametros_manuales!$G$105+parametros_manuales!$F$31*(datos_base!$J$20+IF(parametros_manuales!$H$31="Todos",datos_base!$J$25,0))*parametros_manuales!$G$14+parametros_manuales!$G$31*(datos_base!$J$5+IF(parametros_manuales!$H$31="Todos",datos_base!$J$12,0))*parametros_manuales!$G$110+parametros_manuales!$G$31*(datos_base!$J$21+IF(parametros_manuales!$H$31="Todos",datos_base!$J$26,0))*parametros_manuales!$G$15)*parametros_manuales!$I$31*parametros_manuales!$J$31</f>
        <v>351.7030218665</v>
      </c>
      <c r="H230" s="9" t="n">
        <f aca="false">(parametros_manuales!$D$31*(datos_base!$J$2+IF(parametros_manuales!$H$31="Todos",datos_base!$J$9,0))*parametros_manuales!$H$95+parametros_manuales!$D$31*(datos_base!$J$18+IF(parametros_manuales!$H$31="Todos",datos_base!$J$23,0))*parametros_manuales!$H$12+parametros_manuales!$E$31*(datos_base!$J$3+IF(parametros_manuales!$H$31="Todos",datos_base!$J$10,0))*parametros_manuales!$H$100+parametros_manuales!$E$31*(datos_base!$J$19+IF(parametros_manuales!$H$31="Todos",datos_base!$J$24,0))*parametros_manuales!$H$13+parametros_manuales!$F$31*(datos_base!$J$4+IF(parametros_manuales!$H$31="Todos",datos_base!$J$11,0))*parametros_manuales!$H$105+parametros_manuales!$F$31*(datos_base!$J$20+IF(parametros_manuales!$H$31="Todos",datos_base!$J$25,0))*parametros_manuales!$H$14+parametros_manuales!$G$31*(datos_base!$J$5+IF(parametros_manuales!$H$31="Todos",datos_base!$J$12,0))*parametros_manuales!$H$110+parametros_manuales!$G$31*(datos_base!$J$21+IF(parametros_manuales!$H$31="Todos",datos_base!$J$26,0))*parametros_manuales!$H$15)*parametros_manuales!$I$31*parametros_manuales!$J$31</f>
        <v>376.3191775652</v>
      </c>
      <c r="I230" s="9" t="n">
        <f aca="false">(parametros_manuales!$D$31*(datos_base!$J$2+IF(parametros_manuales!$H$31="Todos",datos_base!$J$9,0))*parametros_manuales!$I$95+parametros_manuales!$D$31*(datos_base!$J$18+IF(parametros_manuales!$H$31="Todos",datos_base!$J$23,0))*parametros_manuales!$I$12+parametros_manuales!$E$31*(datos_base!$J$3+IF(parametros_manuales!$H$31="Todos",datos_base!$J$10,0))*parametros_manuales!$I$100+parametros_manuales!$E$31*(datos_base!$J$19+IF(parametros_manuales!$H$31="Todos",datos_base!$J$24,0))*parametros_manuales!$I$13+parametros_manuales!$F$31*(datos_base!$J$4+IF(parametros_manuales!$H$31="Todos",datos_base!$J$11,0))*parametros_manuales!$I$105+parametros_manuales!$F$31*(datos_base!$J$20+IF(parametros_manuales!$H$31="Todos",datos_base!$J$25,0))*parametros_manuales!$I$14+parametros_manuales!$G$31*(datos_base!$J$5+IF(parametros_manuales!$H$31="Todos",datos_base!$J$12,0))*parametros_manuales!$I$110+parametros_manuales!$G$31*(datos_base!$J$21+IF(parametros_manuales!$H$31="Todos",datos_base!$J$26,0))*parametros_manuales!$I$15)*parametros_manuales!$I$31*parametros_manuales!$J$31</f>
        <v>428.9371184072</v>
      </c>
      <c r="J230" s="9" t="n">
        <f aca="false">(parametros_manuales!$D$31*(datos_base!$J$2+IF(parametros_manuales!$H$31="Todos",datos_base!$J$9,0))*parametros_manuales!$J$95+parametros_manuales!$D$31*(datos_base!$J$18+IF(parametros_manuales!$H$31="Todos",datos_base!$J$23,0))*parametros_manuales!$J$12+parametros_manuales!$E$31*(datos_base!$J$3+IF(parametros_manuales!$H$31="Todos",datos_base!$J$10,0))*parametros_manuales!$J$100+parametros_manuales!$E$31*(datos_base!$J$19+IF(parametros_manuales!$H$31="Todos",datos_base!$J$24,0))*parametros_manuales!$J$13+parametros_manuales!$F$31*(datos_base!$J$4+IF(parametros_manuales!$H$31="Todos",datos_base!$J$11,0))*parametros_manuales!$J$105+parametros_manuales!$F$31*(datos_base!$J$20+IF(parametros_manuales!$H$31="Todos",datos_base!$J$25,0))*parametros_manuales!$J$14+parametros_manuales!$G$31*(datos_base!$J$5+IF(parametros_manuales!$H$31="Todos",datos_base!$J$12,0))*parametros_manuales!$J$110+parametros_manuales!$G$31*(datos_base!$J$21+IF(parametros_manuales!$H$31="Todos",datos_base!$J$26,0))*parametros_manuales!$J$15)*parametros_manuales!$I$31*parametros_manuales!$J$31</f>
        <v>428.9371184072</v>
      </c>
      <c r="K230" s="9" t="n">
        <f aca="false">(parametros_manuales!$D$31*(datos_base!$J$2+IF(parametros_manuales!$H$31="Todos",datos_base!$J$9,0))*parametros_manuales!$K$95+parametros_manuales!$D$31*(datos_base!$J$18+IF(parametros_manuales!$H$31="Todos",datos_base!$J$23,0))*parametros_manuales!$K$12+parametros_manuales!$E$31*(datos_base!$J$3+IF(parametros_manuales!$H$31="Todos",datos_base!$J$10,0))*parametros_manuales!$K$100+parametros_manuales!$E$31*(datos_base!$J$19+IF(parametros_manuales!$H$31="Todos",datos_base!$J$24,0))*parametros_manuales!$K$13+parametros_manuales!$F$31*(datos_base!$J$4+IF(parametros_manuales!$H$31="Todos",datos_base!$J$11,0))*parametros_manuales!$K$105+parametros_manuales!$F$31*(datos_base!$J$20+IF(parametros_manuales!$H$31="Todos",datos_base!$J$25,0))*parametros_manuales!$K$14+parametros_manuales!$G$31*(datos_base!$J$5+IF(parametros_manuales!$H$31="Todos",datos_base!$J$12,0))*parametros_manuales!$K$110+parametros_manuales!$G$31*(datos_base!$J$21+IF(parametros_manuales!$H$31="Todos",datos_base!$J$26,0))*parametros_manuales!$K$15)*parametros_manuales!$I$31*parametros_manuales!$J$31</f>
        <v>435.9770484919</v>
      </c>
      <c r="L230" s="9" t="n">
        <f aca="false">(parametros_manuales!$D$31*(datos_base!$J$2+IF(parametros_manuales!$H$31="Todos",datos_base!$J$9,0))*parametros_manuales!$L$95+parametros_manuales!$D$31*(datos_base!$J$18+IF(parametros_manuales!$H$31="Todos",datos_base!$J$23,0))*parametros_manuales!$L$12+parametros_manuales!$E$31*(datos_base!$J$3+IF(parametros_manuales!$H$31="Todos",datos_base!$J$10,0))*parametros_manuales!$L$100+parametros_manuales!$E$31*(datos_base!$J$19+IF(parametros_manuales!$H$31="Todos",datos_base!$J$24,0))*parametros_manuales!$L$13+parametros_manuales!$F$31*(datos_base!$J$4+IF(parametros_manuales!$H$31="Todos",datos_base!$J$11,0))*parametros_manuales!$L$105+parametros_manuales!$F$31*(datos_base!$J$20+IF(parametros_manuales!$H$31="Todos",datos_base!$J$25,0))*parametros_manuales!$L$14+parametros_manuales!$G$31*(datos_base!$J$5+IF(parametros_manuales!$H$31="Todos",datos_base!$J$12,0))*parametros_manuales!$L$110+parametros_manuales!$G$31*(datos_base!$J$21+IF(parametros_manuales!$H$31="Todos",datos_base!$J$26,0))*parametros_manuales!$L$15)*parametros_manuales!$I$31*parametros_manuales!$J$31</f>
        <v>443.0169785766</v>
      </c>
      <c r="M230" s="9" t="n">
        <f aca="false">(parametros_manuales!$D$31*(datos_base!$J$2+IF(parametros_manuales!$H$31="Todos",datos_base!$J$9,0))*parametros_manuales!$M$95+parametros_manuales!$D$31*(datos_base!$J$18+IF(parametros_manuales!$H$31="Todos",datos_base!$J$23,0))*parametros_manuales!$M$12+parametros_manuales!$E$31*(datos_base!$J$3+IF(parametros_manuales!$H$31="Todos",datos_base!$J$10,0))*parametros_manuales!$M$100+parametros_manuales!$E$31*(datos_base!$J$19+IF(parametros_manuales!$H$31="Todos",datos_base!$J$24,0))*parametros_manuales!$M$13+parametros_manuales!$F$31*(datos_base!$J$4+IF(parametros_manuales!$H$31="Todos",datos_base!$J$11,0))*parametros_manuales!$M$105+parametros_manuales!$F$31*(datos_base!$J$20+IF(parametros_manuales!$H$31="Todos",datos_base!$J$25,0))*parametros_manuales!$M$14+parametros_manuales!$G$31*(datos_base!$J$5+IF(parametros_manuales!$H$31="Todos",datos_base!$J$12,0))*parametros_manuales!$M$110+parametros_manuales!$G$31*(datos_base!$J$21+IF(parametros_manuales!$H$31="Todos",datos_base!$J$26,0))*parametros_manuales!$M$15)*parametros_manuales!$I$31*parametros_manuales!$J$31</f>
        <v>443.1646265766</v>
      </c>
      <c r="N230" s="9" t="n">
        <f aca="false">SUM(B230:M230)</f>
        <v>4923.23113974</v>
      </c>
      <c r="O230" s="9" t="n">
        <f aca="false">MAX(B230:M230)</f>
        <v>443.1646265766</v>
      </c>
      <c r="P230" s="44" t="n">
        <f aca="false">O230/(parametros_manuales!$B$7)</f>
        <v>2.954430843844</v>
      </c>
      <c r="Q230" s="8" t="str">
        <f aca="false">IF(O230=0,"-",INDEX($B$217:$M$217,MATCH(O230,B230:M230,0)))</f>
        <v>Dic</v>
      </c>
    </row>
    <row r="231" customFormat="false" ht="14.25" hidden="false" customHeight="true" outlineLevel="0" collapsed="false">
      <c r="A231" s="8" t="str">
        <f aca="false">parametros_manuales!$B$32</f>
        <v>Prueba hidráulica</v>
      </c>
      <c r="B231" s="9" t="n">
        <f aca="false">(parametros_manuales!$D$32*(datos_base!$J$2+IF(parametros_manuales!$H$32="Todos",datos_base!$J$9,0))*parametros_manuales!$B$95+parametros_manuales!$D$32*(datos_base!$J$18+IF(parametros_manuales!$H$32="Todos",datos_base!$J$23,0))*parametros_manuales!$B$12+parametros_manuales!$E$32*(datos_base!$J$3+IF(parametros_manuales!$H$32="Todos",datos_base!$J$10,0))*parametros_manuales!$B$100+parametros_manuales!$E$32*(datos_base!$J$19+IF(parametros_manuales!$H$32="Todos",datos_base!$J$24,0))*parametros_manuales!$B$13+parametros_manuales!$F$32*(datos_base!$J$4+IF(parametros_manuales!$H$32="Todos",datos_base!$J$11,0))*parametros_manuales!$B$105+parametros_manuales!$F$32*(datos_base!$J$20+IF(parametros_manuales!$H$32="Todos",datos_base!$J$25,0))*parametros_manuales!$B$14+parametros_manuales!$G$32*(datos_base!$J$5+IF(parametros_manuales!$H$32="Todos",datos_base!$J$12,0))*parametros_manuales!$B$110+parametros_manuales!$G$32*(datos_base!$J$21+IF(parametros_manuales!$H$32="Todos",datos_base!$J$26,0))*parametros_manuales!$B$15)*parametros_manuales!$I$32*parametros_manuales!$J$32</f>
        <v>22156.38572883</v>
      </c>
      <c r="C231" s="9" t="n">
        <f aca="false">(parametros_manuales!$D$32*(datos_base!$J$2+IF(parametros_manuales!$H$32="Todos",datos_base!$J$9,0))*parametros_manuales!$C$95+parametros_manuales!$D$32*(datos_base!$J$18+IF(parametros_manuales!$H$32="Todos",datos_base!$J$23,0))*parametros_manuales!$C$12+parametros_manuales!$E$32*(datos_base!$J$3+IF(parametros_manuales!$H$32="Todos",datos_base!$J$10,0))*parametros_manuales!$C$100+parametros_manuales!$E$32*(datos_base!$J$19+IF(parametros_manuales!$H$32="Todos",datos_base!$J$24,0))*parametros_manuales!$C$13+parametros_manuales!$F$32*(datos_base!$J$4+IF(parametros_manuales!$H$32="Todos",datos_base!$J$11,0))*parametros_manuales!$C$105+parametros_manuales!$F$32*(datos_base!$J$20+IF(parametros_manuales!$H$32="Todos",datos_base!$J$25,0))*parametros_manuales!$C$14+parametros_manuales!$G$32*(datos_base!$J$5+IF(parametros_manuales!$H$32="Todos",datos_base!$J$12,0))*parametros_manuales!$C$110+parametros_manuales!$G$32*(datos_base!$J$21+IF(parametros_manuales!$H$32="Todos",datos_base!$J$26,0))*parametros_manuales!$C$15)*parametros_manuales!$I$32*parametros_manuales!$J$32</f>
        <v>21446.85592036</v>
      </c>
      <c r="D231" s="9" t="n">
        <f aca="false">(parametros_manuales!$D$32*(datos_base!$J$2+IF(parametros_manuales!$H$32="Todos",datos_base!$J$9,0))*parametros_manuales!$D$95+parametros_manuales!$D$32*(datos_base!$J$18+IF(parametros_manuales!$H$32="Todos",datos_base!$J$23,0))*parametros_manuales!$D$12+parametros_manuales!$E$32*(datos_base!$J$3+IF(parametros_manuales!$H$32="Todos",datos_base!$J$10,0))*parametros_manuales!$D$100+parametros_manuales!$E$32*(datos_base!$J$19+IF(parametros_manuales!$H$32="Todos",datos_base!$J$24,0))*parametros_manuales!$D$13+parametros_manuales!$F$32*(datos_base!$J$4+IF(parametros_manuales!$H$32="Todos",datos_base!$J$11,0))*parametros_manuales!$D$105+parametros_manuales!$F$32*(datos_base!$J$20+IF(parametros_manuales!$H$32="Todos",datos_base!$J$25,0))*parametros_manuales!$D$14+parametros_manuales!$G$32*(datos_base!$J$5+IF(parametros_manuales!$H$32="Todos",datos_base!$J$12,0))*parametros_manuales!$D$110+parametros_manuales!$G$32*(datos_base!$J$21+IF(parametros_manuales!$H$32="Todos",datos_base!$J$26,0))*parametros_manuales!$D$15)*parametros_manuales!$I$32*parametros_manuales!$J$32</f>
        <v>20046.766663195</v>
      </c>
      <c r="E231" s="9" t="n">
        <f aca="false">(parametros_manuales!$D$32*(datos_base!$J$2+IF(parametros_manuales!$H$32="Todos",datos_base!$J$9,0))*parametros_manuales!$E$95+parametros_manuales!$D$32*(datos_base!$J$18+IF(parametros_manuales!$H$32="Todos",datos_base!$J$23,0))*parametros_manuales!$E$12+parametros_manuales!$E$32*(datos_base!$J$3+IF(parametros_manuales!$H$32="Todos",datos_base!$J$10,0))*parametros_manuales!$E$100+parametros_manuales!$E$32*(datos_base!$J$19+IF(parametros_manuales!$H$32="Todos",datos_base!$J$24,0))*parametros_manuales!$E$13+parametros_manuales!$F$32*(datos_base!$J$4+IF(parametros_manuales!$H$32="Todos",datos_base!$J$11,0))*parametros_manuales!$E$105+parametros_manuales!$F$32*(datos_base!$J$20+IF(parametros_manuales!$H$32="Todos",datos_base!$J$25,0))*parametros_manuales!$E$14+parametros_manuales!$G$32*(datos_base!$J$5+IF(parametros_manuales!$H$32="Todos",datos_base!$J$12,0))*parametros_manuales!$E$110+parametros_manuales!$G$32*(datos_base!$J$21+IF(parametros_manuales!$H$32="Todos",datos_base!$J$26,0))*parametros_manuales!$E$15)*parametros_manuales!$I$32*parametros_manuales!$J$32</f>
        <v>19169.800982495</v>
      </c>
      <c r="F231" s="9" t="n">
        <f aca="false">(parametros_manuales!$D$32*(datos_base!$J$2+IF(parametros_manuales!$H$32="Todos",datos_base!$J$9,0))*parametros_manuales!$F$95+parametros_manuales!$D$32*(datos_base!$J$18+IF(parametros_manuales!$H$32="Todos",datos_base!$J$23,0))*parametros_manuales!$F$12+parametros_manuales!$E$32*(datos_base!$J$3+IF(parametros_manuales!$H$32="Todos",datos_base!$J$10,0))*parametros_manuales!$F$100+parametros_manuales!$E$32*(datos_base!$J$19+IF(parametros_manuales!$H$32="Todos",datos_base!$J$24,0))*parametros_manuales!$F$13+parametros_manuales!$F$32*(datos_base!$J$4+IF(parametros_manuales!$H$32="Todos",datos_base!$J$11,0))*parametros_manuales!$F$105+parametros_manuales!$F$32*(datos_base!$J$20+IF(parametros_manuales!$H$32="Todos",datos_base!$J$25,0))*parametros_manuales!$F$14+parametros_manuales!$G$32*(datos_base!$J$5+IF(parametros_manuales!$H$32="Todos",datos_base!$J$12,0))*parametros_manuales!$F$110+parametros_manuales!$G$32*(datos_base!$J$21+IF(parametros_manuales!$H$32="Todos",datos_base!$J$26,0))*parametros_manuales!$F$15)*parametros_manuales!$I$32*parametros_manuales!$J$32</f>
        <v>17938.99319756</v>
      </c>
      <c r="G231" s="9" t="n">
        <f aca="false">(parametros_manuales!$D$32*(datos_base!$J$2+IF(parametros_manuales!$H$32="Todos",datos_base!$J$9,0))*parametros_manuales!$G$95+parametros_manuales!$D$32*(datos_base!$J$18+IF(parametros_manuales!$H$32="Todos",datos_base!$J$23,0))*parametros_manuales!$G$12+parametros_manuales!$E$32*(datos_base!$J$3+IF(parametros_manuales!$H$32="Todos",datos_base!$J$10,0))*parametros_manuales!$G$100+parametros_manuales!$E$32*(datos_base!$J$19+IF(parametros_manuales!$H$32="Todos",datos_base!$J$24,0))*parametros_manuales!$G$13+parametros_manuales!$F$32*(datos_base!$J$4+IF(parametros_manuales!$H$32="Todos",datos_base!$J$11,0))*parametros_manuales!$G$105+parametros_manuales!$F$32*(datos_base!$J$20+IF(parametros_manuales!$H$32="Todos",datos_base!$J$25,0))*parametros_manuales!$G$14+parametros_manuales!$G$32*(datos_base!$J$5+IF(parametros_manuales!$H$32="Todos",datos_base!$J$12,0))*parametros_manuales!$G$110+parametros_manuales!$G$32*(datos_base!$J$21+IF(parametros_manuales!$H$32="Todos",datos_base!$J$26,0))*parametros_manuales!$G$15)*parametros_manuales!$I$32*parametros_manuales!$J$32</f>
        <v>17585.151093325</v>
      </c>
      <c r="H231" s="9" t="n">
        <f aca="false">(parametros_manuales!$D$32*(datos_base!$J$2+IF(parametros_manuales!$H$32="Todos",datos_base!$J$9,0))*parametros_manuales!$H$95+parametros_manuales!$D$32*(datos_base!$J$18+IF(parametros_manuales!$H$32="Todos",datos_base!$J$23,0))*parametros_manuales!$H$12+parametros_manuales!$E$32*(datos_base!$J$3+IF(parametros_manuales!$H$32="Todos",datos_base!$J$10,0))*parametros_manuales!$H$100+parametros_manuales!$E$32*(datos_base!$J$19+IF(parametros_manuales!$H$32="Todos",datos_base!$J$24,0))*parametros_manuales!$H$13+parametros_manuales!$F$32*(datos_base!$J$4+IF(parametros_manuales!$H$32="Todos",datos_base!$J$11,0))*parametros_manuales!$H$105+parametros_manuales!$F$32*(datos_base!$J$20+IF(parametros_manuales!$H$32="Todos",datos_base!$J$25,0))*parametros_manuales!$H$14+parametros_manuales!$G$32*(datos_base!$J$5+IF(parametros_manuales!$H$32="Todos",datos_base!$J$12,0))*parametros_manuales!$H$110+parametros_manuales!$G$32*(datos_base!$J$21+IF(parametros_manuales!$H$32="Todos",datos_base!$J$26,0))*parametros_manuales!$H$15)*parametros_manuales!$I$32*parametros_manuales!$J$32</f>
        <v>18815.95887826</v>
      </c>
      <c r="I231" s="9" t="n">
        <f aca="false">(parametros_manuales!$D$32*(datos_base!$J$2+IF(parametros_manuales!$H$32="Todos",datos_base!$J$9,0))*parametros_manuales!$I$95+parametros_manuales!$D$32*(datos_base!$J$18+IF(parametros_manuales!$H$32="Todos",datos_base!$J$23,0))*parametros_manuales!$I$12+parametros_manuales!$E$32*(datos_base!$J$3+IF(parametros_manuales!$H$32="Todos",datos_base!$J$10,0))*parametros_manuales!$I$100+parametros_manuales!$E$32*(datos_base!$J$19+IF(parametros_manuales!$H$32="Todos",datos_base!$J$24,0))*parametros_manuales!$I$13+parametros_manuales!$F$32*(datos_base!$J$4+IF(parametros_manuales!$H$32="Todos",datos_base!$J$11,0))*parametros_manuales!$I$105+parametros_manuales!$F$32*(datos_base!$J$20+IF(parametros_manuales!$H$32="Todos",datos_base!$J$25,0))*parametros_manuales!$I$14+parametros_manuales!$G$32*(datos_base!$J$5+IF(parametros_manuales!$H$32="Todos",datos_base!$J$12,0))*parametros_manuales!$I$110+parametros_manuales!$G$32*(datos_base!$J$21+IF(parametros_manuales!$H$32="Todos",datos_base!$J$26,0))*parametros_manuales!$I$15)*parametros_manuales!$I$32*parametros_manuales!$J$32</f>
        <v>21446.85592036</v>
      </c>
      <c r="J231" s="9" t="n">
        <f aca="false">(parametros_manuales!$D$32*(datos_base!$J$2+IF(parametros_manuales!$H$32="Todos",datos_base!$J$9,0))*parametros_manuales!$J$95+parametros_manuales!$D$32*(datos_base!$J$18+IF(parametros_manuales!$H$32="Todos",datos_base!$J$23,0))*parametros_manuales!$J$12+parametros_manuales!$E$32*(datos_base!$J$3+IF(parametros_manuales!$H$32="Todos",datos_base!$J$10,0))*parametros_manuales!$J$100+parametros_manuales!$E$32*(datos_base!$J$19+IF(parametros_manuales!$H$32="Todos",datos_base!$J$24,0))*parametros_manuales!$J$13+parametros_manuales!$F$32*(datos_base!$J$4+IF(parametros_manuales!$H$32="Todos",datos_base!$J$11,0))*parametros_manuales!$J$105+parametros_manuales!$F$32*(datos_base!$J$20+IF(parametros_manuales!$H$32="Todos",datos_base!$J$25,0))*parametros_manuales!$J$14+parametros_manuales!$G$32*(datos_base!$J$5+IF(parametros_manuales!$H$32="Todos",datos_base!$J$12,0))*parametros_manuales!$J$110+parametros_manuales!$G$32*(datos_base!$J$21+IF(parametros_manuales!$H$32="Todos",datos_base!$J$26,0))*parametros_manuales!$J$15)*parametros_manuales!$I$32*parametros_manuales!$J$32</f>
        <v>21446.85592036</v>
      </c>
      <c r="K231" s="9" t="n">
        <f aca="false">(parametros_manuales!$D$32*(datos_base!$J$2+IF(parametros_manuales!$H$32="Todos",datos_base!$J$9,0))*parametros_manuales!$K$95+parametros_manuales!$D$32*(datos_base!$J$18+IF(parametros_manuales!$H$32="Todos",datos_base!$J$23,0))*parametros_manuales!$K$12+parametros_manuales!$E$32*(datos_base!$J$3+IF(parametros_manuales!$H$32="Todos",datos_base!$J$10,0))*parametros_manuales!$K$100+parametros_manuales!$E$32*(datos_base!$J$19+IF(parametros_manuales!$H$32="Todos",datos_base!$J$24,0))*parametros_manuales!$K$13+parametros_manuales!$F$32*(datos_base!$J$4+IF(parametros_manuales!$H$32="Todos",datos_base!$J$11,0))*parametros_manuales!$K$105+parametros_manuales!$F$32*(datos_base!$J$20+IF(parametros_manuales!$H$32="Todos",datos_base!$J$25,0))*parametros_manuales!$K$14+parametros_manuales!$G$32*(datos_base!$J$5+IF(parametros_manuales!$H$32="Todos",datos_base!$J$12,0))*parametros_manuales!$K$110+parametros_manuales!$G$32*(datos_base!$J$21+IF(parametros_manuales!$H$32="Todos",datos_base!$J$26,0))*parametros_manuales!$K$15)*parametros_manuales!$I$32*parametros_manuales!$J$32</f>
        <v>21798.852424595</v>
      </c>
      <c r="L231" s="9" t="n">
        <f aca="false">(parametros_manuales!$D$32*(datos_base!$J$2+IF(parametros_manuales!$H$32="Todos",datos_base!$J$9,0))*parametros_manuales!$L$95+parametros_manuales!$D$32*(datos_base!$J$18+IF(parametros_manuales!$H$32="Todos",datos_base!$J$23,0))*parametros_manuales!$L$12+parametros_manuales!$E$32*(datos_base!$J$3+IF(parametros_manuales!$H$32="Todos",datos_base!$J$10,0))*parametros_manuales!$L$100+parametros_manuales!$E$32*(datos_base!$J$19+IF(parametros_manuales!$H$32="Todos",datos_base!$J$24,0))*parametros_manuales!$L$13+parametros_manuales!$F$32*(datos_base!$J$4+IF(parametros_manuales!$H$32="Todos",datos_base!$J$11,0))*parametros_manuales!$L$105+parametros_manuales!$F$32*(datos_base!$J$20+IF(parametros_manuales!$H$32="Todos",datos_base!$J$25,0))*parametros_manuales!$L$14+parametros_manuales!$G$32*(datos_base!$J$5+IF(parametros_manuales!$H$32="Todos",datos_base!$J$12,0))*parametros_manuales!$L$110+parametros_manuales!$G$32*(datos_base!$J$21+IF(parametros_manuales!$H$32="Todos",datos_base!$J$26,0))*parametros_manuales!$L$15)*parametros_manuales!$I$32*parametros_manuales!$J$32</f>
        <v>22150.84892883</v>
      </c>
      <c r="M231" s="9" t="n">
        <f aca="false">(parametros_manuales!$D$32*(datos_base!$J$2+IF(parametros_manuales!$H$32="Todos",datos_base!$J$9,0))*parametros_manuales!$M$95+parametros_manuales!$D$32*(datos_base!$J$18+IF(parametros_manuales!$H$32="Todos",datos_base!$J$23,0))*parametros_manuales!$M$12+parametros_manuales!$E$32*(datos_base!$J$3+IF(parametros_manuales!$H$32="Todos",datos_base!$J$10,0))*parametros_manuales!$M$100+parametros_manuales!$E$32*(datos_base!$J$19+IF(parametros_manuales!$H$32="Todos",datos_base!$J$24,0))*parametros_manuales!$M$13+parametros_manuales!$F$32*(datos_base!$J$4+IF(parametros_manuales!$H$32="Todos",datos_base!$J$11,0))*parametros_manuales!$M$105+parametros_manuales!$F$32*(datos_base!$J$20+IF(parametros_manuales!$H$32="Todos",datos_base!$J$25,0))*parametros_manuales!$M$14+parametros_manuales!$G$32*(datos_base!$J$5+IF(parametros_manuales!$H$32="Todos",datos_base!$J$12,0))*parametros_manuales!$M$110+parametros_manuales!$G$32*(datos_base!$J$21+IF(parametros_manuales!$H$32="Todos",datos_base!$J$26,0))*parametros_manuales!$M$15)*parametros_manuales!$I$32*parametros_manuales!$J$32</f>
        <v>22158.23132883</v>
      </c>
      <c r="N231" s="9" t="n">
        <f aca="false">SUM(B231:M231)</f>
        <v>246161.556987</v>
      </c>
      <c r="O231" s="9" t="n">
        <f aca="false">MAX(B231:M231)</f>
        <v>22158.23132883</v>
      </c>
      <c r="P231" s="44" t="n">
        <f aca="false">O231/(parametros_manuales!$B$7)</f>
        <v>147.7215421922</v>
      </c>
      <c r="Q231" s="8" t="str">
        <f aca="false">IF(O231=0,"-",INDEX($B$217:$M$217,MATCH(O231,B231:M231,0)))</f>
        <v>Dic</v>
      </c>
    </row>
    <row r="232" customFormat="false" ht="14.25" hidden="false" customHeight="true" outlineLevel="0" collapsed="false">
      <c r="A232" s="8" t="str">
        <f aca="false">parametros_manuales!$B$33</f>
        <v>Secado</v>
      </c>
      <c r="B232" s="9" t="n">
        <f aca="false">(parametros_manuales!$D$33*(datos_base!$J$2+IF(parametros_manuales!$H$33="Todos",datos_base!$J$9,0))*parametros_manuales!$B$95+parametros_manuales!$D$33*(datos_base!$J$18+IF(parametros_manuales!$H$33="Todos",datos_base!$J$23,0))*parametros_manuales!$B$12+parametros_manuales!$E$33*(datos_base!$J$3+IF(parametros_manuales!$H$33="Todos",datos_base!$J$10,0))*parametros_manuales!$B$100+parametros_manuales!$E$33*(datos_base!$J$19+IF(parametros_manuales!$H$33="Todos",datos_base!$J$24,0))*parametros_manuales!$B$13+parametros_manuales!$F$33*(datos_base!$J$4+IF(parametros_manuales!$H$33="Todos",datos_base!$J$11,0))*parametros_manuales!$B$105+parametros_manuales!$F$33*(datos_base!$J$20+IF(parametros_manuales!$H$33="Todos",datos_base!$J$25,0))*parametros_manuales!$B$14+parametros_manuales!$G$33*(datos_base!$J$5+IF(parametros_manuales!$H$33="Todos",datos_base!$J$12,0))*parametros_manuales!$B$110+parametros_manuales!$G$33*(datos_base!$J$21+IF(parametros_manuales!$H$33="Todos",datos_base!$J$26,0))*parametros_manuales!$B$15)*parametros_manuales!$I$33*parametros_manuales!$J$33</f>
        <v>22156.38572883</v>
      </c>
      <c r="C232" s="9" t="n">
        <f aca="false">(parametros_manuales!$D$33*(datos_base!$J$2+IF(parametros_manuales!$H$33="Todos",datos_base!$J$9,0))*parametros_manuales!$C$95+parametros_manuales!$D$33*(datos_base!$J$18+IF(parametros_manuales!$H$33="Todos",datos_base!$J$23,0))*parametros_manuales!$C$12+parametros_manuales!$E$33*(datos_base!$J$3+IF(parametros_manuales!$H$33="Todos",datos_base!$J$10,0))*parametros_manuales!$C$100+parametros_manuales!$E$33*(datos_base!$J$19+IF(parametros_manuales!$H$33="Todos",datos_base!$J$24,0))*parametros_manuales!$C$13+parametros_manuales!$F$33*(datos_base!$J$4+IF(parametros_manuales!$H$33="Todos",datos_base!$J$11,0))*parametros_manuales!$C$105+parametros_manuales!$F$33*(datos_base!$J$20+IF(parametros_manuales!$H$33="Todos",datos_base!$J$25,0))*parametros_manuales!$C$14+parametros_manuales!$G$33*(datos_base!$J$5+IF(parametros_manuales!$H$33="Todos",datos_base!$J$12,0))*parametros_manuales!$C$110+parametros_manuales!$G$33*(datos_base!$J$21+IF(parametros_manuales!$H$33="Todos",datos_base!$J$26,0))*parametros_manuales!$C$15)*parametros_manuales!$I$33*parametros_manuales!$J$33</f>
        <v>21446.85592036</v>
      </c>
      <c r="D232" s="9" t="n">
        <f aca="false">(parametros_manuales!$D$33*(datos_base!$J$2+IF(parametros_manuales!$H$33="Todos",datos_base!$J$9,0))*parametros_manuales!$D$95+parametros_manuales!$D$33*(datos_base!$J$18+IF(parametros_manuales!$H$33="Todos",datos_base!$J$23,0))*parametros_manuales!$D$12+parametros_manuales!$E$33*(datos_base!$J$3+IF(parametros_manuales!$H$33="Todos",datos_base!$J$10,0))*parametros_manuales!$D$100+parametros_manuales!$E$33*(datos_base!$J$19+IF(parametros_manuales!$H$33="Todos",datos_base!$J$24,0))*parametros_manuales!$D$13+parametros_manuales!$F$33*(datos_base!$J$4+IF(parametros_manuales!$H$33="Todos",datos_base!$J$11,0))*parametros_manuales!$D$105+parametros_manuales!$F$33*(datos_base!$J$20+IF(parametros_manuales!$H$33="Todos",datos_base!$J$25,0))*parametros_manuales!$D$14+parametros_manuales!$G$33*(datos_base!$J$5+IF(parametros_manuales!$H$33="Todos",datos_base!$J$12,0))*parametros_manuales!$D$110+parametros_manuales!$G$33*(datos_base!$J$21+IF(parametros_manuales!$H$33="Todos",datos_base!$J$26,0))*parametros_manuales!$D$15)*parametros_manuales!$I$33*parametros_manuales!$J$33</f>
        <v>20046.766663195</v>
      </c>
      <c r="E232" s="9" t="n">
        <f aca="false">(parametros_manuales!$D$33*(datos_base!$J$2+IF(parametros_manuales!$H$33="Todos",datos_base!$J$9,0))*parametros_manuales!$E$95+parametros_manuales!$D$33*(datos_base!$J$18+IF(parametros_manuales!$H$33="Todos",datos_base!$J$23,0))*parametros_manuales!$E$12+parametros_manuales!$E$33*(datos_base!$J$3+IF(parametros_manuales!$H$33="Todos",datos_base!$J$10,0))*parametros_manuales!$E$100+parametros_manuales!$E$33*(datos_base!$J$19+IF(parametros_manuales!$H$33="Todos",datos_base!$J$24,0))*parametros_manuales!$E$13+parametros_manuales!$F$33*(datos_base!$J$4+IF(parametros_manuales!$H$33="Todos",datos_base!$J$11,0))*parametros_manuales!$E$105+parametros_manuales!$F$33*(datos_base!$J$20+IF(parametros_manuales!$H$33="Todos",datos_base!$J$25,0))*parametros_manuales!$E$14+parametros_manuales!$G$33*(datos_base!$J$5+IF(parametros_manuales!$H$33="Todos",datos_base!$J$12,0))*parametros_manuales!$E$110+parametros_manuales!$G$33*(datos_base!$J$21+IF(parametros_manuales!$H$33="Todos",datos_base!$J$26,0))*parametros_manuales!$E$15)*parametros_manuales!$I$33*parametros_manuales!$J$33</f>
        <v>19169.800982495</v>
      </c>
      <c r="F232" s="9" t="n">
        <f aca="false">(parametros_manuales!$D$33*(datos_base!$J$2+IF(parametros_manuales!$H$33="Todos",datos_base!$J$9,0))*parametros_manuales!$F$95+parametros_manuales!$D$33*(datos_base!$J$18+IF(parametros_manuales!$H$33="Todos",datos_base!$J$23,0))*parametros_manuales!$F$12+parametros_manuales!$E$33*(datos_base!$J$3+IF(parametros_manuales!$H$33="Todos",datos_base!$J$10,0))*parametros_manuales!$F$100+parametros_manuales!$E$33*(datos_base!$J$19+IF(parametros_manuales!$H$33="Todos",datos_base!$J$24,0))*parametros_manuales!$F$13+parametros_manuales!$F$33*(datos_base!$J$4+IF(parametros_manuales!$H$33="Todos",datos_base!$J$11,0))*parametros_manuales!$F$105+parametros_manuales!$F$33*(datos_base!$J$20+IF(parametros_manuales!$H$33="Todos",datos_base!$J$25,0))*parametros_manuales!$F$14+parametros_manuales!$G$33*(datos_base!$J$5+IF(parametros_manuales!$H$33="Todos",datos_base!$J$12,0))*parametros_manuales!$F$110+parametros_manuales!$G$33*(datos_base!$J$21+IF(parametros_manuales!$H$33="Todos",datos_base!$J$26,0))*parametros_manuales!$F$15)*parametros_manuales!$I$33*parametros_manuales!$J$33</f>
        <v>17938.99319756</v>
      </c>
      <c r="G232" s="9" t="n">
        <f aca="false">(parametros_manuales!$D$33*(datos_base!$J$2+IF(parametros_manuales!$H$33="Todos",datos_base!$J$9,0))*parametros_manuales!$G$95+parametros_manuales!$D$33*(datos_base!$J$18+IF(parametros_manuales!$H$33="Todos",datos_base!$J$23,0))*parametros_manuales!$G$12+parametros_manuales!$E$33*(datos_base!$J$3+IF(parametros_manuales!$H$33="Todos",datos_base!$J$10,0))*parametros_manuales!$G$100+parametros_manuales!$E$33*(datos_base!$J$19+IF(parametros_manuales!$H$33="Todos",datos_base!$J$24,0))*parametros_manuales!$G$13+parametros_manuales!$F$33*(datos_base!$J$4+IF(parametros_manuales!$H$33="Todos",datos_base!$J$11,0))*parametros_manuales!$G$105+parametros_manuales!$F$33*(datos_base!$J$20+IF(parametros_manuales!$H$33="Todos",datos_base!$J$25,0))*parametros_manuales!$G$14+parametros_manuales!$G$33*(datos_base!$J$5+IF(parametros_manuales!$H$33="Todos",datos_base!$J$12,0))*parametros_manuales!$G$110+parametros_manuales!$G$33*(datos_base!$J$21+IF(parametros_manuales!$H$33="Todos",datos_base!$J$26,0))*parametros_manuales!$G$15)*parametros_manuales!$I$33*parametros_manuales!$J$33</f>
        <v>17585.151093325</v>
      </c>
      <c r="H232" s="9" t="n">
        <f aca="false">(parametros_manuales!$D$33*(datos_base!$J$2+IF(parametros_manuales!$H$33="Todos",datos_base!$J$9,0))*parametros_manuales!$H$95+parametros_manuales!$D$33*(datos_base!$J$18+IF(parametros_manuales!$H$33="Todos",datos_base!$J$23,0))*parametros_manuales!$H$12+parametros_manuales!$E$33*(datos_base!$J$3+IF(parametros_manuales!$H$33="Todos",datos_base!$J$10,0))*parametros_manuales!$H$100+parametros_manuales!$E$33*(datos_base!$J$19+IF(parametros_manuales!$H$33="Todos",datos_base!$J$24,0))*parametros_manuales!$H$13+parametros_manuales!$F$33*(datos_base!$J$4+IF(parametros_manuales!$H$33="Todos",datos_base!$J$11,0))*parametros_manuales!$H$105+parametros_manuales!$F$33*(datos_base!$J$20+IF(parametros_manuales!$H$33="Todos",datos_base!$J$25,0))*parametros_manuales!$H$14+parametros_manuales!$G$33*(datos_base!$J$5+IF(parametros_manuales!$H$33="Todos",datos_base!$J$12,0))*parametros_manuales!$H$110+parametros_manuales!$G$33*(datos_base!$J$21+IF(parametros_manuales!$H$33="Todos",datos_base!$J$26,0))*parametros_manuales!$H$15)*parametros_manuales!$I$33*parametros_manuales!$J$33</f>
        <v>18815.95887826</v>
      </c>
      <c r="I232" s="9" t="n">
        <f aca="false">(parametros_manuales!$D$33*(datos_base!$J$2+IF(parametros_manuales!$H$33="Todos",datos_base!$J$9,0))*parametros_manuales!$I$95+parametros_manuales!$D$33*(datos_base!$J$18+IF(parametros_manuales!$H$33="Todos",datos_base!$J$23,0))*parametros_manuales!$I$12+parametros_manuales!$E$33*(datos_base!$J$3+IF(parametros_manuales!$H$33="Todos",datos_base!$J$10,0))*parametros_manuales!$I$100+parametros_manuales!$E$33*(datos_base!$J$19+IF(parametros_manuales!$H$33="Todos",datos_base!$J$24,0))*parametros_manuales!$I$13+parametros_manuales!$F$33*(datos_base!$J$4+IF(parametros_manuales!$H$33="Todos",datos_base!$J$11,0))*parametros_manuales!$I$105+parametros_manuales!$F$33*(datos_base!$J$20+IF(parametros_manuales!$H$33="Todos",datos_base!$J$25,0))*parametros_manuales!$I$14+parametros_manuales!$G$33*(datos_base!$J$5+IF(parametros_manuales!$H$33="Todos",datos_base!$J$12,0))*parametros_manuales!$I$110+parametros_manuales!$G$33*(datos_base!$J$21+IF(parametros_manuales!$H$33="Todos",datos_base!$J$26,0))*parametros_manuales!$I$15)*parametros_manuales!$I$33*parametros_manuales!$J$33</f>
        <v>21446.85592036</v>
      </c>
      <c r="J232" s="9" t="n">
        <f aca="false">(parametros_manuales!$D$33*(datos_base!$J$2+IF(parametros_manuales!$H$33="Todos",datos_base!$J$9,0))*parametros_manuales!$J$95+parametros_manuales!$D$33*(datos_base!$J$18+IF(parametros_manuales!$H$33="Todos",datos_base!$J$23,0))*parametros_manuales!$J$12+parametros_manuales!$E$33*(datos_base!$J$3+IF(parametros_manuales!$H$33="Todos",datos_base!$J$10,0))*parametros_manuales!$J$100+parametros_manuales!$E$33*(datos_base!$J$19+IF(parametros_manuales!$H$33="Todos",datos_base!$J$24,0))*parametros_manuales!$J$13+parametros_manuales!$F$33*(datos_base!$J$4+IF(parametros_manuales!$H$33="Todos",datos_base!$J$11,0))*parametros_manuales!$J$105+parametros_manuales!$F$33*(datos_base!$J$20+IF(parametros_manuales!$H$33="Todos",datos_base!$J$25,0))*parametros_manuales!$J$14+parametros_manuales!$G$33*(datos_base!$J$5+IF(parametros_manuales!$H$33="Todos",datos_base!$J$12,0))*parametros_manuales!$J$110+parametros_manuales!$G$33*(datos_base!$J$21+IF(parametros_manuales!$H$33="Todos",datos_base!$J$26,0))*parametros_manuales!$J$15)*parametros_manuales!$I$33*parametros_manuales!$J$33</f>
        <v>21446.85592036</v>
      </c>
      <c r="K232" s="9" t="n">
        <f aca="false">(parametros_manuales!$D$33*(datos_base!$J$2+IF(parametros_manuales!$H$33="Todos",datos_base!$J$9,0))*parametros_manuales!$K$95+parametros_manuales!$D$33*(datos_base!$J$18+IF(parametros_manuales!$H$33="Todos",datos_base!$J$23,0))*parametros_manuales!$K$12+parametros_manuales!$E$33*(datos_base!$J$3+IF(parametros_manuales!$H$33="Todos",datos_base!$J$10,0))*parametros_manuales!$K$100+parametros_manuales!$E$33*(datos_base!$J$19+IF(parametros_manuales!$H$33="Todos",datos_base!$J$24,0))*parametros_manuales!$K$13+parametros_manuales!$F$33*(datos_base!$J$4+IF(parametros_manuales!$H$33="Todos",datos_base!$J$11,0))*parametros_manuales!$K$105+parametros_manuales!$F$33*(datos_base!$J$20+IF(parametros_manuales!$H$33="Todos",datos_base!$J$25,0))*parametros_manuales!$K$14+parametros_manuales!$G$33*(datos_base!$J$5+IF(parametros_manuales!$H$33="Todos",datos_base!$J$12,0))*parametros_manuales!$K$110+parametros_manuales!$G$33*(datos_base!$J$21+IF(parametros_manuales!$H$33="Todos",datos_base!$J$26,0))*parametros_manuales!$K$15)*parametros_manuales!$I$33*parametros_manuales!$J$33</f>
        <v>21798.852424595</v>
      </c>
      <c r="L232" s="9" t="n">
        <f aca="false">(parametros_manuales!$D$33*(datos_base!$J$2+IF(parametros_manuales!$H$33="Todos",datos_base!$J$9,0))*parametros_manuales!$L$95+parametros_manuales!$D$33*(datos_base!$J$18+IF(parametros_manuales!$H$33="Todos",datos_base!$J$23,0))*parametros_manuales!$L$12+parametros_manuales!$E$33*(datos_base!$J$3+IF(parametros_manuales!$H$33="Todos",datos_base!$J$10,0))*parametros_manuales!$L$100+parametros_manuales!$E$33*(datos_base!$J$19+IF(parametros_manuales!$H$33="Todos",datos_base!$J$24,0))*parametros_manuales!$L$13+parametros_manuales!$F$33*(datos_base!$J$4+IF(parametros_manuales!$H$33="Todos",datos_base!$J$11,0))*parametros_manuales!$L$105+parametros_manuales!$F$33*(datos_base!$J$20+IF(parametros_manuales!$H$33="Todos",datos_base!$J$25,0))*parametros_manuales!$L$14+parametros_manuales!$G$33*(datos_base!$J$5+IF(parametros_manuales!$H$33="Todos",datos_base!$J$12,0))*parametros_manuales!$L$110+parametros_manuales!$G$33*(datos_base!$J$21+IF(parametros_manuales!$H$33="Todos",datos_base!$J$26,0))*parametros_manuales!$L$15)*parametros_manuales!$I$33*parametros_manuales!$J$33</f>
        <v>22150.84892883</v>
      </c>
      <c r="M232" s="9" t="n">
        <f aca="false">(parametros_manuales!$D$33*(datos_base!$J$2+IF(parametros_manuales!$H$33="Todos",datos_base!$J$9,0))*parametros_manuales!$M$95+parametros_manuales!$D$33*(datos_base!$J$18+IF(parametros_manuales!$H$33="Todos",datos_base!$J$23,0))*parametros_manuales!$M$12+parametros_manuales!$E$33*(datos_base!$J$3+IF(parametros_manuales!$H$33="Todos",datos_base!$J$10,0))*parametros_manuales!$M$100+parametros_manuales!$E$33*(datos_base!$J$19+IF(parametros_manuales!$H$33="Todos",datos_base!$J$24,0))*parametros_manuales!$M$13+parametros_manuales!$F$33*(datos_base!$J$4+IF(parametros_manuales!$H$33="Todos",datos_base!$J$11,0))*parametros_manuales!$M$105+parametros_manuales!$F$33*(datos_base!$J$20+IF(parametros_manuales!$H$33="Todos",datos_base!$J$25,0))*parametros_manuales!$M$14+parametros_manuales!$G$33*(datos_base!$J$5+IF(parametros_manuales!$H$33="Todos",datos_base!$J$12,0))*parametros_manuales!$M$110+parametros_manuales!$G$33*(datos_base!$J$21+IF(parametros_manuales!$H$33="Todos",datos_base!$J$26,0))*parametros_manuales!$M$15)*parametros_manuales!$I$33*parametros_manuales!$J$33</f>
        <v>22158.23132883</v>
      </c>
      <c r="N232" s="9" t="n">
        <f aca="false">SUM(B232:M232)</f>
        <v>246161.556987</v>
      </c>
      <c r="O232" s="9" t="n">
        <f aca="false">MAX(B232:M232)</f>
        <v>22158.23132883</v>
      </c>
      <c r="P232" s="44" t="n">
        <f aca="false">O232/(parametros_manuales!$B$7)</f>
        <v>147.7215421922</v>
      </c>
      <c r="Q232" s="8" t="str">
        <f aca="false">IF(O232=0,"-",INDEX($B$217:$M$217,MATCH(O232,B232:M232,0)))</f>
        <v>Dic</v>
      </c>
    </row>
    <row r="233" customFormat="false" ht="14.25" hidden="false" customHeight="true" outlineLevel="0" collapsed="false">
      <c r="A233" s="8" t="str">
        <f aca="false">parametros_manuales!$B$34</f>
        <v>Granallado</v>
      </c>
      <c r="B233" s="9" t="n">
        <f aca="false">(parametros_manuales!$D$34*(datos_base!$J$2+IF(parametros_manuales!$H$34="Todos",datos_base!$J$9,0))*parametros_manuales!$B$95+parametros_manuales!$D$34*(datos_base!$J$18+IF(parametros_manuales!$H$34="Todos",datos_base!$J$23,0))*parametros_manuales!$B$12+parametros_manuales!$E$34*(datos_base!$J$3+IF(parametros_manuales!$H$34="Todos",datos_base!$J$10,0))*parametros_manuales!$B$100+parametros_manuales!$E$34*(datos_base!$J$19+IF(parametros_manuales!$H$34="Todos",datos_base!$J$24,0))*parametros_manuales!$B$13+parametros_manuales!$F$34*(datos_base!$J$4+IF(parametros_manuales!$H$34="Todos",datos_base!$J$11,0))*parametros_manuales!$B$105+parametros_manuales!$F$34*(datos_base!$J$20+IF(parametros_manuales!$H$34="Todos",datos_base!$J$25,0))*parametros_manuales!$B$14+parametros_manuales!$G$34*(datos_base!$J$5+IF(parametros_manuales!$H$34="Todos",datos_base!$J$12,0))*parametros_manuales!$B$110+parametros_manuales!$G$34*(datos_base!$J$21+IF(parametros_manuales!$H$34="Todos",datos_base!$J$26,0))*parametros_manuales!$B$15)*parametros_manuales!$I$34*parametros_manuales!$J$34</f>
        <v>22156.38572883</v>
      </c>
      <c r="C233" s="9" t="n">
        <f aca="false">(parametros_manuales!$D$34*(datos_base!$J$2+IF(parametros_manuales!$H$34="Todos",datos_base!$J$9,0))*parametros_manuales!$C$95+parametros_manuales!$D$34*(datos_base!$J$18+IF(parametros_manuales!$H$34="Todos",datos_base!$J$23,0))*parametros_manuales!$C$12+parametros_manuales!$E$34*(datos_base!$J$3+IF(parametros_manuales!$H$34="Todos",datos_base!$J$10,0))*parametros_manuales!$C$100+parametros_manuales!$E$34*(datos_base!$J$19+IF(parametros_manuales!$H$34="Todos",datos_base!$J$24,0))*parametros_manuales!$C$13+parametros_manuales!$F$34*(datos_base!$J$4+IF(parametros_manuales!$H$34="Todos",datos_base!$J$11,0))*parametros_manuales!$C$105+parametros_manuales!$F$34*(datos_base!$J$20+IF(parametros_manuales!$H$34="Todos",datos_base!$J$25,0))*parametros_manuales!$C$14+parametros_manuales!$G$34*(datos_base!$J$5+IF(parametros_manuales!$H$34="Todos",datos_base!$J$12,0))*parametros_manuales!$C$110+parametros_manuales!$G$34*(datos_base!$J$21+IF(parametros_manuales!$H$34="Todos",datos_base!$J$26,0))*parametros_manuales!$C$15)*parametros_manuales!$I$34*parametros_manuales!$J$34</f>
        <v>21446.85592036</v>
      </c>
      <c r="D233" s="9" t="n">
        <f aca="false">(parametros_manuales!$D$34*(datos_base!$J$2+IF(parametros_manuales!$H$34="Todos",datos_base!$J$9,0))*parametros_manuales!$D$95+parametros_manuales!$D$34*(datos_base!$J$18+IF(parametros_manuales!$H$34="Todos",datos_base!$J$23,0))*parametros_manuales!$D$12+parametros_manuales!$E$34*(datos_base!$J$3+IF(parametros_manuales!$H$34="Todos",datos_base!$J$10,0))*parametros_manuales!$D$100+parametros_manuales!$E$34*(datos_base!$J$19+IF(parametros_manuales!$H$34="Todos",datos_base!$J$24,0))*parametros_manuales!$D$13+parametros_manuales!$F$34*(datos_base!$J$4+IF(parametros_manuales!$H$34="Todos",datos_base!$J$11,0))*parametros_manuales!$D$105+parametros_manuales!$F$34*(datos_base!$J$20+IF(parametros_manuales!$H$34="Todos",datos_base!$J$25,0))*parametros_manuales!$D$14+parametros_manuales!$G$34*(datos_base!$J$5+IF(parametros_manuales!$H$34="Todos",datos_base!$J$12,0))*parametros_manuales!$D$110+parametros_manuales!$G$34*(datos_base!$J$21+IF(parametros_manuales!$H$34="Todos",datos_base!$J$26,0))*parametros_manuales!$D$15)*parametros_manuales!$I$34*parametros_manuales!$J$34</f>
        <v>20046.766663195</v>
      </c>
      <c r="E233" s="9" t="n">
        <f aca="false">(parametros_manuales!$D$34*(datos_base!$J$2+IF(parametros_manuales!$H$34="Todos",datos_base!$J$9,0))*parametros_manuales!$E$95+parametros_manuales!$D$34*(datos_base!$J$18+IF(parametros_manuales!$H$34="Todos",datos_base!$J$23,0))*parametros_manuales!$E$12+parametros_manuales!$E$34*(datos_base!$J$3+IF(parametros_manuales!$H$34="Todos",datos_base!$J$10,0))*parametros_manuales!$E$100+parametros_manuales!$E$34*(datos_base!$J$19+IF(parametros_manuales!$H$34="Todos",datos_base!$J$24,0))*parametros_manuales!$E$13+parametros_manuales!$F$34*(datos_base!$J$4+IF(parametros_manuales!$H$34="Todos",datos_base!$J$11,0))*parametros_manuales!$E$105+parametros_manuales!$F$34*(datos_base!$J$20+IF(parametros_manuales!$H$34="Todos",datos_base!$J$25,0))*parametros_manuales!$E$14+parametros_manuales!$G$34*(datos_base!$J$5+IF(parametros_manuales!$H$34="Todos",datos_base!$J$12,0))*parametros_manuales!$E$110+parametros_manuales!$G$34*(datos_base!$J$21+IF(parametros_manuales!$H$34="Todos",datos_base!$J$26,0))*parametros_manuales!$E$15)*parametros_manuales!$I$34*parametros_manuales!$J$34</f>
        <v>19169.800982495</v>
      </c>
      <c r="F233" s="9" t="n">
        <f aca="false">(parametros_manuales!$D$34*(datos_base!$J$2+IF(parametros_manuales!$H$34="Todos",datos_base!$J$9,0))*parametros_manuales!$F$95+parametros_manuales!$D$34*(datos_base!$J$18+IF(parametros_manuales!$H$34="Todos",datos_base!$J$23,0))*parametros_manuales!$F$12+parametros_manuales!$E$34*(datos_base!$J$3+IF(parametros_manuales!$H$34="Todos",datos_base!$J$10,0))*parametros_manuales!$F$100+parametros_manuales!$E$34*(datos_base!$J$19+IF(parametros_manuales!$H$34="Todos",datos_base!$J$24,0))*parametros_manuales!$F$13+parametros_manuales!$F$34*(datos_base!$J$4+IF(parametros_manuales!$H$34="Todos",datos_base!$J$11,0))*parametros_manuales!$F$105+parametros_manuales!$F$34*(datos_base!$J$20+IF(parametros_manuales!$H$34="Todos",datos_base!$J$25,0))*parametros_manuales!$F$14+parametros_manuales!$G$34*(datos_base!$J$5+IF(parametros_manuales!$H$34="Todos",datos_base!$J$12,0))*parametros_manuales!$F$110+parametros_manuales!$G$34*(datos_base!$J$21+IF(parametros_manuales!$H$34="Todos",datos_base!$J$26,0))*parametros_manuales!$F$15)*parametros_manuales!$I$34*parametros_manuales!$J$34</f>
        <v>17938.99319756</v>
      </c>
      <c r="G233" s="9" t="n">
        <f aca="false">(parametros_manuales!$D$34*(datos_base!$J$2+IF(parametros_manuales!$H$34="Todos",datos_base!$J$9,0))*parametros_manuales!$G$95+parametros_manuales!$D$34*(datos_base!$J$18+IF(parametros_manuales!$H$34="Todos",datos_base!$J$23,0))*parametros_manuales!$G$12+parametros_manuales!$E$34*(datos_base!$J$3+IF(parametros_manuales!$H$34="Todos",datos_base!$J$10,0))*parametros_manuales!$G$100+parametros_manuales!$E$34*(datos_base!$J$19+IF(parametros_manuales!$H$34="Todos",datos_base!$J$24,0))*parametros_manuales!$G$13+parametros_manuales!$F$34*(datos_base!$J$4+IF(parametros_manuales!$H$34="Todos",datos_base!$J$11,0))*parametros_manuales!$G$105+parametros_manuales!$F$34*(datos_base!$J$20+IF(parametros_manuales!$H$34="Todos",datos_base!$J$25,0))*parametros_manuales!$G$14+parametros_manuales!$G$34*(datos_base!$J$5+IF(parametros_manuales!$H$34="Todos",datos_base!$J$12,0))*parametros_manuales!$G$110+parametros_manuales!$G$34*(datos_base!$J$21+IF(parametros_manuales!$H$34="Todos",datos_base!$J$26,0))*parametros_manuales!$G$15)*parametros_manuales!$I$34*parametros_manuales!$J$34</f>
        <v>17585.151093325</v>
      </c>
      <c r="H233" s="9" t="n">
        <f aca="false">(parametros_manuales!$D$34*(datos_base!$J$2+IF(parametros_manuales!$H$34="Todos",datos_base!$J$9,0))*parametros_manuales!$H$95+parametros_manuales!$D$34*(datos_base!$J$18+IF(parametros_manuales!$H$34="Todos",datos_base!$J$23,0))*parametros_manuales!$H$12+parametros_manuales!$E$34*(datos_base!$J$3+IF(parametros_manuales!$H$34="Todos",datos_base!$J$10,0))*parametros_manuales!$H$100+parametros_manuales!$E$34*(datos_base!$J$19+IF(parametros_manuales!$H$34="Todos",datos_base!$J$24,0))*parametros_manuales!$H$13+parametros_manuales!$F$34*(datos_base!$J$4+IF(parametros_manuales!$H$34="Todos",datos_base!$J$11,0))*parametros_manuales!$H$105+parametros_manuales!$F$34*(datos_base!$J$20+IF(parametros_manuales!$H$34="Todos",datos_base!$J$25,0))*parametros_manuales!$H$14+parametros_manuales!$G$34*(datos_base!$J$5+IF(parametros_manuales!$H$34="Todos",datos_base!$J$12,0))*parametros_manuales!$H$110+parametros_manuales!$G$34*(datos_base!$J$21+IF(parametros_manuales!$H$34="Todos",datos_base!$J$26,0))*parametros_manuales!$H$15)*parametros_manuales!$I$34*parametros_manuales!$J$34</f>
        <v>18815.95887826</v>
      </c>
      <c r="I233" s="9" t="n">
        <f aca="false">(parametros_manuales!$D$34*(datos_base!$J$2+IF(parametros_manuales!$H$34="Todos",datos_base!$J$9,0))*parametros_manuales!$I$95+parametros_manuales!$D$34*(datos_base!$J$18+IF(parametros_manuales!$H$34="Todos",datos_base!$J$23,0))*parametros_manuales!$I$12+parametros_manuales!$E$34*(datos_base!$J$3+IF(parametros_manuales!$H$34="Todos",datos_base!$J$10,0))*parametros_manuales!$I$100+parametros_manuales!$E$34*(datos_base!$J$19+IF(parametros_manuales!$H$34="Todos",datos_base!$J$24,0))*parametros_manuales!$I$13+parametros_manuales!$F$34*(datos_base!$J$4+IF(parametros_manuales!$H$34="Todos",datos_base!$J$11,0))*parametros_manuales!$I$105+parametros_manuales!$F$34*(datos_base!$J$20+IF(parametros_manuales!$H$34="Todos",datos_base!$J$25,0))*parametros_manuales!$I$14+parametros_manuales!$G$34*(datos_base!$J$5+IF(parametros_manuales!$H$34="Todos",datos_base!$J$12,0))*parametros_manuales!$I$110+parametros_manuales!$G$34*(datos_base!$J$21+IF(parametros_manuales!$H$34="Todos",datos_base!$J$26,0))*parametros_manuales!$I$15)*parametros_manuales!$I$34*parametros_manuales!$J$34</f>
        <v>21446.85592036</v>
      </c>
      <c r="J233" s="9" t="n">
        <f aca="false">(parametros_manuales!$D$34*(datos_base!$J$2+IF(parametros_manuales!$H$34="Todos",datos_base!$J$9,0))*parametros_manuales!$J$95+parametros_manuales!$D$34*(datos_base!$J$18+IF(parametros_manuales!$H$34="Todos",datos_base!$J$23,0))*parametros_manuales!$J$12+parametros_manuales!$E$34*(datos_base!$J$3+IF(parametros_manuales!$H$34="Todos",datos_base!$J$10,0))*parametros_manuales!$J$100+parametros_manuales!$E$34*(datos_base!$J$19+IF(parametros_manuales!$H$34="Todos",datos_base!$J$24,0))*parametros_manuales!$J$13+parametros_manuales!$F$34*(datos_base!$J$4+IF(parametros_manuales!$H$34="Todos",datos_base!$J$11,0))*parametros_manuales!$J$105+parametros_manuales!$F$34*(datos_base!$J$20+IF(parametros_manuales!$H$34="Todos",datos_base!$J$25,0))*parametros_manuales!$J$14+parametros_manuales!$G$34*(datos_base!$J$5+IF(parametros_manuales!$H$34="Todos",datos_base!$J$12,0))*parametros_manuales!$J$110+parametros_manuales!$G$34*(datos_base!$J$21+IF(parametros_manuales!$H$34="Todos",datos_base!$J$26,0))*parametros_manuales!$J$15)*parametros_manuales!$I$34*parametros_manuales!$J$34</f>
        <v>21446.85592036</v>
      </c>
      <c r="K233" s="9" t="n">
        <f aca="false">(parametros_manuales!$D$34*(datos_base!$J$2+IF(parametros_manuales!$H$34="Todos",datos_base!$J$9,0))*parametros_manuales!$K$95+parametros_manuales!$D$34*(datos_base!$J$18+IF(parametros_manuales!$H$34="Todos",datos_base!$J$23,0))*parametros_manuales!$K$12+parametros_manuales!$E$34*(datos_base!$J$3+IF(parametros_manuales!$H$34="Todos",datos_base!$J$10,0))*parametros_manuales!$K$100+parametros_manuales!$E$34*(datos_base!$J$19+IF(parametros_manuales!$H$34="Todos",datos_base!$J$24,0))*parametros_manuales!$K$13+parametros_manuales!$F$34*(datos_base!$J$4+IF(parametros_manuales!$H$34="Todos",datos_base!$J$11,0))*parametros_manuales!$K$105+parametros_manuales!$F$34*(datos_base!$J$20+IF(parametros_manuales!$H$34="Todos",datos_base!$J$25,0))*parametros_manuales!$K$14+parametros_manuales!$G$34*(datos_base!$J$5+IF(parametros_manuales!$H$34="Todos",datos_base!$J$12,0))*parametros_manuales!$K$110+parametros_manuales!$G$34*(datos_base!$J$21+IF(parametros_manuales!$H$34="Todos",datos_base!$J$26,0))*parametros_manuales!$K$15)*parametros_manuales!$I$34*parametros_manuales!$J$34</f>
        <v>21798.852424595</v>
      </c>
      <c r="L233" s="9" t="n">
        <f aca="false">(parametros_manuales!$D$34*(datos_base!$J$2+IF(parametros_manuales!$H$34="Todos",datos_base!$J$9,0))*parametros_manuales!$L$95+parametros_manuales!$D$34*(datos_base!$J$18+IF(parametros_manuales!$H$34="Todos",datos_base!$J$23,0))*parametros_manuales!$L$12+parametros_manuales!$E$34*(datos_base!$J$3+IF(parametros_manuales!$H$34="Todos",datos_base!$J$10,0))*parametros_manuales!$L$100+parametros_manuales!$E$34*(datos_base!$J$19+IF(parametros_manuales!$H$34="Todos",datos_base!$J$24,0))*parametros_manuales!$L$13+parametros_manuales!$F$34*(datos_base!$J$4+IF(parametros_manuales!$H$34="Todos",datos_base!$J$11,0))*parametros_manuales!$L$105+parametros_manuales!$F$34*(datos_base!$J$20+IF(parametros_manuales!$H$34="Todos",datos_base!$J$25,0))*parametros_manuales!$L$14+parametros_manuales!$G$34*(datos_base!$J$5+IF(parametros_manuales!$H$34="Todos",datos_base!$J$12,0))*parametros_manuales!$L$110+parametros_manuales!$G$34*(datos_base!$J$21+IF(parametros_manuales!$H$34="Todos",datos_base!$J$26,0))*parametros_manuales!$L$15)*parametros_manuales!$I$34*parametros_manuales!$J$34</f>
        <v>22150.84892883</v>
      </c>
      <c r="M233" s="9" t="n">
        <f aca="false">(parametros_manuales!$D$34*(datos_base!$J$2+IF(parametros_manuales!$H$34="Todos",datos_base!$J$9,0))*parametros_manuales!$M$95+parametros_manuales!$D$34*(datos_base!$J$18+IF(parametros_manuales!$H$34="Todos",datos_base!$J$23,0))*parametros_manuales!$M$12+parametros_manuales!$E$34*(datos_base!$J$3+IF(parametros_manuales!$H$34="Todos",datos_base!$J$10,0))*parametros_manuales!$M$100+parametros_manuales!$E$34*(datos_base!$J$19+IF(parametros_manuales!$H$34="Todos",datos_base!$J$24,0))*parametros_manuales!$M$13+parametros_manuales!$F$34*(datos_base!$J$4+IF(parametros_manuales!$H$34="Todos",datos_base!$J$11,0))*parametros_manuales!$M$105+parametros_manuales!$F$34*(datos_base!$J$20+IF(parametros_manuales!$H$34="Todos",datos_base!$J$25,0))*parametros_manuales!$M$14+parametros_manuales!$G$34*(datos_base!$J$5+IF(parametros_manuales!$H$34="Todos",datos_base!$J$12,0))*parametros_manuales!$M$110+parametros_manuales!$G$34*(datos_base!$J$21+IF(parametros_manuales!$H$34="Todos",datos_base!$J$26,0))*parametros_manuales!$M$15)*parametros_manuales!$I$34*parametros_manuales!$J$34</f>
        <v>22158.23132883</v>
      </c>
      <c r="N233" s="9" t="n">
        <f aca="false">SUM(B233:M233)</f>
        <v>246161.556987</v>
      </c>
      <c r="O233" s="9" t="n">
        <f aca="false">MAX(B233:M233)</f>
        <v>22158.23132883</v>
      </c>
      <c r="P233" s="44" t="n">
        <f aca="false">O233/(parametros_manuales!$B$7)</f>
        <v>147.7215421922</v>
      </c>
      <c r="Q233" s="8" t="str">
        <f aca="false">IF(O233=0,"-",INDEX($B$217:$M$217,MATCH(O233,B233:M233,0)))</f>
        <v>Dic</v>
      </c>
    </row>
    <row r="234" customFormat="false" ht="14.25" hidden="false" customHeight="true" outlineLevel="0" collapsed="false">
      <c r="A234" s="8" t="str">
        <f aca="false">parametros_manuales!$B$35</f>
        <v>Detección de defectos</v>
      </c>
      <c r="B234" s="9" t="n">
        <f aca="false">(parametros_manuales!$D$35*(datos_base!$J$2+IF(parametros_manuales!$H$35="Todos",datos_base!$J$9,0))*parametros_manuales!$B$95+parametros_manuales!$D$35*(datos_base!$J$18+IF(parametros_manuales!$H$35="Todos",datos_base!$J$23,0))*parametros_manuales!$B$12+parametros_manuales!$E$35*(datos_base!$J$3+IF(parametros_manuales!$H$35="Todos",datos_base!$J$10,0))*parametros_manuales!$B$100+parametros_manuales!$E$35*(datos_base!$J$19+IF(parametros_manuales!$H$35="Todos",datos_base!$J$24,0))*parametros_manuales!$B$13+parametros_manuales!$F$35*(datos_base!$J$4+IF(parametros_manuales!$H$35="Todos",datos_base!$J$11,0))*parametros_manuales!$B$105+parametros_manuales!$F$35*(datos_base!$J$20+IF(parametros_manuales!$H$35="Todos",datos_base!$J$25,0))*parametros_manuales!$B$14+parametros_manuales!$G$35*(datos_base!$J$5+IF(parametros_manuales!$H$35="Todos",datos_base!$J$12,0))*parametros_manuales!$B$110+parametros_manuales!$G$35*(datos_base!$J$21+IF(parametros_manuales!$H$35="Todos",datos_base!$J$26,0))*parametros_manuales!$B$15)*parametros_manuales!$I$35*parametros_manuales!$J$35</f>
        <v>22156.38572883</v>
      </c>
      <c r="C234" s="9" t="n">
        <f aca="false">(parametros_manuales!$D$35*(datos_base!$J$2+IF(parametros_manuales!$H$35="Todos",datos_base!$J$9,0))*parametros_manuales!$C$95+parametros_manuales!$D$35*(datos_base!$J$18+IF(parametros_manuales!$H$35="Todos",datos_base!$J$23,0))*parametros_manuales!$C$12+parametros_manuales!$E$35*(datos_base!$J$3+IF(parametros_manuales!$H$35="Todos",datos_base!$J$10,0))*parametros_manuales!$C$100+parametros_manuales!$E$35*(datos_base!$J$19+IF(parametros_manuales!$H$35="Todos",datos_base!$J$24,0))*parametros_manuales!$C$13+parametros_manuales!$F$35*(datos_base!$J$4+IF(parametros_manuales!$H$35="Todos",datos_base!$J$11,0))*parametros_manuales!$C$105+parametros_manuales!$F$35*(datos_base!$J$20+IF(parametros_manuales!$H$35="Todos",datos_base!$J$25,0))*parametros_manuales!$C$14+parametros_manuales!$G$35*(datos_base!$J$5+IF(parametros_manuales!$H$35="Todos",datos_base!$J$12,0))*parametros_manuales!$C$110+parametros_manuales!$G$35*(datos_base!$J$21+IF(parametros_manuales!$H$35="Todos",datos_base!$J$26,0))*parametros_manuales!$C$15)*parametros_manuales!$I$35*parametros_manuales!$J$35</f>
        <v>21446.85592036</v>
      </c>
      <c r="D234" s="9" t="n">
        <f aca="false">(parametros_manuales!$D$35*(datos_base!$J$2+IF(parametros_manuales!$H$35="Todos",datos_base!$J$9,0))*parametros_manuales!$D$95+parametros_manuales!$D$35*(datos_base!$J$18+IF(parametros_manuales!$H$35="Todos",datos_base!$J$23,0))*parametros_manuales!$D$12+parametros_manuales!$E$35*(datos_base!$J$3+IF(parametros_manuales!$H$35="Todos",datos_base!$J$10,0))*parametros_manuales!$D$100+parametros_manuales!$E$35*(datos_base!$J$19+IF(parametros_manuales!$H$35="Todos",datos_base!$J$24,0))*parametros_manuales!$D$13+parametros_manuales!$F$35*(datos_base!$J$4+IF(parametros_manuales!$H$35="Todos",datos_base!$J$11,0))*parametros_manuales!$D$105+parametros_manuales!$F$35*(datos_base!$J$20+IF(parametros_manuales!$H$35="Todos",datos_base!$J$25,0))*parametros_manuales!$D$14+parametros_manuales!$G$35*(datos_base!$J$5+IF(parametros_manuales!$H$35="Todos",datos_base!$J$12,0))*parametros_manuales!$D$110+parametros_manuales!$G$35*(datos_base!$J$21+IF(parametros_manuales!$H$35="Todos",datos_base!$J$26,0))*parametros_manuales!$D$15)*parametros_manuales!$I$35*parametros_manuales!$J$35</f>
        <v>20046.766663195</v>
      </c>
      <c r="E234" s="9" t="n">
        <f aca="false">(parametros_manuales!$D$35*(datos_base!$J$2+IF(parametros_manuales!$H$35="Todos",datos_base!$J$9,0))*parametros_manuales!$E$95+parametros_manuales!$D$35*(datos_base!$J$18+IF(parametros_manuales!$H$35="Todos",datos_base!$J$23,0))*parametros_manuales!$E$12+parametros_manuales!$E$35*(datos_base!$J$3+IF(parametros_manuales!$H$35="Todos",datos_base!$J$10,0))*parametros_manuales!$E$100+parametros_manuales!$E$35*(datos_base!$J$19+IF(parametros_manuales!$H$35="Todos",datos_base!$J$24,0))*parametros_manuales!$E$13+parametros_manuales!$F$35*(datos_base!$J$4+IF(parametros_manuales!$H$35="Todos",datos_base!$J$11,0))*parametros_manuales!$E$105+parametros_manuales!$F$35*(datos_base!$J$20+IF(parametros_manuales!$H$35="Todos",datos_base!$J$25,0))*parametros_manuales!$E$14+parametros_manuales!$G$35*(datos_base!$J$5+IF(parametros_manuales!$H$35="Todos",datos_base!$J$12,0))*parametros_manuales!$E$110+parametros_manuales!$G$35*(datos_base!$J$21+IF(parametros_manuales!$H$35="Todos",datos_base!$J$26,0))*parametros_manuales!$E$15)*parametros_manuales!$I$35*parametros_manuales!$J$35</f>
        <v>19169.800982495</v>
      </c>
      <c r="F234" s="9" t="n">
        <f aca="false">(parametros_manuales!$D$35*(datos_base!$J$2+IF(parametros_manuales!$H$35="Todos",datos_base!$J$9,0))*parametros_manuales!$F$95+parametros_manuales!$D$35*(datos_base!$J$18+IF(parametros_manuales!$H$35="Todos",datos_base!$J$23,0))*parametros_manuales!$F$12+parametros_manuales!$E$35*(datos_base!$J$3+IF(parametros_manuales!$H$35="Todos",datos_base!$J$10,0))*parametros_manuales!$F$100+parametros_manuales!$E$35*(datos_base!$J$19+IF(parametros_manuales!$H$35="Todos",datos_base!$J$24,0))*parametros_manuales!$F$13+parametros_manuales!$F$35*(datos_base!$J$4+IF(parametros_manuales!$H$35="Todos",datos_base!$J$11,0))*parametros_manuales!$F$105+parametros_manuales!$F$35*(datos_base!$J$20+IF(parametros_manuales!$H$35="Todos",datos_base!$J$25,0))*parametros_manuales!$F$14+parametros_manuales!$G$35*(datos_base!$J$5+IF(parametros_manuales!$H$35="Todos",datos_base!$J$12,0))*parametros_manuales!$F$110+parametros_manuales!$G$35*(datos_base!$J$21+IF(parametros_manuales!$H$35="Todos",datos_base!$J$26,0))*parametros_manuales!$F$15)*parametros_manuales!$I$35*parametros_manuales!$J$35</f>
        <v>17938.99319756</v>
      </c>
      <c r="G234" s="9" t="n">
        <f aca="false">(parametros_manuales!$D$35*(datos_base!$J$2+IF(parametros_manuales!$H$35="Todos",datos_base!$J$9,0))*parametros_manuales!$G$95+parametros_manuales!$D$35*(datos_base!$J$18+IF(parametros_manuales!$H$35="Todos",datos_base!$J$23,0))*parametros_manuales!$G$12+parametros_manuales!$E$35*(datos_base!$J$3+IF(parametros_manuales!$H$35="Todos",datos_base!$J$10,0))*parametros_manuales!$G$100+parametros_manuales!$E$35*(datos_base!$J$19+IF(parametros_manuales!$H$35="Todos",datos_base!$J$24,0))*parametros_manuales!$G$13+parametros_manuales!$F$35*(datos_base!$J$4+IF(parametros_manuales!$H$35="Todos",datos_base!$J$11,0))*parametros_manuales!$G$105+parametros_manuales!$F$35*(datos_base!$J$20+IF(parametros_manuales!$H$35="Todos",datos_base!$J$25,0))*parametros_manuales!$G$14+parametros_manuales!$G$35*(datos_base!$J$5+IF(parametros_manuales!$H$35="Todos",datos_base!$J$12,0))*parametros_manuales!$G$110+parametros_manuales!$G$35*(datos_base!$J$21+IF(parametros_manuales!$H$35="Todos",datos_base!$J$26,0))*parametros_manuales!$G$15)*parametros_manuales!$I$35*parametros_manuales!$J$35</f>
        <v>17585.151093325</v>
      </c>
      <c r="H234" s="9" t="n">
        <f aca="false">(parametros_manuales!$D$35*(datos_base!$J$2+IF(parametros_manuales!$H$35="Todos",datos_base!$J$9,0))*parametros_manuales!$H$95+parametros_manuales!$D$35*(datos_base!$J$18+IF(parametros_manuales!$H$35="Todos",datos_base!$J$23,0))*parametros_manuales!$H$12+parametros_manuales!$E$35*(datos_base!$J$3+IF(parametros_manuales!$H$35="Todos",datos_base!$J$10,0))*parametros_manuales!$H$100+parametros_manuales!$E$35*(datos_base!$J$19+IF(parametros_manuales!$H$35="Todos",datos_base!$J$24,0))*parametros_manuales!$H$13+parametros_manuales!$F$35*(datos_base!$J$4+IF(parametros_manuales!$H$35="Todos",datos_base!$J$11,0))*parametros_manuales!$H$105+parametros_manuales!$F$35*(datos_base!$J$20+IF(parametros_manuales!$H$35="Todos",datos_base!$J$25,0))*parametros_manuales!$H$14+parametros_manuales!$G$35*(datos_base!$J$5+IF(parametros_manuales!$H$35="Todos",datos_base!$J$12,0))*parametros_manuales!$H$110+parametros_manuales!$G$35*(datos_base!$J$21+IF(parametros_manuales!$H$35="Todos",datos_base!$J$26,0))*parametros_manuales!$H$15)*parametros_manuales!$I$35*parametros_manuales!$J$35</f>
        <v>18815.95887826</v>
      </c>
      <c r="I234" s="9" t="n">
        <f aca="false">(parametros_manuales!$D$35*(datos_base!$J$2+IF(parametros_manuales!$H$35="Todos",datos_base!$J$9,0))*parametros_manuales!$I$95+parametros_manuales!$D$35*(datos_base!$J$18+IF(parametros_manuales!$H$35="Todos",datos_base!$J$23,0))*parametros_manuales!$I$12+parametros_manuales!$E$35*(datos_base!$J$3+IF(parametros_manuales!$H$35="Todos",datos_base!$J$10,0))*parametros_manuales!$I$100+parametros_manuales!$E$35*(datos_base!$J$19+IF(parametros_manuales!$H$35="Todos",datos_base!$J$24,0))*parametros_manuales!$I$13+parametros_manuales!$F$35*(datos_base!$J$4+IF(parametros_manuales!$H$35="Todos",datos_base!$J$11,0))*parametros_manuales!$I$105+parametros_manuales!$F$35*(datos_base!$J$20+IF(parametros_manuales!$H$35="Todos",datos_base!$J$25,0))*parametros_manuales!$I$14+parametros_manuales!$G$35*(datos_base!$J$5+IF(parametros_manuales!$H$35="Todos",datos_base!$J$12,0))*parametros_manuales!$I$110+parametros_manuales!$G$35*(datos_base!$J$21+IF(parametros_manuales!$H$35="Todos",datos_base!$J$26,0))*parametros_manuales!$I$15)*parametros_manuales!$I$35*parametros_manuales!$J$35</f>
        <v>21446.85592036</v>
      </c>
      <c r="J234" s="9" t="n">
        <f aca="false">(parametros_manuales!$D$35*(datos_base!$J$2+IF(parametros_manuales!$H$35="Todos",datos_base!$J$9,0))*parametros_manuales!$J$95+parametros_manuales!$D$35*(datos_base!$J$18+IF(parametros_manuales!$H$35="Todos",datos_base!$J$23,0))*parametros_manuales!$J$12+parametros_manuales!$E$35*(datos_base!$J$3+IF(parametros_manuales!$H$35="Todos",datos_base!$J$10,0))*parametros_manuales!$J$100+parametros_manuales!$E$35*(datos_base!$J$19+IF(parametros_manuales!$H$35="Todos",datos_base!$J$24,0))*parametros_manuales!$J$13+parametros_manuales!$F$35*(datos_base!$J$4+IF(parametros_manuales!$H$35="Todos",datos_base!$J$11,0))*parametros_manuales!$J$105+parametros_manuales!$F$35*(datos_base!$J$20+IF(parametros_manuales!$H$35="Todos",datos_base!$J$25,0))*parametros_manuales!$J$14+parametros_manuales!$G$35*(datos_base!$J$5+IF(parametros_manuales!$H$35="Todos",datos_base!$J$12,0))*parametros_manuales!$J$110+parametros_manuales!$G$35*(datos_base!$J$21+IF(parametros_manuales!$H$35="Todos",datos_base!$J$26,0))*parametros_manuales!$J$15)*parametros_manuales!$I$35*parametros_manuales!$J$35</f>
        <v>21446.85592036</v>
      </c>
      <c r="K234" s="9" t="n">
        <f aca="false">(parametros_manuales!$D$35*(datos_base!$J$2+IF(parametros_manuales!$H$35="Todos",datos_base!$J$9,0))*parametros_manuales!$K$95+parametros_manuales!$D$35*(datos_base!$J$18+IF(parametros_manuales!$H$35="Todos",datos_base!$J$23,0))*parametros_manuales!$K$12+parametros_manuales!$E$35*(datos_base!$J$3+IF(parametros_manuales!$H$35="Todos",datos_base!$J$10,0))*parametros_manuales!$K$100+parametros_manuales!$E$35*(datos_base!$J$19+IF(parametros_manuales!$H$35="Todos",datos_base!$J$24,0))*parametros_manuales!$K$13+parametros_manuales!$F$35*(datos_base!$J$4+IF(parametros_manuales!$H$35="Todos",datos_base!$J$11,0))*parametros_manuales!$K$105+parametros_manuales!$F$35*(datos_base!$J$20+IF(parametros_manuales!$H$35="Todos",datos_base!$J$25,0))*parametros_manuales!$K$14+parametros_manuales!$G$35*(datos_base!$J$5+IF(parametros_manuales!$H$35="Todos",datos_base!$J$12,0))*parametros_manuales!$K$110+parametros_manuales!$G$35*(datos_base!$J$21+IF(parametros_manuales!$H$35="Todos",datos_base!$J$26,0))*parametros_manuales!$K$15)*parametros_manuales!$I$35*parametros_manuales!$J$35</f>
        <v>21798.852424595</v>
      </c>
      <c r="L234" s="9" t="n">
        <f aca="false">(parametros_manuales!$D$35*(datos_base!$J$2+IF(parametros_manuales!$H$35="Todos",datos_base!$J$9,0))*parametros_manuales!$L$95+parametros_manuales!$D$35*(datos_base!$J$18+IF(parametros_manuales!$H$35="Todos",datos_base!$J$23,0))*parametros_manuales!$L$12+parametros_manuales!$E$35*(datos_base!$J$3+IF(parametros_manuales!$H$35="Todos",datos_base!$J$10,0))*parametros_manuales!$L$100+parametros_manuales!$E$35*(datos_base!$J$19+IF(parametros_manuales!$H$35="Todos",datos_base!$J$24,0))*parametros_manuales!$L$13+parametros_manuales!$F$35*(datos_base!$J$4+IF(parametros_manuales!$H$35="Todos",datos_base!$J$11,0))*parametros_manuales!$L$105+parametros_manuales!$F$35*(datos_base!$J$20+IF(parametros_manuales!$H$35="Todos",datos_base!$J$25,0))*parametros_manuales!$L$14+parametros_manuales!$G$35*(datos_base!$J$5+IF(parametros_manuales!$H$35="Todos",datos_base!$J$12,0))*parametros_manuales!$L$110+parametros_manuales!$G$35*(datos_base!$J$21+IF(parametros_manuales!$H$35="Todos",datos_base!$J$26,0))*parametros_manuales!$L$15)*parametros_manuales!$I$35*parametros_manuales!$J$35</f>
        <v>22150.84892883</v>
      </c>
      <c r="M234" s="9" t="n">
        <f aca="false">(parametros_manuales!$D$35*(datos_base!$J$2+IF(parametros_manuales!$H$35="Todos",datos_base!$J$9,0))*parametros_manuales!$M$95+parametros_manuales!$D$35*(datos_base!$J$18+IF(parametros_manuales!$H$35="Todos",datos_base!$J$23,0))*parametros_manuales!$M$12+parametros_manuales!$E$35*(datos_base!$J$3+IF(parametros_manuales!$H$35="Todos",datos_base!$J$10,0))*parametros_manuales!$M$100+parametros_manuales!$E$35*(datos_base!$J$19+IF(parametros_manuales!$H$35="Todos",datos_base!$J$24,0))*parametros_manuales!$M$13+parametros_manuales!$F$35*(datos_base!$J$4+IF(parametros_manuales!$H$35="Todos",datos_base!$J$11,0))*parametros_manuales!$M$105+parametros_manuales!$F$35*(datos_base!$J$20+IF(parametros_manuales!$H$35="Todos",datos_base!$J$25,0))*parametros_manuales!$M$14+parametros_manuales!$G$35*(datos_base!$J$5+IF(parametros_manuales!$H$35="Todos",datos_base!$J$12,0))*parametros_manuales!$M$110+parametros_manuales!$G$35*(datos_base!$J$21+IF(parametros_manuales!$H$35="Todos",datos_base!$J$26,0))*parametros_manuales!$M$15)*parametros_manuales!$I$35*parametros_manuales!$J$35</f>
        <v>22158.23132883</v>
      </c>
      <c r="N234" s="9" t="n">
        <f aca="false">SUM(B234:M234)</f>
        <v>246161.556987</v>
      </c>
      <c r="O234" s="9" t="n">
        <f aca="false">MAX(B234:M234)</f>
        <v>22158.23132883</v>
      </c>
      <c r="P234" s="44" t="n">
        <f aca="false">O234/(parametros_manuales!$B$7)</f>
        <v>147.7215421922</v>
      </c>
      <c r="Q234" s="8" t="str">
        <f aca="false">IF(O234=0,"-",INDEX($B$217:$M$217,MATCH(O234,B234:M234,0)))</f>
        <v>Dic</v>
      </c>
    </row>
    <row r="235" customFormat="false" ht="14.25" hidden="false" customHeight="true" outlineLevel="0" collapsed="false">
      <c r="A235" s="8" t="str">
        <f aca="false">parametros_manuales!$B$36</f>
        <v>Corrección de defectos</v>
      </c>
      <c r="B235" s="9" t="n">
        <f aca="false">(parametros_manuales!$D$36*(datos_base!$J$2+IF(parametros_manuales!$H$36="Todos",datos_base!$J$9,0))*parametros_manuales!$B$95+parametros_manuales!$D$36*(datos_base!$J$18+IF(parametros_manuales!$H$36="Todos",datos_base!$J$23,0))*parametros_manuales!$B$12+parametros_manuales!$E$36*(datos_base!$J$3+IF(parametros_manuales!$H$36="Todos",datos_base!$J$10,0))*parametros_manuales!$B$100+parametros_manuales!$E$36*(datos_base!$J$19+IF(parametros_manuales!$H$36="Todos",datos_base!$J$24,0))*parametros_manuales!$B$13+parametros_manuales!$F$36*(datos_base!$J$4+IF(parametros_manuales!$H$36="Todos",datos_base!$J$11,0))*parametros_manuales!$B$105+parametros_manuales!$F$36*(datos_base!$J$20+IF(parametros_manuales!$H$36="Todos",datos_base!$J$25,0))*parametros_manuales!$B$14+parametros_manuales!$G$36*(datos_base!$J$5+IF(parametros_manuales!$H$36="Todos",datos_base!$J$12,0))*parametros_manuales!$B$110+parametros_manuales!$G$36*(datos_base!$J$21+IF(parametros_manuales!$H$36="Todos",datos_base!$J$26,0))*parametros_manuales!$B$15)*parametros_manuales!$I$36*parametros_manuales!$J$36</f>
        <v>1107.8192864415</v>
      </c>
      <c r="C235" s="9" t="n">
        <f aca="false">(parametros_manuales!$D$36*(datos_base!$J$2+IF(parametros_manuales!$H$36="Todos",datos_base!$J$9,0))*parametros_manuales!$C$95+parametros_manuales!$D$36*(datos_base!$J$18+IF(parametros_manuales!$H$36="Todos",datos_base!$J$23,0))*parametros_manuales!$C$12+parametros_manuales!$E$36*(datos_base!$J$3+IF(parametros_manuales!$H$36="Todos",datos_base!$J$10,0))*parametros_manuales!$C$100+parametros_manuales!$E$36*(datos_base!$J$19+IF(parametros_manuales!$H$36="Todos",datos_base!$J$24,0))*parametros_manuales!$C$13+parametros_manuales!$F$36*(datos_base!$J$4+IF(parametros_manuales!$H$36="Todos",datos_base!$J$11,0))*parametros_manuales!$C$105+parametros_manuales!$F$36*(datos_base!$J$20+IF(parametros_manuales!$H$36="Todos",datos_base!$J$25,0))*parametros_manuales!$C$14+parametros_manuales!$G$36*(datos_base!$J$5+IF(parametros_manuales!$H$36="Todos",datos_base!$J$12,0))*parametros_manuales!$C$110+parametros_manuales!$G$36*(datos_base!$J$21+IF(parametros_manuales!$H$36="Todos",datos_base!$J$26,0))*parametros_manuales!$C$15)*parametros_manuales!$I$36*parametros_manuales!$J$36</f>
        <v>1072.342796018</v>
      </c>
      <c r="D235" s="9" t="n">
        <f aca="false">(parametros_manuales!$D$36*(datos_base!$J$2+IF(parametros_manuales!$H$36="Todos",datos_base!$J$9,0))*parametros_manuales!$D$95+parametros_manuales!$D$36*(datos_base!$J$18+IF(parametros_manuales!$H$36="Todos",datos_base!$J$23,0))*parametros_manuales!$D$12+parametros_manuales!$E$36*(datos_base!$J$3+IF(parametros_manuales!$H$36="Todos",datos_base!$J$10,0))*parametros_manuales!$D$100+parametros_manuales!$E$36*(datos_base!$J$19+IF(parametros_manuales!$H$36="Todos",datos_base!$J$24,0))*parametros_manuales!$D$13+parametros_manuales!$F$36*(datos_base!$J$4+IF(parametros_manuales!$H$36="Todos",datos_base!$J$11,0))*parametros_manuales!$D$105+parametros_manuales!$F$36*(datos_base!$J$20+IF(parametros_manuales!$H$36="Todos",datos_base!$J$25,0))*parametros_manuales!$D$14+parametros_manuales!$G$36*(datos_base!$J$5+IF(parametros_manuales!$H$36="Todos",datos_base!$J$12,0))*parametros_manuales!$D$110+parametros_manuales!$G$36*(datos_base!$J$21+IF(parametros_manuales!$H$36="Todos",datos_base!$J$26,0))*parametros_manuales!$D$15)*parametros_manuales!$I$36*parametros_manuales!$J$36</f>
        <v>1002.33833315975</v>
      </c>
      <c r="E235" s="9" t="n">
        <f aca="false">(parametros_manuales!$D$36*(datos_base!$J$2+IF(parametros_manuales!$H$36="Todos",datos_base!$J$9,0))*parametros_manuales!$E$95+parametros_manuales!$D$36*(datos_base!$J$18+IF(parametros_manuales!$H$36="Todos",datos_base!$J$23,0))*parametros_manuales!$E$12+parametros_manuales!$E$36*(datos_base!$J$3+IF(parametros_manuales!$H$36="Todos",datos_base!$J$10,0))*parametros_manuales!$E$100+parametros_manuales!$E$36*(datos_base!$J$19+IF(parametros_manuales!$H$36="Todos",datos_base!$J$24,0))*parametros_manuales!$E$13+parametros_manuales!$F$36*(datos_base!$J$4+IF(parametros_manuales!$H$36="Todos",datos_base!$J$11,0))*parametros_manuales!$E$105+parametros_manuales!$F$36*(datos_base!$J$20+IF(parametros_manuales!$H$36="Todos",datos_base!$J$25,0))*parametros_manuales!$E$14+parametros_manuales!$G$36*(datos_base!$J$5+IF(parametros_manuales!$H$36="Todos",datos_base!$J$12,0))*parametros_manuales!$E$110+parametros_manuales!$G$36*(datos_base!$J$21+IF(parametros_manuales!$H$36="Todos",datos_base!$J$26,0))*parametros_manuales!$E$15)*parametros_manuales!$I$36*parametros_manuales!$J$36</f>
        <v>958.49004912475</v>
      </c>
      <c r="F235" s="9" t="n">
        <f aca="false">(parametros_manuales!$D$36*(datos_base!$J$2+IF(parametros_manuales!$H$36="Todos",datos_base!$J$9,0))*parametros_manuales!$F$95+parametros_manuales!$D$36*(datos_base!$J$18+IF(parametros_manuales!$H$36="Todos",datos_base!$J$23,0))*parametros_manuales!$F$12+parametros_manuales!$E$36*(datos_base!$J$3+IF(parametros_manuales!$H$36="Todos",datos_base!$J$10,0))*parametros_manuales!$F$100+parametros_manuales!$E$36*(datos_base!$J$19+IF(parametros_manuales!$H$36="Todos",datos_base!$J$24,0))*parametros_manuales!$F$13+parametros_manuales!$F$36*(datos_base!$J$4+IF(parametros_manuales!$H$36="Todos",datos_base!$J$11,0))*parametros_manuales!$F$105+parametros_manuales!$F$36*(datos_base!$J$20+IF(parametros_manuales!$H$36="Todos",datos_base!$J$25,0))*parametros_manuales!$F$14+parametros_manuales!$G$36*(datos_base!$J$5+IF(parametros_manuales!$H$36="Todos",datos_base!$J$12,0))*parametros_manuales!$F$110+parametros_manuales!$G$36*(datos_base!$J$21+IF(parametros_manuales!$H$36="Todos",datos_base!$J$26,0))*parametros_manuales!$F$15)*parametros_manuales!$I$36*parametros_manuales!$J$36</f>
        <v>896.949659878</v>
      </c>
      <c r="G235" s="9" t="n">
        <f aca="false">(parametros_manuales!$D$36*(datos_base!$J$2+IF(parametros_manuales!$H$36="Todos",datos_base!$J$9,0))*parametros_manuales!$G$95+parametros_manuales!$D$36*(datos_base!$J$18+IF(parametros_manuales!$H$36="Todos",datos_base!$J$23,0))*parametros_manuales!$G$12+parametros_manuales!$E$36*(datos_base!$J$3+IF(parametros_manuales!$H$36="Todos",datos_base!$J$10,0))*parametros_manuales!$G$100+parametros_manuales!$E$36*(datos_base!$J$19+IF(parametros_manuales!$H$36="Todos",datos_base!$J$24,0))*parametros_manuales!$G$13+parametros_manuales!$F$36*(datos_base!$J$4+IF(parametros_manuales!$H$36="Todos",datos_base!$J$11,0))*parametros_manuales!$G$105+parametros_manuales!$F$36*(datos_base!$J$20+IF(parametros_manuales!$H$36="Todos",datos_base!$J$25,0))*parametros_manuales!$G$14+parametros_manuales!$G$36*(datos_base!$J$5+IF(parametros_manuales!$H$36="Todos",datos_base!$J$12,0))*parametros_manuales!$G$110+parametros_manuales!$G$36*(datos_base!$J$21+IF(parametros_manuales!$H$36="Todos",datos_base!$J$26,0))*parametros_manuales!$G$15)*parametros_manuales!$I$36*parametros_manuales!$J$36</f>
        <v>879.25755466625</v>
      </c>
      <c r="H235" s="9" t="n">
        <f aca="false">(parametros_manuales!$D$36*(datos_base!$J$2+IF(parametros_manuales!$H$36="Todos",datos_base!$J$9,0))*parametros_manuales!$H$95+parametros_manuales!$D$36*(datos_base!$J$18+IF(parametros_manuales!$H$36="Todos",datos_base!$J$23,0))*parametros_manuales!$H$12+parametros_manuales!$E$36*(datos_base!$J$3+IF(parametros_manuales!$H$36="Todos",datos_base!$J$10,0))*parametros_manuales!$H$100+parametros_manuales!$E$36*(datos_base!$J$19+IF(parametros_manuales!$H$36="Todos",datos_base!$J$24,0))*parametros_manuales!$H$13+parametros_manuales!$F$36*(datos_base!$J$4+IF(parametros_manuales!$H$36="Todos",datos_base!$J$11,0))*parametros_manuales!$H$105+parametros_manuales!$F$36*(datos_base!$J$20+IF(parametros_manuales!$H$36="Todos",datos_base!$J$25,0))*parametros_manuales!$H$14+parametros_manuales!$G$36*(datos_base!$J$5+IF(parametros_manuales!$H$36="Todos",datos_base!$J$12,0))*parametros_manuales!$H$110+parametros_manuales!$G$36*(datos_base!$J$21+IF(parametros_manuales!$H$36="Todos",datos_base!$J$26,0))*parametros_manuales!$H$15)*parametros_manuales!$I$36*parametros_manuales!$J$36</f>
        <v>940.797943913</v>
      </c>
      <c r="I235" s="9" t="n">
        <f aca="false">(parametros_manuales!$D$36*(datos_base!$J$2+IF(parametros_manuales!$H$36="Todos",datos_base!$J$9,0))*parametros_manuales!$I$95+parametros_manuales!$D$36*(datos_base!$J$18+IF(parametros_manuales!$H$36="Todos",datos_base!$J$23,0))*parametros_manuales!$I$12+parametros_manuales!$E$36*(datos_base!$J$3+IF(parametros_manuales!$H$36="Todos",datos_base!$J$10,0))*parametros_manuales!$I$100+parametros_manuales!$E$36*(datos_base!$J$19+IF(parametros_manuales!$H$36="Todos",datos_base!$J$24,0))*parametros_manuales!$I$13+parametros_manuales!$F$36*(datos_base!$J$4+IF(parametros_manuales!$H$36="Todos",datos_base!$J$11,0))*parametros_manuales!$I$105+parametros_manuales!$F$36*(datos_base!$J$20+IF(parametros_manuales!$H$36="Todos",datos_base!$J$25,0))*parametros_manuales!$I$14+parametros_manuales!$G$36*(datos_base!$J$5+IF(parametros_manuales!$H$36="Todos",datos_base!$J$12,0))*parametros_manuales!$I$110+parametros_manuales!$G$36*(datos_base!$J$21+IF(parametros_manuales!$H$36="Todos",datos_base!$J$26,0))*parametros_manuales!$I$15)*parametros_manuales!$I$36*parametros_manuales!$J$36</f>
        <v>1072.342796018</v>
      </c>
      <c r="J235" s="9" t="n">
        <f aca="false">(parametros_manuales!$D$36*(datos_base!$J$2+IF(parametros_manuales!$H$36="Todos",datos_base!$J$9,0))*parametros_manuales!$J$95+parametros_manuales!$D$36*(datos_base!$J$18+IF(parametros_manuales!$H$36="Todos",datos_base!$J$23,0))*parametros_manuales!$J$12+parametros_manuales!$E$36*(datos_base!$J$3+IF(parametros_manuales!$H$36="Todos",datos_base!$J$10,0))*parametros_manuales!$J$100+parametros_manuales!$E$36*(datos_base!$J$19+IF(parametros_manuales!$H$36="Todos",datos_base!$J$24,0))*parametros_manuales!$J$13+parametros_manuales!$F$36*(datos_base!$J$4+IF(parametros_manuales!$H$36="Todos",datos_base!$J$11,0))*parametros_manuales!$J$105+parametros_manuales!$F$36*(datos_base!$J$20+IF(parametros_manuales!$H$36="Todos",datos_base!$J$25,0))*parametros_manuales!$J$14+parametros_manuales!$G$36*(datos_base!$J$5+IF(parametros_manuales!$H$36="Todos",datos_base!$J$12,0))*parametros_manuales!$J$110+parametros_manuales!$G$36*(datos_base!$J$21+IF(parametros_manuales!$H$36="Todos",datos_base!$J$26,0))*parametros_manuales!$J$15)*parametros_manuales!$I$36*parametros_manuales!$J$36</f>
        <v>1072.342796018</v>
      </c>
      <c r="K235" s="9" t="n">
        <f aca="false">(parametros_manuales!$D$36*(datos_base!$J$2+IF(parametros_manuales!$H$36="Todos",datos_base!$J$9,0))*parametros_manuales!$K$95+parametros_manuales!$D$36*(datos_base!$J$18+IF(parametros_manuales!$H$36="Todos",datos_base!$J$23,0))*parametros_manuales!$K$12+parametros_manuales!$E$36*(datos_base!$J$3+IF(parametros_manuales!$H$36="Todos",datos_base!$J$10,0))*parametros_manuales!$K$100+parametros_manuales!$E$36*(datos_base!$J$19+IF(parametros_manuales!$H$36="Todos",datos_base!$J$24,0))*parametros_manuales!$K$13+parametros_manuales!$F$36*(datos_base!$J$4+IF(parametros_manuales!$H$36="Todos",datos_base!$J$11,0))*parametros_manuales!$K$105+parametros_manuales!$F$36*(datos_base!$J$20+IF(parametros_manuales!$H$36="Todos",datos_base!$J$25,0))*parametros_manuales!$K$14+parametros_manuales!$G$36*(datos_base!$J$5+IF(parametros_manuales!$H$36="Todos",datos_base!$J$12,0))*parametros_manuales!$K$110+parametros_manuales!$G$36*(datos_base!$J$21+IF(parametros_manuales!$H$36="Todos",datos_base!$J$26,0))*parametros_manuales!$K$15)*parametros_manuales!$I$36*parametros_manuales!$J$36</f>
        <v>1089.94262122975</v>
      </c>
      <c r="L235" s="9" t="n">
        <f aca="false">(parametros_manuales!$D$36*(datos_base!$J$2+IF(parametros_manuales!$H$36="Todos",datos_base!$J$9,0))*parametros_manuales!$L$95+parametros_manuales!$D$36*(datos_base!$J$18+IF(parametros_manuales!$H$36="Todos",datos_base!$J$23,0))*parametros_manuales!$L$12+parametros_manuales!$E$36*(datos_base!$J$3+IF(parametros_manuales!$H$36="Todos",datos_base!$J$10,0))*parametros_manuales!$L$100+parametros_manuales!$E$36*(datos_base!$J$19+IF(parametros_manuales!$H$36="Todos",datos_base!$J$24,0))*parametros_manuales!$L$13+parametros_manuales!$F$36*(datos_base!$J$4+IF(parametros_manuales!$H$36="Todos",datos_base!$J$11,0))*parametros_manuales!$L$105+parametros_manuales!$F$36*(datos_base!$J$20+IF(parametros_manuales!$H$36="Todos",datos_base!$J$25,0))*parametros_manuales!$L$14+parametros_manuales!$G$36*(datos_base!$J$5+IF(parametros_manuales!$H$36="Todos",datos_base!$J$12,0))*parametros_manuales!$L$110+parametros_manuales!$G$36*(datos_base!$J$21+IF(parametros_manuales!$H$36="Todos",datos_base!$J$26,0))*parametros_manuales!$L$15)*parametros_manuales!$I$36*parametros_manuales!$J$36</f>
        <v>1107.5424464415</v>
      </c>
      <c r="M235" s="9" t="n">
        <f aca="false">(parametros_manuales!$D$36*(datos_base!$J$2+IF(parametros_manuales!$H$36="Todos",datos_base!$J$9,0))*parametros_manuales!$M$95+parametros_manuales!$D$36*(datos_base!$J$18+IF(parametros_manuales!$H$36="Todos",datos_base!$J$23,0))*parametros_manuales!$M$12+parametros_manuales!$E$36*(datos_base!$J$3+IF(parametros_manuales!$H$36="Todos",datos_base!$J$10,0))*parametros_manuales!$M$100+parametros_manuales!$E$36*(datos_base!$J$19+IF(parametros_manuales!$H$36="Todos",datos_base!$J$24,0))*parametros_manuales!$M$13+parametros_manuales!$F$36*(datos_base!$J$4+IF(parametros_manuales!$H$36="Todos",datos_base!$J$11,0))*parametros_manuales!$M$105+parametros_manuales!$F$36*(datos_base!$J$20+IF(parametros_manuales!$H$36="Todos",datos_base!$J$25,0))*parametros_manuales!$M$14+parametros_manuales!$G$36*(datos_base!$J$5+IF(parametros_manuales!$H$36="Todos",datos_base!$J$12,0))*parametros_manuales!$M$110+parametros_manuales!$G$36*(datos_base!$J$21+IF(parametros_manuales!$H$36="Todos",datos_base!$J$26,0))*parametros_manuales!$M$15)*parametros_manuales!$I$36*parametros_manuales!$J$36</f>
        <v>1107.9115664415</v>
      </c>
      <c r="N235" s="9" t="n">
        <f aca="false">SUM(B235:M235)</f>
        <v>12308.07784935</v>
      </c>
      <c r="O235" s="9" t="n">
        <f aca="false">MAX(B235:M235)</f>
        <v>1107.9115664415</v>
      </c>
      <c r="P235" s="44" t="n">
        <f aca="false">O235/(parametros_manuales!$B$7)</f>
        <v>7.38607710961</v>
      </c>
      <c r="Q235" s="8" t="str">
        <f aca="false">IF(O235=0,"-",INDEX($B$217:$M$217,MATCH(O235,B235:M235,0)))</f>
        <v>Dic</v>
      </c>
    </row>
    <row r="236" customFormat="false" ht="14.25" hidden="false" customHeight="true" outlineLevel="0" collapsed="false">
      <c r="A236" s="8" t="str">
        <f aca="false">parametros_manuales!$B$37</f>
        <v>Pintura en polvo + horno</v>
      </c>
      <c r="B236" s="9" t="n">
        <f aca="false">(parametros_manuales!$D$37*(datos_base!$J$2+IF(parametros_manuales!$H$37="Todos",datos_base!$J$9,0))*parametros_manuales!$B$95+parametros_manuales!$D$37*(datos_base!$J$18+IF(parametros_manuales!$H$37="Todos",datos_base!$J$23,0))*parametros_manuales!$B$12+parametros_manuales!$E$37*(datos_base!$J$3+IF(parametros_manuales!$H$37="Todos",datos_base!$J$10,0))*parametros_manuales!$B$100+parametros_manuales!$E$37*(datos_base!$J$19+IF(parametros_manuales!$H$37="Todos",datos_base!$J$24,0))*parametros_manuales!$B$13+parametros_manuales!$F$37*(datos_base!$J$4+IF(parametros_manuales!$H$37="Todos",datos_base!$J$11,0))*parametros_manuales!$B$105+parametros_manuales!$F$37*(datos_base!$J$20+IF(parametros_manuales!$H$37="Todos",datos_base!$J$25,0))*parametros_manuales!$B$14+parametros_manuales!$G$37*(datos_base!$J$5+IF(parametros_manuales!$H$37="Todos",datos_base!$J$12,0))*parametros_manuales!$B$110+parametros_manuales!$G$37*(datos_base!$J$21+IF(parametros_manuales!$H$37="Todos",datos_base!$J$26,0))*parametros_manuales!$B$15)*parametros_manuales!$I$37*parametros_manuales!$J$37</f>
        <v>22156.38572883</v>
      </c>
      <c r="C236" s="9" t="n">
        <f aca="false">(parametros_manuales!$D$37*(datos_base!$J$2+IF(parametros_manuales!$H$37="Todos",datos_base!$J$9,0))*parametros_manuales!$C$95+parametros_manuales!$D$37*(datos_base!$J$18+IF(parametros_manuales!$H$37="Todos",datos_base!$J$23,0))*parametros_manuales!$C$12+parametros_manuales!$E$37*(datos_base!$J$3+IF(parametros_manuales!$H$37="Todos",datos_base!$J$10,0))*parametros_manuales!$C$100+parametros_manuales!$E$37*(datos_base!$J$19+IF(parametros_manuales!$H$37="Todos",datos_base!$J$24,0))*parametros_manuales!$C$13+parametros_manuales!$F$37*(datos_base!$J$4+IF(parametros_manuales!$H$37="Todos",datos_base!$J$11,0))*parametros_manuales!$C$105+parametros_manuales!$F$37*(datos_base!$J$20+IF(parametros_manuales!$H$37="Todos",datos_base!$J$25,0))*parametros_manuales!$C$14+parametros_manuales!$G$37*(datos_base!$J$5+IF(parametros_manuales!$H$37="Todos",datos_base!$J$12,0))*parametros_manuales!$C$110+parametros_manuales!$G$37*(datos_base!$J$21+IF(parametros_manuales!$H$37="Todos",datos_base!$J$26,0))*parametros_manuales!$C$15)*parametros_manuales!$I$37*parametros_manuales!$J$37</f>
        <v>21446.85592036</v>
      </c>
      <c r="D236" s="9" t="n">
        <f aca="false">(parametros_manuales!$D$37*(datos_base!$J$2+IF(parametros_manuales!$H$37="Todos",datos_base!$J$9,0))*parametros_manuales!$D$95+parametros_manuales!$D$37*(datos_base!$J$18+IF(parametros_manuales!$H$37="Todos",datos_base!$J$23,0))*parametros_manuales!$D$12+parametros_manuales!$E$37*(datos_base!$J$3+IF(parametros_manuales!$H$37="Todos",datos_base!$J$10,0))*parametros_manuales!$D$100+parametros_manuales!$E$37*(datos_base!$J$19+IF(parametros_manuales!$H$37="Todos",datos_base!$J$24,0))*parametros_manuales!$D$13+parametros_manuales!$F$37*(datos_base!$J$4+IF(parametros_manuales!$H$37="Todos",datos_base!$J$11,0))*parametros_manuales!$D$105+parametros_manuales!$F$37*(datos_base!$J$20+IF(parametros_manuales!$H$37="Todos",datos_base!$J$25,0))*parametros_manuales!$D$14+parametros_manuales!$G$37*(datos_base!$J$5+IF(parametros_manuales!$H$37="Todos",datos_base!$J$12,0))*parametros_manuales!$D$110+parametros_manuales!$G$37*(datos_base!$J$21+IF(parametros_manuales!$H$37="Todos",datos_base!$J$26,0))*parametros_manuales!$D$15)*parametros_manuales!$I$37*parametros_manuales!$J$37</f>
        <v>20046.766663195</v>
      </c>
      <c r="E236" s="9" t="n">
        <f aca="false">(parametros_manuales!$D$37*(datos_base!$J$2+IF(parametros_manuales!$H$37="Todos",datos_base!$J$9,0))*parametros_manuales!$E$95+parametros_manuales!$D$37*(datos_base!$J$18+IF(parametros_manuales!$H$37="Todos",datos_base!$J$23,0))*parametros_manuales!$E$12+parametros_manuales!$E$37*(datos_base!$J$3+IF(parametros_manuales!$H$37="Todos",datos_base!$J$10,0))*parametros_manuales!$E$100+parametros_manuales!$E$37*(datos_base!$J$19+IF(parametros_manuales!$H$37="Todos",datos_base!$J$24,0))*parametros_manuales!$E$13+parametros_manuales!$F$37*(datos_base!$J$4+IF(parametros_manuales!$H$37="Todos",datos_base!$J$11,0))*parametros_manuales!$E$105+parametros_manuales!$F$37*(datos_base!$J$20+IF(parametros_manuales!$H$37="Todos",datos_base!$J$25,0))*parametros_manuales!$E$14+parametros_manuales!$G$37*(datos_base!$J$5+IF(parametros_manuales!$H$37="Todos",datos_base!$J$12,0))*parametros_manuales!$E$110+parametros_manuales!$G$37*(datos_base!$J$21+IF(parametros_manuales!$H$37="Todos",datos_base!$J$26,0))*parametros_manuales!$E$15)*parametros_manuales!$I$37*parametros_manuales!$J$37</f>
        <v>19169.800982495</v>
      </c>
      <c r="F236" s="9" t="n">
        <f aca="false">(parametros_manuales!$D$37*(datos_base!$J$2+IF(parametros_manuales!$H$37="Todos",datos_base!$J$9,0))*parametros_manuales!$F$95+parametros_manuales!$D$37*(datos_base!$J$18+IF(parametros_manuales!$H$37="Todos",datos_base!$J$23,0))*parametros_manuales!$F$12+parametros_manuales!$E$37*(datos_base!$J$3+IF(parametros_manuales!$H$37="Todos",datos_base!$J$10,0))*parametros_manuales!$F$100+parametros_manuales!$E$37*(datos_base!$J$19+IF(parametros_manuales!$H$37="Todos",datos_base!$J$24,0))*parametros_manuales!$F$13+parametros_manuales!$F$37*(datos_base!$J$4+IF(parametros_manuales!$H$37="Todos",datos_base!$J$11,0))*parametros_manuales!$F$105+parametros_manuales!$F$37*(datos_base!$J$20+IF(parametros_manuales!$H$37="Todos",datos_base!$J$25,0))*parametros_manuales!$F$14+parametros_manuales!$G$37*(datos_base!$J$5+IF(parametros_manuales!$H$37="Todos",datos_base!$J$12,0))*parametros_manuales!$F$110+parametros_manuales!$G$37*(datos_base!$J$21+IF(parametros_manuales!$H$37="Todos",datos_base!$J$26,0))*parametros_manuales!$F$15)*parametros_manuales!$I$37*parametros_manuales!$J$37</f>
        <v>17938.99319756</v>
      </c>
      <c r="G236" s="9" t="n">
        <f aca="false">(parametros_manuales!$D$37*(datos_base!$J$2+IF(parametros_manuales!$H$37="Todos",datos_base!$J$9,0))*parametros_manuales!$G$95+parametros_manuales!$D$37*(datos_base!$J$18+IF(parametros_manuales!$H$37="Todos",datos_base!$J$23,0))*parametros_manuales!$G$12+parametros_manuales!$E$37*(datos_base!$J$3+IF(parametros_manuales!$H$37="Todos",datos_base!$J$10,0))*parametros_manuales!$G$100+parametros_manuales!$E$37*(datos_base!$J$19+IF(parametros_manuales!$H$37="Todos",datos_base!$J$24,0))*parametros_manuales!$G$13+parametros_manuales!$F$37*(datos_base!$J$4+IF(parametros_manuales!$H$37="Todos",datos_base!$J$11,0))*parametros_manuales!$G$105+parametros_manuales!$F$37*(datos_base!$J$20+IF(parametros_manuales!$H$37="Todos",datos_base!$J$25,0))*parametros_manuales!$G$14+parametros_manuales!$G$37*(datos_base!$J$5+IF(parametros_manuales!$H$37="Todos",datos_base!$J$12,0))*parametros_manuales!$G$110+parametros_manuales!$G$37*(datos_base!$J$21+IF(parametros_manuales!$H$37="Todos",datos_base!$J$26,0))*parametros_manuales!$G$15)*parametros_manuales!$I$37*parametros_manuales!$J$37</f>
        <v>17585.151093325</v>
      </c>
      <c r="H236" s="9" t="n">
        <f aca="false">(parametros_manuales!$D$37*(datos_base!$J$2+IF(parametros_manuales!$H$37="Todos",datos_base!$J$9,0))*parametros_manuales!$H$95+parametros_manuales!$D$37*(datos_base!$J$18+IF(parametros_manuales!$H$37="Todos",datos_base!$J$23,0))*parametros_manuales!$H$12+parametros_manuales!$E$37*(datos_base!$J$3+IF(parametros_manuales!$H$37="Todos",datos_base!$J$10,0))*parametros_manuales!$H$100+parametros_manuales!$E$37*(datos_base!$J$19+IF(parametros_manuales!$H$37="Todos",datos_base!$J$24,0))*parametros_manuales!$H$13+parametros_manuales!$F$37*(datos_base!$J$4+IF(parametros_manuales!$H$37="Todos",datos_base!$J$11,0))*parametros_manuales!$H$105+parametros_manuales!$F$37*(datos_base!$J$20+IF(parametros_manuales!$H$37="Todos",datos_base!$J$25,0))*parametros_manuales!$H$14+parametros_manuales!$G$37*(datos_base!$J$5+IF(parametros_manuales!$H$37="Todos",datos_base!$J$12,0))*parametros_manuales!$H$110+parametros_manuales!$G$37*(datos_base!$J$21+IF(parametros_manuales!$H$37="Todos",datos_base!$J$26,0))*parametros_manuales!$H$15)*parametros_manuales!$I$37*parametros_manuales!$J$37</f>
        <v>18815.95887826</v>
      </c>
      <c r="I236" s="9" t="n">
        <f aca="false">(parametros_manuales!$D$37*(datos_base!$J$2+IF(parametros_manuales!$H$37="Todos",datos_base!$J$9,0))*parametros_manuales!$I$95+parametros_manuales!$D$37*(datos_base!$J$18+IF(parametros_manuales!$H$37="Todos",datos_base!$J$23,0))*parametros_manuales!$I$12+parametros_manuales!$E$37*(datos_base!$J$3+IF(parametros_manuales!$H$37="Todos",datos_base!$J$10,0))*parametros_manuales!$I$100+parametros_manuales!$E$37*(datos_base!$J$19+IF(parametros_manuales!$H$37="Todos",datos_base!$J$24,0))*parametros_manuales!$I$13+parametros_manuales!$F$37*(datos_base!$J$4+IF(parametros_manuales!$H$37="Todos",datos_base!$J$11,0))*parametros_manuales!$I$105+parametros_manuales!$F$37*(datos_base!$J$20+IF(parametros_manuales!$H$37="Todos",datos_base!$J$25,0))*parametros_manuales!$I$14+parametros_manuales!$G$37*(datos_base!$J$5+IF(parametros_manuales!$H$37="Todos",datos_base!$J$12,0))*parametros_manuales!$I$110+parametros_manuales!$G$37*(datos_base!$J$21+IF(parametros_manuales!$H$37="Todos",datos_base!$J$26,0))*parametros_manuales!$I$15)*parametros_manuales!$I$37*parametros_manuales!$J$37</f>
        <v>21446.85592036</v>
      </c>
      <c r="J236" s="9" t="n">
        <f aca="false">(parametros_manuales!$D$37*(datos_base!$J$2+IF(parametros_manuales!$H$37="Todos",datos_base!$J$9,0))*parametros_manuales!$J$95+parametros_manuales!$D$37*(datos_base!$J$18+IF(parametros_manuales!$H$37="Todos",datos_base!$J$23,0))*parametros_manuales!$J$12+parametros_manuales!$E$37*(datos_base!$J$3+IF(parametros_manuales!$H$37="Todos",datos_base!$J$10,0))*parametros_manuales!$J$100+parametros_manuales!$E$37*(datos_base!$J$19+IF(parametros_manuales!$H$37="Todos",datos_base!$J$24,0))*parametros_manuales!$J$13+parametros_manuales!$F$37*(datos_base!$J$4+IF(parametros_manuales!$H$37="Todos",datos_base!$J$11,0))*parametros_manuales!$J$105+parametros_manuales!$F$37*(datos_base!$J$20+IF(parametros_manuales!$H$37="Todos",datos_base!$J$25,0))*parametros_manuales!$J$14+parametros_manuales!$G$37*(datos_base!$J$5+IF(parametros_manuales!$H$37="Todos",datos_base!$J$12,0))*parametros_manuales!$J$110+parametros_manuales!$G$37*(datos_base!$J$21+IF(parametros_manuales!$H$37="Todos",datos_base!$J$26,0))*parametros_manuales!$J$15)*parametros_manuales!$I$37*parametros_manuales!$J$37</f>
        <v>21446.85592036</v>
      </c>
      <c r="K236" s="9" t="n">
        <f aca="false">(parametros_manuales!$D$37*(datos_base!$J$2+IF(parametros_manuales!$H$37="Todos",datos_base!$J$9,0))*parametros_manuales!$K$95+parametros_manuales!$D$37*(datos_base!$J$18+IF(parametros_manuales!$H$37="Todos",datos_base!$J$23,0))*parametros_manuales!$K$12+parametros_manuales!$E$37*(datos_base!$J$3+IF(parametros_manuales!$H$37="Todos",datos_base!$J$10,0))*parametros_manuales!$K$100+parametros_manuales!$E$37*(datos_base!$J$19+IF(parametros_manuales!$H$37="Todos",datos_base!$J$24,0))*parametros_manuales!$K$13+parametros_manuales!$F$37*(datos_base!$J$4+IF(parametros_manuales!$H$37="Todos",datos_base!$J$11,0))*parametros_manuales!$K$105+parametros_manuales!$F$37*(datos_base!$J$20+IF(parametros_manuales!$H$37="Todos",datos_base!$J$25,0))*parametros_manuales!$K$14+parametros_manuales!$G$37*(datos_base!$J$5+IF(parametros_manuales!$H$37="Todos",datos_base!$J$12,0))*parametros_manuales!$K$110+parametros_manuales!$G$37*(datos_base!$J$21+IF(parametros_manuales!$H$37="Todos",datos_base!$J$26,0))*parametros_manuales!$K$15)*parametros_manuales!$I$37*parametros_manuales!$J$37</f>
        <v>21798.852424595</v>
      </c>
      <c r="L236" s="9" t="n">
        <f aca="false">(parametros_manuales!$D$37*(datos_base!$J$2+IF(parametros_manuales!$H$37="Todos",datos_base!$J$9,0))*parametros_manuales!$L$95+parametros_manuales!$D$37*(datos_base!$J$18+IF(parametros_manuales!$H$37="Todos",datos_base!$J$23,0))*parametros_manuales!$L$12+parametros_manuales!$E$37*(datos_base!$J$3+IF(parametros_manuales!$H$37="Todos",datos_base!$J$10,0))*parametros_manuales!$L$100+parametros_manuales!$E$37*(datos_base!$J$19+IF(parametros_manuales!$H$37="Todos",datos_base!$J$24,0))*parametros_manuales!$L$13+parametros_manuales!$F$37*(datos_base!$J$4+IF(parametros_manuales!$H$37="Todos",datos_base!$J$11,0))*parametros_manuales!$L$105+parametros_manuales!$F$37*(datos_base!$J$20+IF(parametros_manuales!$H$37="Todos",datos_base!$J$25,0))*parametros_manuales!$L$14+parametros_manuales!$G$37*(datos_base!$J$5+IF(parametros_manuales!$H$37="Todos",datos_base!$J$12,0))*parametros_manuales!$L$110+parametros_manuales!$G$37*(datos_base!$J$21+IF(parametros_manuales!$H$37="Todos",datos_base!$J$26,0))*parametros_manuales!$L$15)*parametros_manuales!$I$37*parametros_manuales!$J$37</f>
        <v>22150.84892883</v>
      </c>
      <c r="M236" s="9" t="n">
        <f aca="false">(parametros_manuales!$D$37*(datos_base!$J$2+IF(parametros_manuales!$H$37="Todos",datos_base!$J$9,0))*parametros_manuales!$M$95+parametros_manuales!$D$37*(datos_base!$J$18+IF(parametros_manuales!$H$37="Todos",datos_base!$J$23,0))*parametros_manuales!$M$12+parametros_manuales!$E$37*(datos_base!$J$3+IF(parametros_manuales!$H$37="Todos",datos_base!$J$10,0))*parametros_manuales!$M$100+parametros_manuales!$E$37*(datos_base!$J$19+IF(parametros_manuales!$H$37="Todos",datos_base!$J$24,0))*parametros_manuales!$M$13+parametros_manuales!$F$37*(datos_base!$J$4+IF(parametros_manuales!$H$37="Todos",datos_base!$J$11,0))*parametros_manuales!$M$105+parametros_manuales!$F$37*(datos_base!$J$20+IF(parametros_manuales!$H$37="Todos",datos_base!$J$25,0))*parametros_manuales!$M$14+parametros_manuales!$G$37*(datos_base!$J$5+IF(parametros_manuales!$H$37="Todos",datos_base!$J$12,0))*parametros_manuales!$M$110+parametros_manuales!$G$37*(datos_base!$J$21+IF(parametros_manuales!$H$37="Todos",datos_base!$J$26,0))*parametros_manuales!$M$15)*parametros_manuales!$I$37*parametros_manuales!$J$37</f>
        <v>22158.23132883</v>
      </c>
      <c r="N236" s="9" t="n">
        <f aca="false">SUM(B236:M236)</f>
        <v>246161.556987</v>
      </c>
      <c r="O236" s="9" t="n">
        <f aca="false">MAX(B236:M236)</f>
        <v>22158.23132883</v>
      </c>
      <c r="P236" s="44" t="n">
        <f aca="false">O236/(parametros_manuales!$B$7)</f>
        <v>147.7215421922</v>
      </c>
      <c r="Q236" s="8" t="str">
        <f aca="false">IF(O236=0,"-",INDEX($B$217:$M$217,MATCH(O236,B236:M236,0)))</f>
        <v>Dic</v>
      </c>
    </row>
    <row r="237" customFormat="false" ht="14.25" hidden="false" customHeight="true" outlineLevel="0" collapsed="false">
      <c r="A237" s="8" t="str">
        <f aca="false">parametros_manuales!$B$38</f>
        <v>Carga de polvo</v>
      </c>
      <c r="B237" s="9" t="n">
        <f aca="false">(parametros_manuales!$D$38*(datos_base!$J$2+IF(parametros_manuales!$H$38="Todos",datos_base!$J$9,0))*parametros_manuales!$B$95+parametros_manuales!$D$38*(datos_base!$J$18+IF(parametros_manuales!$H$38="Todos",datos_base!$J$23,0))*parametros_manuales!$B$12+parametros_manuales!$E$38*(datos_base!$J$3+IF(parametros_manuales!$H$38="Todos",datos_base!$J$10,0))*parametros_manuales!$B$100+parametros_manuales!$E$38*(datos_base!$J$19+IF(parametros_manuales!$H$38="Todos",datos_base!$J$24,0))*parametros_manuales!$B$13+parametros_manuales!$F$38*(datos_base!$J$4+IF(parametros_manuales!$H$38="Todos",datos_base!$J$11,0))*parametros_manuales!$B$105+parametros_manuales!$F$38*(datos_base!$J$20+IF(parametros_manuales!$H$38="Todos",datos_base!$J$25,0))*parametros_manuales!$B$14+parametros_manuales!$G$38*(datos_base!$J$5+IF(parametros_manuales!$H$38="Todos",datos_base!$J$12,0))*parametros_manuales!$B$110+parametros_manuales!$G$38*(datos_base!$J$21+IF(parametros_manuales!$H$38="Todos",datos_base!$J$26,0))*parametros_manuales!$B$15)*parametros_manuales!$I$38*parametros_manuales!$J$38</f>
        <v>5707.63372883</v>
      </c>
      <c r="C237" s="9" t="n">
        <f aca="false">(parametros_manuales!$D$38*(datos_base!$J$2+IF(parametros_manuales!$H$38="Todos",datos_base!$J$9,0))*parametros_manuales!$C$95+parametros_manuales!$D$38*(datos_base!$J$18+IF(parametros_manuales!$H$38="Todos",datos_base!$J$23,0))*parametros_manuales!$C$12+parametros_manuales!$E$38*(datos_base!$J$3+IF(parametros_manuales!$H$38="Todos",datos_base!$J$10,0))*parametros_manuales!$C$100+parametros_manuales!$E$38*(datos_base!$J$19+IF(parametros_manuales!$H$38="Todos",datos_base!$J$24,0))*parametros_manuales!$C$13+parametros_manuales!$F$38*(datos_base!$J$4+IF(parametros_manuales!$H$38="Todos",datos_base!$J$11,0))*parametros_manuales!$C$105+parametros_manuales!$F$38*(datos_base!$J$20+IF(parametros_manuales!$H$38="Todos",datos_base!$J$25,0))*parametros_manuales!$C$14+parametros_manuales!$G$38*(datos_base!$J$5+IF(parametros_manuales!$H$38="Todos",datos_base!$J$12,0))*parametros_manuales!$C$110+parametros_manuales!$G$38*(datos_base!$J$21+IF(parametros_manuales!$H$38="Todos",datos_base!$J$26,0))*parametros_manuales!$C$15)*parametros_manuales!$I$38*parametros_manuales!$J$38</f>
        <v>5358.62912036</v>
      </c>
      <c r="D237" s="9" t="n">
        <f aca="false">(parametros_manuales!$D$38*(datos_base!$J$2+IF(parametros_manuales!$H$38="Todos",datos_base!$J$9,0))*parametros_manuales!$D$95+parametros_manuales!$D$38*(datos_base!$J$18+IF(parametros_manuales!$H$38="Todos",datos_base!$J$23,0))*parametros_manuales!$D$12+parametros_manuales!$E$38*(datos_base!$J$3+IF(parametros_manuales!$H$38="Todos",datos_base!$J$10,0))*parametros_manuales!$D$100+parametros_manuales!$E$38*(datos_base!$J$19+IF(parametros_manuales!$H$38="Todos",datos_base!$J$24,0))*parametros_manuales!$D$13+parametros_manuales!$F$38*(datos_base!$J$4+IF(parametros_manuales!$H$38="Todos",datos_base!$J$11,0))*parametros_manuales!$D$105+parametros_manuales!$F$38*(datos_base!$J$20+IF(parametros_manuales!$H$38="Todos",datos_base!$J$25,0))*parametros_manuales!$D$14+parametros_manuales!$G$38*(datos_base!$J$5+IF(parametros_manuales!$H$38="Todos",datos_base!$J$12,0))*parametros_manuales!$D$110+parametros_manuales!$G$38*(datos_base!$J$21+IF(parametros_manuales!$H$38="Todos",datos_base!$J$26,0))*parametros_manuales!$D$15)*parametros_manuales!$I$38*parametros_manuales!$J$38</f>
        <v>5247.085063195</v>
      </c>
      <c r="E237" s="9" t="n">
        <f aca="false">(parametros_manuales!$D$38*(datos_base!$J$2+IF(parametros_manuales!$H$38="Todos",datos_base!$J$9,0))*parametros_manuales!$E$95+parametros_manuales!$D$38*(datos_base!$J$18+IF(parametros_manuales!$H$38="Todos",datos_base!$J$23,0))*parametros_manuales!$E$12+parametros_manuales!$E$38*(datos_base!$J$3+IF(parametros_manuales!$H$38="Todos",datos_base!$J$10,0))*parametros_manuales!$E$100+parametros_manuales!$E$38*(datos_base!$J$19+IF(parametros_manuales!$H$38="Todos",datos_base!$J$24,0))*parametros_manuales!$E$13+parametros_manuales!$F$38*(datos_base!$J$4+IF(parametros_manuales!$H$38="Todos",datos_base!$J$11,0))*parametros_manuales!$E$105+parametros_manuales!$F$38*(datos_base!$J$20+IF(parametros_manuales!$H$38="Todos",datos_base!$J$25,0))*parametros_manuales!$E$14+parametros_manuales!$G$38*(datos_base!$J$5+IF(parametros_manuales!$H$38="Todos",datos_base!$J$12,0))*parametros_manuales!$E$110+parametros_manuales!$G$38*(datos_base!$J$21+IF(parametros_manuales!$H$38="Todos",datos_base!$J$26,0))*parametros_manuales!$E$15)*parametros_manuales!$I$38*parametros_manuales!$J$38</f>
        <v>5104.218382495</v>
      </c>
      <c r="F237" s="9" t="n">
        <f aca="false">(parametros_manuales!$D$38*(datos_base!$J$2+IF(parametros_manuales!$H$38="Todos",datos_base!$J$9,0))*parametros_manuales!$F$95+parametros_manuales!$D$38*(datos_base!$J$18+IF(parametros_manuales!$H$38="Todos",datos_base!$J$23,0))*parametros_manuales!$F$12+parametros_manuales!$E$38*(datos_base!$J$3+IF(parametros_manuales!$H$38="Todos",datos_base!$J$10,0))*parametros_manuales!$F$100+parametros_manuales!$E$38*(datos_base!$J$19+IF(parametros_manuales!$H$38="Todos",datos_base!$J$24,0))*parametros_manuales!$F$13+parametros_manuales!$F$38*(datos_base!$J$4+IF(parametros_manuales!$H$38="Todos",datos_base!$J$11,0))*parametros_manuales!$F$105+parametros_manuales!$F$38*(datos_base!$J$20+IF(parametros_manuales!$H$38="Todos",datos_base!$J$25,0))*parametros_manuales!$F$14+parametros_manuales!$G$38*(datos_base!$J$5+IF(parametros_manuales!$H$38="Todos",datos_base!$J$12,0))*parametros_manuales!$F$110+parametros_manuales!$G$38*(datos_base!$J$21+IF(parametros_manuales!$H$38="Todos",datos_base!$J$26,0))*parametros_manuales!$F$15)*parametros_manuales!$I$38*parametros_manuales!$J$38</f>
        <v>4787.16239756</v>
      </c>
      <c r="G237" s="9" t="n">
        <f aca="false">(parametros_manuales!$D$38*(datos_base!$J$2+IF(parametros_manuales!$H$38="Todos",datos_base!$J$9,0))*parametros_manuales!$G$95+parametros_manuales!$D$38*(datos_base!$J$18+IF(parametros_manuales!$H$38="Todos",datos_base!$J$23,0))*parametros_manuales!$G$12+parametros_manuales!$E$38*(datos_base!$J$3+IF(parametros_manuales!$H$38="Todos",datos_base!$J$10,0))*parametros_manuales!$G$100+parametros_manuales!$E$38*(datos_base!$J$19+IF(parametros_manuales!$H$38="Todos",datos_base!$J$24,0))*parametros_manuales!$G$13+parametros_manuales!$F$38*(datos_base!$J$4+IF(parametros_manuales!$H$38="Todos",datos_base!$J$11,0))*parametros_manuales!$G$105+parametros_manuales!$F$38*(datos_base!$J$20+IF(parametros_manuales!$H$38="Todos",datos_base!$J$25,0))*parametros_manuales!$G$14+parametros_manuales!$G$38*(datos_base!$J$5+IF(parametros_manuales!$H$38="Todos",datos_base!$J$12,0))*parametros_manuales!$G$110+parametros_manuales!$G$38*(datos_base!$J$21+IF(parametros_manuales!$H$38="Todos",datos_base!$J$26,0))*parametros_manuales!$G$15)*parametros_manuales!$I$38*parametros_manuales!$J$38</f>
        <v>4612.973093325</v>
      </c>
      <c r="H237" s="9" t="n">
        <f aca="false">(parametros_manuales!$D$38*(datos_base!$J$2+IF(parametros_manuales!$H$38="Todos",datos_base!$J$9,0))*parametros_manuales!$H$95+parametros_manuales!$D$38*(datos_base!$J$18+IF(parametros_manuales!$H$38="Todos",datos_base!$J$23,0))*parametros_manuales!$H$12+parametros_manuales!$E$38*(datos_base!$J$3+IF(parametros_manuales!$H$38="Todos",datos_base!$J$10,0))*parametros_manuales!$H$100+parametros_manuales!$E$38*(datos_base!$J$19+IF(parametros_manuales!$H$38="Todos",datos_base!$J$24,0))*parametros_manuales!$H$13+parametros_manuales!$F$38*(datos_base!$J$4+IF(parametros_manuales!$H$38="Todos",datos_base!$J$11,0))*parametros_manuales!$H$105+parametros_manuales!$F$38*(datos_base!$J$20+IF(parametros_manuales!$H$38="Todos",datos_base!$J$25,0))*parametros_manuales!$H$14+parametros_manuales!$G$38*(datos_base!$J$5+IF(parametros_manuales!$H$38="Todos",datos_base!$J$12,0))*parametros_manuales!$H$110+parametros_manuales!$G$38*(datos_base!$J$21+IF(parametros_manuales!$H$38="Todos",datos_base!$J$26,0))*parametros_manuales!$H$15)*parametros_manuales!$I$38*parametros_manuales!$J$38</f>
        <v>4930.02907826</v>
      </c>
      <c r="I237" s="9" t="n">
        <f aca="false">(parametros_manuales!$D$38*(datos_base!$J$2+IF(parametros_manuales!$H$38="Todos",datos_base!$J$9,0))*parametros_manuales!$I$95+parametros_manuales!$D$38*(datos_base!$J$18+IF(parametros_manuales!$H$38="Todos",datos_base!$J$23,0))*parametros_manuales!$I$12+parametros_manuales!$E$38*(datos_base!$J$3+IF(parametros_manuales!$H$38="Todos",datos_base!$J$10,0))*parametros_manuales!$I$100+parametros_manuales!$E$38*(datos_base!$J$19+IF(parametros_manuales!$H$38="Todos",datos_base!$J$24,0))*parametros_manuales!$I$13+parametros_manuales!$F$38*(datos_base!$J$4+IF(parametros_manuales!$H$38="Todos",datos_base!$J$11,0))*parametros_manuales!$I$105+parametros_manuales!$F$38*(datos_base!$J$20+IF(parametros_manuales!$H$38="Todos",datos_base!$J$25,0))*parametros_manuales!$I$14+parametros_manuales!$G$38*(datos_base!$J$5+IF(parametros_manuales!$H$38="Todos",datos_base!$J$12,0))*parametros_manuales!$I$110+parametros_manuales!$G$38*(datos_base!$J$21+IF(parametros_manuales!$H$38="Todos",datos_base!$J$26,0))*parametros_manuales!$I$15)*parametros_manuales!$I$38*parametros_manuales!$J$38</f>
        <v>5358.62912036</v>
      </c>
      <c r="J237" s="9" t="n">
        <f aca="false">(parametros_manuales!$D$38*(datos_base!$J$2+IF(parametros_manuales!$H$38="Todos",datos_base!$J$9,0))*parametros_manuales!$J$95+parametros_manuales!$D$38*(datos_base!$J$18+IF(parametros_manuales!$H$38="Todos",datos_base!$J$23,0))*parametros_manuales!$J$12+parametros_manuales!$E$38*(datos_base!$J$3+IF(parametros_manuales!$H$38="Todos",datos_base!$J$10,0))*parametros_manuales!$J$100+parametros_manuales!$E$38*(datos_base!$J$19+IF(parametros_manuales!$H$38="Todos",datos_base!$J$24,0))*parametros_manuales!$J$13+parametros_manuales!$F$38*(datos_base!$J$4+IF(parametros_manuales!$H$38="Todos",datos_base!$J$11,0))*parametros_manuales!$J$105+parametros_manuales!$F$38*(datos_base!$J$20+IF(parametros_manuales!$H$38="Todos",datos_base!$J$25,0))*parametros_manuales!$J$14+parametros_manuales!$G$38*(datos_base!$J$5+IF(parametros_manuales!$H$38="Todos",datos_base!$J$12,0))*parametros_manuales!$J$110+parametros_manuales!$G$38*(datos_base!$J$21+IF(parametros_manuales!$H$38="Todos",datos_base!$J$26,0))*parametros_manuales!$J$15)*parametros_manuales!$I$38*parametros_manuales!$J$38</f>
        <v>5358.62912036</v>
      </c>
      <c r="K237" s="9" t="n">
        <f aca="false">(parametros_manuales!$D$38*(datos_base!$J$2+IF(parametros_manuales!$H$38="Todos",datos_base!$J$9,0))*parametros_manuales!$K$95+parametros_manuales!$D$38*(datos_base!$J$18+IF(parametros_manuales!$H$38="Todos",datos_base!$J$23,0))*parametros_manuales!$K$12+parametros_manuales!$E$38*(datos_base!$J$3+IF(parametros_manuales!$H$38="Todos",datos_base!$J$10,0))*parametros_manuales!$K$100+parametros_manuales!$E$38*(datos_base!$J$19+IF(parametros_manuales!$H$38="Todos",datos_base!$J$24,0))*parametros_manuales!$K$13+parametros_manuales!$F$38*(datos_base!$J$4+IF(parametros_manuales!$H$38="Todos",datos_base!$J$11,0))*parametros_manuales!$K$105+parametros_manuales!$F$38*(datos_base!$J$20+IF(parametros_manuales!$H$38="Todos",datos_base!$J$25,0))*parametros_manuales!$K$14+parametros_manuales!$G$38*(datos_base!$J$5+IF(parametros_manuales!$H$38="Todos",datos_base!$J$12,0))*parametros_manuales!$K$110+parametros_manuales!$G$38*(datos_base!$J$21+IF(parametros_manuales!$H$38="Todos",datos_base!$J$26,0))*parametros_manuales!$K$15)*parametros_manuales!$I$38*parametros_manuales!$J$38</f>
        <v>5532.192424595</v>
      </c>
      <c r="L237" s="9" t="n">
        <f aca="false">(parametros_manuales!$D$38*(datos_base!$J$2+IF(parametros_manuales!$H$38="Todos",datos_base!$J$9,0))*parametros_manuales!$L$95+parametros_manuales!$D$38*(datos_base!$J$18+IF(parametros_manuales!$H$38="Todos",datos_base!$J$23,0))*parametros_manuales!$L$12+parametros_manuales!$E$38*(datos_base!$J$3+IF(parametros_manuales!$H$38="Todos",datos_base!$J$10,0))*parametros_manuales!$L$100+parametros_manuales!$E$38*(datos_base!$J$19+IF(parametros_manuales!$H$38="Todos",datos_base!$J$24,0))*parametros_manuales!$L$13+parametros_manuales!$F$38*(datos_base!$J$4+IF(parametros_manuales!$H$38="Todos",datos_base!$J$11,0))*parametros_manuales!$L$105+parametros_manuales!$F$38*(datos_base!$J$20+IF(parametros_manuales!$H$38="Todos",datos_base!$J$25,0))*parametros_manuales!$L$14+parametros_manuales!$G$38*(datos_base!$J$5+IF(parametros_manuales!$H$38="Todos",datos_base!$J$12,0))*parametros_manuales!$L$110+parametros_manuales!$G$38*(datos_base!$J$21+IF(parametros_manuales!$H$38="Todos",datos_base!$J$26,0))*parametros_manuales!$L$15)*parametros_manuales!$I$38*parametros_manuales!$J$38</f>
        <v>5705.75572883</v>
      </c>
      <c r="M237" s="9" t="n">
        <f aca="false">(parametros_manuales!$D$38*(datos_base!$J$2+IF(parametros_manuales!$H$38="Todos",datos_base!$J$9,0))*parametros_manuales!$M$95+parametros_manuales!$D$38*(datos_base!$J$18+IF(parametros_manuales!$H$38="Todos",datos_base!$J$23,0))*parametros_manuales!$M$12+parametros_manuales!$E$38*(datos_base!$J$3+IF(parametros_manuales!$H$38="Todos",datos_base!$J$10,0))*parametros_manuales!$M$100+parametros_manuales!$E$38*(datos_base!$J$19+IF(parametros_manuales!$H$38="Todos",datos_base!$J$24,0))*parametros_manuales!$M$13+parametros_manuales!$F$38*(datos_base!$J$4+IF(parametros_manuales!$H$38="Todos",datos_base!$J$11,0))*parametros_manuales!$M$105+parametros_manuales!$F$38*(datos_base!$J$20+IF(parametros_manuales!$H$38="Todos",datos_base!$J$25,0))*parametros_manuales!$M$14+parametros_manuales!$G$38*(datos_base!$J$5+IF(parametros_manuales!$H$38="Todos",datos_base!$J$12,0))*parametros_manuales!$M$110+parametros_manuales!$G$38*(datos_base!$J$21+IF(parametros_manuales!$H$38="Todos",datos_base!$J$26,0))*parametros_manuales!$M$15)*parametros_manuales!$I$38*parametros_manuales!$J$38</f>
        <v>5708.25972883</v>
      </c>
      <c r="N237" s="9" t="n">
        <f aca="false">SUM(B237:M237)</f>
        <v>63411.196987</v>
      </c>
      <c r="O237" s="9" t="n">
        <f aca="false">MAX(B237:M237)</f>
        <v>5708.25972883</v>
      </c>
      <c r="P237" s="44" t="n">
        <f aca="false">O237/(parametros_manuales!$B$7)</f>
        <v>38.0550648588667</v>
      </c>
      <c r="Q237" s="8" t="str">
        <f aca="false">IF(O237=0,"-",INDEX($B$217:$M$217,MATCH(O237,B237:M237,0)))</f>
        <v>Dic</v>
      </c>
    </row>
    <row r="238" customFormat="false" ht="14.25" hidden="false" customHeight="true" outlineLevel="0" collapsed="false">
      <c r="A238" s="8" t="str">
        <f aca="false">parametros_manuales!$B$39</f>
        <v>Ensamblaje</v>
      </c>
      <c r="B238" s="9" t="n">
        <f aca="false">(parametros_manuales!$D$39*(datos_base!$J$2+IF(parametros_manuales!$H$39="Todos",datos_base!$J$9,0))*parametros_manuales!$B$95+parametros_manuales!$D$39*(datos_base!$J$18+IF(parametros_manuales!$H$39="Todos",datos_base!$J$23,0))*parametros_manuales!$B$12+parametros_manuales!$E$39*(datos_base!$J$3+IF(parametros_manuales!$H$39="Todos",datos_base!$J$10,0))*parametros_manuales!$B$100+parametros_manuales!$E$39*(datos_base!$J$19+IF(parametros_manuales!$H$39="Todos",datos_base!$J$24,0))*parametros_manuales!$B$13+parametros_manuales!$F$39*(datos_base!$J$4+IF(parametros_manuales!$H$39="Todos",datos_base!$J$11,0))*parametros_manuales!$B$105+parametros_manuales!$F$39*(datos_base!$J$20+IF(parametros_manuales!$H$39="Todos",datos_base!$J$25,0))*parametros_manuales!$B$14+parametros_manuales!$G$39*(datos_base!$J$5+IF(parametros_manuales!$H$39="Todos",datos_base!$J$12,0))*parametros_manuales!$B$110+parametros_manuales!$G$39*(datos_base!$J$21+IF(parametros_manuales!$H$39="Todos",datos_base!$J$26,0))*parametros_manuales!$B$15)*parametros_manuales!$I$39*parametros_manuales!$J$39</f>
        <v>5707.63372883</v>
      </c>
      <c r="C238" s="9" t="n">
        <f aca="false">(parametros_manuales!$D$39*(datos_base!$J$2+IF(parametros_manuales!$H$39="Todos",datos_base!$J$9,0))*parametros_manuales!$C$95+parametros_manuales!$D$39*(datos_base!$J$18+IF(parametros_manuales!$H$39="Todos",datos_base!$J$23,0))*parametros_manuales!$C$12+parametros_manuales!$E$39*(datos_base!$J$3+IF(parametros_manuales!$H$39="Todos",datos_base!$J$10,0))*parametros_manuales!$C$100+parametros_manuales!$E$39*(datos_base!$J$19+IF(parametros_manuales!$H$39="Todos",datos_base!$J$24,0))*parametros_manuales!$C$13+parametros_manuales!$F$39*(datos_base!$J$4+IF(parametros_manuales!$H$39="Todos",datos_base!$J$11,0))*parametros_manuales!$C$105+parametros_manuales!$F$39*(datos_base!$J$20+IF(parametros_manuales!$H$39="Todos",datos_base!$J$25,0))*parametros_manuales!$C$14+parametros_manuales!$G$39*(datos_base!$J$5+IF(parametros_manuales!$H$39="Todos",datos_base!$J$12,0))*parametros_manuales!$C$110+parametros_manuales!$G$39*(datos_base!$J$21+IF(parametros_manuales!$H$39="Todos",datos_base!$J$26,0))*parametros_manuales!$C$15)*parametros_manuales!$I$39*parametros_manuales!$J$39</f>
        <v>5358.62912036</v>
      </c>
      <c r="D238" s="9" t="n">
        <f aca="false">(parametros_manuales!$D$39*(datos_base!$J$2+IF(parametros_manuales!$H$39="Todos",datos_base!$J$9,0))*parametros_manuales!$D$95+parametros_manuales!$D$39*(datos_base!$J$18+IF(parametros_manuales!$H$39="Todos",datos_base!$J$23,0))*parametros_manuales!$D$12+parametros_manuales!$E$39*(datos_base!$J$3+IF(parametros_manuales!$H$39="Todos",datos_base!$J$10,0))*parametros_manuales!$D$100+parametros_manuales!$E$39*(datos_base!$J$19+IF(parametros_manuales!$H$39="Todos",datos_base!$J$24,0))*parametros_manuales!$D$13+parametros_manuales!$F$39*(datos_base!$J$4+IF(parametros_manuales!$H$39="Todos",datos_base!$J$11,0))*parametros_manuales!$D$105+parametros_manuales!$F$39*(datos_base!$J$20+IF(parametros_manuales!$H$39="Todos",datos_base!$J$25,0))*parametros_manuales!$D$14+parametros_manuales!$G$39*(datos_base!$J$5+IF(parametros_manuales!$H$39="Todos",datos_base!$J$12,0))*parametros_manuales!$D$110+parametros_manuales!$G$39*(datos_base!$J$21+IF(parametros_manuales!$H$39="Todos",datos_base!$J$26,0))*parametros_manuales!$D$15)*parametros_manuales!$I$39*parametros_manuales!$J$39</f>
        <v>5247.085063195</v>
      </c>
      <c r="E238" s="9" t="n">
        <f aca="false">(parametros_manuales!$D$39*(datos_base!$J$2+IF(parametros_manuales!$H$39="Todos",datos_base!$J$9,0))*parametros_manuales!$E$95+parametros_manuales!$D$39*(datos_base!$J$18+IF(parametros_manuales!$H$39="Todos",datos_base!$J$23,0))*parametros_manuales!$E$12+parametros_manuales!$E$39*(datos_base!$J$3+IF(parametros_manuales!$H$39="Todos",datos_base!$J$10,0))*parametros_manuales!$E$100+parametros_manuales!$E$39*(datos_base!$J$19+IF(parametros_manuales!$H$39="Todos",datos_base!$J$24,0))*parametros_manuales!$E$13+parametros_manuales!$F$39*(datos_base!$J$4+IF(parametros_manuales!$H$39="Todos",datos_base!$J$11,0))*parametros_manuales!$E$105+parametros_manuales!$F$39*(datos_base!$J$20+IF(parametros_manuales!$H$39="Todos",datos_base!$J$25,0))*parametros_manuales!$E$14+parametros_manuales!$G$39*(datos_base!$J$5+IF(parametros_manuales!$H$39="Todos",datos_base!$J$12,0))*parametros_manuales!$E$110+parametros_manuales!$G$39*(datos_base!$J$21+IF(parametros_manuales!$H$39="Todos",datos_base!$J$26,0))*parametros_manuales!$E$15)*parametros_manuales!$I$39*parametros_manuales!$J$39</f>
        <v>5104.218382495</v>
      </c>
      <c r="F238" s="9" t="n">
        <f aca="false">(parametros_manuales!$D$39*(datos_base!$J$2+IF(parametros_manuales!$H$39="Todos",datos_base!$J$9,0))*parametros_manuales!$F$95+parametros_manuales!$D$39*(datos_base!$J$18+IF(parametros_manuales!$H$39="Todos",datos_base!$J$23,0))*parametros_manuales!$F$12+parametros_manuales!$E$39*(datos_base!$J$3+IF(parametros_manuales!$H$39="Todos",datos_base!$J$10,0))*parametros_manuales!$F$100+parametros_manuales!$E$39*(datos_base!$J$19+IF(parametros_manuales!$H$39="Todos",datos_base!$J$24,0))*parametros_manuales!$F$13+parametros_manuales!$F$39*(datos_base!$J$4+IF(parametros_manuales!$H$39="Todos",datos_base!$J$11,0))*parametros_manuales!$F$105+parametros_manuales!$F$39*(datos_base!$J$20+IF(parametros_manuales!$H$39="Todos",datos_base!$J$25,0))*parametros_manuales!$F$14+parametros_manuales!$G$39*(datos_base!$J$5+IF(parametros_manuales!$H$39="Todos",datos_base!$J$12,0))*parametros_manuales!$F$110+parametros_manuales!$G$39*(datos_base!$J$21+IF(parametros_manuales!$H$39="Todos",datos_base!$J$26,0))*parametros_manuales!$F$15)*parametros_manuales!$I$39*parametros_manuales!$J$39</f>
        <v>4787.16239756</v>
      </c>
      <c r="G238" s="9" t="n">
        <f aca="false">(parametros_manuales!$D$39*(datos_base!$J$2+IF(parametros_manuales!$H$39="Todos",datos_base!$J$9,0))*parametros_manuales!$G$95+parametros_manuales!$D$39*(datos_base!$J$18+IF(parametros_manuales!$H$39="Todos",datos_base!$J$23,0))*parametros_manuales!$G$12+parametros_manuales!$E$39*(datos_base!$J$3+IF(parametros_manuales!$H$39="Todos",datos_base!$J$10,0))*parametros_manuales!$G$100+parametros_manuales!$E$39*(datos_base!$J$19+IF(parametros_manuales!$H$39="Todos",datos_base!$J$24,0))*parametros_manuales!$G$13+parametros_manuales!$F$39*(datos_base!$J$4+IF(parametros_manuales!$H$39="Todos",datos_base!$J$11,0))*parametros_manuales!$G$105+parametros_manuales!$F$39*(datos_base!$J$20+IF(parametros_manuales!$H$39="Todos",datos_base!$J$25,0))*parametros_manuales!$G$14+parametros_manuales!$G$39*(datos_base!$J$5+IF(parametros_manuales!$H$39="Todos",datos_base!$J$12,0))*parametros_manuales!$G$110+parametros_manuales!$G$39*(datos_base!$J$21+IF(parametros_manuales!$H$39="Todos",datos_base!$J$26,0))*parametros_manuales!$G$15)*parametros_manuales!$I$39*parametros_manuales!$J$39</f>
        <v>4612.973093325</v>
      </c>
      <c r="H238" s="9" t="n">
        <f aca="false">(parametros_manuales!$D$39*(datos_base!$J$2+IF(parametros_manuales!$H$39="Todos",datos_base!$J$9,0))*parametros_manuales!$H$95+parametros_manuales!$D$39*(datos_base!$J$18+IF(parametros_manuales!$H$39="Todos",datos_base!$J$23,0))*parametros_manuales!$H$12+parametros_manuales!$E$39*(datos_base!$J$3+IF(parametros_manuales!$H$39="Todos",datos_base!$J$10,0))*parametros_manuales!$H$100+parametros_manuales!$E$39*(datos_base!$J$19+IF(parametros_manuales!$H$39="Todos",datos_base!$J$24,0))*parametros_manuales!$H$13+parametros_manuales!$F$39*(datos_base!$J$4+IF(parametros_manuales!$H$39="Todos",datos_base!$J$11,0))*parametros_manuales!$H$105+parametros_manuales!$F$39*(datos_base!$J$20+IF(parametros_manuales!$H$39="Todos",datos_base!$J$25,0))*parametros_manuales!$H$14+parametros_manuales!$G$39*(datos_base!$J$5+IF(parametros_manuales!$H$39="Todos",datos_base!$J$12,0))*parametros_manuales!$H$110+parametros_manuales!$G$39*(datos_base!$J$21+IF(parametros_manuales!$H$39="Todos",datos_base!$J$26,0))*parametros_manuales!$H$15)*parametros_manuales!$I$39*parametros_manuales!$J$39</f>
        <v>4930.02907826</v>
      </c>
      <c r="I238" s="9" t="n">
        <f aca="false">(parametros_manuales!$D$39*(datos_base!$J$2+IF(parametros_manuales!$H$39="Todos",datos_base!$J$9,0))*parametros_manuales!$I$95+parametros_manuales!$D$39*(datos_base!$J$18+IF(parametros_manuales!$H$39="Todos",datos_base!$J$23,0))*parametros_manuales!$I$12+parametros_manuales!$E$39*(datos_base!$J$3+IF(parametros_manuales!$H$39="Todos",datos_base!$J$10,0))*parametros_manuales!$I$100+parametros_manuales!$E$39*(datos_base!$J$19+IF(parametros_manuales!$H$39="Todos",datos_base!$J$24,0))*parametros_manuales!$I$13+parametros_manuales!$F$39*(datos_base!$J$4+IF(parametros_manuales!$H$39="Todos",datos_base!$J$11,0))*parametros_manuales!$I$105+parametros_manuales!$F$39*(datos_base!$J$20+IF(parametros_manuales!$H$39="Todos",datos_base!$J$25,0))*parametros_manuales!$I$14+parametros_manuales!$G$39*(datos_base!$J$5+IF(parametros_manuales!$H$39="Todos",datos_base!$J$12,0))*parametros_manuales!$I$110+parametros_manuales!$G$39*(datos_base!$J$21+IF(parametros_manuales!$H$39="Todos",datos_base!$J$26,0))*parametros_manuales!$I$15)*parametros_manuales!$I$39*parametros_manuales!$J$39</f>
        <v>5358.62912036</v>
      </c>
      <c r="J238" s="9" t="n">
        <f aca="false">(parametros_manuales!$D$39*(datos_base!$J$2+IF(parametros_manuales!$H$39="Todos",datos_base!$J$9,0))*parametros_manuales!$J$95+parametros_manuales!$D$39*(datos_base!$J$18+IF(parametros_manuales!$H$39="Todos",datos_base!$J$23,0))*parametros_manuales!$J$12+parametros_manuales!$E$39*(datos_base!$J$3+IF(parametros_manuales!$H$39="Todos",datos_base!$J$10,0))*parametros_manuales!$J$100+parametros_manuales!$E$39*(datos_base!$J$19+IF(parametros_manuales!$H$39="Todos",datos_base!$J$24,0))*parametros_manuales!$J$13+parametros_manuales!$F$39*(datos_base!$J$4+IF(parametros_manuales!$H$39="Todos",datos_base!$J$11,0))*parametros_manuales!$J$105+parametros_manuales!$F$39*(datos_base!$J$20+IF(parametros_manuales!$H$39="Todos",datos_base!$J$25,0))*parametros_manuales!$J$14+parametros_manuales!$G$39*(datos_base!$J$5+IF(parametros_manuales!$H$39="Todos",datos_base!$J$12,0))*parametros_manuales!$J$110+parametros_manuales!$G$39*(datos_base!$J$21+IF(parametros_manuales!$H$39="Todos",datos_base!$J$26,0))*parametros_manuales!$J$15)*parametros_manuales!$I$39*parametros_manuales!$J$39</f>
        <v>5358.62912036</v>
      </c>
      <c r="K238" s="9" t="n">
        <f aca="false">(parametros_manuales!$D$39*(datos_base!$J$2+IF(parametros_manuales!$H$39="Todos",datos_base!$J$9,0))*parametros_manuales!$K$95+parametros_manuales!$D$39*(datos_base!$J$18+IF(parametros_manuales!$H$39="Todos",datos_base!$J$23,0))*parametros_manuales!$K$12+parametros_manuales!$E$39*(datos_base!$J$3+IF(parametros_manuales!$H$39="Todos",datos_base!$J$10,0))*parametros_manuales!$K$100+parametros_manuales!$E$39*(datos_base!$J$19+IF(parametros_manuales!$H$39="Todos",datos_base!$J$24,0))*parametros_manuales!$K$13+parametros_manuales!$F$39*(datos_base!$J$4+IF(parametros_manuales!$H$39="Todos",datos_base!$J$11,0))*parametros_manuales!$K$105+parametros_manuales!$F$39*(datos_base!$J$20+IF(parametros_manuales!$H$39="Todos",datos_base!$J$25,0))*parametros_manuales!$K$14+parametros_manuales!$G$39*(datos_base!$J$5+IF(parametros_manuales!$H$39="Todos",datos_base!$J$12,0))*parametros_manuales!$K$110+parametros_manuales!$G$39*(datos_base!$J$21+IF(parametros_manuales!$H$39="Todos",datos_base!$J$26,0))*parametros_manuales!$K$15)*parametros_manuales!$I$39*parametros_manuales!$J$39</f>
        <v>5532.192424595</v>
      </c>
      <c r="L238" s="9" t="n">
        <f aca="false">(parametros_manuales!$D$39*(datos_base!$J$2+IF(parametros_manuales!$H$39="Todos",datos_base!$J$9,0))*parametros_manuales!$L$95+parametros_manuales!$D$39*(datos_base!$J$18+IF(parametros_manuales!$H$39="Todos",datos_base!$J$23,0))*parametros_manuales!$L$12+parametros_manuales!$E$39*(datos_base!$J$3+IF(parametros_manuales!$H$39="Todos",datos_base!$J$10,0))*parametros_manuales!$L$100+parametros_manuales!$E$39*(datos_base!$J$19+IF(parametros_manuales!$H$39="Todos",datos_base!$J$24,0))*parametros_manuales!$L$13+parametros_manuales!$F$39*(datos_base!$J$4+IF(parametros_manuales!$H$39="Todos",datos_base!$J$11,0))*parametros_manuales!$L$105+parametros_manuales!$F$39*(datos_base!$J$20+IF(parametros_manuales!$H$39="Todos",datos_base!$J$25,0))*parametros_manuales!$L$14+parametros_manuales!$G$39*(datos_base!$J$5+IF(parametros_manuales!$H$39="Todos",datos_base!$J$12,0))*parametros_manuales!$L$110+parametros_manuales!$G$39*(datos_base!$J$21+IF(parametros_manuales!$H$39="Todos",datos_base!$J$26,0))*parametros_manuales!$L$15)*parametros_manuales!$I$39*parametros_manuales!$J$39</f>
        <v>5705.75572883</v>
      </c>
      <c r="M238" s="9" t="n">
        <f aca="false">(parametros_manuales!$D$39*(datos_base!$J$2+IF(parametros_manuales!$H$39="Todos",datos_base!$J$9,0))*parametros_manuales!$M$95+parametros_manuales!$D$39*(datos_base!$J$18+IF(parametros_manuales!$H$39="Todos",datos_base!$J$23,0))*parametros_manuales!$M$12+parametros_manuales!$E$39*(datos_base!$J$3+IF(parametros_manuales!$H$39="Todos",datos_base!$J$10,0))*parametros_manuales!$M$100+parametros_manuales!$E$39*(datos_base!$J$19+IF(parametros_manuales!$H$39="Todos",datos_base!$J$24,0))*parametros_manuales!$M$13+parametros_manuales!$F$39*(datos_base!$J$4+IF(parametros_manuales!$H$39="Todos",datos_base!$J$11,0))*parametros_manuales!$M$105+parametros_manuales!$F$39*(datos_base!$J$20+IF(parametros_manuales!$H$39="Todos",datos_base!$J$25,0))*parametros_manuales!$M$14+parametros_manuales!$G$39*(datos_base!$J$5+IF(parametros_manuales!$H$39="Todos",datos_base!$J$12,0))*parametros_manuales!$M$110+parametros_manuales!$G$39*(datos_base!$J$21+IF(parametros_manuales!$H$39="Todos",datos_base!$J$26,0))*parametros_manuales!$M$15)*parametros_manuales!$I$39*parametros_manuales!$J$39</f>
        <v>5708.25972883</v>
      </c>
      <c r="N238" s="9" t="n">
        <f aca="false">SUM(B238:M238)</f>
        <v>63411.196987</v>
      </c>
      <c r="O238" s="9" t="n">
        <f aca="false">MAX(B238:M238)</f>
        <v>5708.25972883</v>
      </c>
      <c r="P238" s="44" t="n">
        <f aca="false">O238/(parametros_manuales!$B$7)</f>
        <v>38.0550648588667</v>
      </c>
      <c r="Q238" s="8" t="str">
        <f aca="false">IF(O238=0,"-",INDEX($B$217:$M$217,MATCH(O238,B238:M238,0)))</f>
        <v>Dic</v>
      </c>
    </row>
    <row r="239" customFormat="false" ht="14.25" hidden="false" customHeight="true" outlineLevel="0" collapsed="false">
      <c r="A239" s="8" t="str">
        <f aca="false">parametros_manuales!$B$40</f>
        <v>Presurización</v>
      </c>
      <c r="B239" s="9" t="n">
        <f aca="false">(parametros_manuales!$D$40*(datos_base!$J$2+IF(parametros_manuales!$H$40="Todos",datos_base!$J$9,0))*parametros_manuales!$B$95+parametros_manuales!$D$40*(datos_base!$J$18+IF(parametros_manuales!$H$40="Todos",datos_base!$J$23,0))*parametros_manuales!$B$12+parametros_manuales!$E$40*(datos_base!$J$3+IF(parametros_manuales!$H$40="Todos",datos_base!$J$10,0))*parametros_manuales!$B$100+parametros_manuales!$E$40*(datos_base!$J$19+IF(parametros_manuales!$H$40="Todos",datos_base!$J$24,0))*parametros_manuales!$B$13+parametros_manuales!$F$40*(datos_base!$J$4+IF(parametros_manuales!$H$40="Todos",datos_base!$J$11,0))*parametros_manuales!$B$105+parametros_manuales!$F$40*(datos_base!$J$20+IF(parametros_manuales!$H$40="Todos",datos_base!$J$25,0))*parametros_manuales!$B$14+parametros_manuales!$G$40*(datos_base!$J$5+IF(parametros_manuales!$H$40="Todos",datos_base!$J$12,0))*parametros_manuales!$B$110+parametros_manuales!$G$40*(datos_base!$J$21+IF(parametros_manuales!$H$40="Todos",datos_base!$J$26,0))*parametros_manuales!$B$15)*parametros_manuales!$I$40*parametros_manuales!$J$40</f>
        <v>5707.63372883</v>
      </c>
      <c r="C239" s="9" t="n">
        <f aca="false">(parametros_manuales!$D$40*(datos_base!$J$2+IF(parametros_manuales!$H$40="Todos",datos_base!$J$9,0))*parametros_manuales!$C$95+parametros_manuales!$D$40*(datos_base!$J$18+IF(parametros_manuales!$H$40="Todos",datos_base!$J$23,0))*parametros_manuales!$C$12+parametros_manuales!$E$40*(datos_base!$J$3+IF(parametros_manuales!$H$40="Todos",datos_base!$J$10,0))*parametros_manuales!$C$100+parametros_manuales!$E$40*(datos_base!$J$19+IF(parametros_manuales!$H$40="Todos",datos_base!$J$24,0))*parametros_manuales!$C$13+parametros_manuales!$F$40*(datos_base!$J$4+IF(parametros_manuales!$H$40="Todos",datos_base!$J$11,0))*parametros_manuales!$C$105+parametros_manuales!$F$40*(datos_base!$J$20+IF(parametros_manuales!$H$40="Todos",datos_base!$J$25,0))*parametros_manuales!$C$14+parametros_manuales!$G$40*(datos_base!$J$5+IF(parametros_manuales!$H$40="Todos",datos_base!$J$12,0))*parametros_manuales!$C$110+parametros_manuales!$G$40*(datos_base!$J$21+IF(parametros_manuales!$H$40="Todos",datos_base!$J$26,0))*parametros_manuales!$C$15)*parametros_manuales!$I$40*parametros_manuales!$J$40</f>
        <v>5358.62912036</v>
      </c>
      <c r="D239" s="9" t="n">
        <f aca="false">(parametros_manuales!$D$40*(datos_base!$J$2+IF(parametros_manuales!$H$40="Todos",datos_base!$J$9,0))*parametros_manuales!$D$95+parametros_manuales!$D$40*(datos_base!$J$18+IF(parametros_manuales!$H$40="Todos",datos_base!$J$23,0))*parametros_manuales!$D$12+parametros_manuales!$E$40*(datos_base!$J$3+IF(parametros_manuales!$H$40="Todos",datos_base!$J$10,0))*parametros_manuales!$D$100+parametros_manuales!$E$40*(datos_base!$J$19+IF(parametros_manuales!$H$40="Todos",datos_base!$J$24,0))*parametros_manuales!$D$13+parametros_manuales!$F$40*(datos_base!$J$4+IF(parametros_manuales!$H$40="Todos",datos_base!$J$11,0))*parametros_manuales!$D$105+parametros_manuales!$F$40*(datos_base!$J$20+IF(parametros_manuales!$H$40="Todos",datos_base!$J$25,0))*parametros_manuales!$D$14+parametros_manuales!$G$40*(datos_base!$J$5+IF(parametros_manuales!$H$40="Todos",datos_base!$J$12,0))*parametros_manuales!$D$110+parametros_manuales!$G$40*(datos_base!$J$21+IF(parametros_manuales!$H$40="Todos",datos_base!$J$26,0))*parametros_manuales!$D$15)*parametros_manuales!$I$40*parametros_manuales!$J$40</f>
        <v>5247.085063195</v>
      </c>
      <c r="E239" s="9" t="n">
        <f aca="false">(parametros_manuales!$D$40*(datos_base!$J$2+IF(parametros_manuales!$H$40="Todos",datos_base!$J$9,0))*parametros_manuales!$E$95+parametros_manuales!$D$40*(datos_base!$J$18+IF(parametros_manuales!$H$40="Todos",datos_base!$J$23,0))*parametros_manuales!$E$12+parametros_manuales!$E$40*(datos_base!$J$3+IF(parametros_manuales!$H$40="Todos",datos_base!$J$10,0))*parametros_manuales!$E$100+parametros_manuales!$E$40*(datos_base!$J$19+IF(parametros_manuales!$H$40="Todos",datos_base!$J$24,0))*parametros_manuales!$E$13+parametros_manuales!$F$40*(datos_base!$J$4+IF(parametros_manuales!$H$40="Todos",datos_base!$J$11,0))*parametros_manuales!$E$105+parametros_manuales!$F$40*(datos_base!$J$20+IF(parametros_manuales!$H$40="Todos",datos_base!$J$25,0))*parametros_manuales!$E$14+parametros_manuales!$G$40*(datos_base!$J$5+IF(parametros_manuales!$H$40="Todos",datos_base!$J$12,0))*parametros_manuales!$E$110+parametros_manuales!$G$40*(datos_base!$J$21+IF(parametros_manuales!$H$40="Todos",datos_base!$J$26,0))*parametros_manuales!$E$15)*parametros_manuales!$I$40*parametros_manuales!$J$40</f>
        <v>5104.218382495</v>
      </c>
      <c r="F239" s="9" t="n">
        <f aca="false">(parametros_manuales!$D$40*(datos_base!$J$2+IF(parametros_manuales!$H$40="Todos",datos_base!$J$9,0))*parametros_manuales!$F$95+parametros_manuales!$D$40*(datos_base!$J$18+IF(parametros_manuales!$H$40="Todos",datos_base!$J$23,0))*parametros_manuales!$F$12+parametros_manuales!$E$40*(datos_base!$J$3+IF(parametros_manuales!$H$40="Todos",datos_base!$J$10,0))*parametros_manuales!$F$100+parametros_manuales!$E$40*(datos_base!$J$19+IF(parametros_manuales!$H$40="Todos",datos_base!$J$24,0))*parametros_manuales!$F$13+parametros_manuales!$F$40*(datos_base!$J$4+IF(parametros_manuales!$H$40="Todos",datos_base!$J$11,0))*parametros_manuales!$F$105+parametros_manuales!$F$40*(datos_base!$J$20+IF(parametros_manuales!$H$40="Todos",datos_base!$J$25,0))*parametros_manuales!$F$14+parametros_manuales!$G$40*(datos_base!$J$5+IF(parametros_manuales!$H$40="Todos",datos_base!$J$12,0))*parametros_manuales!$F$110+parametros_manuales!$G$40*(datos_base!$J$21+IF(parametros_manuales!$H$40="Todos",datos_base!$J$26,0))*parametros_manuales!$F$15)*parametros_manuales!$I$40*parametros_manuales!$J$40</f>
        <v>4787.16239756</v>
      </c>
      <c r="G239" s="9" t="n">
        <f aca="false">(parametros_manuales!$D$40*(datos_base!$J$2+IF(parametros_manuales!$H$40="Todos",datos_base!$J$9,0))*parametros_manuales!$G$95+parametros_manuales!$D$40*(datos_base!$J$18+IF(parametros_manuales!$H$40="Todos",datos_base!$J$23,0))*parametros_manuales!$G$12+parametros_manuales!$E$40*(datos_base!$J$3+IF(parametros_manuales!$H$40="Todos",datos_base!$J$10,0))*parametros_manuales!$G$100+parametros_manuales!$E$40*(datos_base!$J$19+IF(parametros_manuales!$H$40="Todos",datos_base!$J$24,0))*parametros_manuales!$G$13+parametros_manuales!$F$40*(datos_base!$J$4+IF(parametros_manuales!$H$40="Todos",datos_base!$J$11,0))*parametros_manuales!$G$105+parametros_manuales!$F$40*(datos_base!$J$20+IF(parametros_manuales!$H$40="Todos",datos_base!$J$25,0))*parametros_manuales!$G$14+parametros_manuales!$G$40*(datos_base!$J$5+IF(parametros_manuales!$H$40="Todos",datos_base!$J$12,0))*parametros_manuales!$G$110+parametros_manuales!$G$40*(datos_base!$J$21+IF(parametros_manuales!$H$40="Todos",datos_base!$J$26,0))*parametros_manuales!$G$15)*parametros_manuales!$I$40*parametros_manuales!$J$40</f>
        <v>4612.973093325</v>
      </c>
      <c r="H239" s="9" t="n">
        <f aca="false">(parametros_manuales!$D$40*(datos_base!$J$2+IF(parametros_manuales!$H$40="Todos",datos_base!$J$9,0))*parametros_manuales!$H$95+parametros_manuales!$D$40*(datos_base!$J$18+IF(parametros_manuales!$H$40="Todos",datos_base!$J$23,0))*parametros_manuales!$H$12+parametros_manuales!$E$40*(datos_base!$J$3+IF(parametros_manuales!$H$40="Todos",datos_base!$J$10,0))*parametros_manuales!$H$100+parametros_manuales!$E$40*(datos_base!$J$19+IF(parametros_manuales!$H$40="Todos",datos_base!$J$24,0))*parametros_manuales!$H$13+parametros_manuales!$F$40*(datos_base!$J$4+IF(parametros_manuales!$H$40="Todos",datos_base!$J$11,0))*parametros_manuales!$H$105+parametros_manuales!$F$40*(datos_base!$J$20+IF(parametros_manuales!$H$40="Todos",datos_base!$J$25,0))*parametros_manuales!$H$14+parametros_manuales!$G$40*(datos_base!$J$5+IF(parametros_manuales!$H$40="Todos",datos_base!$J$12,0))*parametros_manuales!$H$110+parametros_manuales!$G$40*(datos_base!$J$21+IF(parametros_manuales!$H$40="Todos",datos_base!$J$26,0))*parametros_manuales!$H$15)*parametros_manuales!$I$40*parametros_manuales!$J$40</f>
        <v>4930.02907826</v>
      </c>
      <c r="I239" s="9" t="n">
        <f aca="false">(parametros_manuales!$D$40*(datos_base!$J$2+IF(parametros_manuales!$H$40="Todos",datos_base!$J$9,0))*parametros_manuales!$I$95+parametros_manuales!$D$40*(datos_base!$J$18+IF(parametros_manuales!$H$40="Todos",datos_base!$J$23,0))*parametros_manuales!$I$12+parametros_manuales!$E$40*(datos_base!$J$3+IF(parametros_manuales!$H$40="Todos",datos_base!$J$10,0))*parametros_manuales!$I$100+parametros_manuales!$E$40*(datos_base!$J$19+IF(parametros_manuales!$H$40="Todos",datos_base!$J$24,0))*parametros_manuales!$I$13+parametros_manuales!$F$40*(datos_base!$J$4+IF(parametros_manuales!$H$40="Todos",datos_base!$J$11,0))*parametros_manuales!$I$105+parametros_manuales!$F$40*(datos_base!$J$20+IF(parametros_manuales!$H$40="Todos",datos_base!$J$25,0))*parametros_manuales!$I$14+parametros_manuales!$G$40*(datos_base!$J$5+IF(parametros_manuales!$H$40="Todos",datos_base!$J$12,0))*parametros_manuales!$I$110+parametros_manuales!$G$40*(datos_base!$J$21+IF(parametros_manuales!$H$40="Todos",datos_base!$J$26,0))*parametros_manuales!$I$15)*parametros_manuales!$I$40*parametros_manuales!$J$40</f>
        <v>5358.62912036</v>
      </c>
      <c r="J239" s="9" t="n">
        <f aca="false">(parametros_manuales!$D$40*(datos_base!$J$2+IF(parametros_manuales!$H$40="Todos",datos_base!$J$9,0))*parametros_manuales!$J$95+parametros_manuales!$D$40*(datos_base!$J$18+IF(parametros_manuales!$H$40="Todos",datos_base!$J$23,0))*parametros_manuales!$J$12+parametros_manuales!$E$40*(datos_base!$J$3+IF(parametros_manuales!$H$40="Todos",datos_base!$J$10,0))*parametros_manuales!$J$100+parametros_manuales!$E$40*(datos_base!$J$19+IF(parametros_manuales!$H$40="Todos",datos_base!$J$24,0))*parametros_manuales!$J$13+parametros_manuales!$F$40*(datos_base!$J$4+IF(parametros_manuales!$H$40="Todos",datos_base!$J$11,0))*parametros_manuales!$J$105+parametros_manuales!$F$40*(datos_base!$J$20+IF(parametros_manuales!$H$40="Todos",datos_base!$J$25,0))*parametros_manuales!$J$14+parametros_manuales!$G$40*(datos_base!$J$5+IF(parametros_manuales!$H$40="Todos",datos_base!$J$12,0))*parametros_manuales!$J$110+parametros_manuales!$G$40*(datos_base!$J$21+IF(parametros_manuales!$H$40="Todos",datos_base!$J$26,0))*parametros_manuales!$J$15)*parametros_manuales!$I$40*parametros_manuales!$J$40</f>
        <v>5358.62912036</v>
      </c>
      <c r="K239" s="9" t="n">
        <f aca="false">(parametros_manuales!$D$40*(datos_base!$J$2+IF(parametros_manuales!$H$40="Todos",datos_base!$J$9,0))*parametros_manuales!$K$95+parametros_manuales!$D$40*(datos_base!$J$18+IF(parametros_manuales!$H$40="Todos",datos_base!$J$23,0))*parametros_manuales!$K$12+parametros_manuales!$E$40*(datos_base!$J$3+IF(parametros_manuales!$H$40="Todos",datos_base!$J$10,0))*parametros_manuales!$K$100+parametros_manuales!$E$40*(datos_base!$J$19+IF(parametros_manuales!$H$40="Todos",datos_base!$J$24,0))*parametros_manuales!$K$13+parametros_manuales!$F$40*(datos_base!$J$4+IF(parametros_manuales!$H$40="Todos",datos_base!$J$11,0))*parametros_manuales!$K$105+parametros_manuales!$F$40*(datos_base!$J$20+IF(parametros_manuales!$H$40="Todos",datos_base!$J$25,0))*parametros_manuales!$K$14+parametros_manuales!$G$40*(datos_base!$J$5+IF(parametros_manuales!$H$40="Todos",datos_base!$J$12,0))*parametros_manuales!$K$110+parametros_manuales!$G$40*(datos_base!$J$21+IF(parametros_manuales!$H$40="Todos",datos_base!$J$26,0))*parametros_manuales!$K$15)*parametros_manuales!$I$40*parametros_manuales!$J$40</f>
        <v>5532.192424595</v>
      </c>
      <c r="L239" s="9" t="n">
        <f aca="false">(parametros_manuales!$D$40*(datos_base!$J$2+IF(parametros_manuales!$H$40="Todos",datos_base!$J$9,0))*parametros_manuales!$L$95+parametros_manuales!$D$40*(datos_base!$J$18+IF(parametros_manuales!$H$40="Todos",datos_base!$J$23,0))*parametros_manuales!$L$12+parametros_manuales!$E$40*(datos_base!$J$3+IF(parametros_manuales!$H$40="Todos",datos_base!$J$10,0))*parametros_manuales!$L$100+parametros_manuales!$E$40*(datos_base!$J$19+IF(parametros_manuales!$H$40="Todos",datos_base!$J$24,0))*parametros_manuales!$L$13+parametros_manuales!$F$40*(datos_base!$J$4+IF(parametros_manuales!$H$40="Todos",datos_base!$J$11,0))*parametros_manuales!$L$105+parametros_manuales!$F$40*(datos_base!$J$20+IF(parametros_manuales!$H$40="Todos",datos_base!$J$25,0))*parametros_manuales!$L$14+parametros_manuales!$G$40*(datos_base!$J$5+IF(parametros_manuales!$H$40="Todos",datos_base!$J$12,0))*parametros_manuales!$L$110+parametros_manuales!$G$40*(datos_base!$J$21+IF(parametros_manuales!$H$40="Todos",datos_base!$J$26,0))*parametros_manuales!$L$15)*parametros_manuales!$I$40*parametros_manuales!$J$40</f>
        <v>5705.75572883</v>
      </c>
      <c r="M239" s="9" t="n">
        <f aca="false">(parametros_manuales!$D$40*(datos_base!$J$2+IF(parametros_manuales!$H$40="Todos",datos_base!$J$9,0))*parametros_manuales!$M$95+parametros_manuales!$D$40*(datos_base!$J$18+IF(parametros_manuales!$H$40="Todos",datos_base!$J$23,0))*parametros_manuales!$M$12+parametros_manuales!$E$40*(datos_base!$J$3+IF(parametros_manuales!$H$40="Todos",datos_base!$J$10,0))*parametros_manuales!$M$100+parametros_manuales!$E$40*(datos_base!$J$19+IF(parametros_manuales!$H$40="Todos",datos_base!$J$24,0))*parametros_manuales!$M$13+parametros_manuales!$F$40*(datos_base!$J$4+IF(parametros_manuales!$H$40="Todos",datos_base!$J$11,0))*parametros_manuales!$M$105+parametros_manuales!$F$40*(datos_base!$J$20+IF(parametros_manuales!$H$40="Todos",datos_base!$J$25,0))*parametros_manuales!$M$14+parametros_manuales!$G$40*(datos_base!$J$5+IF(parametros_manuales!$H$40="Todos",datos_base!$J$12,0))*parametros_manuales!$M$110+parametros_manuales!$G$40*(datos_base!$J$21+IF(parametros_manuales!$H$40="Todos",datos_base!$J$26,0))*parametros_manuales!$M$15)*parametros_manuales!$I$40*parametros_manuales!$J$40</f>
        <v>5708.25972883</v>
      </c>
      <c r="N239" s="9" t="n">
        <f aca="false">SUM(B239:M239)</f>
        <v>63411.196987</v>
      </c>
      <c r="O239" s="9" t="n">
        <f aca="false">MAX(B239:M239)</f>
        <v>5708.25972883</v>
      </c>
      <c r="P239" s="44" t="n">
        <f aca="false">O239/(parametros_manuales!$B$7)</f>
        <v>38.0550648588667</v>
      </c>
      <c r="Q239" s="8" t="str">
        <f aca="false">IF(O239=0,"-",INDEX($B$217:$M$217,MATCH(O239,B239:M239,0)))</f>
        <v>Dic</v>
      </c>
    </row>
    <row r="240" customFormat="false" ht="14.25" hidden="false" customHeight="true" outlineLevel="0" collapsed="false">
      <c r="A240" s="8" t="str">
        <f aca="false">parametros_manuales!$B$41</f>
        <v>Control de calidad — Ensayo de pérdidas</v>
      </c>
      <c r="B240" s="9" t="n">
        <f aca="false">(parametros_manuales!$D$41*(datos_base!$J$2+IF(parametros_manuales!$H$41="Todos",datos_base!$J$9,0))*parametros_manuales!$B$95+parametros_manuales!$D$41*(datos_base!$J$18+IF(parametros_manuales!$H$41="Todos",datos_base!$J$23,0))*parametros_manuales!$B$12+parametros_manuales!$E$41*(datos_base!$J$3+IF(parametros_manuales!$H$41="Todos",datos_base!$J$10,0))*parametros_manuales!$B$100+parametros_manuales!$E$41*(datos_base!$J$19+IF(parametros_manuales!$H$41="Todos",datos_base!$J$24,0))*parametros_manuales!$B$13+parametros_manuales!$F$41*(datos_base!$J$4+IF(parametros_manuales!$H$41="Todos",datos_base!$J$11,0))*parametros_manuales!$B$105+parametros_manuales!$F$41*(datos_base!$J$20+IF(parametros_manuales!$H$41="Todos",datos_base!$J$25,0))*parametros_manuales!$B$14+parametros_manuales!$G$41*(datos_base!$J$5+IF(parametros_manuales!$H$41="Todos",datos_base!$J$12,0))*parametros_manuales!$B$110+parametros_manuales!$G$41*(datos_base!$J$21+IF(parametros_manuales!$H$41="Todos",datos_base!$J$26,0))*parametros_manuales!$B$15)*parametros_manuales!$I$41*parametros_manuales!$J$41</f>
        <v>5707.63372883</v>
      </c>
      <c r="C240" s="9" t="n">
        <f aca="false">(parametros_manuales!$D$41*(datos_base!$J$2+IF(parametros_manuales!$H$41="Todos",datos_base!$J$9,0))*parametros_manuales!$C$95+parametros_manuales!$D$41*(datos_base!$J$18+IF(parametros_manuales!$H$41="Todos",datos_base!$J$23,0))*parametros_manuales!$C$12+parametros_manuales!$E$41*(datos_base!$J$3+IF(parametros_manuales!$H$41="Todos",datos_base!$J$10,0))*parametros_manuales!$C$100+parametros_manuales!$E$41*(datos_base!$J$19+IF(parametros_manuales!$H$41="Todos",datos_base!$J$24,0))*parametros_manuales!$C$13+parametros_manuales!$F$41*(datos_base!$J$4+IF(parametros_manuales!$H$41="Todos",datos_base!$J$11,0))*parametros_manuales!$C$105+parametros_manuales!$F$41*(datos_base!$J$20+IF(parametros_manuales!$H$41="Todos",datos_base!$J$25,0))*parametros_manuales!$C$14+parametros_manuales!$G$41*(datos_base!$J$5+IF(parametros_manuales!$H$41="Todos",datos_base!$J$12,0))*parametros_manuales!$C$110+parametros_manuales!$G$41*(datos_base!$J$21+IF(parametros_manuales!$H$41="Todos",datos_base!$J$26,0))*parametros_manuales!$C$15)*parametros_manuales!$I$41*parametros_manuales!$J$41</f>
        <v>5358.62912036</v>
      </c>
      <c r="D240" s="9" t="n">
        <f aca="false">(parametros_manuales!$D$41*(datos_base!$J$2+IF(parametros_manuales!$H$41="Todos",datos_base!$J$9,0))*parametros_manuales!$D$95+parametros_manuales!$D$41*(datos_base!$J$18+IF(parametros_manuales!$H$41="Todos",datos_base!$J$23,0))*parametros_manuales!$D$12+parametros_manuales!$E$41*(datos_base!$J$3+IF(parametros_manuales!$H$41="Todos",datos_base!$J$10,0))*parametros_manuales!$D$100+parametros_manuales!$E$41*(datos_base!$J$19+IF(parametros_manuales!$H$41="Todos",datos_base!$J$24,0))*parametros_manuales!$D$13+parametros_manuales!$F$41*(datos_base!$J$4+IF(parametros_manuales!$H$41="Todos",datos_base!$J$11,0))*parametros_manuales!$D$105+parametros_manuales!$F$41*(datos_base!$J$20+IF(parametros_manuales!$H$41="Todos",datos_base!$J$25,0))*parametros_manuales!$D$14+parametros_manuales!$G$41*(datos_base!$J$5+IF(parametros_manuales!$H$41="Todos",datos_base!$J$12,0))*parametros_manuales!$D$110+parametros_manuales!$G$41*(datos_base!$J$21+IF(parametros_manuales!$H$41="Todos",datos_base!$J$26,0))*parametros_manuales!$D$15)*parametros_manuales!$I$41*parametros_manuales!$J$41</f>
        <v>5247.085063195</v>
      </c>
      <c r="E240" s="9" t="n">
        <f aca="false">(parametros_manuales!$D$41*(datos_base!$J$2+IF(parametros_manuales!$H$41="Todos",datos_base!$J$9,0))*parametros_manuales!$E$95+parametros_manuales!$D$41*(datos_base!$J$18+IF(parametros_manuales!$H$41="Todos",datos_base!$J$23,0))*parametros_manuales!$E$12+parametros_manuales!$E$41*(datos_base!$J$3+IF(parametros_manuales!$H$41="Todos",datos_base!$J$10,0))*parametros_manuales!$E$100+parametros_manuales!$E$41*(datos_base!$J$19+IF(parametros_manuales!$H$41="Todos",datos_base!$J$24,0))*parametros_manuales!$E$13+parametros_manuales!$F$41*(datos_base!$J$4+IF(parametros_manuales!$H$41="Todos",datos_base!$J$11,0))*parametros_manuales!$E$105+parametros_manuales!$F$41*(datos_base!$J$20+IF(parametros_manuales!$H$41="Todos",datos_base!$J$25,0))*parametros_manuales!$E$14+parametros_manuales!$G$41*(datos_base!$J$5+IF(parametros_manuales!$H$41="Todos",datos_base!$J$12,0))*parametros_manuales!$E$110+parametros_manuales!$G$41*(datos_base!$J$21+IF(parametros_manuales!$H$41="Todos",datos_base!$J$26,0))*parametros_manuales!$E$15)*parametros_manuales!$I$41*parametros_manuales!$J$41</f>
        <v>5104.218382495</v>
      </c>
      <c r="F240" s="9" t="n">
        <f aca="false">(parametros_manuales!$D$41*(datos_base!$J$2+IF(parametros_manuales!$H$41="Todos",datos_base!$J$9,0))*parametros_manuales!$F$95+parametros_manuales!$D$41*(datos_base!$J$18+IF(parametros_manuales!$H$41="Todos",datos_base!$J$23,0))*parametros_manuales!$F$12+parametros_manuales!$E$41*(datos_base!$J$3+IF(parametros_manuales!$H$41="Todos",datos_base!$J$10,0))*parametros_manuales!$F$100+parametros_manuales!$E$41*(datos_base!$J$19+IF(parametros_manuales!$H$41="Todos",datos_base!$J$24,0))*parametros_manuales!$F$13+parametros_manuales!$F$41*(datos_base!$J$4+IF(parametros_manuales!$H$41="Todos",datos_base!$J$11,0))*parametros_manuales!$F$105+parametros_manuales!$F$41*(datos_base!$J$20+IF(parametros_manuales!$H$41="Todos",datos_base!$J$25,0))*parametros_manuales!$F$14+parametros_manuales!$G$41*(datos_base!$J$5+IF(parametros_manuales!$H$41="Todos",datos_base!$J$12,0))*parametros_manuales!$F$110+parametros_manuales!$G$41*(datos_base!$J$21+IF(parametros_manuales!$H$41="Todos",datos_base!$J$26,0))*parametros_manuales!$F$15)*parametros_manuales!$I$41*parametros_manuales!$J$41</f>
        <v>4787.16239756</v>
      </c>
      <c r="G240" s="9" t="n">
        <f aca="false">(parametros_manuales!$D$41*(datos_base!$J$2+IF(parametros_manuales!$H$41="Todos",datos_base!$J$9,0))*parametros_manuales!$G$95+parametros_manuales!$D$41*(datos_base!$J$18+IF(parametros_manuales!$H$41="Todos",datos_base!$J$23,0))*parametros_manuales!$G$12+parametros_manuales!$E$41*(datos_base!$J$3+IF(parametros_manuales!$H$41="Todos",datos_base!$J$10,0))*parametros_manuales!$G$100+parametros_manuales!$E$41*(datos_base!$J$19+IF(parametros_manuales!$H$41="Todos",datos_base!$J$24,0))*parametros_manuales!$G$13+parametros_manuales!$F$41*(datos_base!$J$4+IF(parametros_manuales!$H$41="Todos",datos_base!$J$11,0))*parametros_manuales!$G$105+parametros_manuales!$F$41*(datos_base!$J$20+IF(parametros_manuales!$H$41="Todos",datos_base!$J$25,0))*parametros_manuales!$G$14+parametros_manuales!$G$41*(datos_base!$J$5+IF(parametros_manuales!$H$41="Todos",datos_base!$J$12,0))*parametros_manuales!$G$110+parametros_manuales!$G$41*(datos_base!$J$21+IF(parametros_manuales!$H$41="Todos",datos_base!$J$26,0))*parametros_manuales!$G$15)*parametros_manuales!$I$41*parametros_manuales!$J$41</f>
        <v>4612.973093325</v>
      </c>
      <c r="H240" s="9" t="n">
        <f aca="false">(parametros_manuales!$D$41*(datos_base!$J$2+IF(parametros_manuales!$H$41="Todos",datos_base!$J$9,0))*parametros_manuales!$H$95+parametros_manuales!$D$41*(datos_base!$J$18+IF(parametros_manuales!$H$41="Todos",datos_base!$J$23,0))*parametros_manuales!$H$12+parametros_manuales!$E$41*(datos_base!$J$3+IF(parametros_manuales!$H$41="Todos",datos_base!$J$10,0))*parametros_manuales!$H$100+parametros_manuales!$E$41*(datos_base!$J$19+IF(parametros_manuales!$H$41="Todos",datos_base!$J$24,0))*parametros_manuales!$H$13+parametros_manuales!$F$41*(datos_base!$J$4+IF(parametros_manuales!$H$41="Todos",datos_base!$J$11,0))*parametros_manuales!$H$105+parametros_manuales!$F$41*(datos_base!$J$20+IF(parametros_manuales!$H$41="Todos",datos_base!$J$25,0))*parametros_manuales!$H$14+parametros_manuales!$G$41*(datos_base!$J$5+IF(parametros_manuales!$H$41="Todos",datos_base!$J$12,0))*parametros_manuales!$H$110+parametros_manuales!$G$41*(datos_base!$J$21+IF(parametros_manuales!$H$41="Todos",datos_base!$J$26,0))*parametros_manuales!$H$15)*parametros_manuales!$I$41*parametros_manuales!$J$41</f>
        <v>4930.02907826</v>
      </c>
      <c r="I240" s="9" t="n">
        <f aca="false">(parametros_manuales!$D$41*(datos_base!$J$2+IF(parametros_manuales!$H$41="Todos",datos_base!$J$9,0))*parametros_manuales!$I$95+parametros_manuales!$D$41*(datos_base!$J$18+IF(parametros_manuales!$H$41="Todos",datos_base!$J$23,0))*parametros_manuales!$I$12+parametros_manuales!$E$41*(datos_base!$J$3+IF(parametros_manuales!$H$41="Todos",datos_base!$J$10,0))*parametros_manuales!$I$100+parametros_manuales!$E$41*(datos_base!$J$19+IF(parametros_manuales!$H$41="Todos",datos_base!$J$24,0))*parametros_manuales!$I$13+parametros_manuales!$F$41*(datos_base!$J$4+IF(parametros_manuales!$H$41="Todos",datos_base!$J$11,0))*parametros_manuales!$I$105+parametros_manuales!$F$41*(datos_base!$J$20+IF(parametros_manuales!$H$41="Todos",datos_base!$J$25,0))*parametros_manuales!$I$14+parametros_manuales!$G$41*(datos_base!$J$5+IF(parametros_manuales!$H$41="Todos",datos_base!$J$12,0))*parametros_manuales!$I$110+parametros_manuales!$G$41*(datos_base!$J$21+IF(parametros_manuales!$H$41="Todos",datos_base!$J$26,0))*parametros_manuales!$I$15)*parametros_manuales!$I$41*parametros_manuales!$J$41</f>
        <v>5358.62912036</v>
      </c>
      <c r="J240" s="9" t="n">
        <f aca="false">(parametros_manuales!$D$41*(datos_base!$J$2+IF(parametros_manuales!$H$41="Todos",datos_base!$J$9,0))*parametros_manuales!$J$95+parametros_manuales!$D$41*(datos_base!$J$18+IF(parametros_manuales!$H$41="Todos",datos_base!$J$23,0))*parametros_manuales!$J$12+parametros_manuales!$E$41*(datos_base!$J$3+IF(parametros_manuales!$H$41="Todos",datos_base!$J$10,0))*parametros_manuales!$J$100+parametros_manuales!$E$41*(datos_base!$J$19+IF(parametros_manuales!$H$41="Todos",datos_base!$J$24,0))*parametros_manuales!$J$13+parametros_manuales!$F$41*(datos_base!$J$4+IF(parametros_manuales!$H$41="Todos",datos_base!$J$11,0))*parametros_manuales!$J$105+parametros_manuales!$F$41*(datos_base!$J$20+IF(parametros_manuales!$H$41="Todos",datos_base!$J$25,0))*parametros_manuales!$J$14+parametros_manuales!$G$41*(datos_base!$J$5+IF(parametros_manuales!$H$41="Todos",datos_base!$J$12,0))*parametros_manuales!$J$110+parametros_manuales!$G$41*(datos_base!$J$21+IF(parametros_manuales!$H$41="Todos",datos_base!$J$26,0))*parametros_manuales!$J$15)*parametros_manuales!$I$41*parametros_manuales!$J$41</f>
        <v>5358.62912036</v>
      </c>
      <c r="K240" s="9" t="n">
        <f aca="false">(parametros_manuales!$D$41*(datos_base!$J$2+IF(parametros_manuales!$H$41="Todos",datos_base!$J$9,0))*parametros_manuales!$K$95+parametros_manuales!$D$41*(datos_base!$J$18+IF(parametros_manuales!$H$41="Todos",datos_base!$J$23,0))*parametros_manuales!$K$12+parametros_manuales!$E$41*(datos_base!$J$3+IF(parametros_manuales!$H$41="Todos",datos_base!$J$10,0))*parametros_manuales!$K$100+parametros_manuales!$E$41*(datos_base!$J$19+IF(parametros_manuales!$H$41="Todos",datos_base!$J$24,0))*parametros_manuales!$K$13+parametros_manuales!$F$41*(datos_base!$J$4+IF(parametros_manuales!$H$41="Todos",datos_base!$J$11,0))*parametros_manuales!$K$105+parametros_manuales!$F$41*(datos_base!$J$20+IF(parametros_manuales!$H$41="Todos",datos_base!$J$25,0))*parametros_manuales!$K$14+parametros_manuales!$G$41*(datos_base!$J$5+IF(parametros_manuales!$H$41="Todos",datos_base!$J$12,0))*parametros_manuales!$K$110+parametros_manuales!$G$41*(datos_base!$J$21+IF(parametros_manuales!$H$41="Todos",datos_base!$J$26,0))*parametros_manuales!$K$15)*parametros_manuales!$I$41*parametros_manuales!$J$41</f>
        <v>5532.192424595</v>
      </c>
      <c r="L240" s="9" t="n">
        <f aca="false">(parametros_manuales!$D$41*(datos_base!$J$2+IF(parametros_manuales!$H$41="Todos",datos_base!$J$9,0))*parametros_manuales!$L$95+parametros_manuales!$D$41*(datos_base!$J$18+IF(parametros_manuales!$H$41="Todos",datos_base!$J$23,0))*parametros_manuales!$L$12+parametros_manuales!$E$41*(datos_base!$J$3+IF(parametros_manuales!$H$41="Todos",datos_base!$J$10,0))*parametros_manuales!$L$100+parametros_manuales!$E$41*(datos_base!$J$19+IF(parametros_manuales!$H$41="Todos",datos_base!$J$24,0))*parametros_manuales!$L$13+parametros_manuales!$F$41*(datos_base!$J$4+IF(parametros_manuales!$H$41="Todos",datos_base!$J$11,0))*parametros_manuales!$L$105+parametros_manuales!$F$41*(datos_base!$J$20+IF(parametros_manuales!$H$41="Todos",datos_base!$J$25,0))*parametros_manuales!$L$14+parametros_manuales!$G$41*(datos_base!$J$5+IF(parametros_manuales!$H$41="Todos",datos_base!$J$12,0))*parametros_manuales!$L$110+parametros_manuales!$G$41*(datos_base!$J$21+IF(parametros_manuales!$H$41="Todos",datos_base!$J$26,0))*parametros_manuales!$L$15)*parametros_manuales!$I$41*parametros_manuales!$J$41</f>
        <v>5705.75572883</v>
      </c>
      <c r="M240" s="9" t="n">
        <f aca="false">(parametros_manuales!$D$41*(datos_base!$J$2+IF(parametros_manuales!$H$41="Todos",datos_base!$J$9,0))*parametros_manuales!$M$95+parametros_manuales!$D$41*(datos_base!$J$18+IF(parametros_manuales!$H$41="Todos",datos_base!$J$23,0))*parametros_manuales!$M$12+parametros_manuales!$E$41*(datos_base!$J$3+IF(parametros_manuales!$H$41="Todos",datos_base!$J$10,0))*parametros_manuales!$M$100+parametros_manuales!$E$41*(datos_base!$J$19+IF(parametros_manuales!$H$41="Todos",datos_base!$J$24,0))*parametros_manuales!$M$13+parametros_manuales!$F$41*(datos_base!$J$4+IF(parametros_manuales!$H$41="Todos",datos_base!$J$11,0))*parametros_manuales!$M$105+parametros_manuales!$F$41*(datos_base!$J$20+IF(parametros_manuales!$H$41="Todos",datos_base!$J$25,0))*parametros_manuales!$M$14+parametros_manuales!$G$41*(datos_base!$J$5+IF(parametros_manuales!$H$41="Todos",datos_base!$J$12,0))*parametros_manuales!$M$110+parametros_manuales!$G$41*(datos_base!$J$21+IF(parametros_manuales!$H$41="Todos",datos_base!$J$26,0))*parametros_manuales!$M$15)*parametros_manuales!$I$41*parametros_manuales!$J$41</f>
        <v>5708.25972883</v>
      </c>
      <c r="N240" s="9" t="n">
        <f aca="false">SUM(B240:M240)</f>
        <v>63411.196987</v>
      </c>
      <c r="O240" s="9" t="n">
        <f aca="false">MAX(B240:M240)</f>
        <v>5708.25972883</v>
      </c>
      <c r="P240" s="44" t="n">
        <f aca="false">O240/(parametros_manuales!$B$7)</f>
        <v>38.0550648588667</v>
      </c>
      <c r="Q240" s="8" t="str">
        <f aca="false">IF(O240=0,"-",INDEX($B$217:$M$217,MATCH(O240,B240:M240,0)))</f>
        <v>Dic</v>
      </c>
    </row>
    <row r="241" customFormat="false" ht="14.25" hidden="false" customHeight="true" outlineLevel="0" collapsed="false">
      <c r="A241" s="8" t="str">
        <f aca="false">parametros_manuales!$B$42</f>
        <v>Etiquetado</v>
      </c>
      <c r="B241" s="9" t="n">
        <f aca="false">(parametros_manuales!$D$42*(datos_base!$J$2+IF(parametros_manuales!$H$42="Todos",datos_base!$J$9,0))*parametros_manuales!$B$95+parametros_manuales!$D$42*(datos_base!$J$18+IF(parametros_manuales!$H$42="Todos",datos_base!$J$23,0))*parametros_manuales!$B$12+parametros_manuales!$E$42*(datos_base!$J$3+IF(parametros_manuales!$H$42="Todos",datos_base!$J$10,0))*parametros_manuales!$B$100+parametros_manuales!$E$42*(datos_base!$J$19+IF(parametros_manuales!$H$42="Todos",datos_base!$J$24,0))*parametros_manuales!$B$13+parametros_manuales!$F$42*(datos_base!$J$4+IF(parametros_manuales!$H$42="Todos",datos_base!$J$11,0))*parametros_manuales!$B$105+parametros_manuales!$F$42*(datos_base!$J$20+IF(parametros_manuales!$H$42="Todos",datos_base!$J$25,0))*parametros_manuales!$B$14+parametros_manuales!$G$42*(datos_base!$J$5+IF(parametros_manuales!$H$42="Todos",datos_base!$J$12,0))*parametros_manuales!$B$110+parametros_manuales!$G$42*(datos_base!$J$21+IF(parametros_manuales!$H$42="Todos",datos_base!$J$26,0))*parametros_manuales!$B$15)*parametros_manuales!$I$42*parametros_manuales!$J$42</f>
        <v>5707.63372883</v>
      </c>
      <c r="C241" s="9" t="n">
        <f aca="false">(parametros_manuales!$D$42*(datos_base!$J$2+IF(parametros_manuales!$H$42="Todos",datos_base!$J$9,0))*parametros_manuales!$C$95+parametros_manuales!$D$42*(datos_base!$J$18+IF(parametros_manuales!$H$42="Todos",datos_base!$J$23,0))*parametros_manuales!$C$12+parametros_manuales!$E$42*(datos_base!$J$3+IF(parametros_manuales!$H$42="Todos",datos_base!$J$10,0))*parametros_manuales!$C$100+parametros_manuales!$E$42*(datos_base!$J$19+IF(parametros_manuales!$H$42="Todos",datos_base!$J$24,0))*parametros_manuales!$C$13+parametros_manuales!$F$42*(datos_base!$J$4+IF(parametros_manuales!$H$42="Todos",datos_base!$J$11,0))*parametros_manuales!$C$105+parametros_manuales!$F$42*(datos_base!$J$20+IF(parametros_manuales!$H$42="Todos",datos_base!$J$25,0))*parametros_manuales!$C$14+parametros_manuales!$G$42*(datos_base!$J$5+IF(parametros_manuales!$H$42="Todos",datos_base!$J$12,0))*parametros_manuales!$C$110+parametros_manuales!$G$42*(datos_base!$J$21+IF(parametros_manuales!$H$42="Todos",datos_base!$J$26,0))*parametros_manuales!$C$15)*parametros_manuales!$I$42*parametros_manuales!$J$42</f>
        <v>5358.62912036</v>
      </c>
      <c r="D241" s="9" t="n">
        <f aca="false">(parametros_manuales!$D$42*(datos_base!$J$2+IF(parametros_manuales!$H$42="Todos",datos_base!$J$9,0))*parametros_manuales!$D$95+parametros_manuales!$D$42*(datos_base!$J$18+IF(parametros_manuales!$H$42="Todos",datos_base!$J$23,0))*parametros_manuales!$D$12+parametros_manuales!$E$42*(datos_base!$J$3+IF(parametros_manuales!$H$42="Todos",datos_base!$J$10,0))*parametros_manuales!$D$100+parametros_manuales!$E$42*(datos_base!$J$19+IF(parametros_manuales!$H$42="Todos",datos_base!$J$24,0))*parametros_manuales!$D$13+parametros_manuales!$F$42*(datos_base!$J$4+IF(parametros_manuales!$H$42="Todos",datos_base!$J$11,0))*parametros_manuales!$D$105+parametros_manuales!$F$42*(datos_base!$J$20+IF(parametros_manuales!$H$42="Todos",datos_base!$J$25,0))*parametros_manuales!$D$14+parametros_manuales!$G$42*(datos_base!$J$5+IF(parametros_manuales!$H$42="Todos",datos_base!$J$12,0))*parametros_manuales!$D$110+parametros_manuales!$G$42*(datos_base!$J$21+IF(parametros_manuales!$H$42="Todos",datos_base!$J$26,0))*parametros_manuales!$D$15)*parametros_manuales!$I$42*parametros_manuales!$J$42</f>
        <v>5247.085063195</v>
      </c>
      <c r="E241" s="9" t="n">
        <f aca="false">(parametros_manuales!$D$42*(datos_base!$J$2+IF(parametros_manuales!$H$42="Todos",datos_base!$J$9,0))*parametros_manuales!$E$95+parametros_manuales!$D$42*(datos_base!$J$18+IF(parametros_manuales!$H$42="Todos",datos_base!$J$23,0))*parametros_manuales!$E$12+parametros_manuales!$E$42*(datos_base!$J$3+IF(parametros_manuales!$H$42="Todos",datos_base!$J$10,0))*parametros_manuales!$E$100+parametros_manuales!$E$42*(datos_base!$J$19+IF(parametros_manuales!$H$42="Todos",datos_base!$J$24,0))*parametros_manuales!$E$13+parametros_manuales!$F$42*(datos_base!$J$4+IF(parametros_manuales!$H$42="Todos",datos_base!$J$11,0))*parametros_manuales!$E$105+parametros_manuales!$F$42*(datos_base!$J$20+IF(parametros_manuales!$H$42="Todos",datos_base!$J$25,0))*parametros_manuales!$E$14+parametros_manuales!$G$42*(datos_base!$J$5+IF(parametros_manuales!$H$42="Todos",datos_base!$J$12,0))*parametros_manuales!$E$110+parametros_manuales!$G$42*(datos_base!$J$21+IF(parametros_manuales!$H$42="Todos",datos_base!$J$26,0))*parametros_manuales!$E$15)*parametros_manuales!$I$42*parametros_manuales!$J$42</f>
        <v>5104.218382495</v>
      </c>
      <c r="F241" s="9" t="n">
        <f aca="false">(parametros_manuales!$D$42*(datos_base!$J$2+IF(parametros_manuales!$H$42="Todos",datos_base!$J$9,0))*parametros_manuales!$F$95+parametros_manuales!$D$42*(datos_base!$J$18+IF(parametros_manuales!$H$42="Todos",datos_base!$J$23,0))*parametros_manuales!$F$12+parametros_manuales!$E$42*(datos_base!$J$3+IF(parametros_manuales!$H$42="Todos",datos_base!$J$10,0))*parametros_manuales!$F$100+parametros_manuales!$E$42*(datos_base!$J$19+IF(parametros_manuales!$H$42="Todos",datos_base!$J$24,0))*parametros_manuales!$F$13+parametros_manuales!$F$42*(datos_base!$J$4+IF(parametros_manuales!$H$42="Todos",datos_base!$J$11,0))*parametros_manuales!$F$105+parametros_manuales!$F$42*(datos_base!$J$20+IF(parametros_manuales!$H$42="Todos",datos_base!$J$25,0))*parametros_manuales!$F$14+parametros_manuales!$G$42*(datos_base!$J$5+IF(parametros_manuales!$H$42="Todos",datos_base!$J$12,0))*parametros_manuales!$F$110+parametros_manuales!$G$42*(datos_base!$J$21+IF(parametros_manuales!$H$42="Todos",datos_base!$J$26,0))*parametros_manuales!$F$15)*parametros_manuales!$I$42*parametros_manuales!$J$42</f>
        <v>4787.16239756</v>
      </c>
      <c r="G241" s="9" t="n">
        <f aca="false">(parametros_manuales!$D$42*(datos_base!$J$2+IF(parametros_manuales!$H$42="Todos",datos_base!$J$9,0))*parametros_manuales!$G$95+parametros_manuales!$D$42*(datos_base!$J$18+IF(parametros_manuales!$H$42="Todos",datos_base!$J$23,0))*parametros_manuales!$G$12+parametros_manuales!$E$42*(datos_base!$J$3+IF(parametros_manuales!$H$42="Todos",datos_base!$J$10,0))*parametros_manuales!$G$100+parametros_manuales!$E$42*(datos_base!$J$19+IF(parametros_manuales!$H$42="Todos",datos_base!$J$24,0))*parametros_manuales!$G$13+parametros_manuales!$F$42*(datos_base!$J$4+IF(parametros_manuales!$H$42="Todos",datos_base!$J$11,0))*parametros_manuales!$G$105+parametros_manuales!$F$42*(datos_base!$J$20+IF(parametros_manuales!$H$42="Todos",datos_base!$J$25,0))*parametros_manuales!$G$14+parametros_manuales!$G$42*(datos_base!$J$5+IF(parametros_manuales!$H$42="Todos",datos_base!$J$12,0))*parametros_manuales!$G$110+parametros_manuales!$G$42*(datos_base!$J$21+IF(parametros_manuales!$H$42="Todos",datos_base!$J$26,0))*parametros_manuales!$G$15)*parametros_manuales!$I$42*parametros_manuales!$J$42</f>
        <v>4612.973093325</v>
      </c>
      <c r="H241" s="9" t="n">
        <f aca="false">(parametros_manuales!$D$42*(datos_base!$J$2+IF(parametros_manuales!$H$42="Todos",datos_base!$J$9,0))*parametros_manuales!$H$95+parametros_manuales!$D$42*(datos_base!$J$18+IF(parametros_manuales!$H$42="Todos",datos_base!$J$23,0))*parametros_manuales!$H$12+parametros_manuales!$E$42*(datos_base!$J$3+IF(parametros_manuales!$H$42="Todos",datos_base!$J$10,0))*parametros_manuales!$H$100+parametros_manuales!$E$42*(datos_base!$J$19+IF(parametros_manuales!$H$42="Todos",datos_base!$J$24,0))*parametros_manuales!$H$13+parametros_manuales!$F$42*(datos_base!$J$4+IF(parametros_manuales!$H$42="Todos",datos_base!$J$11,0))*parametros_manuales!$H$105+parametros_manuales!$F$42*(datos_base!$J$20+IF(parametros_manuales!$H$42="Todos",datos_base!$J$25,0))*parametros_manuales!$H$14+parametros_manuales!$G$42*(datos_base!$J$5+IF(parametros_manuales!$H$42="Todos",datos_base!$J$12,0))*parametros_manuales!$H$110+parametros_manuales!$G$42*(datos_base!$J$21+IF(parametros_manuales!$H$42="Todos",datos_base!$J$26,0))*parametros_manuales!$H$15)*parametros_manuales!$I$42*parametros_manuales!$J$42</f>
        <v>4930.02907826</v>
      </c>
      <c r="I241" s="9" t="n">
        <f aca="false">(parametros_manuales!$D$42*(datos_base!$J$2+IF(parametros_manuales!$H$42="Todos",datos_base!$J$9,0))*parametros_manuales!$I$95+parametros_manuales!$D$42*(datos_base!$J$18+IF(parametros_manuales!$H$42="Todos",datos_base!$J$23,0))*parametros_manuales!$I$12+parametros_manuales!$E$42*(datos_base!$J$3+IF(parametros_manuales!$H$42="Todos",datos_base!$J$10,0))*parametros_manuales!$I$100+parametros_manuales!$E$42*(datos_base!$J$19+IF(parametros_manuales!$H$42="Todos",datos_base!$J$24,0))*parametros_manuales!$I$13+parametros_manuales!$F$42*(datos_base!$J$4+IF(parametros_manuales!$H$42="Todos",datos_base!$J$11,0))*parametros_manuales!$I$105+parametros_manuales!$F$42*(datos_base!$J$20+IF(parametros_manuales!$H$42="Todos",datos_base!$J$25,0))*parametros_manuales!$I$14+parametros_manuales!$G$42*(datos_base!$J$5+IF(parametros_manuales!$H$42="Todos",datos_base!$J$12,0))*parametros_manuales!$I$110+parametros_manuales!$G$42*(datos_base!$J$21+IF(parametros_manuales!$H$42="Todos",datos_base!$J$26,0))*parametros_manuales!$I$15)*parametros_manuales!$I$42*parametros_manuales!$J$42</f>
        <v>5358.62912036</v>
      </c>
      <c r="J241" s="9" t="n">
        <f aca="false">(parametros_manuales!$D$42*(datos_base!$J$2+IF(parametros_manuales!$H$42="Todos",datos_base!$J$9,0))*parametros_manuales!$J$95+parametros_manuales!$D$42*(datos_base!$J$18+IF(parametros_manuales!$H$42="Todos",datos_base!$J$23,0))*parametros_manuales!$J$12+parametros_manuales!$E$42*(datos_base!$J$3+IF(parametros_manuales!$H$42="Todos",datos_base!$J$10,0))*parametros_manuales!$J$100+parametros_manuales!$E$42*(datos_base!$J$19+IF(parametros_manuales!$H$42="Todos",datos_base!$J$24,0))*parametros_manuales!$J$13+parametros_manuales!$F$42*(datos_base!$J$4+IF(parametros_manuales!$H$42="Todos",datos_base!$J$11,0))*parametros_manuales!$J$105+parametros_manuales!$F$42*(datos_base!$J$20+IF(parametros_manuales!$H$42="Todos",datos_base!$J$25,0))*parametros_manuales!$J$14+parametros_manuales!$G$42*(datos_base!$J$5+IF(parametros_manuales!$H$42="Todos",datos_base!$J$12,0))*parametros_manuales!$J$110+parametros_manuales!$G$42*(datos_base!$J$21+IF(parametros_manuales!$H$42="Todos",datos_base!$J$26,0))*parametros_manuales!$J$15)*parametros_manuales!$I$42*parametros_manuales!$J$42</f>
        <v>5358.62912036</v>
      </c>
      <c r="K241" s="9" t="n">
        <f aca="false">(parametros_manuales!$D$42*(datos_base!$J$2+IF(parametros_manuales!$H$42="Todos",datos_base!$J$9,0))*parametros_manuales!$K$95+parametros_manuales!$D$42*(datos_base!$J$18+IF(parametros_manuales!$H$42="Todos",datos_base!$J$23,0))*parametros_manuales!$K$12+parametros_manuales!$E$42*(datos_base!$J$3+IF(parametros_manuales!$H$42="Todos",datos_base!$J$10,0))*parametros_manuales!$K$100+parametros_manuales!$E$42*(datos_base!$J$19+IF(parametros_manuales!$H$42="Todos",datos_base!$J$24,0))*parametros_manuales!$K$13+parametros_manuales!$F$42*(datos_base!$J$4+IF(parametros_manuales!$H$42="Todos",datos_base!$J$11,0))*parametros_manuales!$K$105+parametros_manuales!$F$42*(datos_base!$J$20+IF(parametros_manuales!$H$42="Todos",datos_base!$J$25,0))*parametros_manuales!$K$14+parametros_manuales!$G$42*(datos_base!$J$5+IF(parametros_manuales!$H$42="Todos",datos_base!$J$12,0))*parametros_manuales!$K$110+parametros_manuales!$G$42*(datos_base!$J$21+IF(parametros_manuales!$H$42="Todos",datos_base!$J$26,0))*parametros_manuales!$K$15)*parametros_manuales!$I$42*parametros_manuales!$J$42</f>
        <v>5532.192424595</v>
      </c>
      <c r="L241" s="9" t="n">
        <f aca="false">(parametros_manuales!$D$42*(datos_base!$J$2+IF(parametros_manuales!$H$42="Todos",datos_base!$J$9,0))*parametros_manuales!$L$95+parametros_manuales!$D$42*(datos_base!$J$18+IF(parametros_manuales!$H$42="Todos",datos_base!$J$23,0))*parametros_manuales!$L$12+parametros_manuales!$E$42*(datos_base!$J$3+IF(parametros_manuales!$H$42="Todos",datos_base!$J$10,0))*parametros_manuales!$L$100+parametros_manuales!$E$42*(datos_base!$J$19+IF(parametros_manuales!$H$42="Todos",datos_base!$J$24,0))*parametros_manuales!$L$13+parametros_manuales!$F$42*(datos_base!$J$4+IF(parametros_manuales!$H$42="Todos",datos_base!$J$11,0))*parametros_manuales!$L$105+parametros_manuales!$F$42*(datos_base!$J$20+IF(parametros_manuales!$H$42="Todos",datos_base!$J$25,0))*parametros_manuales!$L$14+parametros_manuales!$G$42*(datos_base!$J$5+IF(parametros_manuales!$H$42="Todos",datos_base!$J$12,0))*parametros_manuales!$L$110+parametros_manuales!$G$42*(datos_base!$J$21+IF(parametros_manuales!$H$42="Todos",datos_base!$J$26,0))*parametros_manuales!$L$15)*parametros_manuales!$I$42*parametros_manuales!$J$42</f>
        <v>5705.75572883</v>
      </c>
      <c r="M241" s="9" t="n">
        <f aca="false">(parametros_manuales!$D$42*(datos_base!$J$2+IF(parametros_manuales!$H$42="Todos",datos_base!$J$9,0))*parametros_manuales!$M$95+parametros_manuales!$D$42*(datos_base!$J$18+IF(parametros_manuales!$H$42="Todos",datos_base!$J$23,0))*parametros_manuales!$M$12+parametros_manuales!$E$42*(datos_base!$J$3+IF(parametros_manuales!$H$42="Todos",datos_base!$J$10,0))*parametros_manuales!$M$100+parametros_manuales!$E$42*(datos_base!$J$19+IF(parametros_manuales!$H$42="Todos",datos_base!$J$24,0))*parametros_manuales!$M$13+parametros_manuales!$F$42*(datos_base!$J$4+IF(parametros_manuales!$H$42="Todos",datos_base!$J$11,0))*parametros_manuales!$M$105+parametros_manuales!$F$42*(datos_base!$J$20+IF(parametros_manuales!$H$42="Todos",datos_base!$J$25,0))*parametros_manuales!$M$14+parametros_manuales!$G$42*(datos_base!$J$5+IF(parametros_manuales!$H$42="Todos",datos_base!$J$12,0))*parametros_manuales!$M$110+parametros_manuales!$G$42*(datos_base!$J$21+IF(parametros_manuales!$H$42="Todos",datos_base!$J$26,0))*parametros_manuales!$M$15)*parametros_manuales!$I$42*parametros_manuales!$J$42</f>
        <v>5708.25972883</v>
      </c>
      <c r="N241" s="9" t="n">
        <f aca="false">SUM(B241:M241)</f>
        <v>63411.196987</v>
      </c>
      <c r="O241" s="9" t="n">
        <f aca="false">MAX(B241:M241)</f>
        <v>5708.25972883</v>
      </c>
      <c r="P241" s="44" t="n">
        <f aca="false">O241/(parametros_manuales!$B$7)</f>
        <v>38.0550648588667</v>
      </c>
      <c r="Q241" s="8" t="str">
        <f aca="false">IF(O241=0,"-",INDEX($B$217:$M$217,MATCH(O241,B241:M241,0)))</f>
        <v>Dic</v>
      </c>
    </row>
    <row r="242" customFormat="false" ht="14.25" hidden="false" customHeight="true" outlineLevel="0" collapsed="false">
      <c r="A242" s="8" t="str">
        <f aca="false">parametros_manuales!$B$43</f>
        <v>Embalaje y paletizado</v>
      </c>
      <c r="B242" s="9" t="n">
        <f aca="false">(parametros_manuales!$D$43*(datos_base!$J$2+IF(parametros_manuales!$H$43="Todos",datos_base!$J$9,0))*parametros_manuales!$B$95+parametros_manuales!$D$43*(datos_base!$J$18+IF(parametros_manuales!$H$43="Todos",datos_base!$J$23,0))*parametros_manuales!$B$12+parametros_manuales!$E$43*(datos_base!$J$3+IF(parametros_manuales!$H$43="Todos",datos_base!$J$10,0))*parametros_manuales!$B$100+parametros_manuales!$E$43*(datos_base!$J$19+IF(parametros_manuales!$H$43="Todos",datos_base!$J$24,0))*parametros_manuales!$B$13+parametros_manuales!$F$43*(datos_base!$J$4+IF(parametros_manuales!$H$43="Todos",datos_base!$J$11,0))*parametros_manuales!$B$105+parametros_manuales!$F$43*(datos_base!$J$20+IF(parametros_manuales!$H$43="Todos",datos_base!$J$25,0))*parametros_manuales!$B$14+parametros_manuales!$G$43*(datos_base!$J$5+IF(parametros_manuales!$H$43="Todos",datos_base!$J$12,0))*parametros_manuales!$B$110+parametros_manuales!$G$43*(datos_base!$J$21+IF(parametros_manuales!$H$43="Todos",datos_base!$J$26,0))*parametros_manuales!$B$15)*parametros_manuales!$I$43*parametros_manuales!$J$43</f>
        <v>22156.38572883</v>
      </c>
      <c r="C242" s="9" t="n">
        <f aca="false">(parametros_manuales!$D$43*(datos_base!$J$2+IF(parametros_manuales!$H$43="Todos",datos_base!$J$9,0))*parametros_manuales!$C$95+parametros_manuales!$D$43*(datos_base!$J$18+IF(parametros_manuales!$H$43="Todos",datos_base!$J$23,0))*parametros_manuales!$C$12+parametros_manuales!$E$43*(datos_base!$J$3+IF(parametros_manuales!$H$43="Todos",datos_base!$J$10,0))*parametros_manuales!$C$100+parametros_manuales!$E$43*(datos_base!$J$19+IF(parametros_manuales!$H$43="Todos",datos_base!$J$24,0))*parametros_manuales!$C$13+parametros_manuales!$F$43*(datos_base!$J$4+IF(parametros_manuales!$H$43="Todos",datos_base!$J$11,0))*parametros_manuales!$C$105+parametros_manuales!$F$43*(datos_base!$J$20+IF(parametros_manuales!$H$43="Todos",datos_base!$J$25,0))*parametros_manuales!$C$14+parametros_manuales!$G$43*(datos_base!$J$5+IF(parametros_manuales!$H$43="Todos",datos_base!$J$12,0))*parametros_manuales!$C$110+parametros_manuales!$G$43*(datos_base!$J$21+IF(parametros_manuales!$H$43="Todos",datos_base!$J$26,0))*parametros_manuales!$C$15)*parametros_manuales!$I$43*parametros_manuales!$J$43</f>
        <v>21446.85592036</v>
      </c>
      <c r="D242" s="9" t="n">
        <f aca="false">(parametros_manuales!$D$43*(datos_base!$J$2+IF(parametros_manuales!$H$43="Todos",datos_base!$J$9,0))*parametros_manuales!$D$95+parametros_manuales!$D$43*(datos_base!$J$18+IF(parametros_manuales!$H$43="Todos",datos_base!$J$23,0))*parametros_manuales!$D$12+parametros_manuales!$E$43*(datos_base!$J$3+IF(parametros_manuales!$H$43="Todos",datos_base!$J$10,0))*parametros_manuales!$D$100+parametros_manuales!$E$43*(datos_base!$J$19+IF(parametros_manuales!$H$43="Todos",datos_base!$J$24,0))*parametros_manuales!$D$13+parametros_manuales!$F$43*(datos_base!$J$4+IF(parametros_manuales!$H$43="Todos",datos_base!$J$11,0))*parametros_manuales!$D$105+parametros_manuales!$F$43*(datos_base!$J$20+IF(parametros_manuales!$H$43="Todos",datos_base!$J$25,0))*parametros_manuales!$D$14+parametros_manuales!$G$43*(datos_base!$J$5+IF(parametros_manuales!$H$43="Todos",datos_base!$J$12,0))*parametros_manuales!$D$110+parametros_manuales!$G$43*(datos_base!$J$21+IF(parametros_manuales!$H$43="Todos",datos_base!$J$26,0))*parametros_manuales!$D$15)*parametros_manuales!$I$43*parametros_manuales!$J$43</f>
        <v>20046.766663195</v>
      </c>
      <c r="E242" s="9" t="n">
        <f aca="false">(parametros_manuales!$D$43*(datos_base!$J$2+IF(parametros_manuales!$H$43="Todos",datos_base!$J$9,0))*parametros_manuales!$E$95+parametros_manuales!$D$43*(datos_base!$J$18+IF(parametros_manuales!$H$43="Todos",datos_base!$J$23,0))*parametros_manuales!$E$12+parametros_manuales!$E$43*(datos_base!$J$3+IF(parametros_manuales!$H$43="Todos",datos_base!$J$10,0))*parametros_manuales!$E$100+parametros_manuales!$E$43*(datos_base!$J$19+IF(parametros_manuales!$H$43="Todos",datos_base!$J$24,0))*parametros_manuales!$E$13+parametros_manuales!$F$43*(datos_base!$J$4+IF(parametros_manuales!$H$43="Todos",datos_base!$J$11,0))*parametros_manuales!$E$105+parametros_manuales!$F$43*(datos_base!$J$20+IF(parametros_manuales!$H$43="Todos",datos_base!$J$25,0))*parametros_manuales!$E$14+parametros_manuales!$G$43*(datos_base!$J$5+IF(parametros_manuales!$H$43="Todos",datos_base!$J$12,0))*parametros_manuales!$E$110+parametros_manuales!$G$43*(datos_base!$J$21+IF(parametros_manuales!$H$43="Todos",datos_base!$J$26,0))*parametros_manuales!$E$15)*parametros_manuales!$I$43*parametros_manuales!$J$43</f>
        <v>19169.800982495</v>
      </c>
      <c r="F242" s="9" t="n">
        <f aca="false">(parametros_manuales!$D$43*(datos_base!$J$2+IF(parametros_manuales!$H$43="Todos",datos_base!$J$9,0))*parametros_manuales!$F$95+parametros_manuales!$D$43*(datos_base!$J$18+IF(parametros_manuales!$H$43="Todos",datos_base!$J$23,0))*parametros_manuales!$F$12+parametros_manuales!$E$43*(datos_base!$J$3+IF(parametros_manuales!$H$43="Todos",datos_base!$J$10,0))*parametros_manuales!$F$100+parametros_manuales!$E$43*(datos_base!$J$19+IF(parametros_manuales!$H$43="Todos",datos_base!$J$24,0))*parametros_manuales!$F$13+parametros_manuales!$F$43*(datos_base!$J$4+IF(parametros_manuales!$H$43="Todos",datos_base!$J$11,0))*parametros_manuales!$F$105+parametros_manuales!$F$43*(datos_base!$J$20+IF(parametros_manuales!$H$43="Todos",datos_base!$J$25,0))*parametros_manuales!$F$14+parametros_manuales!$G$43*(datos_base!$J$5+IF(parametros_manuales!$H$43="Todos",datos_base!$J$12,0))*parametros_manuales!$F$110+parametros_manuales!$G$43*(datos_base!$J$21+IF(parametros_manuales!$H$43="Todos",datos_base!$J$26,0))*parametros_manuales!$F$15)*parametros_manuales!$I$43*parametros_manuales!$J$43</f>
        <v>17938.99319756</v>
      </c>
      <c r="G242" s="9" t="n">
        <f aca="false">(parametros_manuales!$D$43*(datos_base!$J$2+IF(parametros_manuales!$H$43="Todos",datos_base!$J$9,0))*parametros_manuales!$G$95+parametros_manuales!$D$43*(datos_base!$J$18+IF(parametros_manuales!$H$43="Todos",datos_base!$J$23,0))*parametros_manuales!$G$12+parametros_manuales!$E$43*(datos_base!$J$3+IF(parametros_manuales!$H$43="Todos",datos_base!$J$10,0))*parametros_manuales!$G$100+parametros_manuales!$E$43*(datos_base!$J$19+IF(parametros_manuales!$H$43="Todos",datos_base!$J$24,0))*parametros_manuales!$G$13+parametros_manuales!$F$43*(datos_base!$J$4+IF(parametros_manuales!$H$43="Todos",datos_base!$J$11,0))*parametros_manuales!$G$105+parametros_manuales!$F$43*(datos_base!$J$20+IF(parametros_manuales!$H$43="Todos",datos_base!$J$25,0))*parametros_manuales!$G$14+parametros_manuales!$G$43*(datos_base!$J$5+IF(parametros_manuales!$H$43="Todos",datos_base!$J$12,0))*parametros_manuales!$G$110+parametros_manuales!$G$43*(datos_base!$J$21+IF(parametros_manuales!$H$43="Todos",datos_base!$J$26,0))*parametros_manuales!$G$15)*parametros_manuales!$I$43*parametros_manuales!$J$43</f>
        <v>17585.151093325</v>
      </c>
      <c r="H242" s="9" t="n">
        <f aca="false">(parametros_manuales!$D$43*(datos_base!$J$2+IF(parametros_manuales!$H$43="Todos",datos_base!$J$9,0))*parametros_manuales!$H$95+parametros_manuales!$D$43*(datos_base!$J$18+IF(parametros_manuales!$H$43="Todos",datos_base!$J$23,0))*parametros_manuales!$H$12+parametros_manuales!$E$43*(datos_base!$J$3+IF(parametros_manuales!$H$43="Todos",datos_base!$J$10,0))*parametros_manuales!$H$100+parametros_manuales!$E$43*(datos_base!$J$19+IF(parametros_manuales!$H$43="Todos",datos_base!$J$24,0))*parametros_manuales!$H$13+parametros_manuales!$F$43*(datos_base!$J$4+IF(parametros_manuales!$H$43="Todos",datos_base!$J$11,0))*parametros_manuales!$H$105+parametros_manuales!$F$43*(datos_base!$J$20+IF(parametros_manuales!$H$43="Todos",datos_base!$J$25,0))*parametros_manuales!$H$14+parametros_manuales!$G$43*(datos_base!$J$5+IF(parametros_manuales!$H$43="Todos",datos_base!$J$12,0))*parametros_manuales!$H$110+parametros_manuales!$G$43*(datos_base!$J$21+IF(parametros_manuales!$H$43="Todos",datos_base!$J$26,0))*parametros_manuales!$H$15)*parametros_manuales!$I$43*parametros_manuales!$J$43</f>
        <v>18815.95887826</v>
      </c>
      <c r="I242" s="9" t="n">
        <f aca="false">(parametros_manuales!$D$43*(datos_base!$J$2+IF(parametros_manuales!$H$43="Todos",datos_base!$J$9,0))*parametros_manuales!$I$95+parametros_manuales!$D$43*(datos_base!$J$18+IF(parametros_manuales!$H$43="Todos",datos_base!$J$23,0))*parametros_manuales!$I$12+parametros_manuales!$E$43*(datos_base!$J$3+IF(parametros_manuales!$H$43="Todos",datos_base!$J$10,0))*parametros_manuales!$I$100+parametros_manuales!$E$43*(datos_base!$J$19+IF(parametros_manuales!$H$43="Todos",datos_base!$J$24,0))*parametros_manuales!$I$13+parametros_manuales!$F$43*(datos_base!$J$4+IF(parametros_manuales!$H$43="Todos",datos_base!$J$11,0))*parametros_manuales!$I$105+parametros_manuales!$F$43*(datos_base!$J$20+IF(parametros_manuales!$H$43="Todos",datos_base!$J$25,0))*parametros_manuales!$I$14+parametros_manuales!$G$43*(datos_base!$J$5+IF(parametros_manuales!$H$43="Todos",datos_base!$J$12,0))*parametros_manuales!$I$110+parametros_manuales!$G$43*(datos_base!$J$21+IF(parametros_manuales!$H$43="Todos",datos_base!$J$26,0))*parametros_manuales!$I$15)*parametros_manuales!$I$43*parametros_manuales!$J$43</f>
        <v>21446.85592036</v>
      </c>
      <c r="J242" s="9" t="n">
        <f aca="false">(parametros_manuales!$D$43*(datos_base!$J$2+IF(parametros_manuales!$H$43="Todos",datos_base!$J$9,0))*parametros_manuales!$J$95+parametros_manuales!$D$43*(datos_base!$J$18+IF(parametros_manuales!$H$43="Todos",datos_base!$J$23,0))*parametros_manuales!$J$12+parametros_manuales!$E$43*(datos_base!$J$3+IF(parametros_manuales!$H$43="Todos",datos_base!$J$10,0))*parametros_manuales!$J$100+parametros_manuales!$E$43*(datos_base!$J$19+IF(parametros_manuales!$H$43="Todos",datos_base!$J$24,0))*parametros_manuales!$J$13+parametros_manuales!$F$43*(datos_base!$J$4+IF(parametros_manuales!$H$43="Todos",datos_base!$J$11,0))*parametros_manuales!$J$105+parametros_manuales!$F$43*(datos_base!$J$20+IF(parametros_manuales!$H$43="Todos",datos_base!$J$25,0))*parametros_manuales!$J$14+parametros_manuales!$G$43*(datos_base!$J$5+IF(parametros_manuales!$H$43="Todos",datos_base!$J$12,0))*parametros_manuales!$J$110+parametros_manuales!$G$43*(datos_base!$J$21+IF(parametros_manuales!$H$43="Todos",datos_base!$J$26,0))*parametros_manuales!$J$15)*parametros_manuales!$I$43*parametros_manuales!$J$43</f>
        <v>21446.85592036</v>
      </c>
      <c r="K242" s="9" t="n">
        <f aca="false">(parametros_manuales!$D$43*(datos_base!$J$2+IF(parametros_manuales!$H$43="Todos",datos_base!$J$9,0))*parametros_manuales!$K$95+parametros_manuales!$D$43*(datos_base!$J$18+IF(parametros_manuales!$H$43="Todos",datos_base!$J$23,0))*parametros_manuales!$K$12+parametros_manuales!$E$43*(datos_base!$J$3+IF(parametros_manuales!$H$43="Todos",datos_base!$J$10,0))*parametros_manuales!$K$100+parametros_manuales!$E$43*(datos_base!$J$19+IF(parametros_manuales!$H$43="Todos",datos_base!$J$24,0))*parametros_manuales!$K$13+parametros_manuales!$F$43*(datos_base!$J$4+IF(parametros_manuales!$H$43="Todos",datos_base!$J$11,0))*parametros_manuales!$K$105+parametros_manuales!$F$43*(datos_base!$J$20+IF(parametros_manuales!$H$43="Todos",datos_base!$J$25,0))*parametros_manuales!$K$14+parametros_manuales!$G$43*(datos_base!$J$5+IF(parametros_manuales!$H$43="Todos",datos_base!$J$12,0))*parametros_manuales!$K$110+parametros_manuales!$G$43*(datos_base!$J$21+IF(parametros_manuales!$H$43="Todos",datos_base!$J$26,0))*parametros_manuales!$K$15)*parametros_manuales!$I$43*parametros_manuales!$J$43</f>
        <v>21798.852424595</v>
      </c>
      <c r="L242" s="9" t="n">
        <f aca="false">(parametros_manuales!$D$43*(datos_base!$J$2+IF(parametros_manuales!$H$43="Todos",datos_base!$J$9,0))*parametros_manuales!$L$95+parametros_manuales!$D$43*(datos_base!$J$18+IF(parametros_manuales!$H$43="Todos",datos_base!$J$23,0))*parametros_manuales!$L$12+parametros_manuales!$E$43*(datos_base!$J$3+IF(parametros_manuales!$H$43="Todos",datos_base!$J$10,0))*parametros_manuales!$L$100+parametros_manuales!$E$43*(datos_base!$J$19+IF(parametros_manuales!$H$43="Todos",datos_base!$J$24,0))*parametros_manuales!$L$13+parametros_manuales!$F$43*(datos_base!$J$4+IF(parametros_manuales!$H$43="Todos",datos_base!$J$11,0))*parametros_manuales!$L$105+parametros_manuales!$F$43*(datos_base!$J$20+IF(parametros_manuales!$H$43="Todos",datos_base!$J$25,0))*parametros_manuales!$L$14+parametros_manuales!$G$43*(datos_base!$J$5+IF(parametros_manuales!$H$43="Todos",datos_base!$J$12,0))*parametros_manuales!$L$110+parametros_manuales!$G$43*(datos_base!$J$21+IF(parametros_manuales!$H$43="Todos",datos_base!$J$26,0))*parametros_manuales!$L$15)*parametros_manuales!$I$43*parametros_manuales!$J$43</f>
        <v>22150.84892883</v>
      </c>
      <c r="M242" s="9" t="n">
        <f aca="false">(parametros_manuales!$D$43*(datos_base!$J$2+IF(parametros_manuales!$H$43="Todos",datos_base!$J$9,0))*parametros_manuales!$M$95+parametros_manuales!$D$43*(datos_base!$J$18+IF(parametros_manuales!$H$43="Todos",datos_base!$J$23,0))*parametros_manuales!$M$12+parametros_manuales!$E$43*(datos_base!$J$3+IF(parametros_manuales!$H$43="Todos",datos_base!$J$10,0))*parametros_manuales!$M$100+parametros_manuales!$E$43*(datos_base!$J$19+IF(parametros_manuales!$H$43="Todos",datos_base!$J$24,0))*parametros_manuales!$M$13+parametros_manuales!$F$43*(datos_base!$J$4+IF(parametros_manuales!$H$43="Todos",datos_base!$J$11,0))*parametros_manuales!$M$105+parametros_manuales!$F$43*(datos_base!$J$20+IF(parametros_manuales!$H$43="Todos",datos_base!$J$25,0))*parametros_manuales!$M$14+parametros_manuales!$G$43*(datos_base!$J$5+IF(parametros_manuales!$H$43="Todos",datos_base!$J$12,0))*parametros_manuales!$M$110+parametros_manuales!$G$43*(datos_base!$J$21+IF(parametros_manuales!$H$43="Todos",datos_base!$J$26,0))*parametros_manuales!$M$15)*parametros_manuales!$I$43*parametros_manuales!$J$43</f>
        <v>22158.23132883</v>
      </c>
      <c r="N242" s="9" t="n">
        <f aca="false">SUM(B242:M242)</f>
        <v>246161.556987</v>
      </c>
      <c r="O242" s="9" t="n">
        <f aca="false">MAX(B242:M242)</f>
        <v>22158.23132883</v>
      </c>
      <c r="P242" s="44" t="n">
        <f aca="false">O242/(parametros_manuales!$B$7)</f>
        <v>147.7215421922</v>
      </c>
      <c r="Q242" s="8" t="str">
        <f aca="false">IF(O242=0,"-",INDEX($B$217:$M$217,MATCH(O242,B242:M242,0)))</f>
        <v>Dic</v>
      </c>
    </row>
    <row r="243" customFormat="false" ht="14.25" hidden="false" customHeight="true" outlineLevel="0" collapsed="false"/>
    <row r="244" customFormat="false" ht="14.25" hidden="false" customHeight="true" outlineLevel="0" collapsed="false">
      <c r="A244" s="7" t="s">
        <v>209</v>
      </c>
      <c r="B244" s="7" t="s">
        <v>59</v>
      </c>
      <c r="C244" s="7" t="s">
        <v>60</v>
      </c>
      <c r="D244" s="7" t="s">
        <v>61</v>
      </c>
      <c r="E244" s="7" t="s">
        <v>62</v>
      </c>
      <c r="F244" s="7" t="s">
        <v>63</v>
      </c>
      <c r="G244" s="7" t="s">
        <v>64</v>
      </c>
      <c r="H244" s="7" t="s">
        <v>65</v>
      </c>
      <c r="I244" s="7" t="s">
        <v>66</v>
      </c>
      <c r="J244" s="7" t="s">
        <v>67</v>
      </c>
      <c r="K244" s="7" t="s">
        <v>68</v>
      </c>
      <c r="L244" s="7" t="s">
        <v>69</v>
      </c>
      <c r="M244" s="7" t="s">
        <v>70</v>
      </c>
      <c r="N244" s="7" t="s">
        <v>181</v>
      </c>
      <c r="O244" s="7" t="s">
        <v>198</v>
      </c>
      <c r="P244" s="7" t="s">
        <v>199</v>
      </c>
      <c r="Q244" s="7" t="s">
        <v>200</v>
      </c>
    </row>
    <row r="245" customFormat="false" ht="14.25" hidden="false" customHeight="true" outlineLevel="0" collapsed="false">
      <c r="A245" s="8" t="str">
        <f aca="false">parametros_manuales!$B$19</f>
        <v>Recepción de materia prima</v>
      </c>
      <c r="B245" s="9" t="n">
        <f aca="false">(parametros_manuales!$D$19*(datos_base!$K$2+IF(parametros_manuales!$H$19="Todos",datos_base!$K$9,0))*parametros_manuales!$B$95+parametros_manuales!$D$19*(datos_base!$K$18+IF(parametros_manuales!$H$19="Todos",datos_base!$K$23,0))*parametros_manuales!$B$12+parametros_manuales!$E$19*(datos_base!$K$3+IF(parametros_manuales!$H$19="Todos",datos_base!$K$10,0))*parametros_manuales!$B$100+parametros_manuales!$E$19*(datos_base!$K$19+IF(parametros_manuales!$H$19="Todos",datos_base!$K$24,0))*parametros_manuales!$B$13+parametros_manuales!$F$19*(datos_base!$K$4+IF(parametros_manuales!$H$19="Todos",datos_base!$K$11,0))*parametros_manuales!$B$105+parametros_manuales!$F$19*(datos_base!$K$20+IF(parametros_manuales!$H$19="Todos",datos_base!$K$25,0))*parametros_manuales!$B$14+parametros_manuales!$G$19*(datos_base!$K$5+IF(parametros_manuales!$H$19="Todos",datos_base!$K$12,0))*parametros_manuales!$B$110+parametros_manuales!$G$19*(datos_base!$K$21+IF(parametros_manuales!$H$19="Todos",datos_base!$K$26,0))*parametros_manuales!$B$15)*parametros_manuales!$I$19*parametros_manuales!$J$19</f>
        <v>25600.18319357</v>
      </c>
      <c r="C245" s="9" t="n">
        <f aca="false">(parametros_manuales!$D$19*(datos_base!$K$2+IF(parametros_manuales!$H$19="Todos",datos_base!$K$9,0))*parametros_manuales!$C$95+parametros_manuales!$D$19*(datos_base!$K$18+IF(parametros_manuales!$H$19="Todos",datos_base!$K$23,0))*parametros_manuales!$C$12+parametros_manuales!$E$19*(datos_base!$K$3+IF(parametros_manuales!$H$19="Todos",datos_base!$K$10,0))*parametros_manuales!$C$100+parametros_manuales!$E$19*(datos_base!$K$19+IF(parametros_manuales!$H$19="Todos",datos_base!$K$24,0))*parametros_manuales!$C$13+parametros_manuales!$F$19*(datos_base!$K$4+IF(parametros_manuales!$H$19="Todos",datos_base!$K$11,0))*parametros_manuales!$C$105+parametros_manuales!$F$19*(datos_base!$K$20+IF(parametros_manuales!$H$19="Todos",datos_base!$K$25,0))*parametros_manuales!$C$14+parametros_manuales!$G$19*(datos_base!$K$5+IF(parametros_manuales!$H$19="Todos",datos_base!$K$12,0))*parametros_manuales!$C$110+parametros_manuales!$G$19*(datos_base!$K$21+IF(parametros_manuales!$H$19="Todos",datos_base!$K$26,0))*parametros_manuales!$C$15)*parametros_manuales!$I$19*parametros_manuales!$J$19</f>
        <v>24780.20994114</v>
      </c>
      <c r="D245" s="9" t="n">
        <f aca="false">(parametros_manuales!$D$19*(datos_base!$K$2+IF(parametros_manuales!$H$19="Todos",datos_base!$K$9,0))*parametros_manuales!$D$95+parametros_manuales!$D$19*(datos_base!$K$18+IF(parametros_manuales!$H$19="Todos",datos_base!$K$23,0))*parametros_manuales!$D$12+parametros_manuales!$E$19*(datos_base!$K$3+IF(parametros_manuales!$H$19="Todos",datos_base!$K$10,0))*parametros_manuales!$D$100+parametros_manuales!$E$19*(datos_base!$K$19+IF(parametros_manuales!$H$19="Todos",datos_base!$K$24,0))*parametros_manuales!$D$13+parametros_manuales!$F$19*(datos_base!$K$4+IF(parametros_manuales!$H$19="Todos",datos_base!$K$11,0))*parametros_manuales!$D$105+parametros_manuales!$F$19*(datos_base!$K$20+IF(parametros_manuales!$H$19="Todos",datos_base!$K$25,0))*parametros_manuales!$D$14+parametros_manuales!$G$19*(datos_base!$K$5+IF(parametros_manuales!$H$19="Todos",datos_base!$K$12,0))*parametros_manuales!$D$110+parametros_manuales!$G$19*(datos_base!$K$21+IF(parametros_manuales!$H$19="Todos",datos_base!$K$26,0))*parametros_manuales!$D$15)*parametros_manuales!$I$19*parametros_manuales!$J$19</f>
        <v>23163.025576055</v>
      </c>
      <c r="E245" s="9" t="n">
        <f aca="false">(parametros_manuales!$D$19*(datos_base!$K$2+IF(parametros_manuales!$H$19="Todos",datos_base!$K$9,0))*parametros_manuales!$E$95+parametros_manuales!$D$19*(datos_base!$K$18+IF(parametros_manuales!$H$19="Todos",datos_base!$K$23,0))*parametros_manuales!$E$12+parametros_manuales!$E$19*(datos_base!$K$3+IF(parametros_manuales!$H$19="Todos",datos_base!$K$10,0))*parametros_manuales!$E$100+parametros_manuales!$E$19*(datos_base!$K$19+IF(parametros_manuales!$H$19="Todos",datos_base!$K$24,0))*parametros_manuales!$E$13+parametros_manuales!$F$19*(datos_base!$K$4+IF(parametros_manuales!$H$19="Todos",datos_base!$K$11,0))*parametros_manuales!$E$105+parametros_manuales!$F$19*(datos_base!$K$20+IF(parametros_manuales!$H$19="Todos",datos_base!$K$25,0))*parametros_manuales!$E$14+parametros_manuales!$G$19*(datos_base!$K$5+IF(parametros_manuales!$H$19="Todos",datos_base!$K$12,0))*parametros_manuales!$E$110+parametros_manuales!$G$19*(datos_base!$K$21+IF(parametros_manuales!$H$19="Todos",datos_base!$K$26,0))*parametros_manuales!$E$15)*parametros_manuales!$I$19*parametros_manuales!$J$19</f>
        <v>22149.922380405</v>
      </c>
      <c r="F245" s="9" t="n">
        <f aca="false">(parametros_manuales!$D$19*(datos_base!$K$2+IF(parametros_manuales!$H$19="Todos",datos_base!$K$9,0))*parametros_manuales!$F$95+parametros_manuales!$D$19*(datos_base!$K$18+IF(parametros_manuales!$H$19="Todos",datos_base!$K$23,0))*parametros_manuales!$F$12+parametros_manuales!$E$19*(datos_base!$K$3+IF(parametros_manuales!$H$19="Todos",datos_base!$K$10,0))*parametros_manuales!$F$100+parametros_manuales!$E$19*(datos_base!$K$19+IF(parametros_manuales!$H$19="Todos",datos_base!$K$24,0))*parametros_manuales!$F$13+parametros_manuales!$F$19*(datos_base!$K$4+IF(parametros_manuales!$H$19="Todos",datos_base!$K$11,0))*parametros_manuales!$F$105+parametros_manuales!$F$19*(datos_base!$K$20+IF(parametros_manuales!$H$19="Todos",datos_base!$K$25,0))*parametros_manuales!$F$14+parametros_manuales!$G$19*(datos_base!$K$5+IF(parametros_manuales!$H$19="Todos",datos_base!$K$12,0))*parametros_manuales!$F$110+parametros_manuales!$G$19*(datos_base!$K$21+IF(parametros_manuales!$H$19="Todos",datos_base!$K$26,0))*parametros_manuales!$F$15)*parametros_manuales!$I$19*parametros_manuales!$J$19</f>
        <v>20727.79715854</v>
      </c>
      <c r="G245" s="9" t="n">
        <f aca="false">(parametros_manuales!$D$19*(datos_base!$K$2+IF(parametros_manuales!$H$19="Todos",datos_base!$K$9,0))*parametros_manuales!$G$95+parametros_manuales!$D$19*(datos_base!$K$18+IF(parametros_manuales!$H$19="Todos",datos_base!$K$23,0))*parametros_manuales!$G$12+parametros_manuales!$E$19*(datos_base!$K$3+IF(parametros_manuales!$H$19="Todos",datos_base!$K$10,0))*parametros_manuales!$G$100+parametros_manuales!$E$19*(datos_base!$K$19+IF(parametros_manuales!$H$19="Todos",datos_base!$K$24,0))*parametros_manuales!$G$13+parametros_manuales!$F$19*(datos_base!$K$4+IF(parametros_manuales!$H$19="Todos",datos_base!$K$11,0))*parametros_manuales!$G$105+parametros_manuales!$F$19*(datos_base!$K$20+IF(parametros_manuales!$H$19="Todos",datos_base!$K$25,0))*parametros_manuales!$G$14+parametros_manuales!$G$19*(datos_base!$K$5+IF(parametros_manuales!$H$19="Todos",datos_base!$K$12,0))*parametros_manuales!$G$110+parametros_manuales!$G$19*(datos_base!$K$21+IF(parametros_manuales!$H$19="Todos",datos_base!$K$26,0))*parametros_manuales!$G$15)*parametros_manuales!$I$19*parametros_manuales!$J$19</f>
        <v>20318.775132325</v>
      </c>
      <c r="H245" s="9" t="n">
        <f aca="false">(parametros_manuales!$D$19*(datos_base!$K$2+IF(parametros_manuales!$H$19="Todos",datos_base!$K$9,0))*parametros_manuales!$H$95+parametros_manuales!$D$19*(datos_base!$K$18+IF(parametros_manuales!$H$19="Todos",datos_base!$K$23,0))*parametros_manuales!$H$12+parametros_manuales!$E$19*(datos_base!$K$3+IF(parametros_manuales!$H$19="Todos",datos_base!$K$10,0))*parametros_manuales!$H$100+parametros_manuales!$E$19*(datos_base!$K$19+IF(parametros_manuales!$H$19="Todos",datos_base!$K$24,0))*parametros_manuales!$H$13+parametros_manuales!$F$19*(datos_base!$K$4+IF(parametros_manuales!$H$19="Todos",datos_base!$K$11,0))*parametros_manuales!$H$105+parametros_manuales!$F$19*(datos_base!$K$20+IF(parametros_manuales!$H$19="Todos",datos_base!$K$25,0))*parametros_manuales!$H$14+parametros_manuales!$G$19*(datos_base!$K$5+IF(parametros_manuales!$H$19="Todos",datos_base!$K$12,0))*parametros_manuales!$H$110+parametros_manuales!$G$19*(datos_base!$K$21+IF(parametros_manuales!$H$19="Todos",datos_base!$K$26,0))*parametros_manuales!$H$15)*parametros_manuales!$I$19*parametros_manuales!$J$19</f>
        <v>21740.90035419</v>
      </c>
      <c r="I245" s="9" t="n">
        <f aca="false">(parametros_manuales!$D$19*(datos_base!$K$2+IF(parametros_manuales!$H$19="Todos",datos_base!$K$9,0))*parametros_manuales!$I$95+parametros_manuales!$D$19*(datos_base!$K$18+IF(parametros_manuales!$H$19="Todos",datos_base!$K$23,0))*parametros_manuales!$I$12+parametros_manuales!$E$19*(datos_base!$K$3+IF(parametros_manuales!$H$19="Todos",datos_base!$K$10,0))*parametros_manuales!$I$100+parametros_manuales!$E$19*(datos_base!$K$19+IF(parametros_manuales!$H$19="Todos",datos_base!$K$24,0))*parametros_manuales!$I$13+parametros_manuales!$F$19*(datos_base!$K$4+IF(parametros_manuales!$H$19="Todos",datos_base!$K$11,0))*parametros_manuales!$I$105+parametros_manuales!$F$19*(datos_base!$K$20+IF(parametros_manuales!$H$19="Todos",datos_base!$K$25,0))*parametros_manuales!$I$14+parametros_manuales!$G$19*(datos_base!$K$5+IF(parametros_manuales!$H$19="Todos",datos_base!$K$12,0))*parametros_manuales!$I$110+parametros_manuales!$G$19*(datos_base!$K$21+IF(parametros_manuales!$H$19="Todos",datos_base!$K$26,0))*parametros_manuales!$I$15)*parametros_manuales!$I$19*parametros_manuales!$J$19</f>
        <v>24780.20994114</v>
      </c>
      <c r="J245" s="9" t="n">
        <f aca="false">(parametros_manuales!$D$19*(datos_base!$K$2+IF(parametros_manuales!$H$19="Todos",datos_base!$K$9,0))*parametros_manuales!$J$95+parametros_manuales!$D$19*(datos_base!$K$18+IF(parametros_manuales!$H$19="Todos",datos_base!$K$23,0))*parametros_manuales!$J$12+parametros_manuales!$E$19*(datos_base!$K$3+IF(parametros_manuales!$H$19="Todos",datos_base!$K$10,0))*parametros_manuales!$J$100+parametros_manuales!$E$19*(datos_base!$K$19+IF(parametros_manuales!$H$19="Todos",datos_base!$K$24,0))*parametros_manuales!$J$13+parametros_manuales!$F$19*(datos_base!$K$4+IF(parametros_manuales!$H$19="Todos",datos_base!$K$11,0))*parametros_manuales!$J$105+parametros_manuales!$F$19*(datos_base!$K$20+IF(parametros_manuales!$H$19="Todos",datos_base!$K$25,0))*parametros_manuales!$J$14+parametros_manuales!$G$19*(datos_base!$K$5+IF(parametros_manuales!$H$19="Todos",datos_base!$K$12,0))*parametros_manuales!$J$110+parametros_manuales!$G$19*(datos_base!$K$21+IF(parametros_manuales!$H$19="Todos",datos_base!$K$26,0))*parametros_manuales!$J$15)*parametros_manuales!$I$19*parametros_manuales!$J$19</f>
        <v>24780.20994114</v>
      </c>
      <c r="K245" s="9" t="n">
        <f aca="false">(parametros_manuales!$D$19*(datos_base!$K$2+IF(parametros_manuales!$H$19="Todos",datos_base!$K$9,0))*parametros_manuales!$K$95+parametros_manuales!$D$19*(datos_base!$K$18+IF(parametros_manuales!$H$19="Todos",datos_base!$K$23,0))*parametros_manuales!$K$12+parametros_manuales!$E$19*(datos_base!$K$3+IF(parametros_manuales!$H$19="Todos",datos_base!$K$10,0))*parametros_manuales!$K$100+parametros_manuales!$E$19*(datos_base!$K$19+IF(parametros_manuales!$H$19="Todos",datos_base!$K$24,0))*parametros_manuales!$K$13+parametros_manuales!$F$19*(datos_base!$K$4+IF(parametros_manuales!$H$19="Todos",datos_base!$K$11,0))*parametros_manuales!$K$105+parametros_manuales!$F$19*(datos_base!$K$20+IF(parametros_manuales!$H$19="Todos",datos_base!$K$25,0))*parametros_manuales!$K$14+parametros_manuales!$G$19*(datos_base!$K$5+IF(parametros_manuales!$H$19="Todos",datos_base!$K$12,0))*parametros_manuales!$K$110+parametros_manuales!$G$19*(datos_base!$K$21+IF(parametros_manuales!$H$19="Todos",datos_base!$K$26,0))*parametros_manuales!$K$15)*parametros_manuales!$I$19*parametros_manuales!$J$19</f>
        <v>25187.302767355</v>
      </c>
      <c r="L245" s="9" t="n">
        <f aca="false">(parametros_manuales!$D$19*(datos_base!$K$2+IF(parametros_manuales!$H$19="Todos",datos_base!$K$9,0))*parametros_manuales!$L$95+parametros_manuales!$D$19*(datos_base!$K$18+IF(parametros_manuales!$H$19="Todos",datos_base!$K$23,0))*parametros_manuales!$L$12+parametros_manuales!$E$19*(datos_base!$K$3+IF(parametros_manuales!$H$19="Todos",datos_base!$K$10,0))*parametros_manuales!$L$100+parametros_manuales!$E$19*(datos_base!$K$19+IF(parametros_manuales!$H$19="Todos",datos_base!$K$24,0))*parametros_manuales!$L$13+parametros_manuales!$F$19*(datos_base!$K$4+IF(parametros_manuales!$H$19="Todos",datos_base!$K$11,0))*parametros_manuales!$L$105+parametros_manuales!$F$19*(datos_base!$K$20+IF(parametros_manuales!$H$19="Todos",datos_base!$K$25,0))*parametros_manuales!$L$14+parametros_manuales!$G$19*(datos_base!$K$5+IF(parametros_manuales!$H$19="Todos",datos_base!$K$12,0))*parametros_manuales!$L$110+parametros_manuales!$G$19*(datos_base!$K$21+IF(parametros_manuales!$H$19="Todos",datos_base!$K$26,0))*parametros_manuales!$L$15)*parametros_manuales!$I$19*parametros_manuales!$J$19</f>
        <v>25594.39559357</v>
      </c>
      <c r="M245" s="9" t="n">
        <f aca="false">(parametros_manuales!$D$19*(datos_base!$K$2+IF(parametros_manuales!$H$19="Todos",datos_base!$K$9,0))*parametros_manuales!$M$95+parametros_manuales!$D$19*(datos_base!$K$18+IF(parametros_manuales!$H$19="Todos",datos_base!$K$23,0))*parametros_manuales!$M$12+parametros_manuales!$E$19*(datos_base!$K$3+IF(parametros_manuales!$H$19="Todos",datos_base!$K$10,0))*parametros_manuales!$M$100+parametros_manuales!$E$19*(datos_base!$K$19+IF(parametros_manuales!$H$19="Todos",datos_base!$K$24,0))*parametros_manuales!$M$13+parametros_manuales!$F$19*(datos_base!$K$4+IF(parametros_manuales!$H$19="Todos",datos_base!$K$11,0))*parametros_manuales!$M$105+parametros_manuales!$F$19*(datos_base!$K$20+IF(parametros_manuales!$H$19="Todos",datos_base!$K$25,0))*parametros_manuales!$M$14+parametros_manuales!$G$19*(datos_base!$K$5+IF(parametros_manuales!$H$19="Todos",datos_base!$K$12,0))*parametros_manuales!$M$110+parametros_manuales!$G$19*(datos_base!$K$21+IF(parametros_manuales!$H$19="Todos",datos_base!$K$26,0))*parametros_manuales!$M$15)*parametros_manuales!$I$19*parametros_manuales!$J$19</f>
        <v>25602.11239357</v>
      </c>
      <c r="N245" s="9" t="n">
        <f aca="false">SUM(B245:M245)</f>
        <v>284425.044373</v>
      </c>
      <c r="O245" s="9" t="n">
        <f aca="false">MAX(B245:M245)</f>
        <v>25602.11239357</v>
      </c>
      <c r="P245" s="44" t="n">
        <f aca="false">O245/(parametros_manuales!$B$7)</f>
        <v>170.680749290467</v>
      </c>
      <c r="Q245" s="8" t="str">
        <f aca="false">IF(O245=0,"-",INDEX($B$244:$M$244,MATCH(O245,B245:M245,0)))</f>
        <v>Dic</v>
      </c>
    </row>
    <row r="246" customFormat="false" ht="14.25" hidden="false" customHeight="true" outlineLevel="0" collapsed="false">
      <c r="A246" s="8" t="str">
        <f aca="false">parametros_manuales!$B$20</f>
        <v>Corte de chapa (guillotina) — 2,5 a 10 kg</v>
      </c>
      <c r="B246" s="9" t="n">
        <f aca="false">(parametros_manuales!$D$20*(datos_base!$K$2+IF(parametros_manuales!$H$20="Todos",datos_base!$K$9,0))*parametros_manuales!$B$95+parametros_manuales!$D$20*(datos_base!$K$18+IF(parametros_manuales!$H$20="Todos",datos_base!$K$23,0))*parametros_manuales!$B$12+parametros_manuales!$E$20*(datos_base!$K$3+IF(parametros_manuales!$H$20="Todos",datos_base!$K$10,0))*parametros_manuales!$B$100+parametros_manuales!$E$20*(datos_base!$K$19+IF(parametros_manuales!$H$20="Todos",datos_base!$K$24,0))*parametros_manuales!$B$13+parametros_manuales!$F$20*(datos_base!$K$4+IF(parametros_manuales!$H$20="Todos",datos_base!$K$11,0))*parametros_manuales!$B$105+parametros_manuales!$F$20*(datos_base!$K$20+IF(parametros_manuales!$H$20="Todos",datos_base!$K$25,0))*parametros_manuales!$B$14+parametros_manuales!$G$20*(datos_base!$K$5+IF(parametros_manuales!$H$20="Todos",datos_base!$K$12,0))*parametros_manuales!$B$110+parametros_manuales!$G$20*(datos_base!$K$21+IF(parametros_manuales!$H$20="Todos",datos_base!$K$26,0))*parametros_manuales!$B$15)*parametros_manuales!$I$20*parametros_manuales!$J$20</f>
        <v>7364.32567187</v>
      </c>
      <c r="C246" s="9" t="n">
        <f aca="false">(parametros_manuales!$D$20*(datos_base!$K$2+IF(parametros_manuales!$H$20="Todos",datos_base!$K$9,0))*parametros_manuales!$C$95+parametros_manuales!$D$20*(datos_base!$K$18+IF(parametros_manuales!$H$20="Todos",datos_base!$K$23,0))*parametros_manuales!$C$12+parametros_manuales!$E$20*(datos_base!$K$3+IF(parametros_manuales!$H$20="Todos",datos_base!$K$10,0))*parametros_manuales!$C$100+parametros_manuales!$E$20*(datos_base!$K$19+IF(parametros_manuales!$H$20="Todos",datos_base!$K$24,0))*parametros_manuales!$C$13+parametros_manuales!$F$20*(datos_base!$K$4+IF(parametros_manuales!$H$20="Todos",datos_base!$K$11,0))*parametros_manuales!$C$105+parametros_manuales!$F$20*(datos_base!$K$20+IF(parametros_manuales!$H$20="Todos",datos_base!$K$25,0))*parametros_manuales!$C$14+parametros_manuales!$G$20*(datos_base!$K$5+IF(parametros_manuales!$H$20="Todos",datos_base!$K$12,0))*parametros_manuales!$C$110+parametros_manuales!$G$20*(datos_base!$K$21+IF(parametros_manuales!$H$20="Todos",datos_base!$K$26,0))*parametros_manuales!$C$15)*parametros_manuales!$I$20*parametros_manuales!$J$20</f>
        <v>6544.35241944</v>
      </c>
      <c r="D246" s="9" t="n">
        <f aca="false">(parametros_manuales!$D$20*(datos_base!$K$2+IF(parametros_manuales!$H$20="Todos",datos_base!$K$9,0))*parametros_manuales!$D$95+parametros_manuales!$D$20*(datos_base!$K$18+IF(parametros_manuales!$H$20="Todos",datos_base!$K$23,0))*parametros_manuales!$D$12+parametros_manuales!$E$20*(datos_base!$K$3+IF(parametros_manuales!$H$20="Todos",datos_base!$K$10,0))*parametros_manuales!$D$100+parametros_manuales!$E$20*(datos_base!$K$19+IF(parametros_manuales!$H$20="Todos",datos_base!$K$24,0))*parametros_manuales!$D$13+parametros_manuales!$F$20*(datos_base!$K$4+IF(parametros_manuales!$H$20="Todos",datos_base!$K$11,0))*parametros_manuales!$D$105+parametros_manuales!$F$20*(datos_base!$K$20+IF(parametros_manuales!$H$20="Todos",datos_base!$K$25,0))*parametros_manuales!$D$14+parametros_manuales!$G$20*(datos_base!$K$5+IF(parametros_manuales!$H$20="Todos",datos_base!$K$12,0))*parametros_manuales!$D$110+parametros_manuales!$G$20*(datos_base!$K$21+IF(parametros_manuales!$H$20="Todos",datos_base!$K$26,0))*parametros_manuales!$D$15)*parametros_manuales!$I$20*parametros_manuales!$J$20</f>
        <v>6953.374445655</v>
      </c>
      <c r="E246" s="9" t="n">
        <f aca="false">(parametros_manuales!$D$20*(datos_base!$K$2+IF(parametros_manuales!$H$20="Todos",datos_base!$K$9,0))*parametros_manuales!$E$95+parametros_manuales!$D$20*(datos_base!$K$18+IF(parametros_manuales!$H$20="Todos",datos_base!$K$23,0))*parametros_manuales!$E$12+parametros_manuales!$E$20*(datos_base!$K$3+IF(parametros_manuales!$H$20="Todos",datos_base!$K$10,0))*parametros_manuales!$E$100+parametros_manuales!$E$20*(datos_base!$K$19+IF(parametros_manuales!$H$20="Todos",datos_base!$K$24,0))*parametros_manuales!$E$13+parametros_manuales!$F$20*(datos_base!$K$4+IF(parametros_manuales!$H$20="Todos",datos_base!$K$11,0))*parametros_manuales!$E$105+parametros_manuales!$F$20*(datos_base!$K$20+IF(parametros_manuales!$H$20="Todos",datos_base!$K$25,0))*parametros_manuales!$E$14+parametros_manuales!$G$20*(datos_base!$K$5+IF(parametros_manuales!$H$20="Todos",datos_base!$K$12,0))*parametros_manuales!$E$110+parametros_manuales!$G$20*(datos_base!$K$21+IF(parametros_manuales!$H$20="Todos",datos_base!$K$26,0))*parametros_manuales!$E$15)*parametros_manuales!$I$20*parametros_manuales!$J$20</f>
        <v>6953.374445655</v>
      </c>
      <c r="F246" s="9" t="n">
        <f aca="false">(parametros_manuales!$D$20*(datos_base!$K$2+IF(parametros_manuales!$H$20="Todos",datos_base!$K$9,0))*parametros_manuales!$F$95+parametros_manuales!$D$20*(datos_base!$K$18+IF(parametros_manuales!$H$20="Todos",datos_base!$K$23,0))*parametros_manuales!$F$12+parametros_manuales!$E$20*(datos_base!$K$3+IF(parametros_manuales!$H$20="Todos",datos_base!$K$10,0))*parametros_manuales!$F$100+parametros_manuales!$E$20*(datos_base!$K$19+IF(parametros_manuales!$H$20="Todos",datos_base!$K$24,0))*parametros_manuales!$F$13+parametros_manuales!$F$20*(datos_base!$K$4+IF(parametros_manuales!$H$20="Todos",datos_base!$K$11,0))*parametros_manuales!$F$105+parametros_manuales!$F$20*(datos_base!$K$20+IF(parametros_manuales!$H$20="Todos",datos_base!$K$25,0))*parametros_manuales!$F$14+parametros_manuales!$G$20*(datos_base!$K$5+IF(parametros_manuales!$H$20="Todos",datos_base!$K$12,0))*parametros_manuales!$F$110+parametros_manuales!$G$20*(datos_base!$K$21+IF(parametros_manuales!$H$20="Todos",datos_base!$K$26,0))*parametros_manuales!$F$15)*parametros_manuales!$I$20*parametros_manuales!$J$20</f>
        <v>6544.35241944</v>
      </c>
      <c r="G246" s="9" t="n">
        <f aca="false">(parametros_manuales!$D$20*(datos_base!$K$2+IF(parametros_manuales!$H$20="Todos",datos_base!$K$9,0))*parametros_manuales!$G$95+parametros_manuales!$D$20*(datos_base!$K$18+IF(parametros_manuales!$H$20="Todos",datos_base!$K$23,0))*parametros_manuales!$G$12+parametros_manuales!$E$20*(datos_base!$K$3+IF(parametros_manuales!$H$20="Todos",datos_base!$K$10,0))*parametros_manuales!$G$100+parametros_manuales!$E$20*(datos_base!$K$19+IF(parametros_manuales!$H$20="Todos",datos_base!$K$24,0))*parametros_manuales!$G$13+parametros_manuales!$F$20*(datos_base!$K$4+IF(parametros_manuales!$H$20="Todos",datos_base!$K$11,0))*parametros_manuales!$G$105+parametros_manuales!$F$20*(datos_base!$K$20+IF(parametros_manuales!$H$20="Todos",datos_base!$K$25,0))*parametros_manuales!$G$14+parametros_manuales!$G$20*(datos_base!$K$5+IF(parametros_manuales!$H$20="Todos",datos_base!$K$12,0))*parametros_manuales!$G$110+parametros_manuales!$G$20*(datos_base!$K$21+IF(parametros_manuales!$H$20="Todos",datos_base!$K$26,0))*parametros_manuales!$G$15)*parametros_manuales!$I$20*parametros_manuales!$J$20</f>
        <v>6135.330393225</v>
      </c>
      <c r="H246" s="9" t="n">
        <f aca="false">(parametros_manuales!$D$20*(datos_base!$K$2+IF(parametros_manuales!$H$20="Todos",datos_base!$K$9,0))*parametros_manuales!$H$95+parametros_manuales!$D$20*(datos_base!$K$18+IF(parametros_manuales!$H$20="Todos",datos_base!$K$23,0))*parametros_manuales!$H$12+parametros_manuales!$E$20*(datos_base!$K$3+IF(parametros_manuales!$H$20="Todos",datos_base!$K$10,0))*parametros_manuales!$H$100+parametros_manuales!$E$20*(datos_base!$K$19+IF(parametros_manuales!$H$20="Todos",datos_base!$K$24,0))*parametros_manuales!$H$13+parametros_manuales!$F$20*(datos_base!$K$4+IF(parametros_manuales!$H$20="Todos",datos_base!$K$11,0))*parametros_manuales!$H$105+parametros_manuales!$F$20*(datos_base!$K$20+IF(parametros_manuales!$H$20="Todos",datos_base!$K$25,0))*parametros_manuales!$H$14+parametros_manuales!$G$20*(datos_base!$K$5+IF(parametros_manuales!$H$20="Todos",datos_base!$K$12,0))*parametros_manuales!$H$110+parametros_manuales!$G$20*(datos_base!$K$21+IF(parametros_manuales!$H$20="Todos",datos_base!$K$26,0))*parametros_manuales!$H$15)*parametros_manuales!$I$20*parametros_manuales!$J$20</f>
        <v>6544.35241944</v>
      </c>
      <c r="I246" s="9" t="n">
        <f aca="false">(parametros_manuales!$D$20*(datos_base!$K$2+IF(parametros_manuales!$H$20="Todos",datos_base!$K$9,0))*parametros_manuales!$I$95+parametros_manuales!$D$20*(datos_base!$K$18+IF(parametros_manuales!$H$20="Todos",datos_base!$K$23,0))*parametros_manuales!$I$12+parametros_manuales!$E$20*(datos_base!$K$3+IF(parametros_manuales!$H$20="Todos",datos_base!$K$10,0))*parametros_manuales!$I$100+parametros_manuales!$E$20*(datos_base!$K$19+IF(parametros_manuales!$H$20="Todos",datos_base!$K$24,0))*parametros_manuales!$I$13+parametros_manuales!$F$20*(datos_base!$K$4+IF(parametros_manuales!$H$20="Todos",datos_base!$K$11,0))*parametros_manuales!$I$105+parametros_manuales!$F$20*(datos_base!$K$20+IF(parametros_manuales!$H$20="Todos",datos_base!$K$25,0))*parametros_manuales!$I$14+parametros_manuales!$G$20*(datos_base!$K$5+IF(parametros_manuales!$H$20="Todos",datos_base!$K$12,0))*parametros_manuales!$I$110+parametros_manuales!$G$20*(datos_base!$K$21+IF(parametros_manuales!$H$20="Todos",datos_base!$K$26,0))*parametros_manuales!$I$15)*parametros_manuales!$I$20*parametros_manuales!$J$20</f>
        <v>6544.35241944</v>
      </c>
      <c r="J246" s="9" t="n">
        <f aca="false">(parametros_manuales!$D$20*(datos_base!$K$2+IF(parametros_manuales!$H$20="Todos",datos_base!$K$9,0))*parametros_manuales!$J$95+parametros_manuales!$D$20*(datos_base!$K$18+IF(parametros_manuales!$H$20="Todos",datos_base!$K$23,0))*parametros_manuales!$J$12+parametros_manuales!$E$20*(datos_base!$K$3+IF(parametros_manuales!$H$20="Todos",datos_base!$K$10,0))*parametros_manuales!$J$100+parametros_manuales!$E$20*(datos_base!$K$19+IF(parametros_manuales!$H$20="Todos",datos_base!$K$24,0))*parametros_manuales!$J$13+parametros_manuales!$F$20*(datos_base!$K$4+IF(parametros_manuales!$H$20="Todos",datos_base!$K$11,0))*parametros_manuales!$J$105+parametros_manuales!$F$20*(datos_base!$K$20+IF(parametros_manuales!$H$20="Todos",datos_base!$K$25,0))*parametros_manuales!$J$14+parametros_manuales!$G$20*(datos_base!$K$5+IF(parametros_manuales!$H$20="Todos",datos_base!$K$12,0))*parametros_manuales!$J$110+parametros_manuales!$G$20*(datos_base!$K$21+IF(parametros_manuales!$H$20="Todos",datos_base!$K$26,0))*parametros_manuales!$J$15)*parametros_manuales!$I$20*parametros_manuales!$J$20</f>
        <v>6544.35241944</v>
      </c>
      <c r="K246" s="9" t="n">
        <f aca="false">(parametros_manuales!$D$20*(datos_base!$K$2+IF(parametros_manuales!$H$20="Todos",datos_base!$K$9,0))*parametros_manuales!$K$95+parametros_manuales!$D$20*(datos_base!$K$18+IF(parametros_manuales!$H$20="Todos",datos_base!$K$23,0))*parametros_manuales!$K$12+parametros_manuales!$E$20*(datos_base!$K$3+IF(parametros_manuales!$H$20="Todos",datos_base!$K$10,0))*parametros_manuales!$K$100+parametros_manuales!$E$20*(datos_base!$K$19+IF(parametros_manuales!$H$20="Todos",datos_base!$K$24,0))*parametros_manuales!$K$13+parametros_manuales!$F$20*(datos_base!$K$4+IF(parametros_manuales!$H$20="Todos",datos_base!$K$11,0))*parametros_manuales!$K$105+parametros_manuales!$F$20*(datos_base!$K$20+IF(parametros_manuales!$H$20="Todos",datos_base!$K$25,0))*parametros_manuales!$K$14+parametros_manuales!$G$20*(datos_base!$K$5+IF(parametros_manuales!$H$20="Todos",datos_base!$K$12,0))*parametros_manuales!$K$110+parametros_manuales!$G$20*(datos_base!$K$21+IF(parametros_manuales!$H$20="Todos",datos_base!$K$26,0))*parametros_manuales!$K$15)*parametros_manuales!$I$20*parametros_manuales!$J$20</f>
        <v>6951.445245655</v>
      </c>
      <c r="L246" s="9" t="n">
        <f aca="false">(parametros_manuales!$D$20*(datos_base!$K$2+IF(parametros_manuales!$H$20="Todos",datos_base!$K$9,0))*parametros_manuales!$L$95+parametros_manuales!$D$20*(datos_base!$K$18+IF(parametros_manuales!$H$20="Todos",datos_base!$K$23,0))*parametros_manuales!$L$12+parametros_manuales!$E$20*(datos_base!$K$3+IF(parametros_manuales!$H$20="Todos",datos_base!$K$10,0))*parametros_manuales!$L$100+parametros_manuales!$E$20*(datos_base!$K$19+IF(parametros_manuales!$H$20="Todos",datos_base!$K$24,0))*parametros_manuales!$L$13+parametros_manuales!$F$20*(datos_base!$K$4+IF(parametros_manuales!$H$20="Todos",datos_base!$K$11,0))*parametros_manuales!$L$105+parametros_manuales!$F$20*(datos_base!$K$20+IF(parametros_manuales!$H$20="Todos",datos_base!$K$25,0))*parametros_manuales!$L$14+parametros_manuales!$G$20*(datos_base!$K$5+IF(parametros_manuales!$H$20="Todos",datos_base!$K$12,0))*parametros_manuales!$L$110+parametros_manuales!$G$20*(datos_base!$K$21+IF(parametros_manuales!$H$20="Todos",datos_base!$K$26,0))*parametros_manuales!$L$15)*parametros_manuales!$I$20*parametros_manuales!$J$20</f>
        <v>7358.53807187</v>
      </c>
      <c r="M246" s="9" t="n">
        <f aca="false">(parametros_manuales!$D$20*(datos_base!$K$2+IF(parametros_manuales!$H$20="Todos",datos_base!$K$9,0))*parametros_manuales!$M$95+parametros_manuales!$D$20*(datos_base!$K$18+IF(parametros_manuales!$H$20="Todos",datos_base!$K$23,0))*parametros_manuales!$M$12+parametros_manuales!$E$20*(datos_base!$K$3+IF(parametros_manuales!$H$20="Todos",datos_base!$K$10,0))*parametros_manuales!$M$100+parametros_manuales!$E$20*(datos_base!$K$19+IF(parametros_manuales!$H$20="Todos",datos_base!$K$24,0))*parametros_manuales!$M$13+parametros_manuales!$F$20*(datos_base!$K$4+IF(parametros_manuales!$H$20="Todos",datos_base!$K$11,0))*parametros_manuales!$M$105+parametros_manuales!$F$20*(datos_base!$K$20+IF(parametros_manuales!$H$20="Todos",datos_base!$K$25,0))*parametros_manuales!$M$14+parametros_manuales!$G$20*(datos_base!$K$5+IF(parametros_manuales!$H$20="Todos",datos_base!$K$12,0))*parametros_manuales!$M$110+parametros_manuales!$G$20*(datos_base!$K$21+IF(parametros_manuales!$H$20="Todos",datos_base!$K$26,0))*parametros_manuales!$M$15)*parametros_manuales!$I$20*parametros_manuales!$J$20</f>
        <v>7366.25487187</v>
      </c>
      <c r="N246" s="9" t="n">
        <f aca="false">SUM(B246:M246)</f>
        <v>81804.405243</v>
      </c>
      <c r="O246" s="9" t="n">
        <f aca="false">MAX(B246:M246)</f>
        <v>7366.25487187</v>
      </c>
      <c r="P246" s="44" t="n">
        <f aca="false">O246/(parametros_manuales!$B$7)</f>
        <v>49.1083658124667</v>
      </c>
      <c r="Q246" s="8" t="str">
        <f aca="false">IF(O246=0,"-",INDEX($B$244:$M$244,MATCH(O246,B246:M246,0)))</f>
        <v>Dic</v>
      </c>
    </row>
    <row r="247" customFormat="false" ht="14.25" hidden="false" customHeight="true" outlineLevel="0" collapsed="false">
      <c r="A247" s="8" t="str">
        <f aca="false">parametros_manuales!$B$21</f>
        <v>Corte de tubo — 1 kg</v>
      </c>
      <c r="B247" s="9" t="n">
        <f aca="false">(parametros_manuales!$D$21*(datos_base!$K$2+IF(parametros_manuales!$H$21="Todos",datos_base!$K$9,0))*parametros_manuales!$B$95+parametros_manuales!$D$21*(datos_base!$K$18+IF(parametros_manuales!$H$21="Todos",datos_base!$K$23,0))*parametros_manuales!$B$12+parametros_manuales!$E$21*(datos_base!$K$3+IF(parametros_manuales!$H$21="Todos",datos_base!$K$10,0))*parametros_manuales!$B$100+parametros_manuales!$E$21*(datos_base!$K$19+IF(parametros_manuales!$H$21="Todos",datos_base!$K$24,0))*parametros_manuales!$B$13+parametros_manuales!$F$21*(datos_base!$K$4+IF(parametros_manuales!$H$21="Todos",datos_base!$K$11,0))*parametros_manuales!$B$105+parametros_manuales!$F$21*(datos_base!$K$20+IF(parametros_manuales!$H$21="Todos",datos_base!$K$25,0))*parametros_manuales!$B$14+parametros_manuales!$G$21*(datos_base!$K$5+IF(parametros_manuales!$H$21="Todos",datos_base!$K$12,0))*parametros_manuales!$B$110+parametros_manuales!$G$21*(datos_base!$K$21+IF(parametros_manuales!$H$21="Todos",datos_base!$K$26,0))*parametros_manuales!$B$15)*parametros_manuales!$I$21*parametros_manuales!$J$21</f>
        <v>18235.8575217</v>
      </c>
      <c r="C247" s="9" t="n">
        <f aca="false">(parametros_manuales!$D$21*(datos_base!$K$2+IF(parametros_manuales!$H$21="Todos",datos_base!$K$9,0))*parametros_manuales!$C$95+parametros_manuales!$D$21*(datos_base!$K$18+IF(parametros_manuales!$H$21="Todos",datos_base!$K$23,0))*parametros_manuales!$C$12+parametros_manuales!$E$21*(datos_base!$K$3+IF(parametros_manuales!$H$21="Todos",datos_base!$K$10,0))*parametros_manuales!$C$100+parametros_manuales!$E$21*(datos_base!$K$19+IF(parametros_manuales!$H$21="Todos",datos_base!$K$24,0))*parametros_manuales!$C$13+parametros_manuales!$F$21*(datos_base!$K$4+IF(parametros_manuales!$H$21="Todos",datos_base!$K$11,0))*parametros_manuales!$C$105+parametros_manuales!$F$21*(datos_base!$K$20+IF(parametros_manuales!$H$21="Todos",datos_base!$K$25,0))*parametros_manuales!$C$14+parametros_manuales!$G$21*(datos_base!$K$5+IF(parametros_manuales!$H$21="Todos",datos_base!$K$12,0))*parametros_manuales!$C$110+parametros_manuales!$G$21*(datos_base!$K$21+IF(parametros_manuales!$H$21="Todos",datos_base!$K$26,0))*parametros_manuales!$C$15)*parametros_manuales!$I$21*parametros_manuales!$J$21</f>
        <v>18235.8575217</v>
      </c>
      <c r="D247" s="9" t="n">
        <f aca="false">(parametros_manuales!$D$21*(datos_base!$K$2+IF(parametros_manuales!$H$21="Todos",datos_base!$K$9,0))*parametros_manuales!$D$95+parametros_manuales!$D$21*(datos_base!$K$18+IF(parametros_manuales!$H$21="Todos",datos_base!$K$23,0))*parametros_manuales!$D$12+parametros_manuales!$E$21*(datos_base!$K$3+IF(parametros_manuales!$H$21="Todos",datos_base!$K$10,0))*parametros_manuales!$D$100+parametros_manuales!$E$21*(datos_base!$K$19+IF(parametros_manuales!$H$21="Todos",datos_base!$K$24,0))*parametros_manuales!$D$13+parametros_manuales!$F$21*(datos_base!$K$4+IF(parametros_manuales!$H$21="Todos",datos_base!$K$11,0))*parametros_manuales!$D$105+parametros_manuales!$F$21*(datos_base!$K$20+IF(parametros_manuales!$H$21="Todos",datos_base!$K$25,0))*parametros_manuales!$D$14+parametros_manuales!$G$21*(datos_base!$K$5+IF(parametros_manuales!$H$21="Todos",datos_base!$K$12,0))*parametros_manuales!$D$110+parametros_manuales!$G$21*(datos_base!$K$21+IF(parametros_manuales!$H$21="Todos",datos_base!$K$26,0))*parametros_manuales!$D$15)*parametros_manuales!$I$21*parametros_manuales!$J$21</f>
        <v>16209.6511304</v>
      </c>
      <c r="E247" s="9" t="n">
        <f aca="false">(parametros_manuales!$D$21*(datos_base!$K$2+IF(parametros_manuales!$H$21="Todos",datos_base!$K$9,0))*parametros_manuales!$E$95+parametros_manuales!$D$21*(datos_base!$K$18+IF(parametros_manuales!$H$21="Todos",datos_base!$K$23,0))*parametros_manuales!$E$12+parametros_manuales!$E$21*(datos_base!$K$3+IF(parametros_manuales!$H$21="Todos",datos_base!$K$10,0))*parametros_manuales!$E$100+parametros_manuales!$E$21*(datos_base!$K$19+IF(parametros_manuales!$H$21="Todos",datos_base!$K$24,0))*parametros_manuales!$E$13+parametros_manuales!$F$21*(datos_base!$K$4+IF(parametros_manuales!$H$21="Todos",datos_base!$K$11,0))*parametros_manuales!$E$105+parametros_manuales!$F$21*(datos_base!$K$20+IF(parametros_manuales!$H$21="Todos",datos_base!$K$25,0))*parametros_manuales!$E$14+parametros_manuales!$G$21*(datos_base!$K$5+IF(parametros_manuales!$H$21="Todos",datos_base!$K$12,0))*parametros_manuales!$E$110+parametros_manuales!$G$21*(datos_base!$K$21+IF(parametros_manuales!$H$21="Todos",datos_base!$K$26,0))*parametros_manuales!$E$15)*parametros_manuales!$I$21*parametros_manuales!$J$21</f>
        <v>15196.54793475</v>
      </c>
      <c r="F247" s="9" t="n">
        <f aca="false">(parametros_manuales!$D$21*(datos_base!$K$2+IF(parametros_manuales!$H$21="Todos",datos_base!$K$9,0))*parametros_manuales!$F$95+parametros_manuales!$D$21*(datos_base!$K$18+IF(parametros_manuales!$H$21="Todos",datos_base!$K$23,0))*parametros_manuales!$F$12+parametros_manuales!$E$21*(datos_base!$K$3+IF(parametros_manuales!$H$21="Todos",datos_base!$K$10,0))*parametros_manuales!$F$100+parametros_manuales!$E$21*(datos_base!$K$19+IF(parametros_manuales!$H$21="Todos",datos_base!$K$24,0))*parametros_manuales!$F$13+parametros_manuales!$F$21*(datos_base!$K$4+IF(parametros_manuales!$H$21="Todos",datos_base!$K$11,0))*parametros_manuales!$F$105+parametros_manuales!$F$21*(datos_base!$K$20+IF(parametros_manuales!$H$21="Todos",datos_base!$K$25,0))*parametros_manuales!$F$14+parametros_manuales!$G$21*(datos_base!$K$5+IF(parametros_manuales!$H$21="Todos",datos_base!$K$12,0))*parametros_manuales!$F$110+parametros_manuales!$G$21*(datos_base!$K$21+IF(parametros_manuales!$H$21="Todos",datos_base!$K$26,0))*parametros_manuales!$F$15)*parametros_manuales!$I$21*parametros_manuales!$J$21</f>
        <v>14183.4447391</v>
      </c>
      <c r="G247" s="9" t="n">
        <f aca="false">(parametros_manuales!$D$21*(datos_base!$K$2+IF(parametros_manuales!$H$21="Todos",datos_base!$K$9,0))*parametros_manuales!$G$95+parametros_manuales!$D$21*(datos_base!$K$18+IF(parametros_manuales!$H$21="Todos",datos_base!$K$23,0))*parametros_manuales!$G$12+parametros_manuales!$E$21*(datos_base!$K$3+IF(parametros_manuales!$H$21="Todos",datos_base!$K$10,0))*parametros_manuales!$G$100+parametros_manuales!$E$21*(datos_base!$K$19+IF(parametros_manuales!$H$21="Todos",datos_base!$K$24,0))*parametros_manuales!$G$13+parametros_manuales!$F$21*(datos_base!$K$4+IF(parametros_manuales!$H$21="Todos",datos_base!$K$11,0))*parametros_manuales!$G$105+parametros_manuales!$F$21*(datos_base!$K$20+IF(parametros_manuales!$H$21="Todos",datos_base!$K$25,0))*parametros_manuales!$G$14+parametros_manuales!$G$21*(datos_base!$K$5+IF(parametros_manuales!$H$21="Todos",datos_base!$K$12,0))*parametros_manuales!$G$110+parametros_manuales!$G$21*(datos_base!$K$21+IF(parametros_manuales!$H$21="Todos",datos_base!$K$26,0))*parametros_manuales!$G$15)*parametros_manuales!$I$21*parametros_manuales!$J$21</f>
        <v>14183.4447391</v>
      </c>
      <c r="H247" s="9" t="n">
        <f aca="false">(parametros_manuales!$D$21*(datos_base!$K$2+IF(parametros_manuales!$H$21="Todos",datos_base!$K$9,0))*parametros_manuales!$H$95+parametros_manuales!$D$21*(datos_base!$K$18+IF(parametros_manuales!$H$21="Todos",datos_base!$K$23,0))*parametros_manuales!$H$12+parametros_manuales!$E$21*(datos_base!$K$3+IF(parametros_manuales!$H$21="Todos",datos_base!$K$10,0))*parametros_manuales!$H$100+parametros_manuales!$E$21*(datos_base!$K$19+IF(parametros_manuales!$H$21="Todos",datos_base!$K$24,0))*parametros_manuales!$H$13+parametros_manuales!$F$21*(datos_base!$K$4+IF(parametros_manuales!$H$21="Todos",datos_base!$K$11,0))*parametros_manuales!$H$105+parametros_manuales!$F$21*(datos_base!$K$20+IF(parametros_manuales!$H$21="Todos",datos_base!$K$25,0))*parametros_manuales!$H$14+parametros_manuales!$G$21*(datos_base!$K$5+IF(parametros_manuales!$H$21="Todos",datos_base!$K$12,0))*parametros_manuales!$H$110+parametros_manuales!$G$21*(datos_base!$K$21+IF(parametros_manuales!$H$21="Todos",datos_base!$K$26,0))*parametros_manuales!$H$15)*parametros_manuales!$I$21*parametros_manuales!$J$21</f>
        <v>15196.54793475</v>
      </c>
      <c r="I247" s="9" t="n">
        <f aca="false">(parametros_manuales!$D$21*(datos_base!$K$2+IF(parametros_manuales!$H$21="Todos",datos_base!$K$9,0))*parametros_manuales!$I$95+parametros_manuales!$D$21*(datos_base!$K$18+IF(parametros_manuales!$H$21="Todos",datos_base!$K$23,0))*parametros_manuales!$I$12+parametros_manuales!$E$21*(datos_base!$K$3+IF(parametros_manuales!$H$21="Todos",datos_base!$K$10,0))*parametros_manuales!$I$100+parametros_manuales!$E$21*(datos_base!$K$19+IF(parametros_manuales!$H$21="Todos",datos_base!$K$24,0))*parametros_manuales!$I$13+parametros_manuales!$F$21*(datos_base!$K$4+IF(parametros_manuales!$H$21="Todos",datos_base!$K$11,0))*parametros_manuales!$I$105+parametros_manuales!$F$21*(datos_base!$K$20+IF(parametros_manuales!$H$21="Todos",datos_base!$K$25,0))*parametros_manuales!$I$14+parametros_manuales!$G$21*(datos_base!$K$5+IF(parametros_manuales!$H$21="Todos",datos_base!$K$12,0))*parametros_manuales!$I$110+parametros_manuales!$G$21*(datos_base!$K$21+IF(parametros_manuales!$H$21="Todos",datos_base!$K$26,0))*parametros_manuales!$I$15)*parametros_manuales!$I$21*parametros_manuales!$J$21</f>
        <v>18235.8575217</v>
      </c>
      <c r="J247" s="9" t="n">
        <f aca="false">(parametros_manuales!$D$21*(datos_base!$K$2+IF(parametros_manuales!$H$21="Todos",datos_base!$K$9,0))*parametros_manuales!$J$95+parametros_manuales!$D$21*(datos_base!$K$18+IF(parametros_manuales!$H$21="Todos",datos_base!$K$23,0))*parametros_manuales!$J$12+parametros_manuales!$E$21*(datos_base!$K$3+IF(parametros_manuales!$H$21="Todos",datos_base!$K$10,0))*parametros_manuales!$J$100+parametros_manuales!$E$21*(datos_base!$K$19+IF(parametros_manuales!$H$21="Todos",datos_base!$K$24,0))*parametros_manuales!$J$13+parametros_manuales!$F$21*(datos_base!$K$4+IF(parametros_manuales!$H$21="Todos",datos_base!$K$11,0))*parametros_manuales!$J$105+parametros_manuales!$F$21*(datos_base!$K$20+IF(parametros_manuales!$H$21="Todos",datos_base!$K$25,0))*parametros_manuales!$J$14+parametros_manuales!$G$21*(datos_base!$K$5+IF(parametros_manuales!$H$21="Todos",datos_base!$K$12,0))*parametros_manuales!$J$110+parametros_manuales!$G$21*(datos_base!$K$21+IF(parametros_manuales!$H$21="Todos",datos_base!$K$26,0))*parametros_manuales!$J$15)*parametros_manuales!$I$21*parametros_manuales!$J$21</f>
        <v>18235.8575217</v>
      </c>
      <c r="K247" s="9" t="n">
        <f aca="false">(parametros_manuales!$D$21*(datos_base!$K$2+IF(parametros_manuales!$H$21="Todos",datos_base!$K$9,0))*parametros_manuales!$K$95+parametros_manuales!$D$21*(datos_base!$K$18+IF(parametros_manuales!$H$21="Todos",datos_base!$K$23,0))*parametros_manuales!$K$12+parametros_manuales!$E$21*(datos_base!$K$3+IF(parametros_manuales!$H$21="Todos",datos_base!$K$10,0))*parametros_manuales!$K$100+parametros_manuales!$E$21*(datos_base!$K$19+IF(parametros_manuales!$H$21="Todos",datos_base!$K$24,0))*parametros_manuales!$K$13+parametros_manuales!$F$21*(datos_base!$K$4+IF(parametros_manuales!$H$21="Todos",datos_base!$K$11,0))*parametros_manuales!$K$105+parametros_manuales!$F$21*(datos_base!$K$20+IF(parametros_manuales!$H$21="Todos",datos_base!$K$25,0))*parametros_manuales!$K$14+parametros_manuales!$G$21*(datos_base!$K$5+IF(parametros_manuales!$H$21="Todos",datos_base!$K$12,0))*parametros_manuales!$K$110+parametros_manuales!$G$21*(datos_base!$K$21+IF(parametros_manuales!$H$21="Todos",datos_base!$K$26,0))*parametros_manuales!$K$15)*parametros_manuales!$I$21*parametros_manuales!$J$21</f>
        <v>18235.8575217</v>
      </c>
      <c r="L247" s="9" t="n">
        <f aca="false">(parametros_manuales!$D$21*(datos_base!$K$2+IF(parametros_manuales!$H$21="Todos",datos_base!$K$9,0))*parametros_manuales!$L$95+parametros_manuales!$D$21*(datos_base!$K$18+IF(parametros_manuales!$H$21="Todos",datos_base!$K$23,0))*parametros_manuales!$L$12+parametros_manuales!$E$21*(datos_base!$K$3+IF(parametros_manuales!$H$21="Todos",datos_base!$K$10,0))*parametros_manuales!$L$100+parametros_manuales!$E$21*(datos_base!$K$19+IF(parametros_manuales!$H$21="Todos",datos_base!$K$24,0))*parametros_manuales!$L$13+parametros_manuales!$F$21*(datos_base!$K$4+IF(parametros_manuales!$H$21="Todos",datos_base!$K$11,0))*parametros_manuales!$L$105+parametros_manuales!$F$21*(datos_base!$K$20+IF(parametros_manuales!$H$21="Todos",datos_base!$K$25,0))*parametros_manuales!$L$14+parametros_manuales!$G$21*(datos_base!$K$5+IF(parametros_manuales!$H$21="Todos",datos_base!$K$12,0))*parametros_manuales!$L$110+parametros_manuales!$G$21*(datos_base!$K$21+IF(parametros_manuales!$H$21="Todos",datos_base!$K$26,0))*parametros_manuales!$L$15)*parametros_manuales!$I$21*parametros_manuales!$J$21</f>
        <v>18235.8575217</v>
      </c>
      <c r="M247" s="9" t="n">
        <f aca="false">(parametros_manuales!$D$21*(datos_base!$K$2+IF(parametros_manuales!$H$21="Todos",datos_base!$K$9,0))*parametros_manuales!$M$95+parametros_manuales!$D$21*(datos_base!$K$18+IF(parametros_manuales!$H$21="Todos",datos_base!$K$23,0))*parametros_manuales!$M$12+parametros_manuales!$E$21*(datos_base!$K$3+IF(parametros_manuales!$H$21="Todos",datos_base!$K$10,0))*parametros_manuales!$M$100+parametros_manuales!$E$21*(datos_base!$K$19+IF(parametros_manuales!$H$21="Todos",datos_base!$K$24,0))*parametros_manuales!$M$13+parametros_manuales!$F$21*(datos_base!$K$4+IF(parametros_manuales!$H$21="Todos",datos_base!$K$11,0))*parametros_manuales!$M$105+parametros_manuales!$F$21*(datos_base!$K$20+IF(parametros_manuales!$H$21="Todos",datos_base!$K$25,0))*parametros_manuales!$M$14+parametros_manuales!$G$21*(datos_base!$K$5+IF(parametros_manuales!$H$21="Todos",datos_base!$K$12,0))*parametros_manuales!$M$110+parametros_manuales!$G$21*(datos_base!$K$21+IF(parametros_manuales!$H$21="Todos",datos_base!$K$26,0))*parametros_manuales!$M$15)*parametros_manuales!$I$21*parametros_manuales!$J$21</f>
        <v>18235.8575217</v>
      </c>
      <c r="N247" s="9" t="n">
        <f aca="false">SUM(B247:M247)</f>
        <v>202620.63913</v>
      </c>
      <c r="O247" s="9" t="n">
        <f aca="false">MAX(B247:M247)</f>
        <v>18235.8575217</v>
      </c>
      <c r="P247" s="44" t="n">
        <f aca="false">O247/(parametros_manuales!$B$7)</f>
        <v>121.572383478</v>
      </c>
      <c r="Q247" s="8" t="str">
        <f aca="false">IF(O247=0,"-",INDEX($B$244:$M$244,MATCH(O247,B247:M247,0)))</f>
        <v>Ene</v>
      </c>
    </row>
    <row r="248" customFormat="false" ht="14.25" hidden="false" customHeight="true" outlineLevel="0" collapsed="false">
      <c r="A248" s="8" t="str">
        <f aca="false">parametros_manuales!$B$22</f>
        <v>Corte de disco y embutido (cúpula y fondo)</v>
      </c>
      <c r="B248" s="9" t="n">
        <f aca="false">(parametros_manuales!$D$22*(datos_base!$K$2+IF(parametros_manuales!$H$22="Todos",datos_base!$K$9,0))*parametros_manuales!$B$95+parametros_manuales!$D$22*(datos_base!$K$18+IF(parametros_manuales!$H$22="Todos",datos_base!$K$23,0))*parametros_manuales!$B$12+parametros_manuales!$E$22*(datos_base!$K$3+IF(parametros_manuales!$H$22="Todos",datos_base!$K$10,0))*parametros_manuales!$B$100+parametros_manuales!$E$22*(datos_base!$K$19+IF(parametros_manuales!$H$22="Todos",datos_base!$K$24,0))*parametros_manuales!$B$13+parametros_manuales!$F$22*(datos_base!$K$4+IF(parametros_manuales!$H$22="Todos",datos_base!$K$11,0))*parametros_manuales!$B$105+parametros_manuales!$F$22*(datos_base!$K$20+IF(parametros_manuales!$H$22="Todos",datos_base!$K$25,0))*parametros_manuales!$B$14+parametros_manuales!$G$22*(datos_base!$K$5+IF(parametros_manuales!$H$22="Todos",datos_base!$K$12,0))*parametros_manuales!$B$110+parametros_manuales!$G$22*(datos_base!$K$21+IF(parametros_manuales!$H$22="Todos",datos_base!$K$26,0))*parametros_manuales!$B$15)*parametros_manuales!$I$22*parametros_manuales!$J$22</f>
        <v>51200.36638714</v>
      </c>
      <c r="C248" s="9" t="n">
        <f aca="false">(parametros_manuales!$D$22*(datos_base!$K$2+IF(parametros_manuales!$H$22="Todos",datos_base!$K$9,0))*parametros_manuales!$C$95+parametros_manuales!$D$22*(datos_base!$K$18+IF(parametros_manuales!$H$22="Todos",datos_base!$K$23,0))*parametros_manuales!$C$12+parametros_manuales!$E$22*(datos_base!$K$3+IF(parametros_manuales!$H$22="Todos",datos_base!$K$10,0))*parametros_manuales!$C$100+parametros_manuales!$E$22*(datos_base!$K$19+IF(parametros_manuales!$H$22="Todos",datos_base!$K$24,0))*parametros_manuales!$C$13+parametros_manuales!$F$22*(datos_base!$K$4+IF(parametros_manuales!$H$22="Todos",datos_base!$K$11,0))*parametros_manuales!$C$105+parametros_manuales!$F$22*(datos_base!$K$20+IF(parametros_manuales!$H$22="Todos",datos_base!$K$25,0))*parametros_manuales!$C$14+parametros_manuales!$G$22*(datos_base!$K$5+IF(parametros_manuales!$H$22="Todos",datos_base!$K$12,0))*parametros_manuales!$C$110+parametros_manuales!$G$22*(datos_base!$K$21+IF(parametros_manuales!$H$22="Todos",datos_base!$K$26,0))*parametros_manuales!$C$15)*parametros_manuales!$I$22*parametros_manuales!$J$22</f>
        <v>49560.41988228</v>
      </c>
      <c r="D248" s="9" t="n">
        <f aca="false">(parametros_manuales!$D$22*(datos_base!$K$2+IF(parametros_manuales!$H$22="Todos",datos_base!$K$9,0))*parametros_manuales!$D$95+parametros_manuales!$D$22*(datos_base!$K$18+IF(parametros_manuales!$H$22="Todos",datos_base!$K$23,0))*parametros_manuales!$D$12+parametros_manuales!$E$22*(datos_base!$K$3+IF(parametros_manuales!$H$22="Todos",datos_base!$K$10,0))*parametros_manuales!$D$100+parametros_manuales!$E$22*(datos_base!$K$19+IF(parametros_manuales!$H$22="Todos",datos_base!$K$24,0))*parametros_manuales!$D$13+parametros_manuales!$F$22*(datos_base!$K$4+IF(parametros_manuales!$H$22="Todos",datos_base!$K$11,0))*parametros_manuales!$D$105+parametros_manuales!$F$22*(datos_base!$K$20+IF(parametros_manuales!$H$22="Todos",datos_base!$K$25,0))*parametros_manuales!$D$14+parametros_manuales!$G$22*(datos_base!$K$5+IF(parametros_manuales!$H$22="Todos",datos_base!$K$12,0))*parametros_manuales!$D$110+parametros_manuales!$G$22*(datos_base!$K$21+IF(parametros_manuales!$H$22="Todos",datos_base!$K$26,0))*parametros_manuales!$D$15)*parametros_manuales!$I$22*parametros_manuales!$J$22</f>
        <v>46326.05115211</v>
      </c>
      <c r="E248" s="9" t="n">
        <f aca="false">(parametros_manuales!$D$22*(datos_base!$K$2+IF(parametros_manuales!$H$22="Todos",datos_base!$K$9,0))*parametros_manuales!$E$95+parametros_manuales!$D$22*(datos_base!$K$18+IF(parametros_manuales!$H$22="Todos",datos_base!$K$23,0))*parametros_manuales!$E$12+parametros_manuales!$E$22*(datos_base!$K$3+IF(parametros_manuales!$H$22="Todos",datos_base!$K$10,0))*parametros_manuales!$E$100+parametros_manuales!$E$22*(datos_base!$K$19+IF(parametros_manuales!$H$22="Todos",datos_base!$K$24,0))*parametros_manuales!$E$13+parametros_manuales!$F$22*(datos_base!$K$4+IF(parametros_manuales!$H$22="Todos",datos_base!$K$11,0))*parametros_manuales!$E$105+parametros_manuales!$F$22*(datos_base!$K$20+IF(parametros_manuales!$H$22="Todos",datos_base!$K$25,0))*parametros_manuales!$E$14+parametros_manuales!$G$22*(datos_base!$K$5+IF(parametros_manuales!$H$22="Todos",datos_base!$K$12,0))*parametros_manuales!$E$110+parametros_manuales!$G$22*(datos_base!$K$21+IF(parametros_manuales!$H$22="Todos",datos_base!$K$26,0))*parametros_manuales!$E$15)*parametros_manuales!$I$22*parametros_manuales!$J$22</f>
        <v>44299.84476081</v>
      </c>
      <c r="F248" s="9" t="n">
        <f aca="false">(parametros_manuales!$D$22*(datos_base!$K$2+IF(parametros_manuales!$H$22="Todos",datos_base!$K$9,0))*parametros_manuales!$F$95+parametros_manuales!$D$22*(datos_base!$K$18+IF(parametros_manuales!$H$22="Todos",datos_base!$K$23,0))*parametros_manuales!$F$12+parametros_manuales!$E$22*(datos_base!$K$3+IF(parametros_manuales!$H$22="Todos",datos_base!$K$10,0))*parametros_manuales!$F$100+parametros_manuales!$E$22*(datos_base!$K$19+IF(parametros_manuales!$H$22="Todos",datos_base!$K$24,0))*parametros_manuales!$F$13+parametros_manuales!$F$22*(datos_base!$K$4+IF(parametros_manuales!$H$22="Todos",datos_base!$K$11,0))*parametros_manuales!$F$105+parametros_manuales!$F$22*(datos_base!$K$20+IF(parametros_manuales!$H$22="Todos",datos_base!$K$25,0))*parametros_manuales!$F$14+parametros_manuales!$G$22*(datos_base!$K$5+IF(parametros_manuales!$H$22="Todos",datos_base!$K$12,0))*parametros_manuales!$F$110+parametros_manuales!$G$22*(datos_base!$K$21+IF(parametros_manuales!$H$22="Todos",datos_base!$K$26,0))*parametros_manuales!$F$15)*parametros_manuales!$I$22*parametros_manuales!$J$22</f>
        <v>41455.59431708</v>
      </c>
      <c r="G248" s="9" t="n">
        <f aca="false">(parametros_manuales!$D$22*(datos_base!$K$2+IF(parametros_manuales!$H$22="Todos",datos_base!$K$9,0))*parametros_manuales!$G$95+parametros_manuales!$D$22*(datos_base!$K$18+IF(parametros_manuales!$H$22="Todos",datos_base!$K$23,0))*parametros_manuales!$G$12+parametros_manuales!$E$22*(datos_base!$K$3+IF(parametros_manuales!$H$22="Todos",datos_base!$K$10,0))*parametros_manuales!$G$100+parametros_manuales!$E$22*(datos_base!$K$19+IF(parametros_manuales!$H$22="Todos",datos_base!$K$24,0))*parametros_manuales!$G$13+parametros_manuales!$F$22*(datos_base!$K$4+IF(parametros_manuales!$H$22="Todos",datos_base!$K$11,0))*parametros_manuales!$G$105+parametros_manuales!$F$22*(datos_base!$K$20+IF(parametros_manuales!$H$22="Todos",datos_base!$K$25,0))*parametros_manuales!$G$14+parametros_manuales!$G$22*(datos_base!$K$5+IF(parametros_manuales!$H$22="Todos",datos_base!$K$12,0))*parametros_manuales!$G$110+parametros_manuales!$G$22*(datos_base!$K$21+IF(parametros_manuales!$H$22="Todos",datos_base!$K$26,0))*parametros_manuales!$G$15)*parametros_manuales!$I$22*parametros_manuales!$J$22</f>
        <v>40637.55026465</v>
      </c>
      <c r="H248" s="9" t="n">
        <f aca="false">(parametros_manuales!$D$22*(datos_base!$K$2+IF(parametros_manuales!$H$22="Todos",datos_base!$K$9,0))*parametros_manuales!$H$95+parametros_manuales!$D$22*(datos_base!$K$18+IF(parametros_manuales!$H$22="Todos",datos_base!$K$23,0))*parametros_manuales!$H$12+parametros_manuales!$E$22*(datos_base!$K$3+IF(parametros_manuales!$H$22="Todos",datos_base!$K$10,0))*parametros_manuales!$H$100+parametros_manuales!$E$22*(datos_base!$K$19+IF(parametros_manuales!$H$22="Todos",datos_base!$K$24,0))*parametros_manuales!$H$13+parametros_manuales!$F$22*(datos_base!$K$4+IF(parametros_manuales!$H$22="Todos",datos_base!$K$11,0))*parametros_manuales!$H$105+parametros_manuales!$F$22*(datos_base!$K$20+IF(parametros_manuales!$H$22="Todos",datos_base!$K$25,0))*parametros_manuales!$H$14+parametros_manuales!$G$22*(datos_base!$K$5+IF(parametros_manuales!$H$22="Todos",datos_base!$K$12,0))*parametros_manuales!$H$110+parametros_manuales!$G$22*(datos_base!$K$21+IF(parametros_manuales!$H$22="Todos",datos_base!$K$26,0))*parametros_manuales!$H$15)*parametros_manuales!$I$22*parametros_manuales!$J$22</f>
        <v>43481.80070838</v>
      </c>
      <c r="I248" s="9" t="n">
        <f aca="false">(parametros_manuales!$D$22*(datos_base!$K$2+IF(parametros_manuales!$H$22="Todos",datos_base!$K$9,0))*parametros_manuales!$I$95+parametros_manuales!$D$22*(datos_base!$K$18+IF(parametros_manuales!$H$22="Todos",datos_base!$K$23,0))*parametros_manuales!$I$12+parametros_manuales!$E$22*(datos_base!$K$3+IF(parametros_manuales!$H$22="Todos",datos_base!$K$10,0))*parametros_manuales!$I$100+parametros_manuales!$E$22*(datos_base!$K$19+IF(parametros_manuales!$H$22="Todos",datos_base!$K$24,0))*parametros_manuales!$I$13+parametros_manuales!$F$22*(datos_base!$K$4+IF(parametros_manuales!$H$22="Todos",datos_base!$K$11,0))*parametros_manuales!$I$105+parametros_manuales!$F$22*(datos_base!$K$20+IF(parametros_manuales!$H$22="Todos",datos_base!$K$25,0))*parametros_manuales!$I$14+parametros_manuales!$G$22*(datos_base!$K$5+IF(parametros_manuales!$H$22="Todos",datos_base!$K$12,0))*parametros_manuales!$I$110+parametros_manuales!$G$22*(datos_base!$K$21+IF(parametros_manuales!$H$22="Todos",datos_base!$K$26,0))*parametros_manuales!$I$15)*parametros_manuales!$I$22*parametros_manuales!$J$22</f>
        <v>49560.41988228</v>
      </c>
      <c r="J248" s="9" t="n">
        <f aca="false">(parametros_manuales!$D$22*(datos_base!$K$2+IF(parametros_manuales!$H$22="Todos",datos_base!$K$9,0))*parametros_manuales!$J$95+parametros_manuales!$D$22*(datos_base!$K$18+IF(parametros_manuales!$H$22="Todos",datos_base!$K$23,0))*parametros_manuales!$J$12+parametros_manuales!$E$22*(datos_base!$K$3+IF(parametros_manuales!$H$22="Todos",datos_base!$K$10,0))*parametros_manuales!$J$100+parametros_manuales!$E$22*(datos_base!$K$19+IF(parametros_manuales!$H$22="Todos",datos_base!$K$24,0))*parametros_manuales!$J$13+parametros_manuales!$F$22*(datos_base!$K$4+IF(parametros_manuales!$H$22="Todos",datos_base!$K$11,0))*parametros_manuales!$J$105+parametros_manuales!$F$22*(datos_base!$K$20+IF(parametros_manuales!$H$22="Todos",datos_base!$K$25,0))*parametros_manuales!$J$14+parametros_manuales!$G$22*(datos_base!$K$5+IF(parametros_manuales!$H$22="Todos",datos_base!$K$12,0))*parametros_manuales!$J$110+parametros_manuales!$G$22*(datos_base!$K$21+IF(parametros_manuales!$H$22="Todos",datos_base!$K$26,0))*parametros_manuales!$J$15)*parametros_manuales!$I$22*parametros_manuales!$J$22</f>
        <v>49560.41988228</v>
      </c>
      <c r="K248" s="9" t="n">
        <f aca="false">(parametros_manuales!$D$22*(datos_base!$K$2+IF(parametros_manuales!$H$22="Todos",datos_base!$K$9,0))*parametros_manuales!$K$95+parametros_manuales!$D$22*(datos_base!$K$18+IF(parametros_manuales!$H$22="Todos",datos_base!$K$23,0))*parametros_manuales!$K$12+parametros_manuales!$E$22*(datos_base!$K$3+IF(parametros_manuales!$H$22="Todos",datos_base!$K$10,0))*parametros_manuales!$K$100+parametros_manuales!$E$22*(datos_base!$K$19+IF(parametros_manuales!$H$22="Todos",datos_base!$K$24,0))*parametros_manuales!$K$13+parametros_manuales!$F$22*(datos_base!$K$4+IF(parametros_manuales!$H$22="Todos",datos_base!$K$11,0))*parametros_manuales!$K$105+parametros_manuales!$F$22*(datos_base!$K$20+IF(parametros_manuales!$H$22="Todos",datos_base!$K$25,0))*parametros_manuales!$K$14+parametros_manuales!$G$22*(datos_base!$K$5+IF(parametros_manuales!$H$22="Todos",datos_base!$K$12,0))*parametros_manuales!$K$110+parametros_manuales!$G$22*(datos_base!$K$21+IF(parametros_manuales!$H$22="Todos",datos_base!$K$26,0))*parametros_manuales!$K$15)*parametros_manuales!$I$22*parametros_manuales!$J$22</f>
        <v>50374.60553471</v>
      </c>
      <c r="L248" s="9" t="n">
        <f aca="false">(parametros_manuales!$D$22*(datos_base!$K$2+IF(parametros_manuales!$H$22="Todos",datos_base!$K$9,0))*parametros_manuales!$L$95+parametros_manuales!$D$22*(datos_base!$K$18+IF(parametros_manuales!$H$22="Todos",datos_base!$K$23,0))*parametros_manuales!$L$12+parametros_manuales!$E$22*(datos_base!$K$3+IF(parametros_manuales!$H$22="Todos",datos_base!$K$10,0))*parametros_manuales!$L$100+parametros_manuales!$E$22*(datos_base!$K$19+IF(parametros_manuales!$H$22="Todos",datos_base!$K$24,0))*parametros_manuales!$L$13+parametros_manuales!$F$22*(datos_base!$K$4+IF(parametros_manuales!$H$22="Todos",datos_base!$K$11,0))*parametros_manuales!$L$105+parametros_manuales!$F$22*(datos_base!$K$20+IF(parametros_manuales!$H$22="Todos",datos_base!$K$25,0))*parametros_manuales!$L$14+parametros_manuales!$G$22*(datos_base!$K$5+IF(parametros_manuales!$H$22="Todos",datos_base!$K$12,0))*parametros_manuales!$L$110+parametros_manuales!$G$22*(datos_base!$K$21+IF(parametros_manuales!$H$22="Todos",datos_base!$K$26,0))*parametros_manuales!$L$15)*parametros_manuales!$I$22*parametros_manuales!$J$22</f>
        <v>51188.79118714</v>
      </c>
      <c r="M248" s="9" t="n">
        <f aca="false">(parametros_manuales!$D$22*(datos_base!$K$2+IF(parametros_manuales!$H$22="Todos",datos_base!$K$9,0))*parametros_manuales!$M$95+parametros_manuales!$D$22*(datos_base!$K$18+IF(parametros_manuales!$H$22="Todos",datos_base!$K$23,0))*parametros_manuales!$M$12+parametros_manuales!$E$22*(datos_base!$K$3+IF(parametros_manuales!$H$22="Todos",datos_base!$K$10,0))*parametros_manuales!$M$100+parametros_manuales!$E$22*(datos_base!$K$19+IF(parametros_manuales!$H$22="Todos",datos_base!$K$24,0))*parametros_manuales!$M$13+parametros_manuales!$F$22*(datos_base!$K$4+IF(parametros_manuales!$H$22="Todos",datos_base!$K$11,0))*parametros_manuales!$M$105+parametros_manuales!$F$22*(datos_base!$K$20+IF(parametros_manuales!$H$22="Todos",datos_base!$K$25,0))*parametros_manuales!$M$14+parametros_manuales!$G$22*(datos_base!$K$5+IF(parametros_manuales!$H$22="Todos",datos_base!$K$12,0))*parametros_manuales!$M$110+parametros_manuales!$G$22*(datos_base!$K$21+IF(parametros_manuales!$H$22="Todos",datos_base!$K$26,0))*parametros_manuales!$M$15)*parametros_manuales!$I$22*parametros_manuales!$J$22</f>
        <v>51204.22478714</v>
      </c>
      <c r="N248" s="9" t="n">
        <f aca="false">SUM(B248:M248)</f>
        <v>568850.088746</v>
      </c>
      <c r="O248" s="9" t="n">
        <f aca="false">MAX(B248:M248)</f>
        <v>51204.22478714</v>
      </c>
      <c r="P248" s="44" t="n">
        <f aca="false">O248/(parametros_manuales!$B$7)</f>
        <v>341.361498580933</v>
      </c>
      <c r="Q248" s="8" t="str">
        <f aca="false">IF(O248=0,"-",INDEX($B$244:$M$244,MATCH(O248,B248:M248,0)))</f>
        <v>Dic</v>
      </c>
    </row>
    <row r="249" customFormat="false" ht="14.25" hidden="false" customHeight="true" outlineLevel="0" collapsed="false">
      <c r="A249" s="8" t="str">
        <f aca="false">parametros_manuales!$B$23</f>
        <v>Preparación de cuello</v>
      </c>
      <c r="B249" s="9" t="n">
        <f aca="false">(parametros_manuales!$D$23*(datos_base!$K$2+IF(parametros_manuales!$H$23="Todos",datos_base!$K$9,0))*parametros_manuales!$B$95+parametros_manuales!$D$23*(datos_base!$K$18+IF(parametros_manuales!$H$23="Todos",datos_base!$K$23,0))*parametros_manuales!$B$12+parametros_manuales!$E$23*(datos_base!$K$3+IF(parametros_manuales!$H$23="Todos",datos_base!$K$10,0))*parametros_manuales!$B$100+parametros_manuales!$E$23*(datos_base!$K$19+IF(parametros_manuales!$H$23="Todos",datos_base!$K$24,0))*parametros_manuales!$B$13+parametros_manuales!$F$23*(datos_base!$K$4+IF(parametros_manuales!$H$23="Todos",datos_base!$K$11,0))*parametros_manuales!$B$105+parametros_manuales!$F$23*(datos_base!$K$20+IF(parametros_manuales!$H$23="Todos",datos_base!$K$25,0))*parametros_manuales!$B$14+parametros_manuales!$G$23*(datos_base!$K$5+IF(parametros_manuales!$H$23="Todos",datos_base!$K$12,0))*parametros_manuales!$B$110+parametros_manuales!$G$23*(datos_base!$K$21+IF(parametros_manuales!$H$23="Todos",datos_base!$K$26,0))*parametros_manuales!$B$15)*parametros_manuales!$I$23*parametros_manuales!$J$23</f>
        <v>25600.18319357</v>
      </c>
      <c r="C249" s="9" t="n">
        <f aca="false">(parametros_manuales!$D$23*(datos_base!$K$2+IF(parametros_manuales!$H$23="Todos",datos_base!$K$9,0))*parametros_manuales!$C$95+parametros_manuales!$D$23*(datos_base!$K$18+IF(parametros_manuales!$H$23="Todos",datos_base!$K$23,0))*parametros_manuales!$C$12+parametros_manuales!$E$23*(datos_base!$K$3+IF(parametros_manuales!$H$23="Todos",datos_base!$K$10,0))*parametros_manuales!$C$100+parametros_manuales!$E$23*(datos_base!$K$19+IF(parametros_manuales!$H$23="Todos",datos_base!$K$24,0))*parametros_manuales!$C$13+parametros_manuales!$F$23*(datos_base!$K$4+IF(parametros_manuales!$H$23="Todos",datos_base!$K$11,0))*parametros_manuales!$C$105+parametros_manuales!$F$23*(datos_base!$K$20+IF(parametros_manuales!$H$23="Todos",datos_base!$K$25,0))*parametros_manuales!$C$14+parametros_manuales!$G$23*(datos_base!$K$5+IF(parametros_manuales!$H$23="Todos",datos_base!$K$12,0))*parametros_manuales!$C$110+parametros_manuales!$G$23*(datos_base!$K$21+IF(parametros_manuales!$H$23="Todos",datos_base!$K$26,0))*parametros_manuales!$C$15)*parametros_manuales!$I$23*parametros_manuales!$J$23</f>
        <v>24780.20994114</v>
      </c>
      <c r="D249" s="9" t="n">
        <f aca="false">(parametros_manuales!$D$23*(datos_base!$K$2+IF(parametros_manuales!$H$23="Todos",datos_base!$K$9,0))*parametros_manuales!$D$95+parametros_manuales!$D$23*(datos_base!$K$18+IF(parametros_manuales!$H$23="Todos",datos_base!$K$23,0))*parametros_manuales!$D$12+parametros_manuales!$E$23*(datos_base!$K$3+IF(parametros_manuales!$H$23="Todos",datos_base!$K$10,0))*parametros_manuales!$D$100+parametros_manuales!$E$23*(datos_base!$K$19+IF(parametros_manuales!$H$23="Todos",datos_base!$K$24,0))*parametros_manuales!$D$13+parametros_manuales!$F$23*(datos_base!$K$4+IF(parametros_manuales!$H$23="Todos",datos_base!$K$11,0))*parametros_manuales!$D$105+parametros_manuales!$F$23*(datos_base!$K$20+IF(parametros_manuales!$H$23="Todos",datos_base!$K$25,0))*parametros_manuales!$D$14+parametros_manuales!$G$23*(datos_base!$K$5+IF(parametros_manuales!$H$23="Todos",datos_base!$K$12,0))*parametros_manuales!$D$110+parametros_manuales!$G$23*(datos_base!$K$21+IF(parametros_manuales!$H$23="Todos",datos_base!$K$26,0))*parametros_manuales!$D$15)*parametros_manuales!$I$23*parametros_manuales!$J$23</f>
        <v>23163.025576055</v>
      </c>
      <c r="E249" s="9" t="n">
        <f aca="false">(parametros_manuales!$D$23*(datos_base!$K$2+IF(parametros_manuales!$H$23="Todos",datos_base!$K$9,0))*parametros_manuales!$E$95+parametros_manuales!$D$23*(datos_base!$K$18+IF(parametros_manuales!$H$23="Todos",datos_base!$K$23,0))*parametros_manuales!$E$12+parametros_manuales!$E$23*(datos_base!$K$3+IF(parametros_manuales!$H$23="Todos",datos_base!$K$10,0))*parametros_manuales!$E$100+parametros_manuales!$E$23*(datos_base!$K$19+IF(parametros_manuales!$H$23="Todos",datos_base!$K$24,0))*parametros_manuales!$E$13+parametros_manuales!$F$23*(datos_base!$K$4+IF(parametros_manuales!$H$23="Todos",datos_base!$K$11,0))*parametros_manuales!$E$105+parametros_manuales!$F$23*(datos_base!$K$20+IF(parametros_manuales!$H$23="Todos",datos_base!$K$25,0))*parametros_manuales!$E$14+parametros_manuales!$G$23*(datos_base!$K$5+IF(parametros_manuales!$H$23="Todos",datos_base!$K$12,0))*parametros_manuales!$E$110+parametros_manuales!$G$23*(datos_base!$K$21+IF(parametros_manuales!$H$23="Todos",datos_base!$K$26,0))*parametros_manuales!$E$15)*parametros_manuales!$I$23*parametros_manuales!$J$23</f>
        <v>22149.922380405</v>
      </c>
      <c r="F249" s="9" t="n">
        <f aca="false">(parametros_manuales!$D$23*(datos_base!$K$2+IF(parametros_manuales!$H$23="Todos",datos_base!$K$9,0))*parametros_manuales!$F$95+parametros_manuales!$D$23*(datos_base!$K$18+IF(parametros_manuales!$H$23="Todos",datos_base!$K$23,0))*parametros_manuales!$F$12+parametros_manuales!$E$23*(datos_base!$K$3+IF(parametros_manuales!$H$23="Todos",datos_base!$K$10,0))*parametros_manuales!$F$100+parametros_manuales!$E$23*(datos_base!$K$19+IF(parametros_manuales!$H$23="Todos",datos_base!$K$24,0))*parametros_manuales!$F$13+parametros_manuales!$F$23*(datos_base!$K$4+IF(parametros_manuales!$H$23="Todos",datos_base!$K$11,0))*parametros_manuales!$F$105+parametros_manuales!$F$23*(datos_base!$K$20+IF(parametros_manuales!$H$23="Todos",datos_base!$K$25,0))*parametros_manuales!$F$14+parametros_manuales!$G$23*(datos_base!$K$5+IF(parametros_manuales!$H$23="Todos",datos_base!$K$12,0))*parametros_manuales!$F$110+parametros_manuales!$G$23*(datos_base!$K$21+IF(parametros_manuales!$H$23="Todos",datos_base!$K$26,0))*parametros_manuales!$F$15)*parametros_manuales!$I$23*parametros_manuales!$J$23</f>
        <v>20727.79715854</v>
      </c>
      <c r="G249" s="9" t="n">
        <f aca="false">(parametros_manuales!$D$23*(datos_base!$K$2+IF(parametros_manuales!$H$23="Todos",datos_base!$K$9,0))*parametros_manuales!$G$95+parametros_manuales!$D$23*(datos_base!$K$18+IF(parametros_manuales!$H$23="Todos",datos_base!$K$23,0))*parametros_manuales!$G$12+parametros_manuales!$E$23*(datos_base!$K$3+IF(parametros_manuales!$H$23="Todos",datos_base!$K$10,0))*parametros_manuales!$G$100+parametros_manuales!$E$23*(datos_base!$K$19+IF(parametros_manuales!$H$23="Todos",datos_base!$K$24,0))*parametros_manuales!$G$13+parametros_manuales!$F$23*(datos_base!$K$4+IF(parametros_manuales!$H$23="Todos",datos_base!$K$11,0))*parametros_manuales!$G$105+parametros_manuales!$F$23*(datos_base!$K$20+IF(parametros_manuales!$H$23="Todos",datos_base!$K$25,0))*parametros_manuales!$G$14+parametros_manuales!$G$23*(datos_base!$K$5+IF(parametros_manuales!$H$23="Todos",datos_base!$K$12,0))*parametros_manuales!$G$110+parametros_manuales!$G$23*(datos_base!$K$21+IF(parametros_manuales!$H$23="Todos",datos_base!$K$26,0))*parametros_manuales!$G$15)*parametros_manuales!$I$23*parametros_manuales!$J$23</f>
        <v>20318.775132325</v>
      </c>
      <c r="H249" s="9" t="n">
        <f aca="false">(parametros_manuales!$D$23*(datos_base!$K$2+IF(parametros_manuales!$H$23="Todos",datos_base!$K$9,0))*parametros_manuales!$H$95+parametros_manuales!$D$23*(datos_base!$K$18+IF(parametros_manuales!$H$23="Todos",datos_base!$K$23,0))*parametros_manuales!$H$12+parametros_manuales!$E$23*(datos_base!$K$3+IF(parametros_manuales!$H$23="Todos",datos_base!$K$10,0))*parametros_manuales!$H$100+parametros_manuales!$E$23*(datos_base!$K$19+IF(parametros_manuales!$H$23="Todos",datos_base!$K$24,0))*parametros_manuales!$H$13+parametros_manuales!$F$23*(datos_base!$K$4+IF(parametros_manuales!$H$23="Todos",datos_base!$K$11,0))*parametros_manuales!$H$105+parametros_manuales!$F$23*(datos_base!$K$20+IF(parametros_manuales!$H$23="Todos",datos_base!$K$25,0))*parametros_manuales!$H$14+parametros_manuales!$G$23*(datos_base!$K$5+IF(parametros_manuales!$H$23="Todos",datos_base!$K$12,0))*parametros_manuales!$H$110+parametros_manuales!$G$23*(datos_base!$K$21+IF(parametros_manuales!$H$23="Todos",datos_base!$K$26,0))*parametros_manuales!$H$15)*parametros_manuales!$I$23*parametros_manuales!$J$23</f>
        <v>21740.90035419</v>
      </c>
      <c r="I249" s="9" t="n">
        <f aca="false">(parametros_manuales!$D$23*(datos_base!$K$2+IF(parametros_manuales!$H$23="Todos",datos_base!$K$9,0))*parametros_manuales!$I$95+parametros_manuales!$D$23*(datos_base!$K$18+IF(parametros_manuales!$H$23="Todos",datos_base!$K$23,0))*parametros_manuales!$I$12+parametros_manuales!$E$23*(datos_base!$K$3+IF(parametros_manuales!$H$23="Todos",datos_base!$K$10,0))*parametros_manuales!$I$100+parametros_manuales!$E$23*(datos_base!$K$19+IF(parametros_manuales!$H$23="Todos",datos_base!$K$24,0))*parametros_manuales!$I$13+parametros_manuales!$F$23*(datos_base!$K$4+IF(parametros_manuales!$H$23="Todos",datos_base!$K$11,0))*parametros_manuales!$I$105+parametros_manuales!$F$23*(datos_base!$K$20+IF(parametros_manuales!$H$23="Todos",datos_base!$K$25,0))*parametros_manuales!$I$14+parametros_manuales!$G$23*(datos_base!$K$5+IF(parametros_manuales!$H$23="Todos",datos_base!$K$12,0))*parametros_manuales!$I$110+parametros_manuales!$G$23*(datos_base!$K$21+IF(parametros_manuales!$H$23="Todos",datos_base!$K$26,0))*parametros_manuales!$I$15)*parametros_manuales!$I$23*parametros_manuales!$J$23</f>
        <v>24780.20994114</v>
      </c>
      <c r="J249" s="9" t="n">
        <f aca="false">(parametros_manuales!$D$23*(datos_base!$K$2+IF(parametros_manuales!$H$23="Todos",datos_base!$K$9,0))*parametros_manuales!$J$95+parametros_manuales!$D$23*(datos_base!$K$18+IF(parametros_manuales!$H$23="Todos",datos_base!$K$23,0))*parametros_manuales!$J$12+parametros_manuales!$E$23*(datos_base!$K$3+IF(parametros_manuales!$H$23="Todos",datos_base!$K$10,0))*parametros_manuales!$J$100+parametros_manuales!$E$23*(datos_base!$K$19+IF(parametros_manuales!$H$23="Todos",datos_base!$K$24,0))*parametros_manuales!$J$13+parametros_manuales!$F$23*(datos_base!$K$4+IF(parametros_manuales!$H$23="Todos",datos_base!$K$11,0))*parametros_manuales!$J$105+parametros_manuales!$F$23*(datos_base!$K$20+IF(parametros_manuales!$H$23="Todos",datos_base!$K$25,0))*parametros_manuales!$J$14+parametros_manuales!$G$23*(datos_base!$K$5+IF(parametros_manuales!$H$23="Todos",datos_base!$K$12,0))*parametros_manuales!$J$110+parametros_manuales!$G$23*(datos_base!$K$21+IF(parametros_manuales!$H$23="Todos",datos_base!$K$26,0))*parametros_manuales!$J$15)*parametros_manuales!$I$23*parametros_manuales!$J$23</f>
        <v>24780.20994114</v>
      </c>
      <c r="K249" s="9" t="n">
        <f aca="false">(parametros_manuales!$D$23*(datos_base!$K$2+IF(parametros_manuales!$H$23="Todos",datos_base!$K$9,0))*parametros_manuales!$K$95+parametros_manuales!$D$23*(datos_base!$K$18+IF(parametros_manuales!$H$23="Todos",datos_base!$K$23,0))*parametros_manuales!$K$12+parametros_manuales!$E$23*(datos_base!$K$3+IF(parametros_manuales!$H$23="Todos",datos_base!$K$10,0))*parametros_manuales!$K$100+parametros_manuales!$E$23*(datos_base!$K$19+IF(parametros_manuales!$H$23="Todos",datos_base!$K$24,0))*parametros_manuales!$K$13+parametros_manuales!$F$23*(datos_base!$K$4+IF(parametros_manuales!$H$23="Todos",datos_base!$K$11,0))*parametros_manuales!$K$105+parametros_manuales!$F$23*(datos_base!$K$20+IF(parametros_manuales!$H$23="Todos",datos_base!$K$25,0))*parametros_manuales!$K$14+parametros_manuales!$G$23*(datos_base!$K$5+IF(parametros_manuales!$H$23="Todos",datos_base!$K$12,0))*parametros_manuales!$K$110+parametros_manuales!$G$23*(datos_base!$K$21+IF(parametros_manuales!$H$23="Todos",datos_base!$K$26,0))*parametros_manuales!$K$15)*parametros_manuales!$I$23*parametros_manuales!$J$23</f>
        <v>25187.302767355</v>
      </c>
      <c r="L249" s="9" t="n">
        <f aca="false">(parametros_manuales!$D$23*(datos_base!$K$2+IF(parametros_manuales!$H$23="Todos",datos_base!$K$9,0))*parametros_manuales!$L$95+parametros_manuales!$D$23*(datos_base!$K$18+IF(parametros_manuales!$H$23="Todos",datos_base!$K$23,0))*parametros_manuales!$L$12+parametros_manuales!$E$23*(datos_base!$K$3+IF(parametros_manuales!$H$23="Todos",datos_base!$K$10,0))*parametros_manuales!$L$100+parametros_manuales!$E$23*(datos_base!$K$19+IF(parametros_manuales!$H$23="Todos",datos_base!$K$24,0))*parametros_manuales!$L$13+parametros_manuales!$F$23*(datos_base!$K$4+IF(parametros_manuales!$H$23="Todos",datos_base!$K$11,0))*parametros_manuales!$L$105+parametros_manuales!$F$23*(datos_base!$K$20+IF(parametros_manuales!$H$23="Todos",datos_base!$K$25,0))*parametros_manuales!$L$14+parametros_manuales!$G$23*(datos_base!$K$5+IF(parametros_manuales!$H$23="Todos",datos_base!$K$12,0))*parametros_manuales!$L$110+parametros_manuales!$G$23*(datos_base!$K$21+IF(parametros_manuales!$H$23="Todos",datos_base!$K$26,0))*parametros_manuales!$L$15)*parametros_manuales!$I$23*parametros_manuales!$J$23</f>
        <v>25594.39559357</v>
      </c>
      <c r="M249" s="9" t="n">
        <f aca="false">(parametros_manuales!$D$23*(datos_base!$K$2+IF(parametros_manuales!$H$23="Todos",datos_base!$K$9,0))*parametros_manuales!$M$95+parametros_manuales!$D$23*(datos_base!$K$18+IF(parametros_manuales!$H$23="Todos",datos_base!$K$23,0))*parametros_manuales!$M$12+parametros_manuales!$E$23*(datos_base!$K$3+IF(parametros_manuales!$H$23="Todos",datos_base!$K$10,0))*parametros_manuales!$M$100+parametros_manuales!$E$23*(datos_base!$K$19+IF(parametros_manuales!$H$23="Todos",datos_base!$K$24,0))*parametros_manuales!$M$13+parametros_manuales!$F$23*(datos_base!$K$4+IF(parametros_manuales!$H$23="Todos",datos_base!$K$11,0))*parametros_manuales!$M$105+parametros_manuales!$F$23*(datos_base!$K$20+IF(parametros_manuales!$H$23="Todos",datos_base!$K$25,0))*parametros_manuales!$M$14+parametros_manuales!$G$23*(datos_base!$K$5+IF(parametros_manuales!$H$23="Todos",datos_base!$K$12,0))*parametros_manuales!$M$110+parametros_manuales!$G$23*(datos_base!$K$21+IF(parametros_manuales!$H$23="Todos",datos_base!$K$26,0))*parametros_manuales!$M$15)*parametros_manuales!$I$23*parametros_manuales!$J$23</f>
        <v>25602.11239357</v>
      </c>
      <c r="N249" s="9" t="n">
        <f aca="false">SUM(B249:M249)</f>
        <v>284425.044373</v>
      </c>
      <c r="O249" s="9" t="n">
        <f aca="false">MAX(B249:M249)</f>
        <v>25602.11239357</v>
      </c>
      <c r="P249" s="44" t="n">
        <f aca="false">O249/(parametros_manuales!$B$7)</f>
        <v>170.680749290467</v>
      </c>
      <c r="Q249" s="8" t="str">
        <f aca="false">IF(O249=0,"-",INDEX($B$244:$M$244,MATCH(O249,B249:M249,0)))</f>
        <v>Dic</v>
      </c>
    </row>
    <row r="250" customFormat="false" ht="14.25" hidden="false" customHeight="true" outlineLevel="0" collapsed="false">
      <c r="A250" s="8" t="str">
        <f aca="false">parametros_manuales!$B$24</f>
        <v>Numerado de cúpula</v>
      </c>
      <c r="B250" s="9" t="n">
        <f aca="false">(parametros_manuales!$D$24*(datos_base!$K$2+IF(parametros_manuales!$H$24="Todos",datos_base!$K$9,0))*parametros_manuales!$B$95+parametros_manuales!$D$24*(datos_base!$K$18+IF(parametros_manuales!$H$24="Todos",datos_base!$K$23,0))*parametros_manuales!$B$12+parametros_manuales!$E$24*(datos_base!$K$3+IF(parametros_manuales!$H$24="Todos",datos_base!$K$10,0))*parametros_manuales!$B$100+parametros_manuales!$E$24*(datos_base!$K$19+IF(parametros_manuales!$H$24="Todos",datos_base!$K$24,0))*parametros_manuales!$B$13+parametros_manuales!$F$24*(datos_base!$K$4+IF(parametros_manuales!$H$24="Todos",datos_base!$K$11,0))*parametros_manuales!$B$105+parametros_manuales!$F$24*(datos_base!$K$20+IF(parametros_manuales!$H$24="Todos",datos_base!$K$25,0))*parametros_manuales!$B$14+parametros_manuales!$G$24*(datos_base!$K$5+IF(parametros_manuales!$H$24="Todos",datos_base!$K$12,0))*parametros_manuales!$B$110+parametros_manuales!$G$24*(datos_base!$K$21+IF(parametros_manuales!$H$24="Todos",datos_base!$K$26,0))*parametros_manuales!$B$15)*parametros_manuales!$I$24*parametros_manuales!$J$24</f>
        <v>25600.18319357</v>
      </c>
      <c r="C250" s="9" t="n">
        <f aca="false">(parametros_manuales!$D$24*(datos_base!$K$2+IF(parametros_manuales!$H$24="Todos",datos_base!$K$9,0))*parametros_manuales!$C$95+parametros_manuales!$D$24*(datos_base!$K$18+IF(parametros_manuales!$H$24="Todos",datos_base!$K$23,0))*parametros_manuales!$C$12+parametros_manuales!$E$24*(datos_base!$K$3+IF(parametros_manuales!$H$24="Todos",datos_base!$K$10,0))*parametros_manuales!$C$100+parametros_manuales!$E$24*(datos_base!$K$19+IF(parametros_manuales!$H$24="Todos",datos_base!$K$24,0))*parametros_manuales!$C$13+parametros_manuales!$F$24*(datos_base!$K$4+IF(parametros_manuales!$H$24="Todos",datos_base!$K$11,0))*parametros_manuales!$C$105+parametros_manuales!$F$24*(datos_base!$K$20+IF(parametros_manuales!$H$24="Todos",datos_base!$K$25,0))*parametros_manuales!$C$14+parametros_manuales!$G$24*(datos_base!$K$5+IF(parametros_manuales!$H$24="Todos",datos_base!$K$12,0))*parametros_manuales!$C$110+parametros_manuales!$G$24*(datos_base!$K$21+IF(parametros_manuales!$H$24="Todos",datos_base!$K$26,0))*parametros_manuales!$C$15)*parametros_manuales!$I$24*parametros_manuales!$J$24</f>
        <v>24780.20994114</v>
      </c>
      <c r="D250" s="9" t="n">
        <f aca="false">(parametros_manuales!$D$24*(datos_base!$K$2+IF(parametros_manuales!$H$24="Todos",datos_base!$K$9,0))*parametros_manuales!$D$95+parametros_manuales!$D$24*(datos_base!$K$18+IF(parametros_manuales!$H$24="Todos",datos_base!$K$23,0))*parametros_manuales!$D$12+parametros_manuales!$E$24*(datos_base!$K$3+IF(parametros_manuales!$H$24="Todos",datos_base!$K$10,0))*parametros_manuales!$D$100+parametros_manuales!$E$24*(datos_base!$K$19+IF(parametros_manuales!$H$24="Todos",datos_base!$K$24,0))*parametros_manuales!$D$13+parametros_manuales!$F$24*(datos_base!$K$4+IF(parametros_manuales!$H$24="Todos",datos_base!$K$11,0))*parametros_manuales!$D$105+parametros_manuales!$F$24*(datos_base!$K$20+IF(parametros_manuales!$H$24="Todos",datos_base!$K$25,0))*parametros_manuales!$D$14+parametros_manuales!$G$24*(datos_base!$K$5+IF(parametros_manuales!$H$24="Todos",datos_base!$K$12,0))*parametros_manuales!$D$110+parametros_manuales!$G$24*(datos_base!$K$21+IF(parametros_manuales!$H$24="Todos",datos_base!$K$26,0))*parametros_manuales!$D$15)*parametros_manuales!$I$24*parametros_manuales!$J$24</f>
        <v>23163.025576055</v>
      </c>
      <c r="E250" s="9" t="n">
        <f aca="false">(parametros_manuales!$D$24*(datos_base!$K$2+IF(parametros_manuales!$H$24="Todos",datos_base!$K$9,0))*parametros_manuales!$E$95+parametros_manuales!$D$24*(datos_base!$K$18+IF(parametros_manuales!$H$24="Todos",datos_base!$K$23,0))*parametros_manuales!$E$12+parametros_manuales!$E$24*(datos_base!$K$3+IF(parametros_manuales!$H$24="Todos",datos_base!$K$10,0))*parametros_manuales!$E$100+parametros_manuales!$E$24*(datos_base!$K$19+IF(parametros_manuales!$H$24="Todos",datos_base!$K$24,0))*parametros_manuales!$E$13+parametros_manuales!$F$24*(datos_base!$K$4+IF(parametros_manuales!$H$24="Todos",datos_base!$K$11,0))*parametros_manuales!$E$105+parametros_manuales!$F$24*(datos_base!$K$20+IF(parametros_manuales!$H$24="Todos",datos_base!$K$25,0))*parametros_manuales!$E$14+parametros_manuales!$G$24*(datos_base!$K$5+IF(parametros_manuales!$H$24="Todos",datos_base!$K$12,0))*parametros_manuales!$E$110+parametros_manuales!$G$24*(datos_base!$K$21+IF(parametros_manuales!$H$24="Todos",datos_base!$K$26,0))*parametros_manuales!$E$15)*parametros_manuales!$I$24*parametros_manuales!$J$24</f>
        <v>22149.922380405</v>
      </c>
      <c r="F250" s="9" t="n">
        <f aca="false">(parametros_manuales!$D$24*(datos_base!$K$2+IF(parametros_manuales!$H$24="Todos",datos_base!$K$9,0))*parametros_manuales!$F$95+parametros_manuales!$D$24*(datos_base!$K$18+IF(parametros_manuales!$H$24="Todos",datos_base!$K$23,0))*parametros_manuales!$F$12+parametros_manuales!$E$24*(datos_base!$K$3+IF(parametros_manuales!$H$24="Todos",datos_base!$K$10,0))*parametros_manuales!$F$100+parametros_manuales!$E$24*(datos_base!$K$19+IF(parametros_manuales!$H$24="Todos",datos_base!$K$24,0))*parametros_manuales!$F$13+parametros_manuales!$F$24*(datos_base!$K$4+IF(parametros_manuales!$H$24="Todos",datos_base!$K$11,0))*parametros_manuales!$F$105+parametros_manuales!$F$24*(datos_base!$K$20+IF(parametros_manuales!$H$24="Todos",datos_base!$K$25,0))*parametros_manuales!$F$14+parametros_manuales!$G$24*(datos_base!$K$5+IF(parametros_manuales!$H$24="Todos",datos_base!$K$12,0))*parametros_manuales!$F$110+parametros_manuales!$G$24*(datos_base!$K$21+IF(parametros_manuales!$H$24="Todos",datos_base!$K$26,0))*parametros_manuales!$F$15)*parametros_manuales!$I$24*parametros_manuales!$J$24</f>
        <v>20727.79715854</v>
      </c>
      <c r="G250" s="9" t="n">
        <f aca="false">(parametros_manuales!$D$24*(datos_base!$K$2+IF(parametros_manuales!$H$24="Todos",datos_base!$K$9,0))*parametros_manuales!$G$95+parametros_manuales!$D$24*(datos_base!$K$18+IF(parametros_manuales!$H$24="Todos",datos_base!$K$23,0))*parametros_manuales!$G$12+parametros_manuales!$E$24*(datos_base!$K$3+IF(parametros_manuales!$H$24="Todos",datos_base!$K$10,0))*parametros_manuales!$G$100+parametros_manuales!$E$24*(datos_base!$K$19+IF(parametros_manuales!$H$24="Todos",datos_base!$K$24,0))*parametros_manuales!$G$13+parametros_manuales!$F$24*(datos_base!$K$4+IF(parametros_manuales!$H$24="Todos",datos_base!$K$11,0))*parametros_manuales!$G$105+parametros_manuales!$F$24*(datos_base!$K$20+IF(parametros_manuales!$H$24="Todos",datos_base!$K$25,0))*parametros_manuales!$G$14+parametros_manuales!$G$24*(datos_base!$K$5+IF(parametros_manuales!$H$24="Todos",datos_base!$K$12,0))*parametros_manuales!$G$110+parametros_manuales!$G$24*(datos_base!$K$21+IF(parametros_manuales!$H$24="Todos",datos_base!$K$26,0))*parametros_manuales!$G$15)*parametros_manuales!$I$24*parametros_manuales!$J$24</f>
        <v>20318.775132325</v>
      </c>
      <c r="H250" s="9" t="n">
        <f aca="false">(parametros_manuales!$D$24*(datos_base!$K$2+IF(parametros_manuales!$H$24="Todos",datos_base!$K$9,0))*parametros_manuales!$H$95+parametros_manuales!$D$24*(datos_base!$K$18+IF(parametros_manuales!$H$24="Todos",datos_base!$K$23,0))*parametros_manuales!$H$12+parametros_manuales!$E$24*(datos_base!$K$3+IF(parametros_manuales!$H$24="Todos",datos_base!$K$10,0))*parametros_manuales!$H$100+parametros_manuales!$E$24*(datos_base!$K$19+IF(parametros_manuales!$H$24="Todos",datos_base!$K$24,0))*parametros_manuales!$H$13+parametros_manuales!$F$24*(datos_base!$K$4+IF(parametros_manuales!$H$24="Todos",datos_base!$K$11,0))*parametros_manuales!$H$105+parametros_manuales!$F$24*(datos_base!$K$20+IF(parametros_manuales!$H$24="Todos",datos_base!$K$25,0))*parametros_manuales!$H$14+parametros_manuales!$G$24*(datos_base!$K$5+IF(parametros_manuales!$H$24="Todos",datos_base!$K$12,0))*parametros_manuales!$H$110+parametros_manuales!$G$24*(datos_base!$K$21+IF(parametros_manuales!$H$24="Todos",datos_base!$K$26,0))*parametros_manuales!$H$15)*parametros_manuales!$I$24*parametros_manuales!$J$24</f>
        <v>21740.90035419</v>
      </c>
      <c r="I250" s="9" t="n">
        <f aca="false">(parametros_manuales!$D$24*(datos_base!$K$2+IF(parametros_manuales!$H$24="Todos",datos_base!$K$9,0))*parametros_manuales!$I$95+parametros_manuales!$D$24*(datos_base!$K$18+IF(parametros_manuales!$H$24="Todos",datos_base!$K$23,0))*parametros_manuales!$I$12+parametros_manuales!$E$24*(datos_base!$K$3+IF(parametros_manuales!$H$24="Todos",datos_base!$K$10,0))*parametros_manuales!$I$100+parametros_manuales!$E$24*(datos_base!$K$19+IF(parametros_manuales!$H$24="Todos",datos_base!$K$24,0))*parametros_manuales!$I$13+parametros_manuales!$F$24*(datos_base!$K$4+IF(parametros_manuales!$H$24="Todos",datos_base!$K$11,0))*parametros_manuales!$I$105+parametros_manuales!$F$24*(datos_base!$K$20+IF(parametros_manuales!$H$24="Todos",datos_base!$K$25,0))*parametros_manuales!$I$14+parametros_manuales!$G$24*(datos_base!$K$5+IF(parametros_manuales!$H$24="Todos",datos_base!$K$12,0))*parametros_manuales!$I$110+parametros_manuales!$G$24*(datos_base!$K$21+IF(parametros_manuales!$H$24="Todos",datos_base!$K$26,0))*parametros_manuales!$I$15)*parametros_manuales!$I$24*parametros_manuales!$J$24</f>
        <v>24780.20994114</v>
      </c>
      <c r="J250" s="9" t="n">
        <f aca="false">(parametros_manuales!$D$24*(datos_base!$K$2+IF(parametros_manuales!$H$24="Todos",datos_base!$K$9,0))*parametros_manuales!$J$95+parametros_manuales!$D$24*(datos_base!$K$18+IF(parametros_manuales!$H$24="Todos",datos_base!$K$23,0))*parametros_manuales!$J$12+parametros_manuales!$E$24*(datos_base!$K$3+IF(parametros_manuales!$H$24="Todos",datos_base!$K$10,0))*parametros_manuales!$J$100+parametros_manuales!$E$24*(datos_base!$K$19+IF(parametros_manuales!$H$24="Todos",datos_base!$K$24,0))*parametros_manuales!$J$13+parametros_manuales!$F$24*(datos_base!$K$4+IF(parametros_manuales!$H$24="Todos",datos_base!$K$11,0))*parametros_manuales!$J$105+parametros_manuales!$F$24*(datos_base!$K$20+IF(parametros_manuales!$H$24="Todos",datos_base!$K$25,0))*parametros_manuales!$J$14+parametros_manuales!$G$24*(datos_base!$K$5+IF(parametros_manuales!$H$24="Todos",datos_base!$K$12,0))*parametros_manuales!$J$110+parametros_manuales!$G$24*(datos_base!$K$21+IF(parametros_manuales!$H$24="Todos",datos_base!$K$26,0))*parametros_manuales!$J$15)*parametros_manuales!$I$24*parametros_manuales!$J$24</f>
        <v>24780.20994114</v>
      </c>
      <c r="K250" s="9" t="n">
        <f aca="false">(parametros_manuales!$D$24*(datos_base!$K$2+IF(parametros_manuales!$H$24="Todos",datos_base!$K$9,0))*parametros_manuales!$K$95+parametros_manuales!$D$24*(datos_base!$K$18+IF(parametros_manuales!$H$24="Todos",datos_base!$K$23,0))*parametros_manuales!$K$12+parametros_manuales!$E$24*(datos_base!$K$3+IF(parametros_manuales!$H$24="Todos",datos_base!$K$10,0))*parametros_manuales!$K$100+parametros_manuales!$E$24*(datos_base!$K$19+IF(parametros_manuales!$H$24="Todos",datos_base!$K$24,0))*parametros_manuales!$K$13+parametros_manuales!$F$24*(datos_base!$K$4+IF(parametros_manuales!$H$24="Todos",datos_base!$K$11,0))*parametros_manuales!$K$105+parametros_manuales!$F$24*(datos_base!$K$20+IF(parametros_manuales!$H$24="Todos",datos_base!$K$25,0))*parametros_manuales!$K$14+parametros_manuales!$G$24*(datos_base!$K$5+IF(parametros_manuales!$H$24="Todos",datos_base!$K$12,0))*parametros_manuales!$K$110+parametros_manuales!$G$24*(datos_base!$K$21+IF(parametros_manuales!$H$24="Todos",datos_base!$K$26,0))*parametros_manuales!$K$15)*parametros_manuales!$I$24*parametros_manuales!$J$24</f>
        <v>25187.302767355</v>
      </c>
      <c r="L250" s="9" t="n">
        <f aca="false">(parametros_manuales!$D$24*(datos_base!$K$2+IF(parametros_manuales!$H$24="Todos",datos_base!$K$9,0))*parametros_manuales!$L$95+parametros_manuales!$D$24*(datos_base!$K$18+IF(parametros_manuales!$H$24="Todos",datos_base!$K$23,0))*parametros_manuales!$L$12+parametros_manuales!$E$24*(datos_base!$K$3+IF(parametros_manuales!$H$24="Todos",datos_base!$K$10,0))*parametros_manuales!$L$100+parametros_manuales!$E$24*(datos_base!$K$19+IF(parametros_manuales!$H$24="Todos",datos_base!$K$24,0))*parametros_manuales!$L$13+parametros_manuales!$F$24*(datos_base!$K$4+IF(parametros_manuales!$H$24="Todos",datos_base!$K$11,0))*parametros_manuales!$L$105+parametros_manuales!$F$24*(datos_base!$K$20+IF(parametros_manuales!$H$24="Todos",datos_base!$K$25,0))*parametros_manuales!$L$14+parametros_manuales!$G$24*(datos_base!$K$5+IF(parametros_manuales!$H$24="Todos",datos_base!$K$12,0))*parametros_manuales!$L$110+parametros_manuales!$G$24*(datos_base!$K$21+IF(parametros_manuales!$H$24="Todos",datos_base!$K$26,0))*parametros_manuales!$L$15)*parametros_manuales!$I$24*parametros_manuales!$J$24</f>
        <v>25594.39559357</v>
      </c>
      <c r="M250" s="9" t="n">
        <f aca="false">(parametros_manuales!$D$24*(datos_base!$K$2+IF(parametros_manuales!$H$24="Todos",datos_base!$K$9,0))*parametros_manuales!$M$95+parametros_manuales!$D$24*(datos_base!$K$18+IF(parametros_manuales!$H$24="Todos",datos_base!$K$23,0))*parametros_manuales!$M$12+parametros_manuales!$E$24*(datos_base!$K$3+IF(parametros_manuales!$H$24="Todos",datos_base!$K$10,0))*parametros_manuales!$M$100+parametros_manuales!$E$24*(datos_base!$K$19+IF(parametros_manuales!$H$24="Todos",datos_base!$K$24,0))*parametros_manuales!$M$13+parametros_manuales!$F$24*(datos_base!$K$4+IF(parametros_manuales!$H$24="Todos",datos_base!$K$11,0))*parametros_manuales!$M$105+parametros_manuales!$F$24*(datos_base!$K$20+IF(parametros_manuales!$H$24="Todos",datos_base!$K$25,0))*parametros_manuales!$M$14+parametros_manuales!$G$24*(datos_base!$K$5+IF(parametros_manuales!$H$24="Todos",datos_base!$K$12,0))*parametros_manuales!$M$110+parametros_manuales!$G$24*(datos_base!$K$21+IF(parametros_manuales!$H$24="Todos",datos_base!$K$26,0))*parametros_manuales!$M$15)*parametros_manuales!$I$24*parametros_manuales!$J$24</f>
        <v>25602.11239357</v>
      </c>
      <c r="N250" s="9" t="n">
        <f aca="false">SUM(B250:M250)</f>
        <v>284425.044373</v>
      </c>
      <c r="O250" s="9" t="n">
        <f aca="false">MAX(B250:M250)</f>
        <v>25602.11239357</v>
      </c>
      <c r="P250" s="44" t="n">
        <f aca="false">O250/(parametros_manuales!$B$7)</f>
        <v>170.680749290467</v>
      </c>
      <c r="Q250" s="8" t="str">
        <f aca="false">IF(O250=0,"-",INDEX($B$244:$M$244,MATCH(O250,B250:M250,0)))</f>
        <v>Dic</v>
      </c>
    </row>
    <row r="251" customFormat="false" ht="14.25" hidden="false" customHeight="true" outlineLevel="0" collapsed="false">
      <c r="A251" s="8" t="str">
        <f aca="false">parametros_manuales!$B$25</f>
        <v>Soldadura del cuello a la cúpula</v>
      </c>
      <c r="B251" s="9" t="n">
        <f aca="false">(parametros_manuales!$D$25*(datos_base!$K$2+IF(parametros_manuales!$H$25="Todos",datos_base!$K$9,0))*parametros_manuales!$B$95+parametros_manuales!$D$25*(datos_base!$K$18+IF(parametros_manuales!$H$25="Todos",datos_base!$K$23,0))*parametros_manuales!$B$12+parametros_manuales!$E$25*(datos_base!$K$3+IF(parametros_manuales!$H$25="Todos",datos_base!$K$10,0))*parametros_manuales!$B$100+parametros_manuales!$E$25*(datos_base!$K$19+IF(parametros_manuales!$H$25="Todos",datos_base!$K$24,0))*parametros_manuales!$B$13+parametros_manuales!$F$25*(datos_base!$K$4+IF(parametros_manuales!$H$25="Todos",datos_base!$K$11,0))*parametros_manuales!$B$105+parametros_manuales!$F$25*(datos_base!$K$20+IF(parametros_manuales!$H$25="Todos",datos_base!$K$25,0))*parametros_manuales!$B$14+parametros_manuales!$G$25*(datos_base!$K$5+IF(parametros_manuales!$H$25="Todos",datos_base!$K$12,0))*parametros_manuales!$B$110+parametros_manuales!$G$25*(datos_base!$K$21+IF(parametros_manuales!$H$25="Todos",datos_base!$K$26,0))*parametros_manuales!$B$15)*parametros_manuales!$I$25*parametros_manuales!$J$25</f>
        <v>25600.18319357</v>
      </c>
      <c r="C251" s="9" t="n">
        <f aca="false">(parametros_manuales!$D$25*(datos_base!$K$2+IF(parametros_manuales!$H$25="Todos",datos_base!$K$9,0))*parametros_manuales!$C$95+parametros_manuales!$D$25*(datos_base!$K$18+IF(parametros_manuales!$H$25="Todos",datos_base!$K$23,0))*parametros_manuales!$C$12+parametros_manuales!$E$25*(datos_base!$K$3+IF(parametros_manuales!$H$25="Todos",datos_base!$K$10,0))*parametros_manuales!$C$100+parametros_manuales!$E$25*(datos_base!$K$19+IF(parametros_manuales!$H$25="Todos",datos_base!$K$24,0))*parametros_manuales!$C$13+parametros_manuales!$F$25*(datos_base!$K$4+IF(parametros_manuales!$H$25="Todos",datos_base!$K$11,0))*parametros_manuales!$C$105+parametros_manuales!$F$25*(datos_base!$K$20+IF(parametros_manuales!$H$25="Todos",datos_base!$K$25,0))*parametros_manuales!$C$14+parametros_manuales!$G$25*(datos_base!$K$5+IF(parametros_manuales!$H$25="Todos",datos_base!$K$12,0))*parametros_manuales!$C$110+parametros_manuales!$G$25*(datos_base!$K$21+IF(parametros_manuales!$H$25="Todos",datos_base!$K$26,0))*parametros_manuales!$C$15)*parametros_manuales!$I$25*parametros_manuales!$J$25</f>
        <v>24780.20994114</v>
      </c>
      <c r="D251" s="9" t="n">
        <f aca="false">(parametros_manuales!$D$25*(datos_base!$K$2+IF(parametros_manuales!$H$25="Todos",datos_base!$K$9,0))*parametros_manuales!$D$95+parametros_manuales!$D$25*(datos_base!$K$18+IF(parametros_manuales!$H$25="Todos",datos_base!$K$23,0))*parametros_manuales!$D$12+parametros_manuales!$E$25*(datos_base!$K$3+IF(parametros_manuales!$H$25="Todos",datos_base!$K$10,0))*parametros_manuales!$D$100+parametros_manuales!$E$25*(datos_base!$K$19+IF(parametros_manuales!$H$25="Todos",datos_base!$K$24,0))*parametros_manuales!$D$13+parametros_manuales!$F$25*(datos_base!$K$4+IF(parametros_manuales!$H$25="Todos",datos_base!$K$11,0))*parametros_manuales!$D$105+parametros_manuales!$F$25*(datos_base!$K$20+IF(parametros_manuales!$H$25="Todos",datos_base!$K$25,0))*parametros_manuales!$D$14+parametros_manuales!$G$25*(datos_base!$K$5+IF(parametros_manuales!$H$25="Todos",datos_base!$K$12,0))*parametros_manuales!$D$110+parametros_manuales!$G$25*(datos_base!$K$21+IF(parametros_manuales!$H$25="Todos",datos_base!$K$26,0))*parametros_manuales!$D$15)*parametros_manuales!$I$25*parametros_manuales!$J$25</f>
        <v>23163.025576055</v>
      </c>
      <c r="E251" s="9" t="n">
        <f aca="false">(parametros_manuales!$D$25*(datos_base!$K$2+IF(parametros_manuales!$H$25="Todos",datos_base!$K$9,0))*parametros_manuales!$E$95+parametros_manuales!$D$25*(datos_base!$K$18+IF(parametros_manuales!$H$25="Todos",datos_base!$K$23,0))*parametros_manuales!$E$12+parametros_manuales!$E$25*(datos_base!$K$3+IF(parametros_manuales!$H$25="Todos",datos_base!$K$10,0))*parametros_manuales!$E$100+parametros_manuales!$E$25*(datos_base!$K$19+IF(parametros_manuales!$H$25="Todos",datos_base!$K$24,0))*parametros_manuales!$E$13+parametros_manuales!$F$25*(datos_base!$K$4+IF(parametros_manuales!$H$25="Todos",datos_base!$K$11,0))*parametros_manuales!$E$105+parametros_manuales!$F$25*(datos_base!$K$20+IF(parametros_manuales!$H$25="Todos",datos_base!$K$25,0))*parametros_manuales!$E$14+parametros_manuales!$G$25*(datos_base!$K$5+IF(parametros_manuales!$H$25="Todos",datos_base!$K$12,0))*parametros_manuales!$E$110+parametros_manuales!$G$25*(datos_base!$K$21+IF(parametros_manuales!$H$25="Todos",datos_base!$K$26,0))*parametros_manuales!$E$15)*parametros_manuales!$I$25*parametros_manuales!$J$25</f>
        <v>22149.922380405</v>
      </c>
      <c r="F251" s="9" t="n">
        <f aca="false">(parametros_manuales!$D$25*(datos_base!$K$2+IF(parametros_manuales!$H$25="Todos",datos_base!$K$9,0))*parametros_manuales!$F$95+parametros_manuales!$D$25*(datos_base!$K$18+IF(parametros_manuales!$H$25="Todos",datos_base!$K$23,0))*parametros_manuales!$F$12+parametros_manuales!$E$25*(datos_base!$K$3+IF(parametros_manuales!$H$25="Todos",datos_base!$K$10,0))*parametros_manuales!$F$100+parametros_manuales!$E$25*(datos_base!$K$19+IF(parametros_manuales!$H$25="Todos",datos_base!$K$24,0))*parametros_manuales!$F$13+parametros_manuales!$F$25*(datos_base!$K$4+IF(parametros_manuales!$H$25="Todos",datos_base!$K$11,0))*parametros_manuales!$F$105+parametros_manuales!$F$25*(datos_base!$K$20+IF(parametros_manuales!$H$25="Todos",datos_base!$K$25,0))*parametros_manuales!$F$14+parametros_manuales!$G$25*(datos_base!$K$5+IF(parametros_manuales!$H$25="Todos",datos_base!$K$12,0))*parametros_manuales!$F$110+parametros_manuales!$G$25*(datos_base!$K$21+IF(parametros_manuales!$H$25="Todos",datos_base!$K$26,0))*parametros_manuales!$F$15)*parametros_manuales!$I$25*parametros_manuales!$J$25</f>
        <v>20727.79715854</v>
      </c>
      <c r="G251" s="9" t="n">
        <f aca="false">(parametros_manuales!$D$25*(datos_base!$K$2+IF(parametros_manuales!$H$25="Todos",datos_base!$K$9,0))*parametros_manuales!$G$95+parametros_manuales!$D$25*(datos_base!$K$18+IF(parametros_manuales!$H$25="Todos",datos_base!$K$23,0))*parametros_manuales!$G$12+parametros_manuales!$E$25*(datos_base!$K$3+IF(parametros_manuales!$H$25="Todos",datos_base!$K$10,0))*parametros_manuales!$G$100+parametros_manuales!$E$25*(datos_base!$K$19+IF(parametros_manuales!$H$25="Todos",datos_base!$K$24,0))*parametros_manuales!$G$13+parametros_manuales!$F$25*(datos_base!$K$4+IF(parametros_manuales!$H$25="Todos",datos_base!$K$11,0))*parametros_manuales!$G$105+parametros_manuales!$F$25*(datos_base!$K$20+IF(parametros_manuales!$H$25="Todos",datos_base!$K$25,0))*parametros_manuales!$G$14+parametros_manuales!$G$25*(datos_base!$K$5+IF(parametros_manuales!$H$25="Todos",datos_base!$K$12,0))*parametros_manuales!$G$110+parametros_manuales!$G$25*(datos_base!$K$21+IF(parametros_manuales!$H$25="Todos",datos_base!$K$26,0))*parametros_manuales!$G$15)*parametros_manuales!$I$25*parametros_manuales!$J$25</f>
        <v>20318.775132325</v>
      </c>
      <c r="H251" s="9" t="n">
        <f aca="false">(parametros_manuales!$D$25*(datos_base!$K$2+IF(parametros_manuales!$H$25="Todos",datos_base!$K$9,0))*parametros_manuales!$H$95+parametros_manuales!$D$25*(datos_base!$K$18+IF(parametros_manuales!$H$25="Todos",datos_base!$K$23,0))*parametros_manuales!$H$12+parametros_manuales!$E$25*(datos_base!$K$3+IF(parametros_manuales!$H$25="Todos",datos_base!$K$10,0))*parametros_manuales!$H$100+parametros_manuales!$E$25*(datos_base!$K$19+IF(parametros_manuales!$H$25="Todos",datos_base!$K$24,0))*parametros_manuales!$H$13+parametros_manuales!$F$25*(datos_base!$K$4+IF(parametros_manuales!$H$25="Todos",datos_base!$K$11,0))*parametros_manuales!$H$105+parametros_manuales!$F$25*(datos_base!$K$20+IF(parametros_manuales!$H$25="Todos",datos_base!$K$25,0))*parametros_manuales!$H$14+parametros_manuales!$G$25*(datos_base!$K$5+IF(parametros_manuales!$H$25="Todos",datos_base!$K$12,0))*parametros_manuales!$H$110+parametros_manuales!$G$25*(datos_base!$K$21+IF(parametros_manuales!$H$25="Todos",datos_base!$K$26,0))*parametros_manuales!$H$15)*parametros_manuales!$I$25*parametros_manuales!$J$25</f>
        <v>21740.90035419</v>
      </c>
      <c r="I251" s="9" t="n">
        <f aca="false">(parametros_manuales!$D$25*(datos_base!$K$2+IF(parametros_manuales!$H$25="Todos",datos_base!$K$9,0))*parametros_manuales!$I$95+parametros_manuales!$D$25*(datos_base!$K$18+IF(parametros_manuales!$H$25="Todos",datos_base!$K$23,0))*parametros_manuales!$I$12+parametros_manuales!$E$25*(datos_base!$K$3+IF(parametros_manuales!$H$25="Todos",datos_base!$K$10,0))*parametros_manuales!$I$100+parametros_manuales!$E$25*(datos_base!$K$19+IF(parametros_manuales!$H$25="Todos",datos_base!$K$24,0))*parametros_manuales!$I$13+parametros_manuales!$F$25*(datos_base!$K$4+IF(parametros_manuales!$H$25="Todos",datos_base!$K$11,0))*parametros_manuales!$I$105+parametros_manuales!$F$25*(datos_base!$K$20+IF(parametros_manuales!$H$25="Todos",datos_base!$K$25,0))*parametros_manuales!$I$14+parametros_manuales!$G$25*(datos_base!$K$5+IF(parametros_manuales!$H$25="Todos",datos_base!$K$12,0))*parametros_manuales!$I$110+parametros_manuales!$G$25*(datos_base!$K$21+IF(parametros_manuales!$H$25="Todos",datos_base!$K$26,0))*parametros_manuales!$I$15)*parametros_manuales!$I$25*parametros_manuales!$J$25</f>
        <v>24780.20994114</v>
      </c>
      <c r="J251" s="9" t="n">
        <f aca="false">(parametros_manuales!$D$25*(datos_base!$K$2+IF(parametros_manuales!$H$25="Todos",datos_base!$K$9,0))*parametros_manuales!$J$95+parametros_manuales!$D$25*(datos_base!$K$18+IF(parametros_manuales!$H$25="Todos",datos_base!$K$23,0))*parametros_manuales!$J$12+parametros_manuales!$E$25*(datos_base!$K$3+IF(parametros_manuales!$H$25="Todos",datos_base!$K$10,0))*parametros_manuales!$J$100+parametros_manuales!$E$25*(datos_base!$K$19+IF(parametros_manuales!$H$25="Todos",datos_base!$K$24,0))*parametros_manuales!$J$13+parametros_manuales!$F$25*(datos_base!$K$4+IF(parametros_manuales!$H$25="Todos",datos_base!$K$11,0))*parametros_manuales!$J$105+parametros_manuales!$F$25*(datos_base!$K$20+IF(parametros_manuales!$H$25="Todos",datos_base!$K$25,0))*parametros_manuales!$J$14+parametros_manuales!$G$25*(datos_base!$K$5+IF(parametros_manuales!$H$25="Todos",datos_base!$K$12,0))*parametros_manuales!$J$110+parametros_manuales!$G$25*(datos_base!$K$21+IF(parametros_manuales!$H$25="Todos",datos_base!$K$26,0))*parametros_manuales!$J$15)*parametros_manuales!$I$25*parametros_manuales!$J$25</f>
        <v>24780.20994114</v>
      </c>
      <c r="K251" s="9" t="n">
        <f aca="false">(parametros_manuales!$D$25*(datos_base!$K$2+IF(parametros_manuales!$H$25="Todos",datos_base!$K$9,0))*parametros_manuales!$K$95+parametros_manuales!$D$25*(datos_base!$K$18+IF(parametros_manuales!$H$25="Todos",datos_base!$K$23,0))*parametros_manuales!$K$12+parametros_manuales!$E$25*(datos_base!$K$3+IF(parametros_manuales!$H$25="Todos",datos_base!$K$10,0))*parametros_manuales!$K$100+parametros_manuales!$E$25*(datos_base!$K$19+IF(parametros_manuales!$H$25="Todos",datos_base!$K$24,0))*parametros_manuales!$K$13+parametros_manuales!$F$25*(datos_base!$K$4+IF(parametros_manuales!$H$25="Todos",datos_base!$K$11,0))*parametros_manuales!$K$105+parametros_manuales!$F$25*(datos_base!$K$20+IF(parametros_manuales!$H$25="Todos",datos_base!$K$25,0))*parametros_manuales!$K$14+parametros_manuales!$G$25*(datos_base!$K$5+IF(parametros_manuales!$H$25="Todos",datos_base!$K$12,0))*parametros_manuales!$K$110+parametros_manuales!$G$25*(datos_base!$K$21+IF(parametros_manuales!$H$25="Todos",datos_base!$K$26,0))*parametros_manuales!$K$15)*parametros_manuales!$I$25*parametros_manuales!$J$25</f>
        <v>25187.302767355</v>
      </c>
      <c r="L251" s="9" t="n">
        <f aca="false">(parametros_manuales!$D$25*(datos_base!$K$2+IF(parametros_manuales!$H$25="Todos",datos_base!$K$9,0))*parametros_manuales!$L$95+parametros_manuales!$D$25*(datos_base!$K$18+IF(parametros_manuales!$H$25="Todos",datos_base!$K$23,0))*parametros_manuales!$L$12+parametros_manuales!$E$25*(datos_base!$K$3+IF(parametros_manuales!$H$25="Todos",datos_base!$K$10,0))*parametros_manuales!$L$100+parametros_manuales!$E$25*(datos_base!$K$19+IF(parametros_manuales!$H$25="Todos",datos_base!$K$24,0))*parametros_manuales!$L$13+parametros_manuales!$F$25*(datos_base!$K$4+IF(parametros_manuales!$H$25="Todos",datos_base!$K$11,0))*parametros_manuales!$L$105+parametros_manuales!$F$25*(datos_base!$K$20+IF(parametros_manuales!$H$25="Todos",datos_base!$K$25,0))*parametros_manuales!$L$14+parametros_manuales!$G$25*(datos_base!$K$5+IF(parametros_manuales!$H$25="Todos",datos_base!$K$12,0))*parametros_manuales!$L$110+parametros_manuales!$G$25*(datos_base!$K$21+IF(parametros_manuales!$H$25="Todos",datos_base!$K$26,0))*parametros_manuales!$L$15)*parametros_manuales!$I$25*parametros_manuales!$J$25</f>
        <v>25594.39559357</v>
      </c>
      <c r="M251" s="9" t="n">
        <f aca="false">(parametros_manuales!$D$25*(datos_base!$K$2+IF(parametros_manuales!$H$25="Todos",datos_base!$K$9,0))*parametros_manuales!$M$95+parametros_manuales!$D$25*(datos_base!$K$18+IF(parametros_manuales!$H$25="Todos",datos_base!$K$23,0))*parametros_manuales!$M$12+parametros_manuales!$E$25*(datos_base!$K$3+IF(parametros_manuales!$H$25="Todos",datos_base!$K$10,0))*parametros_manuales!$M$100+parametros_manuales!$E$25*(datos_base!$K$19+IF(parametros_manuales!$H$25="Todos",datos_base!$K$24,0))*parametros_manuales!$M$13+parametros_manuales!$F$25*(datos_base!$K$4+IF(parametros_manuales!$H$25="Todos",datos_base!$K$11,0))*parametros_manuales!$M$105+parametros_manuales!$F$25*(datos_base!$K$20+IF(parametros_manuales!$H$25="Todos",datos_base!$K$25,0))*parametros_manuales!$M$14+parametros_manuales!$G$25*(datos_base!$K$5+IF(parametros_manuales!$H$25="Todos",datos_base!$K$12,0))*parametros_manuales!$M$110+parametros_manuales!$G$25*(datos_base!$K$21+IF(parametros_manuales!$H$25="Todos",datos_base!$K$26,0))*parametros_manuales!$M$15)*parametros_manuales!$I$25*parametros_manuales!$J$25</f>
        <v>25602.11239357</v>
      </c>
      <c r="N251" s="9" t="n">
        <f aca="false">SUM(B251:M251)</f>
        <v>284425.044373</v>
      </c>
      <c r="O251" s="9" t="n">
        <f aca="false">MAX(B251:M251)</f>
        <v>25602.11239357</v>
      </c>
      <c r="P251" s="44" t="n">
        <f aca="false">O251/(parametros_manuales!$B$7)</f>
        <v>170.680749290467</v>
      </c>
      <c r="Q251" s="8" t="str">
        <f aca="false">IF(O251=0,"-",INDEX($B$244:$M$244,MATCH(O251,B251:M251,0)))</f>
        <v>Dic</v>
      </c>
    </row>
    <row r="252" customFormat="false" ht="14.25" hidden="false" customHeight="true" outlineLevel="0" collapsed="false">
      <c r="A252" s="8" t="str">
        <f aca="false">parametros_manuales!$B$26</f>
        <v>Cilindrado</v>
      </c>
      <c r="B252" s="9" t="n">
        <f aca="false">(parametros_manuales!$D$26*(datos_base!$K$2+IF(parametros_manuales!$H$26="Todos",datos_base!$K$9,0))*parametros_manuales!$B$95+parametros_manuales!$D$26*(datos_base!$K$18+IF(parametros_manuales!$H$26="Todos",datos_base!$K$23,0))*parametros_manuales!$B$12+parametros_manuales!$E$26*(datos_base!$K$3+IF(parametros_manuales!$H$26="Todos",datos_base!$K$10,0))*parametros_manuales!$B$100+parametros_manuales!$E$26*(datos_base!$K$19+IF(parametros_manuales!$H$26="Todos",datos_base!$K$24,0))*parametros_manuales!$B$13+parametros_manuales!$F$26*(datos_base!$K$4+IF(parametros_manuales!$H$26="Todos",datos_base!$K$11,0))*parametros_manuales!$B$105+parametros_manuales!$F$26*(datos_base!$K$20+IF(parametros_manuales!$H$26="Todos",datos_base!$K$25,0))*parametros_manuales!$B$14+parametros_manuales!$G$26*(datos_base!$K$5+IF(parametros_manuales!$H$26="Todos",datos_base!$K$12,0))*parametros_manuales!$B$110+parametros_manuales!$G$26*(datos_base!$K$21+IF(parametros_manuales!$H$26="Todos",datos_base!$K$26,0))*parametros_manuales!$B$15)*parametros_manuales!$I$26*parametros_manuales!$J$26</f>
        <v>7364.32567187</v>
      </c>
      <c r="C252" s="9" t="n">
        <f aca="false">(parametros_manuales!$D$26*(datos_base!$K$2+IF(parametros_manuales!$H$26="Todos",datos_base!$K$9,0))*parametros_manuales!$C$95+parametros_manuales!$D$26*(datos_base!$K$18+IF(parametros_manuales!$H$26="Todos",datos_base!$K$23,0))*parametros_manuales!$C$12+parametros_manuales!$E$26*(datos_base!$K$3+IF(parametros_manuales!$H$26="Todos",datos_base!$K$10,0))*parametros_manuales!$C$100+parametros_manuales!$E$26*(datos_base!$K$19+IF(parametros_manuales!$H$26="Todos",datos_base!$K$24,0))*parametros_manuales!$C$13+parametros_manuales!$F$26*(datos_base!$K$4+IF(parametros_manuales!$H$26="Todos",datos_base!$K$11,0))*parametros_manuales!$C$105+parametros_manuales!$F$26*(datos_base!$K$20+IF(parametros_manuales!$H$26="Todos",datos_base!$K$25,0))*parametros_manuales!$C$14+parametros_manuales!$G$26*(datos_base!$K$5+IF(parametros_manuales!$H$26="Todos",datos_base!$K$12,0))*parametros_manuales!$C$110+parametros_manuales!$G$26*(datos_base!$K$21+IF(parametros_manuales!$H$26="Todos",datos_base!$K$26,0))*parametros_manuales!$C$15)*parametros_manuales!$I$26*parametros_manuales!$J$26</f>
        <v>6544.35241944</v>
      </c>
      <c r="D252" s="9" t="n">
        <f aca="false">(parametros_manuales!$D$26*(datos_base!$K$2+IF(parametros_manuales!$H$26="Todos",datos_base!$K$9,0))*parametros_manuales!$D$95+parametros_manuales!$D$26*(datos_base!$K$18+IF(parametros_manuales!$H$26="Todos",datos_base!$K$23,0))*parametros_manuales!$D$12+parametros_manuales!$E$26*(datos_base!$K$3+IF(parametros_manuales!$H$26="Todos",datos_base!$K$10,0))*parametros_manuales!$D$100+parametros_manuales!$E$26*(datos_base!$K$19+IF(parametros_manuales!$H$26="Todos",datos_base!$K$24,0))*parametros_manuales!$D$13+parametros_manuales!$F$26*(datos_base!$K$4+IF(parametros_manuales!$H$26="Todos",datos_base!$K$11,0))*parametros_manuales!$D$105+parametros_manuales!$F$26*(datos_base!$K$20+IF(parametros_manuales!$H$26="Todos",datos_base!$K$25,0))*parametros_manuales!$D$14+parametros_manuales!$G$26*(datos_base!$K$5+IF(parametros_manuales!$H$26="Todos",datos_base!$K$12,0))*parametros_manuales!$D$110+parametros_manuales!$G$26*(datos_base!$K$21+IF(parametros_manuales!$H$26="Todos",datos_base!$K$26,0))*parametros_manuales!$D$15)*parametros_manuales!$I$26*parametros_manuales!$J$26</f>
        <v>6953.374445655</v>
      </c>
      <c r="E252" s="9" t="n">
        <f aca="false">(parametros_manuales!$D$26*(datos_base!$K$2+IF(parametros_manuales!$H$26="Todos",datos_base!$K$9,0))*parametros_manuales!$E$95+parametros_manuales!$D$26*(datos_base!$K$18+IF(parametros_manuales!$H$26="Todos",datos_base!$K$23,0))*parametros_manuales!$E$12+parametros_manuales!$E$26*(datos_base!$K$3+IF(parametros_manuales!$H$26="Todos",datos_base!$K$10,0))*parametros_manuales!$E$100+parametros_manuales!$E$26*(datos_base!$K$19+IF(parametros_manuales!$H$26="Todos",datos_base!$K$24,0))*parametros_manuales!$E$13+parametros_manuales!$F$26*(datos_base!$K$4+IF(parametros_manuales!$H$26="Todos",datos_base!$K$11,0))*parametros_manuales!$E$105+parametros_manuales!$F$26*(datos_base!$K$20+IF(parametros_manuales!$H$26="Todos",datos_base!$K$25,0))*parametros_manuales!$E$14+parametros_manuales!$G$26*(datos_base!$K$5+IF(parametros_manuales!$H$26="Todos",datos_base!$K$12,0))*parametros_manuales!$E$110+parametros_manuales!$G$26*(datos_base!$K$21+IF(parametros_manuales!$H$26="Todos",datos_base!$K$26,0))*parametros_manuales!$E$15)*parametros_manuales!$I$26*parametros_manuales!$J$26</f>
        <v>6953.374445655</v>
      </c>
      <c r="F252" s="9" t="n">
        <f aca="false">(parametros_manuales!$D$26*(datos_base!$K$2+IF(parametros_manuales!$H$26="Todos",datos_base!$K$9,0))*parametros_manuales!$F$95+parametros_manuales!$D$26*(datos_base!$K$18+IF(parametros_manuales!$H$26="Todos",datos_base!$K$23,0))*parametros_manuales!$F$12+parametros_manuales!$E$26*(datos_base!$K$3+IF(parametros_manuales!$H$26="Todos",datos_base!$K$10,0))*parametros_manuales!$F$100+parametros_manuales!$E$26*(datos_base!$K$19+IF(parametros_manuales!$H$26="Todos",datos_base!$K$24,0))*parametros_manuales!$F$13+parametros_manuales!$F$26*(datos_base!$K$4+IF(parametros_manuales!$H$26="Todos",datos_base!$K$11,0))*parametros_manuales!$F$105+parametros_manuales!$F$26*(datos_base!$K$20+IF(parametros_manuales!$H$26="Todos",datos_base!$K$25,0))*parametros_manuales!$F$14+parametros_manuales!$G$26*(datos_base!$K$5+IF(parametros_manuales!$H$26="Todos",datos_base!$K$12,0))*parametros_manuales!$F$110+parametros_manuales!$G$26*(datos_base!$K$21+IF(parametros_manuales!$H$26="Todos",datos_base!$K$26,0))*parametros_manuales!$F$15)*parametros_manuales!$I$26*parametros_manuales!$J$26</f>
        <v>6544.35241944</v>
      </c>
      <c r="G252" s="9" t="n">
        <f aca="false">(parametros_manuales!$D$26*(datos_base!$K$2+IF(parametros_manuales!$H$26="Todos",datos_base!$K$9,0))*parametros_manuales!$G$95+parametros_manuales!$D$26*(datos_base!$K$18+IF(parametros_manuales!$H$26="Todos",datos_base!$K$23,0))*parametros_manuales!$G$12+parametros_manuales!$E$26*(datos_base!$K$3+IF(parametros_manuales!$H$26="Todos",datos_base!$K$10,0))*parametros_manuales!$G$100+parametros_manuales!$E$26*(datos_base!$K$19+IF(parametros_manuales!$H$26="Todos",datos_base!$K$24,0))*parametros_manuales!$G$13+parametros_manuales!$F$26*(datos_base!$K$4+IF(parametros_manuales!$H$26="Todos",datos_base!$K$11,0))*parametros_manuales!$G$105+parametros_manuales!$F$26*(datos_base!$K$20+IF(parametros_manuales!$H$26="Todos",datos_base!$K$25,0))*parametros_manuales!$G$14+parametros_manuales!$G$26*(datos_base!$K$5+IF(parametros_manuales!$H$26="Todos",datos_base!$K$12,0))*parametros_manuales!$G$110+parametros_manuales!$G$26*(datos_base!$K$21+IF(parametros_manuales!$H$26="Todos",datos_base!$K$26,0))*parametros_manuales!$G$15)*parametros_manuales!$I$26*parametros_manuales!$J$26</f>
        <v>6135.330393225</v>
      </c>
      <c r="H252" s="9" t="n">
        <f aca="false">(parametros_manuales!$D$26*(datos_base!$K$2+IF(parametros_manuales!$H$26="Todos",datos_base!$K$9,0))*parametros_manuales!$H$95+parametros_manuales!$D$26*(datos_base!$K$18+IF(parametros_manuales!$H$26="Todos",datos_base!$K$23,0))*parametros_manuales!$H$12+parametros_manuales!$E$26*(datos_base!$K$3+IF(parametros_manuales!$H$26="Todos",datos_base!$K$10,0))*parametros_manuales!$H$100+parametros_manuales!$E$26*(datos_base!$K$19+IF(parametros_manuales!$H$26="Todos",datos_base!$K$24,0))*parametros_manuales!$H$13+parametros_manuales!$F$26*(datos_base!$K$4+IF(parametros_manuales!$H$26="Todos",datos_base!$K$11,0))*parametros_manuales!$H$105+parametros_manuales!$F$26*(datos_base!$K$20+IF(parametros_manuales!$H$26="Todos",datos_base!$K$25,0))*parametros_manuales!$H$14+parametros_manuales!$G$26*(datos_base!$K$5+IF(parametros_manuales!$H$26="Todos",datos_base!$K$12,0))*parametros_manuales!$H$110+parametros_manuales!$G$26*(datos_base!$K$21+IF(parametros_manuales!$H$26="Todos",datos_base!$K$26,0))*parametros_manuales!$H$15)*parametros_manuales!$I$26*parametros_manuales!$J$26</f>
        <v>6544.35241944</v>
      </c>
      <c r="I252" s="9" t="n">
        <f aca="false">(parametros_manuales!$D$26*(datos_base!$K$2+IF(parametros_manuales!$H$26="Todos",datos_base!$K$9,0))*parametros_manuales!$I$95+parametros_manuales!$D$26*(datos_base!$K$18+IF(parametros_manuales!$H$26="Todos",datos_base!$K$23,0))*parametros_manuales!$I$12+parametros_manuales!$E$26*(datos_base!$K$3+IF(parametros_manuales!$H$26="Todos",datos_base!$K$10,0))*parametros_manuales!$I$100+parametros_manuales!$E$26*(datos_base!$K$19+IF(parametros_manuales!$H$26="Todos",datos_base!$K$24,0))*parametros_manuales!$I$13+parametros_manuales!$F$26*(datos_base!$K$4+IF(parametros_manuales!$H$26="Todos",datos_base!$K$11,0))*parametros_manuales!$I$105+parametros_manuales!$F$26*(datos_base!$K$20+IF(parametros_manuales!$H$26="Todos",datos_base!$K$25,0))*parametros_manuales!$I$14+parametros_manuales!$G$26*(datos_base!$K$5+IF(parametros_manuales!$H$26="Todos",datos_base!$K$12,0))*parametros_manuales!$I$110+parametros_manuales!$G$26*(datos_base!$K$21+IF(parametros_manuales!$H$26="Todos",datos_base!$K$26,0))*parametros_manuales!$I$15)*parametros_manuales!$I$26*parametros_manuales!$J$26</f>
        <v>6544.35241944</v>
      </c>
      <c r="J252" s="9" t="n">
        <f aca="false">(parametros_manuales!$D$26*(datos_base!$K$2+IF(parametros_manuales!$H$26="Todos",datos_base!$K$9,0))*parametros_manuales!$J$95+parametros_manuales!$D$26*(datos_base!$K$18+IF(parametros_manuales!$H$26="Todos",datos_base!$K$23,0))*parametros_manuales!$J$12+parametros_manuales!$E$26*(datos_base!$K$3+IF(parametros_manuales!$H$26="Todos",datos_base!$K$10,0))*parametros_manuales!$J$100+parametros_manuales!$E$26*(datos_base!$K$19+IF(parametros_manuales!$H$26="Todos",datos_base!$K$24,0))*parametros_manuales!$J$13+parametros_manuales!$F$26*(datos_base!$K$4+IF(parametros_manuales!$H$26="Todos",datos_base!$K$11,0))*parametros_manuales!$J$105+parametros_manuales!$F$26*(datos_base!$K$20+IF(parametros_manuales!$H$26="Todos",datos_base!$K$25,0))*parametros_manuales!$J$14+parametros_manuales!$G$26*(datos_base!$K$5+IF(parametros_manuales!$H$26="Todos",datos_base!$K$12,0))*parametros_manuales!$J$110+parametros_manuales!$G$26*(datos_base!$K$21+IF(parametros_manuales!$H$26="Todos",datos_base!$K$26,0))*parametros_manuales!$J$15)*parametros_manuales!$I$26*parametros_manuales!$J$26</f>
        <v>6544.35241944</v>
      </c>
      <c r="K252" s="9" t="n">
        <f aca="false">(parametros_manuales!$D$26*(datos_base!$K$2+IF(parametros_manuales!$H$26="Todos",datos_base!$K$9,0))*parametros_manuales!$K$95+parametros_manuales!$D$26*(datos_base!$K$18+IF(parametros_manuales!$H$26="Todos",datos_base!$K$23,0))*parametros_manuales!$K$12+parametros_manuales!$E$26*(datos_base!$K$3+IF(parametros_manuales!$H$26="Todos",datos_base!$K$10,0))*parametros_manuales!$K$100+parametros_manuales!$E$26*(datos_base!$K$19+IF(parametros_manuales!$H$26="Todos",datos_base!$K$24,0))*parametros_manuales!$K$13+parametros_manuales!$F$26*(datos_base!$K$4+IF(parametros_manuales!$H$26="Todos",datos_base!$K$11,0))*parametros_manuales!$K$105+parametros_manuales!$F$26*(datos_base!$K$20+IF(parametros_manuales!$H$26="Todos",datos_base!$K$25,0))*parametros_manuales!$K$14+parametros_manuales!$G$26*(datos_base!$K$5+IF(parametros_manuales!$H$26="Todos",datos_base!$K$12,0))*parametros_manuales!$K$110+parametros_manuales!$G$26*(datos_base!$K$21+IF(parametros_manuales!$H$26="Todos",datos_base!$K$26,0))*parametros_manuales!$K$15)*parametros_manuales!$I$26*parametros_manuales!$J$26</f>
        <v>6951.445245655</v>
      </c>
      <c r="L252" s="9" t="n">
        <f aca="false">(parametros_manuales!$D$26*(datos_base!$K$2+IF(parametros_manuales!$H$26="Todos",datos_base!$K$9,0))*parametros_manuales!$L$95+parametros_manuales!$D$26*(datos_base!$K$18+IF(parametros_manuales!$H$26="Todos",datos_base!$K$23,0))*parametros_manuales!$L$12+parametros_manuales!$E$26*(datos_base!$K$3+IF(parametros_manuales!$H$26="Todos",datos_base!$K$10,0))*parametros_manuales!$L$100+parametros_manuales!$E$26*(datos_base!$K$19+IF(parametros_manuales!$H$26="Todos",datos_base!$K$24,0))*parametros_manuales!$L$13+parametros_manuales!$F$26*(datos_base!$K$4+IF(parametros_manuales!$H$26="Todos",datos_base!$K$11,0))*parametros_manuales!$L$105+parametros_manuales!$F$26*(datos_base!$K$20+IF(parametros_manuales!$H$26="Todos",datos_base!$K$25,0))*parametros_manuales!$L$14+parametros_manuales!$G$26*(datos_base!$K$5+IF(parametros_manuales!$H$26="Todos",datos_base!$K$12,0))*parametros_manuales!$L$110+parametros_manuales!$G$26*(datos_base!$K$21+IF(parametros_manuales!$H$26="Todos",datos_base!$K$26,0))*parametros_manuales!$L$15)*parametros_manuales!$I$26*parametros_manuales!$J$26</f>
        <v>7358.53807187</v>
      </c>
      <c r="M252" s="9" t="n">
        <f aca="false">(parametros_manuales!$D$26*(datos_base!$K$2+IF(parametros_manuales!$H$26="Todos",datos_base!$K$9,0))*parametros_manuales!$M$95+parametros_manuales!$D$26*(datos_base!$K$18+IF(parametros_manuales!$H$26="Todos",datos_base!$K$23,0))*parametros_manuales!$M$12+parametros_manuales!$E$26*(datos_base!$K$3+IF(parametros_manuales!$H$26="Todos",datos_base!$K$10,0))*parametros_manuales!$M$100+parametros_manuales!$E$26*(datos_base!$K$19+IF(parametros_manuales!$H$26="Todos",datos_base!$K$24,0))*parametros_manuales!$M$13+parametros_manuales!$F$26*(datos_base!$K$4+IF(parametros_manuales!$H$26="Todos",datos_base!$K$11,0))*parametros_manuales!$M$105+parametros_manuales!$F$26*(datos_base!$K$20+IF(parametros_manuales!$H$26="Todos",datos_base!$K$25,0))*parametros_manuales!$M$14+parametros_manuales!$G$26*(datos_base!$K$5+IF(parametros_manuales!$H$26="Todos",datos_base!$K$12,0))*parametros_manuales!$M$110+parametros_manuales!$G$26*(datos_base!$K$21+IF(parametros_manuales!$H$26="Todos",datos_base!$K$26,0))*parametros_manuales!$M$15)*parametros_manuales!$I$26*parametros_manuales!$J$26</f>
        <v>7366.25487187</v>
      </c>
      <c r="N252" s="9" t="n">
        <f aca="false">SUM(B252:M252)</f>
        <v>81804.405243</v>
      </c>
      <c r="O252" s="9" t="n">
        <f aca="false">MAX(B252:M252)</f>
        <v>7366.25487187</v>
      </c>
      <c r="P252" s="44" t="n">
        <f aca="false">O252/(parametros_manuales!$B$7)</f>
        <v>49.1083658124667</v>
      </c>
      <c r="Q252" s="8" t="str">
        <f aca="false">IF(O252=0,"-",INDEX($B$244:$M$244,MATCH(O252,B252:M252,0)))</f>
        <v>Dic</v>
      </c>
    </row>
    <row r="253" customFormat="false" ht="14.25" hidden="false" customHeight="true" outlineLevel="0" collapsed="false">
      <c r="A253" s="8" t="str">
        <f aca="false">parametros_manuales!$B$27</f>
        <v>Soldadura longitudinal</v>
      </c>
      <c r="B253" s="9" t="n">
        <f aca="false">(parametros_manuales!$D$27*(datos_base!$K$2+IF(parametros_manuales!$H$27="Todos",datos_base!$K$9,0))*parametros_manuales!$B$95+parametros_manuales!$D$27*(datos_base!$K$18+IF(parametros_manuales!$H$27="Todos",datos_base!$K$23,0))*parametros_manuales!$B$12+parametros_manuales!$E$27*(datos_base!$K$3+IF(parametros_manuales!$H$27="Todos",datos_base!$K$10,0))*parametros_manuales!$B$100+parametros_manuales!$E$27*(datos_base!$K$19+IF(parametros_manuales!$H$27="Todos",datos_base!$K$24,0))*parametros_manuales!$B$13+parametros_manuales!$F$27*(datos_base!$K$4+IF(parametros_manuales!$H$27="Todos",datos_base!$K$11,0))*parametros_manuales!$B$105+parametros_manuales!$F$27*(datos_base!$K$20+IF(parametros_manuales!$H$27="Todos",datos_base!$K$25,0))*parametros_manuales!$B$14+parametros_manuales!$G$27*(datos_base!$K$5+IF(parametros_manuales!$H$27="Todos",datos_base!$K$12,0))*parametros_manuales!$B$110+parametros_manuales!$G$27*(datos_base!$K$21+IF(parametros_manuales!$H$27="Todos",datos_base!$K$26,0))*parametros_manuales!$B$15)*parametros_manuales!$I$27*parametros_manuales!$J$27</f>
        <v>7364.32567187</v>
      </c>
      <c r="C253" s="9" t="n">
        <f aca="false">(parametros_manuales!$D$27*(datos_base!$K$2+IF(parametros_manuales!$H$27="Todos",datos_base!$K$9,0))*parametros_manuales!$C$95+parametros_manuales!$D$27*(datos_base!$K$18+IF(parametros_manuales!$H$27="Todos",datos_base!$K$23,0))*parametros_manuales!$C$12+parametros_manuales!$E$27*(datos_base!$K$3+IF(parametros_manuales!$H$27="Todos",datos_base!$K$10,0))*parametros_manuales!$C$100+parametros_manuales!$E$27*(datos_base!$K$19+IF(parametros_manuales!$H$27="Todos",datos_base!$K$24,0))*parametros_manuales!$C$13+parametros_manuales!$F$27*(datos_base!$K$4+IF(parametros_manuales!$H$27="Todos",datos_base!$K$11,0))*parametros_manuales!$C$105+parametros_manuales!$F$27*(datos_base!$K$20+IF(parametros_manuales!$H$27="Todos",datos_base!$K$25,0))*parametros_manuales!$C$14+parametros_manuales!$G$27*(datos_base!$K$5+IF(parametros_manuales!$H$27="Todos",datos_base!$K$12,0))*parametros_manuales!$C$110+parametros_manuales!$G$27*(datos_base!$K$21+IF(parametros_manuales!$H$27="Todos",datos_base!$K$26,0))*parametros_manuales!$C$15)*parametros_manuales!$I$27*parametros_manuales!$J$27</f>
        <v>6544.35241944</v>
      </c>
      <c r="D253" s="9" t="n">
        <f aca="false">(parametros_manuales!$D$27*(datos_base!$K$2+IF(parametros_manuales!$H$27="Todos",datos_base!$K$9,0))*parametros_manuales!$D$95+parametros_manuales!$D$27*(datos_base!$K$18+IF(parametros_manuales!$H$27="Todos",datos_base!$K$23,0))*parametros_manuales!$D$12+parametros_manuales!$E$27*(datos_base!$K$3+IF(parametros_manuales!$H$27="Todos",datos_base!$K$10,0))*parametros_manuales!$D$100+parametros_manuales!$E$27*(datos_base!$K$19+IF(parametros_manuales!$H$27="Todos",datos_base!$K$24,0))*parametros_manuales!$D$13+parametros_manuales!$F$27*(datos_base!$K$4+IF(parametros_manuales!$H$27="Todos",datos_base!$K$11,0))*parametros_manuales!$D$105+parametros_manuales!$F$27*(datos_base!$K$20+IF(parametros_manuales!$H$27="Todos",datos_base!$K$25,0))*parametros_manuales!$D$14+parametros_manuales!$G$27*(datos_base!$K$5+IF(parametros_manuales!$H$27="Todos",datos_base!$K$12,0))*parametros_manuales!$D$110+parametros_manuales!$G$27*(datos_base!$K$21+IF(parametros_manuales!$H$27="Todos",datos_base!$K$26,0))*parametros_manuales!$D$15)*parametros_manuales!$I$27*parametros_manuales!$J$27</f>
        <v>6953.374445655</v>
      </c>
      <c r="E253" s="9" t="n">
        <f aca="false">(parametros_manuales!$D$27*(datos_base!$K$2+IF(parametros_manuales!$H$27="Todos",datos_base!$K$9,0))*parametros_manuales!$E$95+parametros_manuales!$D$27*(datos_base!$K$18+IF(parametros_manuales!$H$27="Todos",datos_base!$K$23,0))*parametros_manuales!$E$12+parametros_manuales!$E$27*(datos_base!$K$3+IF(parametros_manuales!$H$27="Todos",datos_base!$K$10,0))*parametros_manuales!$E$100+parametros_manuales!$E$27*(datos_base!$K$19+IF(parametros_manuales!$H$27="Todos",datos_base!$K$24,0))*parametros_manuales!$E$13+parametros_manuales!$F$27*(datos_base!$K$4+IF(parametros_manuales!$H$27="Todos",datos_base!$K$11,0))*parametros_manuales!$E$105+parametros_manuales!$F$27*(datos_base!$K$20+IF(parametros_manuales!$H$27="Todos",datos_base!$K$25,0))*parametros_manuales!$E$14+parametros_manuales!$G$27*(datos_base!$K$5+IF(parametros_manuales!$H$27="Todos",datos_base!$K$12,0))*parametros_manuales!$E$110+parametros_manuales!$G$27*(datos_base!$K$21+IF(parametros_manuales!$H$27="Todos",datos_base!$K$26,0))*parametros_manuales!$E$15)*parametros_manuales!$I$27*parametros_manuales!$J$27</f>
        <v>6953.374445655</v>
      </c>
      <c r="F253" s="9" t="n">
        <f aca="false">(parametros_manuales!$D$27*(datos_base!$K$2+IF(parametros_manuales!$H$27="Todos",datos_base!$K$9,0))*parametros_manuales!$F$95+parametros_manuales!$D$27*(datos_base!$K$18+IF(parametros_manuales!$H$27="Todos",datos_base!$K$23,0))*parametros_manuales!$F$12+parametros_manuales!$E$27*(datos_base!$K$3+IF(parametros_manuales!$H$27="Todos",datos_base!$K$10,0))*parametros_manuales!$F$100+parametros_manuales!$E$27*(datos_base!$K$19+IF(parametros_manuales!$H$27="Todos",datos_base!$K$24,0))*parametros_manuales!$F$13+parametros_manuales!$F$27*(datos_base!$K$4+IF(parametros_manuales!$H$27="Todos",datos_base!$K$11,0))*parametros_manuales!$F$105+parametros_manuales!$F$27*(datos_base!$K$20+IF(parametros_manuales!$H$27="Todos",datos_base!$K$25,0))*parametros_manuales!$F$14+parametros_manuales!$G$27*(datos_base!$K$5+IF(parametros_manuales!$H$27="Todos",datos_base!$K$12,0))*parametros_manuales!$F$110+parametros_manuales!$G$27*(datos_base!$K$21+IF(parametros_manuales!$H$27="Todos",datos_base!$K$26,0))*parametros_manuales!$F$15)*parametros_manuales!$I$27*parametros_manuales!$J$27</f>
        <v>6544.35241944</v>
      </c>
      <c r="G253" s="9" t="n">
        <f aca="false">(parametros_manuales!$D$27*(datos_base!$K$2+IF(parametros_manuales!$H$27="Todos",datos_base!$K$9,0))*parametros_manuales!$G$95+parametros_manuales!$D$27*(datos_base!$K$18+IF(parametros_manuales!$H$27="Todos",datos_base!$K$23,0))*parametros_manuales!$G$12+parametros_manuales!$E$27*(datos_base!$K$3+IF(parametros_manuales!$H$27="Todos",datos_base!$K$10,0))*parametros_manuales!$G$100+parametros_manuales!$E$27*(datos_base!$K$19+IF(parametros_manuales!$H$27="Todos",datos_base!$K$24,0))*parametros_manuales!$G$13+parametros_manuales!$F$27*(datos_base!$K$4+IF(parametros_manuales!$H$27="Todos",datos_base!$K$11,0))*parametros_manuales!$G$105+parametros_manuales!$F$27*(datos_base!$K$20+IF(parametros_manuales!$H$27="Todos",datos_base!$K$25,0))*parametros_manuales!$G$14+parametros_manuales!$G$27*(datos_base!$K$5+IF(parametros_manuales!$H$27="Todos",datos_base!$K$12,0))*parametros_manuales!$G$110+parametros_manuales!$G$27*(datos_base!$K$21+IF(parametros_manuales!$H$27="Todos",datos_base!$K$26,0))*parametros_manuales!$G$15)*parametros_manuales!$I$27*parametros_manuales!$J$27</f>
        <v>6135.330393225</v>
      </c>
      <c r="H253" s="9" t="n">
        <f aca="false">(parametros_manuales!$D$27*(datos_base!$K$2+IF(parametros_manuales!$H$27="Todos",datos_base!$K$9,0))*parametros_manuales!$H$95+parametros_manuales!$D$27*(datos_base!$K$18+IF(parametros_manuales!$H$27="Todos",datos_base!$K$23,0))*parametros_manuales!$H$12+parametros_manuales!$E$27*(datos_base!$K$3+IF(parametros_manuales!$H$27="Todos",datos_base!$K$10,0))*parametros_manuales!$H$100+parametros_manuales!$E$27*(datos_base!$K$19+IF(parametros_manuales!$H$27="Todos",datos_base!$K$24,0))*parametros_manuales!$H$13+parametros_manuales!$F$27*(datos_base!$K$4+IF(parametros_manuales!$H$27="Todos",datos_base!$K$11,0))*parametros_manuales!$H$105+parametros_manuales!$F$27*(datos_base!$K$20+IF(parametros_manuales!$H$27="Todos",datos_base!$K$25,0))*parametros_manuales!$H$14+parametros_manuales!$G$27*(datos_base!$K$5+IF(parametros_manuales!$H$27="Todos",datos_base!$K$12,0))*parametros_manuales!$H$110+parametros_manuales!$G$27*(datos_base!$K$21+IF(parametros_manuales!$H$27="Todos",datos_base!$K$26,0))*parametros_manuales!$H$15)*parametros_manuales!$I$27*parametros_manuales!$J$27</f>
        <v>6544.35241944</v>
      </c>
      <c r="I253" s="9" t="n">
        <f aca="false">(parametros_manuales!$D$27*(datos_base!$K$2+IF(parametros_manuales!$H$27="Todos",datos_base!$K$9,0))*parametros_manuales!$I$95+parametros_manuales!$D$27*(datos_base!$K$18+IF(parametros_manuales!$H$27="Todos",datos_base!$K$23,0))*parametros_manuales!$I$12+parametros_manuales!$E$27*(datos_base!$K$3+IF(parametros_manuales!$H$27="Todos",datos_base!$K$10,0))*parametros_manuales!$I$100+parametros_manuales!$E$27*(datos_base!$K$19+IF(parametros_manuales!$H$27="Todos",datos_base!$K$24,0))*parametros_manuales!$I$13+parametros_manuales!$F$27*(datos_base!$K$4+IF(parametros_manuales!$H$27="Todos",datos_base!$K$11,0))*parametros_manuales!$I$105+parametros_manuales!$F$27*(datos_base!$K$20+IF(parametros_manuales!$H$27="Todos",datos_base!$K$25,0))*parametros_manuales!$I$14+parametros_manuales!$G$27*(datos_base!$K$5+IF(parametros_manuales!$H$27="Todos",datos_base!$K$12,0))*parametros_manuales!$I$110+parametros_manuales!$G$27*(datos_base!$K$21+IF(parametros_manuales!$H$27="Todos",datos_base!$K$26,0))*parametros_manuales!$I$15)*parametros_manuales!$I$27*parametros_manuales!$J$27</f>
        <v>6544.35241944</v>
      </c>
      <c r="J253" s="9" t="n">
        <f aca="false">(parametros_manuales!$D$27*(datos_base!$K$2+IF(parametros_manuales!$H$27="Todos",datos_base!$K$9,0))*parametros_manuales!$J$95+parametros_manuales!$D$27*(datos_base!$K$18+IF(parametros_manuales!$H$27="Todos",datos_base!$K$23,0))*parametros_manuales!$J$12+parametros_manuales!$E$27*(datos_base!$K$3+IF(parametros_manuales!$H$27="Todos",datos_base!$K$10,0))*parametros_manuales!$J$100+parametros_manuales!$E$27*(datos_base!$K$19+IF(parametros_manuales!$H$27="Todos",datos_base!$K$24,0))*parametros_manuales!$J$13+parametros_manuales!$F$27*(datos_base!$K$4+IF(parametros_manuales!$H$27="Todos",datos_base!$K$11,0))*parametros_manuales!$J$105+parametros_manuales!$F$27*(datos_base!$K$20+IF(parametros_manuales!$H$27="Todos",datos_base!$K$25,0))*parametros_manuales!$J$14+parametros_manuales!$G$27*(datos_base!$K$5+IF(parametros_manuales!$H$27="Todos",datos_base!$K$12,0))*parametros_manuales!$J$110+parametros_manuales!$G$27*(datos_base!$K$21+IF(parametros_manuales!$H$27="Todos",datos_base!$K$26,0))*parametros_manuales!$J$15)*parametros_manuales!$I$27*parametros_manuales!$J$27</f>
        <v>6544.35241944</v>
      </c>
      <c r="K253" s="9" t="n">
        <f aca="false">(parametros_manuales!$D$27*(datos_base!$K$2+IF(parametros_manuales!$H$27="Todos",datos_base!$K$9,0))*parametros_manuales!$K$95+parametros_manuales!$D$27*(datos_base!$K$18+IF(parametros_manuales!$H$27="Todos",datos_base!$K$23,0))*parametros_manuales!$K$12+parametros_manuales!$E$27*(datos_base!$K$3+IF(parametros_manuales!$H$27="Todos",datos_base!$K$10,0))*parametros_manuales!$K$100+parametros_manuales!$E$27*(datos_base!$K$19+IF(parametros_manuales!$H$27="Todos",datos_base!$K$24,0))*parametros_manuales!$K$13+parametros_manuales!$F$27*(datos_base!$K$4+IF(parametros_manuales!$H$27="Todos",datos_base!$K$11,0))*parametros_manuales!$K$105+parametros_manuales!$F$27*(datos_base!$K$20+IF(parametros_manuales!$H$27="Todos",datos_base!$K$25,0))*parametros_manuales!$K$14+parametros_manuales!$G$27*(datos_base!$K$5+IF(parametros_manuales!$H$27="Todos",datos_base!$K$12,0))*parametros_manuales!$K$110+parametros_manuales!$G$27*(datos_base!$K$21+IF(parametros_manuales!$H$27="Todos",datos_base!$K$26,0))*parametros_manuales!$K$15)*parametros_manuales!$I$27*parametros_manuales!$J$27</f>
        <v>6951.445245655</v>
      </c>
      <c r="L253" s="9" t="n">
        <f aca="false">(parametros_manuales!$D$27*(datos_base!$K$2+IF(parametros_manuales!$H$27="Todos",datos_base!$K$9,0))*parametros_manuales!$L$95+parametros_manuales!$D$27*(datos_base!$K$18+IF(parametros_manuales!$H$27="Todos",datos_base!$K$23,0))*parametros_manuales!$L$12+parametros_manuales!$E$27*(datos_base!$K$3+IF(parametros_manuales!$H$27="Todos",datos_base!$K$10,0))*parametros_manuales!$L$100+parametros_manuales!$E$27*(datos_base!$K$19+IF(parametros_manuales!$H$27="Todos",datos_base!$K$24,0))*parametros_manuales!$L$13+parametros_manuales!$F$27*(datos_base!$K$4+IF(parametros_manuales!$H$27="Todos",datos_base!$K$11,0))*parametros_manuales!$L$105+parametros_manuales!$F$27*(datos_base!$K$20+IF(parametros_manuales!$H$27="Todos",datos_base!$K$25,0))*parametros_manuales!$L$14+parametros_manuales!$G$27*(datos_base!$K$5+IF(parametros_manuales!$H$27="Todos",datos_base!$K$12,0))*parametros_manuales!$L$110+parametros_manuales!$G$27*(datos_base!$K$21+IF(parametros_manuales!$H$27="Todos",datos_base!$K$26,0))*parametros_manuales!$L$15)*parametros_manuales!$I$27*parametros_manuales!$J$27</f>
        <v>7358.53807187</v>
      </c>
      <c r="M253" s="9" t="n">
        <f aca="false">(parametros_manuales!$D$27*(datos_base!$K$2+IF(parametros_manuales!$H$27="Todos",datos_base!$K$9,0))*parametros_manuales!$M$95+parametros_manuales!$D$27*(datos_base!$K$18+IF(parametros_manuales!$H$27="Todos",datos_base!$K$23,0))*parametros_manuales!$M$12+parametros_manuales!$E$27*(datos_base!$K$3+IF(parametros_manuales!$H$27="Todos",datos_base!$K$10,0))*parametros_manuales!$M$100+parametros_manuales!$E$27*(datos_base!$K$19+IF(parametros_manuales!$H$27="Todos",datos_base!$K$24,0))*parametros_manuales!$M$13+parametros_manuales!$F$27*(datos_base!$K$4+IF(parametros_manuales!$H$27="Todos",datos_base!$K$11,0))*parametros_manuales!$M$105+parametros_manuales!$F$27*(datos_base!$K$20+IF(parametros_manuales!$H$27="Todos",datos_base!$K$25,0))*parametros_manuales!$M$14+parametros_manuales!$G$27*(datos_base!$K$5+IF(parametros_manuales!$H$27="Todos",datos_base!$K$12,0))*parametros_manuales!$M$110+parametros_manuales!$G$27*(datos_base!$K$21+IF(parametros_manuales!$H$27="Todos",datos_base!$K$26,0))*parametros_manuales!$M$15)*parametros_manuales!$I$27*parametros_manuales!$J$27</f>
        <v>7366.25487187</v>
      </c>
      <c r="N253" s="9" t="n">
        <f aca="false">SUM(B253:M253)</f>
        <v>81804.405243</v>
      </c>
      <c r="O253" s="9" t="n">
        <f aca="false">MAX(B253:M253)</f>
        <v>7366.25487187</v>
      </c>
      <c r="P253" s="44" t="n">
        <f aca="false">O253/(parametros_manuales!$B$7)</f>
        <v>49.1083658124667</v>
      </c>
      <c r="Q253" s="8" t="str">
        <f aca="false">IF(O253=0,"-",INDEX($B$244:$M$244,MATCH(O253,B253:M253,0)))</f>
        <v>Dic</v>
      </c>
    </row>
    <row r="254" customFormat="false" ht="14.25" hidden="false" customHeight="true" outlineLevel="0" collapsed="false">
      <c r="A254" s="8" t="str">
        <f aca="false">parametros_manuales!$B$28</f>
        <v>Encastre de fondo</v>
      </c>
      <c r="B254" s="9" t="n">
        <f aca="false">(parametros_manuales!$D$28*(datos_base!$K$2+IF(parametros_manuales!$H$28="Todos",datos_base!$K$9,0))*parametros_manuales!$B$95+parametros_manuales!$D$28*(datos_base!$K$18+IF(parametros_manuales!$H$28="Todos",datos_base!$K$23,0))*parametros_manuales!$B$12+parametros_manuales!$E$28*(datos_base!$K$3+IF(parametros_manuales!$H$28="Todos",datos_base!$K$10,0))*parametros_manuales!$B$100+parametros_manuales!$E$28*(datos_base!$K$19+IF(parametros_manuales!$H$28="Todos",datos_base!$K$24,0))*parametros_manuales!$B$13+parametros_manuales!$F$28*(datos_base!$K$4+IF(parametros_manuales!$H$28="Todos",datos_base!$K$11,0))*parametros_manuales!$B$105+parametros_manuales!$F$28*(datos_base!$K$20+IF(parametros_manuales!$H$28="Todos",datos_base!$K$25,0))*parametros_manuales!$B$14+parametros_manuales!$G$28*(datos_base!$K$5+IF(parametros_manuales!$H$28="Todos",datos_base!$K$12,0))*parametros_manuales!$B$110+parametros_manuales!$G$28*(datos_base!$K$21+IF(parametros_manuales!$H$28="Todos",datos_base!$K$26,0))*parametros_manuales!$B$15)*parametros_manuales!$I$28*parametros_manuales!$J$28</f>
        <v>25600.18319357</v>
      </c>
      <c r="C254" s="9" t="n">
        <f aca="false">(parametros_manuales!$D$28*(datos_base!$K$2+IF(parametros_manuales!$H$28="Todos",datos_base!$K$9,0))*parametros_manuales!$C$95+parametros_manuales!$D$28*(datos_base!$K$18+IF(parametros_manuales!$H$28="Todos",datos_base!$K$23,0))*parametros_manuales!$C$12+parametros_manuales!$E$28*(datos_base!$K$3+IF(parametros_manuales!$H$28="Todos",datos_base!$K$10,0))*parametros_manuales!$C$100+parametros_manuales!$E$28*(datos_base!$K$19+IF(parametros_manuales!$H$28="Todos",datos_base!$K$24,0))*parametros_manuales!$C$13+parametros_manuales!$F$28*(datos_base!$K$4+IF(parametros_manuales!$H$28="Todos",datos_base!$K$11,0))*parametros_manuales!$C$105+parametros_manuales!$F$28*(datos_base!$K$20+IF(parametros_manuales!$H$28="Todos",datos_base!$K$25,0))*parametros_manuales!$C$14+parametros_manuales!$G$28*(datos_base!$K$5+IF(parametros_manuales!$H$28="Todos",datos_base!$K$12,0))*parametros_manuales!$C$110+parametros_manuales!$G$28*(datos_base!$K$21+IF(parametros_manuales!$H$28="Todos",datos_base!$K$26,0))*parametros_manuales!$C$15)*parametros_manuales!$I$28*parametros_manuales!$J$28</f>
        <v>24780.20994114</v>
      </c>
      <c r="D254" s="9" t="n">
        <f aca="false">(parametros_manuales!$D$28*(datos_base!$K$2+IF(parametros_manuales!$H$28="Todos",datos_base!$K$9,0))*parametros_manuales!$D$95+parametros_manuales!$D$28*(datos_base!$K$18+IF(parametros_manuales!$H$28="Todos",datos_base!$K$23,0))*parametros_manuales!$D$12+parametros_manuales!$E$28*(datos_base!$K$3+IF(parametros_manuales!$H$28="Todos",datos_base!$K$10,0))*parametros_manuales!$D$100+parametros_manuales!$E$28*(datos_base!$K$19+IF(parametros_manuales!$H$28="Todos",datos_base!$K$24,0))*parametros_manuales!$D$13+parametros_manuales!$F$28*(datos_base!$K$4+IF(parametros_manuales!$H$28="Todos",datos_base!$K$11,0))*parametros_manuales!$D$105+parametros_manuales!$F$28*(datos_base!$K$20+IF(parametros_manuales!$H$28="Todos",datos_base!$K$25,0))*parametros_manuales!$D$14+parametros_manuales!$G$28*(datos_base!$K$5+IF(parametros_manuales!$H$28="Todos",datos_base!$K$12,0))*parametros_manuales!$D$110+parametros_manuales!$G$28*(datos_base!$K$21+IF(parametros_manuales!$H$28="Todos",datos_base!$K$26,0))*parametros_manuales!$D$15)*parametros_manuales!$I$28*parametros_manuales!$J$28</f>
        <v>23163.025576055</v>
      </c>
      <c r="E254" s="9" t="n">
        <f aca="false">(parametros_manuales!$D$28*(datos_base!$K$2+IF(parametros_manuales!$H$28="Todos",datos_base!$K$9,0))*parametros_manuales!$E$95+parametros_manuales!$D$28*(datos_base!$K$18+IF(parametros_manuales!$H$28="Todos",datos_base!$K$23,0))*parametros_manuales!$E$12+parametros_manuales!$E$28*(datos_base!$K$3+IF(parametros_manuales!$H$28="Todos",datos_base!$K$10,0))*parametros_manuales!$E$100+parametros_manuales!$E$28*(datos_base!$K$19+IF(parametros_manuales!$H$28="Todos",datos_base!$K$24,0))*parametros_manuales!$E$13+parametros_manuales!$F$28*(datos_base!$K$4+IF(parametros_manuales!$H$28="Todos",datos_base!$K$11,0))*parametros_manuales!$E$105+parametros_manuales!$F$28*(datos_base!$K$20+IF(parametros_manuales!$H$28="Todos",datos_base!$K$25,0))*parametros_manuales!$E$14+parametros_manuales!$G$28*(datos_base!$K$5+IF(parametros_manuales!$H$28="Todos",datos_base!$K$12,0))*parametros_manuales!$E$110+parametros_manuales!$G$28*(datos_base!$K$21+IF(parametros_manuales!$H$28="Todos",datos_base!$K$26,0))*parametros_manuales!$E$15)*parametros_manuales!$I$28*parametros_manuales!$J$28</f>
        <v>22149.922380405</v>
      </c>
      <c r="F254" s="9" t="n">
        <f aca="false">(parametros_manuales!$D$28*(datos_base!$K$2+IF(parametros_manuales!$H$28="Todos",datos_base!$K$9,0))*parametros_manuales!$F$95+parametros_manuales!$D$28*(datos_base!$K$18+IF(parametros_manuales!$H$28="Todos",datos_base!$K$23,0))*parametros_manuales!$F$12+parametros_manuales!$E$28*(datos_base!$K$3+IF(parametros_manuales!$H$28="Todos",datos_base!$K$10,0))*parametros_manuales!$F$100+parametros_manuales!$E$28*(datos_base!$K$19+IF(parametros_manuales!$H$28="Todos",datos_base!$K$24,0))*parametros_manuales!$F$13+parametros_manuales!$F$28*(datos_base!$K$4+IF(parametros_manuales!$H$28="Todos",datos_base!$K$11,0))*parametros_manuales!$F$105+parametros_manuales!$F$28*(datos_base!$K$20+IF(parametros_manuales!$H$28="Todos",datos_base!$K$25,0))*parametros_manuales!$F$14+parametros_manuales!$G$28*(datos_base!$K$5+IF(parametros_manuales!$H$28="Todos",datos_base!$K$12,0))*parametros_manuales!$F$110+parametros_manuales!$G$28*(datos_base!$K$21+IF(parametros_manuales!$H$28="Todos",datos_base!$K$26,0))*parametros_manuales!$F$15)*parametros_manuales!$I$28*parametros_manuales!$J$28</f>
        <v>20727.79715854</v>
      </c>
      <c r="G254" s="9" t="n">
        <f aca="false">(parametros_manuales!$D$28*(datos_base!$K$2+IF(parametros_manuales!$H$28="Todos",datos_base!$K$9,0))*parametros_manuales!$G$95+parametros_manuales!$D$28*(datos_base!$K$18+IF(parametros_manuales!$H$28="Todos",datos_base!$K$23,0))*parametros_manuales!$G$12+parametros_manuales!$E$28*(datos_base!$K$3+IF(parametros_manuales!$H$28="Todos",datos_base!$K$10,0))*parametros_manuales!$G$100+parametros_manuales!$E$28*(datos_base!$K$19+IF(parametros_manuales!$H$28="Todos",datos_base!$K$24,0))*parametros_manuales!$G$13+parametros_manuales!$F$28*(datos_base!$K$4+IF(parametros_manuales!$H$28="Todos",datos_base!$K$11,0))*parametros_manuales!$G$105+parametros_manuales!$F$28*(datos_base!$K$20+IF(parametros_manuales!$H$28="Todos",datos_base!$K$25,0))*parametros_manuales!$G$14+parametros_manuales!$G$28*(datos_base!$K$5+IF(parametros_manuales!$H$28="Todos",datos_base!$K$12,0))*parametros_manuales!$G$110+parametros_manuales!$G$28*(datos_base!$K$21+IF(parametros_manuales!$H$28="Todos",datos_base!$K$26,0))*parametros_manuales!$G$15)*parametros_manuales!$I$28*parametros_manuales!$J$28</f>
        <v>20318.775132325</v>
      </c>
      <c r="H254" s="9" t="n">
        <f aca="false">(parametros_manuales!$D$28*(datos_base!$K$2+IF(parametros_manuales!$H$28="Todos",datos_base!$K$9,0))*parametros_manuales!$H$95+parametros_manuales!$D$28*(datos_base!$K$18+IF(parametros_manuales!$H$28="Todos",datos_base!$K$23,0))*parametros_manuales!$H$12+parametros_manuales!$E$28*(datos_base!$K$3+IF(parametros_manuales!$H$28="Todos",datos_base!$K$10,0))*parametros_manuales!$H$100+parametros_manuales!$E$28*(datos_base!$K$19+IF(parametros_manuales!$H$28="Todos",datos_base!$K$24,0))*parametros_manuales!$H$13+parametros_manuales!$F$28*(datos_base!$K$4+IF(parametros_manuales!$H$28="Todos",datos_base!$K$11,0))*parametros_manuales!$H$105+parametros_manuales!$F$28*(datos_base!$K$20+IF(parametros_manuales!$H$28="Todos",datos_base!$K$25,0))*parametros_manuales!$H$14+parametros_manuales!$G$28*(datos_base!$K$5+IF(parametros_manuales!$H$28="Todos",datos_base!$K$12,0))*parametros_manuales!$H$110+parametros_manuales!$G$28*(datos_base!$K$21+IF(parametros_manuales!$H$28="Todos",datos_base!$K$26,0))*parametros_manuales!$H$15)*parametros_manuales!$I$28*parametros_manuales!$J$28</f>
        <v>21740.90035419</v>
      </c>
      <c r="I254" s="9" t="n">
        <f aca="false">(parametros_manuales!$D$28*(datos_base!$K$2+IF(parametros_manuales!$H$28="Todos",datos_base!$K$9,0))*parametros_manuales!$I$95+parametros_manuales!$D$28*(datos_base!$K$18+IF(parametros_manuales!$H$28="Todos",datos_base!$K$23,0))*parametros_manuales!$I$12+parametros_manuales!$E$28*(datos_base!$K$3+IF(parametros_manuales!$H$28="Todos",datos_base!$K$10,0))*parametros_manuales!$I$100+parametros_manuales!$E$28*(datos_base!$K$19+IF(parametros_manuales!$H$28="Todos",datos_base!$K$24,0))*parametros_manuales!$I$13+parametros_manuales!$F$28*(datos_base!$K$4+IF(parametros_manuales!$H$28="Todos",datos_base!$K$11,0))*parametros_manuales!$I$105+parametros_manuales!$F$28*(datos_base!$K$20+IF(parametros_manuales!$H$28="Todos",datos_base!$K$25,0))*parametros_manuales!$I$14+parametros_manuales!$G$28*(datos_base!$K$5+IF(parametros_manuales!$H$28="Todos",datos_base!$K$12,0))*parametros_manuales!$I$110+parametros_manuales!$G$28*(datos_base!$K$21+IF(parametros_manuales!$H$28="Todos",datos_base!$K$26,0))*parametros_manuales!$I$15)*parametros_manuales!$I$28*parametros_manuales!$J$28</f>
        <v>24780.20994114</v>
      </c>
      <c r="J254" s="9" t="n">
        <f aca="false">(parametros_manuales!$D$28*(datos_base!$K$2+IF(parametros_manuales!$H$28="Todos",datos_base!$K$9,0))*parametros_manuales!$J$95+parametros_manuales!$D$28*(datos_base!$K$18+IF(parametros_manuales!$H$28="Todos",datos_base!$K$23,0))*parametros_manuales!$J$12+parametros_manuales!$E$28*(datos_base!$K$3+IF(parametros_manuales!$H$28="Todos",datos_base!$K$10,0))*parametros_manuales!$J$100+parametros_manuales!$E$28*(datos_base!$K$19+IF(parametros_manuales!$H$28="Todos",datos_base!$K$24,0))*parametros_manuales!$J$13+parametros_manuales!$F$28*(datos_base!$K$4+IF(parametros_manuales!$H$28="Todos",datos_base!$K$11,0))*parametros_manuales!$J$105+parametros_manuales!$F$28*(datos_base!$K$20+IF(parametros_manuales!$H$28="Todos",datos_base!$K$25,0))*parametros_manuales!$J$14+parametros_manuales!$G$28*(datos_base!$K$5+IF(parametros_manuales!$H$28="Todos",datos_base!$K$12,0))*parametros_manuales!$J$110+parametros_manuales!$G$28*(datos_base!$K$21+IF(parametros_manuales!$H$28="Todos",datos_base!$K$26,0))*parametros_manuales!$J$15)*parametros_manuales!$I$28*parametros_manuales!$J$28</f>
        <v>24780.20994114</v>
      </c>
      <c r="K254" s="9" t="n">
        <f aca="false">(parametros_manuales!$D$28*(datos_base!$K$2+IF(parametros_manuales!$H$28="Todos",datos_base!$K$9,0))*parametros_manuales!$K$95+parametros_manuales!$D$28*(datos_base!$K$18+IF(parametros_manuales!$H$28="Todos",datos_base!$K$23,0))*parametros_manuales!$K$12+parametros_manuales!$E$28*(datos_base!$K$3+IF(parametros_manuales!$H$28="Todos",datos_base!$K$10,0))*parametros_manuales!$K$100+parametros_manuales!$E$28*(datos_base!$K$19+IF(parametros_manuales!$H$28="Todos",datos_base!$K$24,0))*parametros_manuales!$K$13+parametros_manuales!$F$28*(datos_base!$K$4+IF(parametros_manuales!$H$28="Todos",datos_base!$K$11,0))*parametros_manuales!$K$105+parametros_manuales!$F$28*(datos_base!$K$20+IF(parametros_manuales!$H$28="Todos",datos_base!$K$25,0))*parametros_manuales!$K$14+parametros_manuales!$G$28*(datos_base!$K$5+IF(parametros_manuales!$H$28="Todos",datos_base!$K$12,0))*parametros_manuales!$K$110+parametros_manuales!$G$28*(datos_base!$K$21+IF(parametros_manuales!$H$28="Todos",datos_base!$K$26,0))*parametros_manuales!$K$15)*parametros_manuales!$I$28*parametros_manuales!$J$28</f>
        <v>25187.302767355</v>
      </c>
      <c r="L254" s="9" t="n">
        <f aca="false">(parametros_manuales!$D$28*(datos_base!$K$2+IF(parametros_manuales!$H$28="Todos",datos_base!$K$9,0))*parametros_manuales!$L$95+parametros_manuales!$D$28*(datos_base!$K$18+IF(parametros_manuales!$H$28="Todos",datos_base!$K$23,0))*parametros_manuales!$L$12+parametros_manuales!$E$28*(datos_base!$K$3+IF(parametros_manuales!$H$28="Todos",datos_base!$K$10,0))*parametros_manuales!$L$100+parametros_manuales!$E$28*(datos_base!$K$19+IF(parametros_manuales!$H$28="Todos",datos_base!$K$24,0))*parametros_manuales!$L$13+parametros_manuales!$F$28*(datos_base!$K$4+IF(parametros_manuales!$H$28="Todos",datos_base!$K$11,0))*parametros_manuales!$L$105+parametros_manuales!$F$28*(datos_base!$K$20+IF(parametros_manuales!$H$28="Todos",datos_base!$K$25,0))*parametros_manuales!$L$14+parametros_manuales!$G$28*(datos_base!$K$5+IF(parametros_manuales!$H$28="Todos",datos_base!$K$12,0))*parametros_manuales!$L$110+parametros_manuales!$G$28*(datos_base!$K$21+IF(parametros_manuales!$H$28="Todos",datos_base!$K$26,0))*parametros_manuales!$L$15)*parametros_manuales!$I$28*parametros_manuales!$J$28</f>
        <v>25594.39559357</v>
      </c>
      <c r="M254" s="9" t="n">
        <f aca="false">(parametros_manuales!$D$28*(datos_base!$K$2+IF(parametros_manuales!$H$28="Todos",datos_base!$K$9,0))*parametros_manuales!$M$95+parametros_manuales!$D$28*(datos_base!$K$18+IF(parametros_manuales!$H$28="Todos",datos_base!$K$23,0))*parametros_manuales!$M$12+parametros_manuales!$E$28*(datos_base!$K$3+IF(parametros_manuales!$H$28="Todos",datos_base!$K$10,0))*parametros_manuales!$M$100+parametros_manuales!$E$28*(datos_base!$K$19+IF(parametros_manuales!$H$28="Todos",datos_base!$K$24,0))*parametros_manuales!$M$13+parametros_manuales!$F$28*(datos_base!$K$4+IF(parametros_manuales!$H$28="Todos",datos_base!$K$11,0))*parametros_manuales!$M$105+parametros_manuales!$F$28*(datos_base!$K$20+IF(parametros_manuales!$H$28="Todos",datos_base!$K$25,0))*parametros_manuales!$M$14+parametros_manuales!$G$28*(datos_base!$K$5+IF(parametros_manuales!$H$28="Todos",datos_base!$K$12,0))*parametros_manuales!$M$110+parametros_manuales!$G$28*(datos_base!$K$21+IF(parametros_manuales!$H$28="Todos",datos_base!$K$26,0))*parametros_manuales!$M$15)*parametros_manuales!$I$28*parametros_manuales!$J$28</f>
        <v>25602.11239357</v>
      </c>
      <c r="N254" s="9" t="n">
        <f aca="false">SUM(B254:M254)</f>
        <v>284425.044373</v>
      </c>
      <c r="O254" s="9" t="n">
        <f aca="false">MAX(B254:M254)</f>
        <v>25602.11239357</v>
      </c>
      <c r="P254" s="44" t="n">
        <f aca="false">O254/(parametros_manuales!$B$7)</f>
        <v>170.680749290467</v>
      </c>
      <c r="Q254" s="8" t="str">
        <f aca="false">IF(O254=0,"-",INDEX($B$244:$M$244,MATCH(O254,B254:M254,0)))</f>
        <v>Dic</v>
      </c>
    </row>
    <row r="255" customFormat="false" ht="14.25" hidden="false" customHeight="true" outlineLevel="0" collapsed="false">
      <c r="A255" s="8" t="str">
        <f aca="false">parametros_manuales!$B$29</f>
        <v>Bordoneado</v>
      </c>
      <c r="B255" s="9" t="n">
        <f aca="false">(parametros_manuales!$D$29*(datos_base!$K$2+IF(parametros_manuales!$H$29="Todos",datos_base!$K$9,0))*parametros_manuales!$B$95+parametros_manuales!$D$29*(datos_base!$K$18+IF(parametros_manuales!$H$29="Todos",datos_base!$K$23,0))*parametros_manuales!$B$12+parametros_manuales!$E$29*(datos_base!$K$3+IF(parametros_manuales!$H$29="Todos",datos_base!$K$10,0))*parametros_manuales!$B$100+parametros_manuales!$E$29*(datos_base!$K$19+IF(parametros_manuales!$H$29="Todos",datos_base!$K$24,0))*parametros_manuales!$B$13+parametros_manuales!$F$29*(datos_base!$K$4+IF(parametros_manuales!$H$29="Todos",datos_base!$K$11,0))*parametros_manuales!$B$105+parametros_manuales!$F$29*(datos_base!$K$20+IF(parametros_manuales!$H$29="Todos",datos_base!$K$25,0))*parametros_manuales!$B$14+parametros_manuales!$G$29*(datos_base!$K$5+IF(parametros_manuales!$H$29="Todos",datos_base!$K$12,0))*parametros_manuales!$B$110+parametros_manuales!$G$29*(datos_base!$K$21+IF(parametros_manuales!$H$29="Todos",datos_base!$K$26,0))*parametros_manuales!$B$15)*parametros_manuales!$I$29*parametros_manuales!$J$29</f>
        <v>25600.18319357</v>
      </c>
      <c r="C255" s="9" t="n">
        <f aca="false">(parametros_manuales!$D$29*(datos_base!$K$2+IF(parametros_manuales!$H$29="Todos",datos_base!$K$9,0))*parametros_manuales!$C$95+parametros_manuales!$D$29*(datos_base!$K$18+IF(parametros_manuales!$H$29="Todos",datos_base!$K$23,0))*parametros_manuales!$C$12+parametros_manuales!$E$29*(datos_base!$K$3+IF(parametros_manuales!$H$29="Todos",datos_base!$K$10,0))*parametros_manuales!$C$100+parametros_manuales!$E$29*(datos_base!$K$19+IF(parametros_manuales!$H$29="Todos",datos_base!$K$24,0))*parametros_manuales!$C$13+parametros_manuales!$F$29*(datos_base!$K$4+IF(parametros_manuales!$H$29="Todos",datos_base!$K$11,0))*parametros_manuales!$C$105+parametros_manuales!$F$29*(datos_base!$K$20+IF(parametros_manuales!$H$29="Todos",datos_base!$K$25,0))*parametros_manuales!$C$14+parametros_manuales!$G$29*(datos_base!$K$5+IF(parametros_manuales!$H$29="Todos",datos_base!$K$12,0))*parametros_manuales!$C$110+parametros_manuales!$G$29*(datos_base!$K$21+IF(parametros_manuales!$H$29="Todos",datos_base!$K$26,0))*parametros_manuales!$C$15)*parametros_manuales!$I$29*parametros_manuales!$J$29</f>
        <v>24780.20994114</v>
      </c>
      <c r="D255" s="9" t="n">
        <f aca="false">(parametros_manuales!$D$29*(datos_base!$K$2+IF(parametros_manuales!$H$29="Todos",datos_base!$K$9,0))*parametros_manuales!$D$95+parametros_manuales!$D$29*(datos_base!$K$18+IF(parametros_manuales!$H$29="Todos",datos_base!$K$23,0))*parametros_manuales!$D$12+parametros_manuales!$E$29*(datos_base!$K$3+IF(parametros_manuales!$H$29="Todos",datos_base!$K$10,0))*parametros_manuales!$D$100+parametros_manuales!$E$29*(datos_base!$K$19+IF(parametros_manuales!$H$29="Todos",datos_base!$K$24,0))*parametros_manuales!$D$13+parametros_manuales!$F$29*(datos_base!$K$4+IF(parametros_manuales!$H$29="Todos",datos_base!$K$11,0))*parametros_manuales!$D$105+parametros_manuales!$F$29*(datos_base!$K$20+IF(parametros_manuales!$H$29="Todos",datos_base!$K$25,0))*parametros_manuales!$D$14+parametros_manuales!$G$29*(datos_base!$K$5+IF(parametros_manuales!$H$29="Todos",datos_base!$K$12,0))*parametros_manuales!$D$110+parametros_manuales!$G$29*(datos_base!$K$21+IF(parametros_manuales!$H$29="Todos",datos_base!$K$26,0))*parametros_manuales!$D$15)*parametros_manuales!$I$29*parametros_manuales!$J$29</f>
        <v>23163.025576055</v>
      </c>
      <c r="E255" s="9" t="n">
        <f aca="false">(parametros_manuales!$D$29*(datos_base!$K$2+IF(parametros_manuales!$H$29="Todos",datos_base!$K$9,0))*parametros_manuales!$E$95+parametros_manuales!$D$29*(datos_base!$K$18+IF(parametros_manuales!$H$29="Todos",datos_base!$K$23,0))*parametros_manuales!$E$12+parametros_manuales!$E$29*(datos_base!$K$3+IF(parametros_manuales!$H$29="Todos",datos_base!$K$10,0))*parametros_manuales!$E$100+parametros_manuales!$E$29*(datos_base!$K$19+IF(parametros_manuales!$H$29="Todos",datos_base!$K$24,0))*parametros_manuales!$E$13+parametros_manuales!$F$29*(datos_base!$K$4+IF(parametros_manuales!$H$29="Todos",datos_base!$K$11,0))*parametros_manuales!$E$105+parametros_manuales!$F$29*(datos_base!$K$20+IF(parametros_manuales!$H$29="Todos",datos_base!$K$25,0))*parametros_manuales!$E$14+parametros_manuales!$G$29*(datos_base!$K$5+IF(parametros_manuales!$H$29="Todos",datos_base!$K$12,0))*parametros_manuales!$E$110+parametros_manuales!$G$29*(datos_base!$K$21+IF(parametros_manuales!$H$29="Todos",datos_base!$K$26,0))*parametros_manuales!$E$15)*parametros_manuales!$I$29*parametros_manuales!$J$29</f>
        <v>22149.922380405</v>
      </c>
      <c r="F255" s="9" t="n">
        <f aca="false">(parametros_manuales!$D$29*(datos_base!$K$2+IF(parametros_manuales!$H$29="Todos",datos_base!$K$9,0))*parametros_manuales!$F$95+parametros_manuales!$D$29*(datos_base!$K$18+IF(parametros_manuales!$H$29="Todos",datos_base!$K$23,0))*parametros_manuales!$F$12+parametros_manuales!$E$29*(datos_base!$K$3+IF(parametros_manuales!$H$29="Todos",datos_base!$K$10,0))*parametros_manuales!$F$100+parametros_manuales!$E$29*(datos_base!$K$19+IF(parametros_manuales!$H$29="Todos",datos_base!$K$24,0))*parametros_manuales!$F$13+parametros_manuales!$F$29*(datos_base!$K$4+IF(parametros_manuales!$H$29="Todos",datos_base!$K$11,0))*parametros_manuales!$F$105+parametros_manuales!$F$29*(datos_base!$K$20+IF(parametros_manuales!$H$29="Todos",datos_base!$K$25,0))*parametros_manuales!$F$14+parametros_manuales!$G$29*(datos_base!$K$5+IF(parametros_manuales!$H$29="Todos",datos_base!$K$12,0))*parametros_manuales!$F$110+parametros_manuales!$G$29*(datos_base!$K$21+IF(parametros_manuales!$H$29="Todos",datos_base!$K$26,0))*parametros_manuales!$F$15)*parametros_manuales!$I$29*parametros_manuales!$J$29</f>
        <v>20727.79715854</v>
      </c>
      <c r="G255" s="9" t="n">
        <f aca="false">(parametros_manuales!$D$29*(datos_base!$K$2+IF(parametros_manuales!$H$29="Todos",datos_base!$K$9,0))*parametros_manuales!$G$95+parametros_manuales!$D$29*(datos_base!$K$18+IF(parametros_manuales!$H$29="Todos",datos_base!$K$23,0))*parametros_manuales!$G$12+parametros_manuales!$E$29*(datos_base!$K$3+IF(parametros_manuales!$H$29="Todos",datos_base!$K$10,0))*parametros_manuales!$G$100+parametros_manuales!$E$29*(datos_base!$K$19+IF(parametros_manuales!$H$29="Todos",datos_base!$K$24,0))*parametros_manuales!$G$13+parametros_manuales!$F$29*(datos_base!$K$4+IF(parametros_manuales!$H$29="Todos",datos_base!$K$11,0))*parametros_manuales!$G$105+parametros_manuales!$F$29*(datos_base!$K$20+IF(parametros_manuales!$H$29="Todos",datos_base!$K$25,0))*parametros_manuales!$G$14+parametros_manuales!$G$29*(datos_base!$K$5+IF(parametros_manuales!$H$29="Todos",datos_base!$K$12,0))*parametros_manuales!$G$110+parametros_manuales!$G$29*(datos_base!$K$21+IF(parametros_manuales!$H$29="Todos",datos_base!$K$26,0))*parametros_manuales!$G$15)*parametros_manuales!$I$29*parametros_manuales!$J$29</f>
        <v>20318.775132325</v>
      </c>
      <c r="H255" s="9" t="n">
        <f aca="false">(parametros_manuales!$D$29*(datos_base!$K$2+IF(parametros_manuales!$H$29="Todos",datos_base!$K$9,0))*parametros_manuales!$H$95+parametros_manuales!$D$29*(datos_base!$K$18+IF(parametros_manuales!$H$29="Todos",datos_base!$K$23,0))*parametros_manuales!$H$12+parametros_manuales!$E$29*(datos_base!$K$3+IF(parametros_manuales!$H$29="Todos",datos_base!$K$10,0))*parametros_manuales!$H$100+parametros_manuales!$E$29*(datos_base!$K$19+IF(parametros_manuales!$H$29="Todos",datos_base!$K$24,0))*parametros_manuales!$H$13+parametros_manuales!$F$29*(datos_base!$K$4+IF(parametros_manuales!$H$29="Todos",datos_base!$K$11,0))*parametros_manuales!$H$105+parametros_manuales!$F$29*(datos_base!$K$20+IF(parametros_manuales!$H$29="Todos",datos_base!$K$25,0))*parametros_manuales!$H$14+parametros_manuales!$G$29*(datos_base!$K$5+IF(parametros_manuales!$H$29="Todos",datos_base!$K$12,0))*parametros_manuales!$H$110+parametros_manuales!$G$29*(datos_base!$K$21+IF(parametros_manuales!$H$29="Todos",datos_base!$K$26,0))*parametros_manuales!$H$15)*parametros_manuales!$I$29*parametros_manuales!$J$29</f>
        <v>21740.90035419</v>
      </c>
      <c r="I255" s="9" t="n">
        <f aca="false">(parametros_manuales!$D$29*(datos_base!$K$2+IF(parametros_manuales!$H$29="Todos",datos_base!$K$9,0))*parametros_manuales!$I$95+parametros_manuales!$D$29*(datos_base!$K$18+IF(parametros_manuales!$H$29="Todos",datos_base!$K$23,0))*parametros_manuales!$I$12+parametros_manuales!$E$29*(datos_base!$K$3+IF(parametros_manuales!$H$29="Todos",datos_base!$K$10,0))*parametros_manuales!$I$100+parametros_manuales!$E$29*(datos_base!$K$19+IF(parametros_manuales!$H$29="Todos",datos_base!$K$24,0))*parametros_manuales!$I$13+parametros_manuales!$F$29*(datos_base!$K$4+IF(parametros_manuales!$H$29="Todos",datos_base!$K$11,0))*parametros_manuales!$I$105+parametros_manuales!$F$29*(datos_base!$K$20+IF(parametros_manuales!$H$29="Todos",datos_base!$K$25,0))*parametros_manuales!$I$14+parametros_manuales!$G$29*(datos_base!$K$5+IF(parametros_manuales!$H$29="Todos",datos_base!$K$12,0))*parametros_manuales!$I$110+parametros_manuales!$G$29*(datos_base!$K$21+IF(parametros_manuales!$H$29="Todos",datos_base!$K$26,0))*parametros_manuales!$I$15)*parametros_manuales!$I$29*parametros_manuales!$J$29</f>
        <v>24780.20994114</v>
      </c>
      <c r="J255" s="9" t="n">
        <f aca="false">(parametros_manuales!$D$29*(datos_base!$K$2+IF(parametros_manuales!$H$29="Todos",datos_base!$K$9,0))*parametros_manuales!$J$95+parametros_manuales!$D$29*(datos_base!$K$18+IF(parametros_manuales!$H$29="Todos",datos_base!$K$23,0))*parametros_manuales!$J$12+parametros_manuales!$E$29*(datos_base!$K$3+IF(parametros_manuales!$H$29="Todos",datos_base!$K$10,0))*parametros_manuales!$J$100+parametros_manuales!$E$29*(datos_base!$K$19+IF(parametros_manuales!$H$29="Todos",datos_base!$K$24,0))*parametros_manuales!$J$13+parametros_manuales!$F$29*(datos_base!$K$4+IF(parametros_manuales!$H$29="Todos",datos_base!$K$11,0))*parametros_manuales!$J$105+parametros_manuales!$F$29*(datos_base!$K$20+IF(parametros_manuales!$H$29="Todos",datos_base!$K$25,0))*parametros_manuales!$J$14+parametros_manuales!$G$29*(datos_base!$K$5+IF(parametros_manuales!$H$29="Todos",datos_base!$K$12,0))*parametros_manuales!$J$110+parametros_manuales!$G$29*(datos_base!$K$21+IF(parametros_manuales!$H$29="Todos",datos_base!$K$26,0))*parametros_manuales!$J$15)*parametros_manuales!$I$29*parametros_manuales!$J$29</f>
        <v>24780.20994114</v>
      </c>
      <c r="K255" s="9" t="n">
        <f aca="false">(parametros_manuales!$D$29*(datos_base!$K$2+IF(parametros_manuales!$H$29="Todos",datos_base!$K$9,0))*parametros_manuales!$K$95+parametros_manuales!$D$29*(datos_base!$K$18+IF(parametros_manuales!$H$29="Todos",datos_base!$K$23,0))*parametros_manuales!$K$12+parametros_manuales!$E$29*(datos_base!$K$3+IF(parametros_manuales!$H$29="Todos",datos_base!$K$10,0))*parametros_manuales!$K$100+parametros_manuales!$E$29*(datos_base!$K$19+IF(parametros_manuales!$H$29="Todos",datos_base!$K$24,0))*parametros_manuales!$K$13+parametros_manuales!$F$29*(datos_base!$K$4+IF(parametros_manuales!$H$29="Todos",datos_base!$K$11,0))*parametros_manuales!$K$105+parametros_manuales!$F$29*(datos_base!$K$20+IF(parametros_manuales!$H$29="Todos",datos_base!$K$25,0))*parametros_manuales!$K$14+parametros_manuales!$G$29*(datos_base!$K$5+IF(parametros_manuales!$H$29="Todos",datos_base!$K$12,0))*parametros_manuales!$K$110+parametros_manuales!$G$29*(datos_base!$K$21+IF(parametros_manuales!$H$29="Todos",datos_base!$K$26,0))*parametros_manuales!$K$15)*parametros_manuales!$I$29*parametros_manuales!$J$29</f>
        <v>25187.302767355</v>
      </c>
      <c r="L255" s="9" t="n">
        <f aca="false">(parametros_manuales!$D$29*(datos_base!$K$2+IF(parametros_manuales!$H$29="Todos",datos_base!$K$9,0))*parametros_manuales!$L$95+parametros_manuales!$D$29*(datos_base!$K$18+IF(parametros_manuales!$H$29="Todos",datos_base!$K$23,0))*parametros_manuales!$L$12+parametros_manuales!$E$29*(datos_base!$K$3+IF(parametros_manuales!$H$29="Todos",datos_base!$K$10,0))*parametros_manuales!$L$100+parametros_manuales!$E$29*(datos_base!$K$19+IF(parametros_manuales!$H$29="Todos",datos_base!$K$24,0))*parametros_manuales!$L$13+parametros_manuales!$F$29*(datos_base!$K$4+IF(parametros_manuales!$H$29="Todos",datos_base!$K$11,0))*parametros_manuales!$L$105+parametros_manuales!$F$29*(datos_base!$K$20+IF(parametros_manuales!$H$29="Todos",datos_base!$K$25,0))*parametros_manuales!$L$14+parametros_manuales!$G$29*(datos_base!$K$5+IF(parametros_manuales!$H$29="Todos",datos_base!$K$12,0))*parametros_manuales!$L$110+parametros_manuales!$G$29*(datos_base!$K$21+IF(parametros_manuales!$H$29="Todos",datos_base!$K$26,0))*parametros_manuales!$L$15)*parametros_manuales!$I$29*parametros_manuales!$J$29</f>
        <v>25594.39559357</v>
      </c>
      <c r="M255" s="9" t="n">
        <f aca="false">(parametros_manuales!$D$29*(datos_base!$K$2+IF(parametros_manuales!$H$29="Todos",datos_base!$K$9,0))*parametros_manuales!$M$95+parametros_manuales!$D$29*(datos_base!$K$18+IF(parametros_manuales!$H$29="Todos",datos_base!$K$23,0))*parametros_manuales!$M$12+parametros_manuales!$E$29*(datos_base!$K$3+IF(parametros_manuales!$H$29="Todos",datos_base!$K$10,0))*parametros_manuales!$M$100+parametros_manuales!$E$29*(datos_base!$K$19+IF(parametros_manuales!$H$29="Todos",datos_base!$K$24,0))*parametros_manuales!$M$13+parametros_manuales!$F$29*(datos_base!$K$4+IF(parametros_manuales!$H$29="Todos",datos_base!$K$11,0))*parametros_manuales!$M$105+parametros_manuales!$F$29*(datos_base!$K$20+IF(parametros_manuales!$H$29="Todos",datos_base!$K$25,0))*parametros_manuales!$M$14+parametros_manuales!$G$29*(datos_base!$K$5+IF(parametros_manuales!$H$29="Todos",datos_base!$K$12,0))*parametros_manuales!$M$110+parametros_manuales!$G$29*(datos_base!$K$21+IF(parametros_manuales!$H$29="Todos",datos_base!$K$26,0))*parametros_manuales!$M$15)*parametros_manuales!$I$29*parametros_manuales!$J$29</f>
        <v>25602.11239357</v>
      </c>
      <c r="N255" s="9" t="n">
        <f aca="false">SUM(B255:M255)</f>
        <v>284425.044373</v>
      </c>
      <c r="O255" s="9" t="n">
        <f aca="false">MAX(B255:M255)</f>
        <v>25602.11239357</v>
      </c>
      <c r="P255" s="44" t="n">
        <f aca="false">O255/(parametros_manuales!$B$7)</f>
        <v>170.680749290467</v>
      </c>
      <c r="Q255" s="8" t="str">
        <f aca="false">IF(O255=0,"-",INDEX($B$244:$M$244,MATCH(O255,B255:M255,0)))</f>
        <v>Dic</v>
      </c>
    </row>
    <row r="256" customFormat="false" ht="14.25" hidden="false" customHeight="true" outlineLevel="0" collapsed="false">
      <c r="A256" s="8" t="str">
        <f aca="false">parametros_manuales!$B$30</f>
        <v>Soldadura circunferencial de cúpula y fondo</v>
      </c>
      <c r="B256" s="9" t="n">
        <f aca="false">(parametros_manuales!$D$30*(datos_base!$K$2+IF(parametros_manuales!$H$30="Todos",datos_base!$K$9,0))*parametros_manuales!$B$95+parametros_manuales!$D$30*(datos_base!$K$18+IF(parametros_manuales!$H$30="Todos",datos_base!$K$23,0))*parametros_manuales!$B$12+parametros_manuales!$E$30*(datos_base!$K$3+IF(parametros_manuales!$H$30="Todos",datos_base!$K$10,0))*parametros_manuales!$B$100+parametros_manuales!$E$30*(datos_base!$K$19+IF(parametros_manuales!$H$30="Todos",datos_base!$K$24,0))*parametros_manuales!$B$13+parametros_manuales!$F$30*(datos_base!$K$4+IF(parametros_manuales!$H$30="Todos",datos_base!$K$11,0))*parametros_manuales!$B$105+parametros_manuales!$F$30*(datos_base!$K$20+IF(parametros_manuales!$H$30="Todos",datos_base!$K$25,0))*parametros_manuales!$B$14+parametros_manuales!$G$30*(datos_base!$K$5+IF(parametros_manuales!$H$30="Todos",datos_base!$K$12,0))*parametros_manuales!$B$110+parametros_manuales!$G$30*(datos_base!$K$21+IF(parametros_manuales!$H$30="Todos",datos_base!$K$26,0))*parametros_manuales!$B$15)*parametros_manuales!$I$30*parametros_manuales!$J$30</f>
        <v>25600.18319357</v>
      </c>
      <c r="C256" s="9" t="n">
        <f aca="false">(parametros_manuales!$D$30*(datos_base!$K$2+IF(parametros_manuales!$H$30="Todos",datos_base!$K$9,0))*parametros_manuales!$C$95+parametros_manuales!$D$30*(datos_base!$K$18+IF(parametros_manuales!$H$30="Todos",datos_base!$K$23,0))*parametros_manuales!$C$12+parametros_manuales!$E$30*(datos_base!$K$3+IF(parametros_manuales!$H$30="Todos",datos_base!$K$10,0))*parametros_manuales!$C$100+parametros_manuales!$E$30*(datos_base!$K$19+IF(parametros_manuales!$H$30="Todos",datos_base!$K$24,0))*parametros_manuales!$C$13+parametros_manuales!$F$30*(datos_base!$K$4+IF(parametros_manuales!$H$30="Todos",datos_base!$K$11,0))*parametros_manuales!$C$105+parametros_manuales!$F$30*(datos_base!$K$20+IF(parametros_manuales!$H$30="Todos",datos_base!$K$25,0))*parametros_manuales!$C$14+parametros_manuales!$G$30*(datos_base!$K$5+IF(parametros_manuales!$H$30="Todos",datos_base!$K$12,0))*parametros_manuales!$C$110+parametros_manuales!$G$30*(datos_base!$K$21+IF(parametros_manuales!$H$30="Todos",datos_base!$K$26,0))*parametros_manuales!$C$15)*parametros_manuales!$I$30*parametros_manuales!$J$30</f>
        <v>24780.20994114</v>
      </c>
      <c r="D256" s="9" t="n">
        <f aca="false">(parametros_manuales!$D$30*(datos_base!$K$2+IF(parametros_manuales!$H$30="Todos",datos_base!$K$9,0))*parametros_manuales!$D$95+parametros_manuales!$D$30*(datos_base!$K$18+IF(parametros_manuales!$H$30="Todos",datos_base!$K$23,0))*parametros_manuales!$D$12+parametros_manuales!$E$30*(datos_base!$K$3+IF(parametros_manuales!$H$30="Todos",datos_base!$K$10,0))*parametros_manuales!$D$100+parametros_manuales!$E$30*(datos_base!$K$19+IF(parametros_manuales!$H$30="Todos",datos_base!$K$24,0))*parametros_manuales!$D$13+parametros_manuales!$F$30*(datos_base!$K$4+IF(parametros_manuales!$H$30="Todos",datos_base!$K$11,0))*parametros_manuales!$D$105+parametros_manuales!$F$30*(datos_base!$K$20+IF(parametros_manuales!$H$30="Todos",datos_base!$K$25,0))*parametros_manuales!$D$14+parametros_manuales!$G$30*(datos_base!$K$5+IF(parametros_manuales!$H$30="Todos",datos_base!$K$12,0))*parametros_manuales!$D$110+parametros_manuales!$G$30*(datos_base!$K$21+IF(parametros_manuales!$H$30="Todos",datos_base!$K$26,0))*parametros_manuales!$D$15)*parametros_manuales!$I$30*parametros_manuales!$J$30</f>
        <v>23163.025576055</v>
      </c>
      <c r="E256" s="9" t="n">
        <f aca="false">(parametros_manuales!$D$30*(datos_base!$K$2+IF(parametros_manuales!$H$30="Todos",datos_base!$K$9,0))*parametros_manuales!$E$95+parametros_manuales!$D$30*(datos_base!$K$18+IF(parametros_manuales!$H$30="Todos",datos_base!$K$23,0))*parametros_manuales!$E$12+parametros_manuales!$E$30*(datos_base!$K$3+IF(parametros_manuales!$H$30="Todos",datos_base!$K$10,0))*parametros_manuales!$E$100+parametros_manuales!$E$30*(datos_base!$K$19+IF(parametros_manuales!$H$30="Todos",datos_base!$K$24,0))*parametros_manuales!$E$13+parametros_manuales!$F$30*(datos_base!$K$4+IF(parametros_manuales!$H$30="Todos",datos_base!$K$11,0))*parametros_manuales!$E$105+parametros_manuales!$F$30*(datos_base!$K$20+IF(parametros_manuales!$H$30="Todos",datos_base!$K$25,0))*parametros_manuales!$E$14+parametros_manuales!$G$30*(datos_base!$K$5+IF(parametros_manuales!$H$30="Todos",datos_base!$K$12,0))*parametros_manuales!$E$110+parametros_manuales!$G$30*(datos_base!$K$21+IF(parametros_manuales!$H$30="Todos",datos_base!$K$26,0))*parametros_manuales!$E$15)*parametros_manuales!$I$30*parametros_manuales!$J$30</f>
        <v>22149.922380405</v>
      </c>
      <c r="F256" s="9" t="n">
        <f aca="false">(parametros_manuales!$D$30*(datos_base!$K$2+IF(parametros_manuales!$H$30="Todos",datos_base!$K$9,0))*parametros_manuales!$F$95+parametros_manuales!$D$30*(datos_base!$K$18+IF(parametros_manuales!$H$30="Todos",datos_base!$K$23,0))*parametros_manuales!$F$12+parametros_manuales!$E$30*(datos_base!$K$3+IF(parametros_manuales!$H$30="Todos",datos_base!$K$10,0))*parametros_manuales!$F$100+parametros_manuales!$E$30*(datos_base!$K$19+IF(parametros_manuales!$H$30="Todos",datos_base!$K$24,0))*parametros_manuales!$F$13+parametros_manuales!$F$30*(datos_base!$K$4+IF(parametros_manuales!$H$30="Todos",datos_base!$K$11,0))*parametros_manuales!$F$105+parametros_manuales!$F$30*(datos_base!$K$20+IF(parametros_manuales!$H$30="Todos",datos_base!$K$25,0))*parametros_manuales!$F$14+parametros_manuales!$G$30*(datos_base!$K$5+IF(parametros_manuales!$H$30="Todos",datos_base!$K$12,0))*parametros_manuales!$F$110+parametros_manuales!$G$30*(datos_base!$K$21+IF(parametros_manuales!$H$30="Todos",datos_base!$K$26,0))*parametros_manuales!$F$15)*parametros_manuales!$I$30*parametros_manuales!$J$30</f>
        <v>20727.79715854</v>
      </c>
      <c r="G256" s="9" t="n">
        <f aca="false">(parametros_manuales!$D$30*(datos_base!$K$2+IF(parametros_manuales!$H$30="Todos",datos_base!$K$9,0))*parametros_manuales!$G$95+parametros_manuales!$D$30*(datos_base!$K$18+IF(parametros_manuales!$H$30="Todos",datos_base!$K$23,0))*parametros_manuales!$G$12+parametros_manuales!$E$30*(datos_base!$K$3+IF(parametros_manuales!$H$30="Todos",datos_base!$K$10,0))*parametros_manuales!$G$100+parametros_manuales!$E$30*(datos_base!$K$19+IF(parametros_manuales!$H$30="Todos",datos_base!$K$24,0))*parametros_manuales!$G$13+parametros_manuales!$F$30*(datos_base!$K$4+IF(parametros_manuales!$H$30="Todos",datos_base!$K$11,0))*parametros_manuales!$G$105+parametros_manuales!$F$30*(datos_base!$K$20+IF(parametros_manuales!$H$30="Todos",datos_base!$K$25,0))*parametros_manuales!$G$14+parametros_manuales!$G$30*(datos_base!$K$5+IF(parametros_manuales!$H$30="Todos",datos_base!$K$12,0))*parametros_manuales!$G$110+parametros_manuales!$G$30*(datos_base!$K$21+IF(parametros_manuales!$H$30="Todos",datos_base!$K$26,0))*parametros_manuales!$G$15)*parametros_manuales!$I$30*parametros_manuales!$J$30</f>
        <v>20318.775132325</v>
      </c>
      <c r="H256" s="9" t="n">
        <f aca="false">(parametros_manuales!$D$30*(datos_base!$K$2+IF(parametros_manuales!$H$30="Todos",datos_base!$K$9,0))*parametros_manuales!$H$95+parametros_manuales!$D$30*(datos_base!$K$18+IF(parametros_manuales!$H$30="Todos",datos_base!$K$23,0))*parametros_manuales!$H$12+parametros_manuales!$E$30*(datos_base!$K$3+IF(parametros_manuales!$H$30="Todos",datos_base!$K$10,0))*parametros_manuales!$H$100+parametros_manuales!$E$30*(datos_base!$K$19+IF(parametros_manuales!$H$30="Todos",datos_base!$K$24,0))*parametros_manuales!$H$13+parametros_manuales!$F$30*(datos_base!$K$4+IF(parametros_manuales!$H$30="Todos",datos_base!$K$11,0))*parametros_manuales!$H$105+parametros_manuales!$F$30*(datos_base!$K$20+IF(parametros_manuales!$H$30="Todos",datos_base!$K$25,0))*parametros_manuales!$H$14+parametros_manuales!$G$30*(datos_base!$K$5+IF(parametros_manuales!$H$30="Todos",datos_base!$K$12,0))*parametros_manuales!$H$110+parametros_manuales!$G$30*(datos_base!$K$21+IF(parametros_manuales!$H$30="Todos",datos_base!$K$26,0))*parametros_manuales!$H$15)*parametros_manuales!$I$30*parametros_manuales!$J$30</f>
        <v>21740.90035419</v>
      </c>
      <c r="I256" s="9" t="n">
        <f aca="false">(parametros_manuales!$D$30*(datos_base!$K$2+IF(parametros_manuales!$H$30="Todos",datos_base!$K$9,0))*parametros_manuales!$I$95+parametros_manuales!$D$30*(datos_base!$K$18+IF(parametros_manuales!$H$30="Todos",datos_base!$K$23,0))*parametros_manuales!$I$12+parametros_manuales!$E$30*(datos_base!$K$3+IF(parametros_manuales!$H$30="Todos",datos_base!$K$10,0))*parametros_manuales!$I$100+parametros_manuales!$E$30*(datos_base!$K$19+IF(parametros_manuales!$H$30="Todos",datos_base!$K$24,0))*parametros_manuales!$I$13+parametros_manuales!$F$30*(datos_base!$K$4+IF(parametros_manuales!$H$30="Todos",datos_base!$K$11,0))*parametros_manuales!$I$105+parametros_manuales!$F$30*(datos_base!$K$20+IF(parametros_manuales!$H$30="Todos",datos_base!$K$25,0))*parametros_manuales!$I$14+parametros_manuales!$G$30*(datos_base!$K$5+IF(parametros_manuales!$H$30="Todos",datos_base!$K$12,0))*parametros_manuales!$I$110+parametros_manuales!$G$30*(datos_base!$K$21+IF(parametros_manuales!$H$30="Todos",datos_base!$K$26,0))*parametros_manuales!$I$15)*parametros_manuales!$I$30*parametros_manuales!$J$30</f>
        <v>24780.20994114</v>
      </c>
      <c r="J256" s="9" t="n">
        <f aca="false">(parametros_manuales!$D$30*(datos_base!$K$2+IF(parametros_manuales!$H$30="Todos",datos_base!$K$9,0))*parametros_manuales!$J$95+parametros_manuales!$D$30*(datos_base!$K$18+IF(parametros_manuales!$H$30="Todos",datos_base!$K$23,0))*parametros_manuales!$J$12+parametros_manuales!$E$30*(datos_base!$K$3+IF(parametros_manuales!$H$30="Todos",datos_base!$K$10,0))*parametros_manuales!$J$100+parametros_manuales!$E$30*(datos_base!$K$19+IF(parametros_manuales!$H$30="Todos",datos_base!$K$24,0))*parametros_manuales!$J$13+parametros_manuales!$F$30*(datos_base!$K$4+IF(parametros_manuales!$H$30="Todos",datos_base!$K$11,0))*parametros_manuales!$J$105+parametros_manuales!$F$30*(datos_base!$K$20+IF(parametros_manuales!$H$30="Todos",datos_base!$K$25,0))*parametros_manuales!$J$14+parametros_manuales!$G$30*(datos_base!$K$5+IF(parametros_manuales!$H$30="Todos",datos_base!$K$12,0))*parametros_manuales!$J$110+parametros_manuales!$G$30*(datos_base!$K$21+IF(parametros_manuales!$H$30="Todos",datos_base!$K$26,0))*parametros_manuales!$J$15)*parametros_manuales!$I$30*parametros_manuales!$J$30</f>
        <v>24780.20994114</v>
      </c>
      <c r="K256" s="9" t="n">
        <f aca="false">(parametros_manuales!$D$30*(datos_base!$K$2+IF(parametros_manuales!$H$30="Todos",datos_base!$K$9,0))*parametros_manuales!$K$95+parametros_manuales!$D$30*(datos_base!$K$18+IF(parametros_manuales!$H$30="Todos",datos_base!$K$23,0))*parametros_manuales!$K$12+parametros_manuales!$E$30*(datos_base!$K$3+IF(parametros_manuales!$H$30="Todos",datos_base!$K$10,0))*parametros_manuales!$K$100+parametros_manuales!$E$30*(datos_base!$K$19+IF(parametros_manuales!$H$30="Todos",datos_base!$K$24,0))*parametros_manuales!$K$13+parametros_manuales!$F$30*(datos_base!$K$4+IF(parametros_manuales!$H$30="Todos",datos_base!$K$11,0))*parametros_manuales!$K$105+parametros_manuales!$F$30*(datos_base!$K$20+IF(parametros_manuales!$H$30="Todos",datos_base!$K$25,0))*parametros_manuales!$K$14+parametros_manuales!$G$30*(datos_base!$K$5+IF(parametros_manuales!$H$30="Todos",datos_base!$K$12,0))*parametros_manuales!$K$110+parametros_manuales!$G$30*(datos_base!$K$21+IF(parametros_manuales!$H$30="Todos",datos_base!$K$26,0))*parametros_manuales!$K$15)*parametros_manuales!$I$30*parametros_manuales!$J$30</f>
        <v>25187.302767355</v>
      </c>
      <c r="L256" s="9" t="n">
        <f aca="false">(parametros_manuales!$D$30*(datos_base!$K$2+IF(parametros_manuales!$H$30="Todos",datos_base!$K$9,0))*parametros_manuales!$L$95+parametros_manuales!$D$30*(datos_base!$K$18+IF(parametros_manuales!$H$30="Todos",datos_base!$K$23,0))*parametros_manuales!$L$12+parametros_manuales!$E$30*(datos_base!$K$3+IF(parametros_manuales!$H$30="Todos",datos_base!$K$10,0))*parametros_manuales!$L$100+parametros_manuales!$E$30*(datos_base!$K$19+IF(parametros_manuales!$H$30="Todos",datos_base!$K$24,0))*parametros_manuales!$L$13+parametros_manuales!$F$30*(datos_base!$K$4+IF(parametros_manuales!$H$30="Todos",datos_base!$K$11,0))*parametros_manuales!$L$105+parametros_manuales!$F$30*(datos_base!$K$20+IF(parametros_manuales!$H$30="Todos",datos_base!$K$25,0))*parametros_manuales!$L$14+parametros_manuales!$G$30*(datos_base!$K$5+IF(parametros_manuales!$H$30="Todos",datos_base!$K$12,0))*parametros_manuales!$L$110+parametros_manuales!$G$30*(datos_base!$K$21+IF(parametros_manuales!$H$30="Todos",datos_base!$K$26,0))*parametros_manuales!$L$15)*parametros_manuales!$I$30*parametros_manuales!$J$30</f>
        <v>25594.39559357</v>
      </c>
      <c r="M256" s="9" t="n">
        <f aca="false">(parametros_manuales!$D$30*(datos_base!$K$2+IF(parametros_manuales!$H$30="Todos",datos_base!$K$9,0))*parametros_manuales!$M$95+parametros_manuales!$D$30*(datos_base!$K$18+IF(parametros_manuales!$H$30="Todos",datos_base!$K$23,0))*parametros_manuales!$M$12+parametros_manuales!$E$30*(datos_base!$K$3+IF(parametros_manuales!$H$30="Todos",datos_base!$K$10,0))*parametros_manuales!$M$100+parametros_manuales!$E$30*(datos_base!$K$19+IF(parametros_manuales!$H$30="Todos",datos_base!$K$24,0))*parametros_manuales!$M$13+parametros_manuales!$F$30*(datos_base!$K$4+IF(parametros_manuales!$H$30="Todos",datos_base!$K$11,0))*parametros_manuales!$M$105+parametros_manuales!$F$30*(datos_base!$K$20+IF(parametros_manuales!$H$30="Todos",datos_base!$K$25,0))*parametros_manuales!$M$14+parametros_manuales!$G$30*(datos_base!$K$5+IF(parametros_manuales!$H$30="Todos",datos_base!$K$12,0))*parametros_manuales!$M$110+parametros_manuales!$G$30*(datos_base!$K$21+IF(parametros_manuales!$H$30="Todos",datos_base!$K$26,0))*parametros_manuales!$M$15)*parametros_manuales!$I$30*parametros_manuales!$J$30</f>
        <v>25602.11239357</v>
      </c>
      <c r="N256" s="9" t="n">
        <f aca="false">SUM(B256:M256)</f>
        <v>284425.044373</v>
      </c>
      <c r="O256" s="9" t="n">
        <f aca="false">MAX(B256:M256)</f>
        <v>25602.11239357</v>
      </c>
      <c r="P256" s="44" t="n">
        <f aca="false">O256/(parametros_manuales!$B$7)</f>
        <v>170.680749290467</v>
      </c>
      <c r="Q256" s="8" t="str">
        <f aca="false">IF(O256=0,"-",INDEX($B$244:$M$244,MATCH(O256,B256:M256,0)))</f>
        <v>Dic</v>
      </c>
    </row>
    <row r="257" customFormat="false" ht="14.25" hidden="false" customHeight="true" outlineLevel="0" collapsed="false">
      <c r="A257" s="8" t="str">
        <f aca="false">parametros_manuales!$B$31</f>
        <v>Control de calidad — Espesor</v>
      </c>
      <c r="B257" s="9" t="n">
        <f aca="false">(parametros_manuales!$D$31*(datos_base!$K$2+IF(parametros_manuales!$H$31="Todos",datos_base!$K$9,0))*parametros_manuales!$B$95+parametros_manuales!$D$31*(datos_base!$K$18+IF(parametros_manuales!$H$31="Todos",datos_base!$K$23,0))*parametros_manuales!$B$12+parametros_manuales!$E$31*(datos_base!$K$3+IF(parametros_manuales!$H$31="Todos",datos_base!$K$10,0))*parametros_manuales!$B$100+parametros_manuales!$E$31*(datos_base!$K$19+IF(parametros_manuales!$H$31="Todos",datos_base!$K$24,0))*parametros_manuales!$B$13+parametros_manuales!$F$31*(datos_base!$K$4+IF(parametros_manuales!$H$31="Todos",datos_base!$K$11,0))*parametros_manuales!$B$105+parametros_manuales!$F$31*(datos_base!$K$20+IF(parametros_manuales!$H$31="Todos",datos_base!$K$25,0))*parametros_manuales!$B$14+parametros_manuales!$G$31*(datos_base!$K$5+IF(parametros_manuales!$H$31="Todos",datos_base!$K$12,0))*parametros_manuales!$B$110+parametros_manuales!$G$31*(datos_base!$K$21+IF(parametros_manuales!$H$31="Todos",datos_base!$K$26,0))*parametros_manuales!$B$15)*parametros_manuales!$I$31*parametros_manuales!$J$31</f>
        <v>512.0036638714</v>
      </c>
      <c r="C257" s="9" t="n">
        <f aca="false">(parametros_manuales!$D$31*(datos_base!$K$2+IF(parametros_manuales!$H$31="Todos",datos_base!$K$9,0))*parametros_manuales!$C$95+parametros_manuales!$D$31*(datos_base!$K$18+IF(parametros_manuales!$H$31="Todos",datos_base!$K$23,0))*parametros_manuales!$C$12+parametros_manuales!$E$31*(datos_base!$K$3+IF(parametros_manuales!$H$31="Todos",datos_base!$K$10,0))*parametros_manuales!$C$100+parametros_manuales!$E$31*(datos_base!$K$19+IF(parametros_manuales!$H$31="Todos",datos_base!$K$24,0))*parametros_manuales!$C$13+parametros_manuales!$F$31*(datos_base!$K$4+IF(parametros_manuales!$H$31="Todos",datos_base!$K$11,0))*parametros_manuales!$C$105+parametros_manuales!$F$31*(datos_base!$K$20+IF(parametros_manuales!$H$31="Todos",datos_base!$K$25,0))*parametros_manuales!$C$14+parametros_manuales!$G$31*(datos_base!$K$5+IF(parametros_manuales!$H$31="Todos",datos_base!$K$12,0))*parametros_manuales!$C$110+parametros_manuales!$G$31*(datos_base!$K$21+IF(parametros_manuales!$H$31="Todos",datos_base!$K$26,0))*parametros_manuales!$C$15)*parametros_manuales!$I$31*parametros_manuales!$J$31</f>
        <v>495.6041988228</v>
      </c>
      <c r="D257" s="9" t="n">
        <f aca="false">(parametros_manuales!$D$31*(datos_base!$K$2+IF(parametros_manuales!$H$31="Todos",datos_base!$K$9,0))*parametros_manuales!$D$95+parametros_manuales!$D$31*(datos_base!$K$18+IF(parametros_manuales!$H$31="Todos",datos_base!$K$23,0))*parametros_manuales!$D$12+parametros_manuales!$E$31*(datos_base!$K$3+IF(parametros_manuales!$H$31="Todos",datos_base!$K$10,0))*parametros_manuales!$D$100+parametros_manuales!$E$31*(datos_base!$K$19+IF(parametros_manuales!$H$31="Todos",datos_base!$K$24,0))*parametros_manuales!$D$13+parametros_manuales!$F$31*(datos_base!$K$4+IF(parametros_manuales!$H$31="Todos",datos_base!$K$11,0))*parametros_manuales!$D$105+parametros_manuales!$F$31*(datos_base!$K$20+IF(parametros_manuales!$H$31="Todos",datos_base!$K$25,0))*parametros_manuales!$D$14+parametros_manuales!$G$31*(datos_base!$K$5+IF(parametros_manuales!$H$31="Todos",datos_base!$K$12,0))*parametros_manuales!$D$110+parametros_manuales!$G$31*(datos_base!$K$21+IF(parametros_manuales!$H$31="Todos",datos_base!$K$26,0))*parametros_manuales!$D$15)*parametros_manuales!$I$31*parametros_manuales!$J$31</f>
        <v>463.2605115211</v>
      </c>
      <c r="E257" s="9" t="n">
        <f aca="false">(parametros_manuales!$D$31*(datos_base!$K$2+IF(parametros_manuales!$H$31="Todos",datos_base!$K$9,0))*parametros_manuales!$E$95+parametros_manuales!$D$31*(datos_base!$K$18+IF(parametros_manuales!$H$31="Todos",datos_base!$K$23,0))*parametros_manuales!$E$12+parametros_manuales!$E$31*(datos_base!$K$3+IF(parametros_manuales!$H$31="Todos",datos_base!$K$10,0))*parametros_manuales!$E$100+parametros_manuales!$E$31*(datos_base!$K$19+IF(parametros_manuales!$H$31="Todos",datos_base!$K$24,0))*parametros_manuales!$E$13+parametros_manuales!$F$31*(datos_base!$K$4+IF(parametros_manuales!$H$31="Todos",datos_base!$K$11,0))*parametros_manuales!$E$105+parametros_manuales!$F$31*(datos_base!$K$20+IF(parametros_manuales!$H$31="Todos",datos_base!$K$25,0))*parametros_manuales!$E$14+parametros_manuales!$G$31*(datos_base!$K$5+IF(parametros_manuales!$H$31="Todos",datos_base!$K$12,0))*parametros_manuales!$E$110+parametros_manuales!$G$31*(datos_base!$K$21+IF(parametros_manuales!$H$31="Todos",datos_base!$K$26,0))*parametros_manuales!$E$15)*parametros_manuales!$I$31*parametros_manuales!$J$31</f>
        <v>442.9984476081</v>
      </c>
      <c r="F257" s="9" t="n">
        <f aca="false">(parametros_manuales!$D$31*(datos_base!$K$2+IF(parametros_manuales!$H$31="Todos",datos_base!$K$9,0))*parametros_manuales!$F$95+parametros_manuales!$D$31*(datos_base!$K$18+IF(parametros_manuales!$H$31="Todos",datos_base!$K$23,0))*parametros_manuales!$F$12+parametros_manuales!$E$31*(datos_base!$K$3+IF(parametros_manuales!$H$31="Todos",datos_base!$K$10,0))*parametros_manuales!$F$100+parametros_manuales!$E$31*(datos_base!$K$19+IF(parametros_manuales!$H$31="Todos",datos_base!$K$24,0))*parametros_manuales!$F$13+parametros_manuales!$F$31*(datos_base!$K$4+IF(parametros_manuales!$H$31="Todos",datos_base!$K$11,0))*parametros_manuales!$F$105+parametros_manuales!$F$31*(datos_base!$K$20+IF(parametros_manuales!$H$31="Todos",datos_base!$K$25,0))*parametros_manuales!$F$14+parametros_manuales!$G$31*(datos_base!$K$5+IF(parametros_manuales!$H$31="Todos",datos_base!$K$12,0))*parametros_manuales!$F$110+parametros_manuales!$G$31*(datos_base!$K$21+IF(parametros_manuales!$H$31="Todos",datos_base!$K$26,0))*parametros_manuales!$F$15)*parametros_manuales!$I$31*parametros_manuales!$J$31</f>
        <v>414.5559431708</v>
      </c>
      <c r="G257" s="9" t="n">
        <f aca="false">(parametros_manuales!$D$31*(datos_base!$K$2+IF(parametros_manuales!$H$31="Todos",datos_base!$K$9,0))*parametros_manuales!$G$95+parametros_manuales!$D$31*(datos_base!$K$18+IF(parametros_manuales!$H$31="Todos",datos_base!$K$23,0))*parametros_manuales!$G$12+parametros_manuales!$E$31*(datos_base!$K$3+IF(parametros_manuales!$H$31="Todos",datos_base!$K$10,0))*parametros_manuales!$G$100+parametros_manuales!$E$31*(datos_base!$K$19+IF(parametros_manuales!$H$31="Todos",datos_base!$K$24,0))*parametros_manuales!$G$13+parametros_manuales!$F$31*(datos_base!$K$4+IF(parametros_manuales!$H$31="Todos",datos_base!$K$11,0))*parametros_manuales!$G$105+parametros_manuales!$F$31*(datos_base!$K$20+IF(parametros_manuales!$H$31="Todos",datos_base!$K$25,0))*parametros_manuales!$G$14+parametros_manuales!$G$31*(datos_base!$K$5+IF(parametros_manuales!$H$31="Todos",datos_base!$K$12,0))*parametros_manuales!$G$110+parametros_manuales!$G$31*(datos_base!$K$21+IF(parametros_manuales!$H$31="Todos",datos_base!$K$26,0))*parametros_manuales!$G$15)*parametros_manuales!$I$31*parametros_manuales!$J$31</f>
        <v>406.3755026465</v>
      </c>
      <c r="H257" s="9" t="n">
        <f aca="false">(parametros_manuales!$D$31*(datos_base!$K$2+IF(parametros_manuales!$H$31="Todos",datos_base!$K$9,0))*parametros_manuales!$H$95+parametros_manuales!$D$31*(datos_base!$K$18+IF(parametros_manuales!$H$31="Todos",datos_base!$K$23,0))*parametros_manuales!$H$12+parametros_manuales!$E$31*(datos_base!$K$3+IF(parametros_manuales!$H$31="Todos",datos_base!$K$10,0))*parametros_manuales!$H$100+parametros_manuales!$E$31*(datos_base!$K$19+IF(parametros_manuales!$H$31="Todos",datos_base!$K$24,0))*parametros_manuales!$H$13+parametros_manuales!$F$31*(datos_base!$K$4+IF(parametros_manuales!$H$31="Todos",datos_base!$K$11,0))*parametros_manuales!$H$105+parametros_manuales!$F$31*(datos_base!$K$20+IF(parametros_manuales!$H$31="Todos",datos_base!$K$25,0))*parametros_manuales!$H$14+parametros_manuales!$G$31*(datos_base!$K$5+IF(parametros_manuales!$H$31="Todos",datos_base!$K$12,0))*parametros_manuales!$H$110+parametros_manuales!$G$31*(datos_base!$K$21+IF(parametros_manuales!$H$31="Todos",datos_base!$K$26,0))*parametros_manuales!$H$15)*parametros_manuales!$I$31*parametros_manuales!$J$31</f>
        <v>434.8180070838</v>
      </c>
      <c r="I257" s="9" t="n">
        <f aca="false">(parametros_manuales!$D$31*(datos_base!$K$2+IF(parametros_manuales!$H$31="Todos",datos_base!$K$9,0))*parametros_manuales!$I$95+parametros_manuales!$D$31*(datos_base!$K$18+IF(parametros_manuales!$H$31="Todos",datos_base!$K$23,0))*parametros_manuales!$I$12+parametros_manuales!$E$31*(datos_base!$K$3+IF(parametros_manuales!$H$31="Todos",datos_base!$K$10,0))*parametros_manuales!$I$100+parametros_manuales!$E$31*(datos_base!$K$19+IF(parametros_manuales!$H$31="Todos",datos_base!$K$24,0))*parametros_manuales!$I$13+parametros_manuales!$F$31*(datos_base!$K$4+IF(parametros_manuales!$H$31="Todos",datos_base!$K$11,0))*parametros_manuales!$I$105+parametros_manuales!$F$31*(datos_base!$K$20+IF(parametros_manuales!$H$31="Todos",datos_base!$K$25,0))*parametros_manuales!$I$14+parametros_manuales!$G$31*(datos_base!$K$5+IF(parametros_manuales!$H$31="Todos",datos_base!$K$12,0))*parametros_manuales!$I$110+parametros_manuales!$G$31*(datos_base!$K$21+IF(parametros_manuales!$H$31="Todos",datos_base!$K$26,0))*parametros_manuales!$I$15)*parametros_manuales!$I$31*parametros_manuales!$J$31</f>
        <v>495.6041988228</v>
      </c>
      <c r="J257" s="9" t="n">
        <f aca="false">(parametros_manuales!$D$31*(datos_base!$K$2+IF(parametros_manuales!$H$31="Todos",datos_base!$K$9,0))*parametros_manuales!$J$95+parametros_manuales!$D$31*(datos_base!$K$18+IF(parametros_manuales!$H$31="Todos",datos_base!$K$23,0))*parametros_manuales!$J$12+parametros_manuales!$E$31*(datos_base!$K$3+IF(parametros_manuales!$H$31="Todos",datos_base!$K$10,0))*parametros_manuales!$J$100+parametros_manuales!$E$31*(datos_base!$K$19+IF(parametros_manuales!$H$31="Todos",datos_base!$K$24,0))*parametros_manuales!$J$13+parametros_manuales!$F$31*(datos_base!$K$4+IF(parametros_manuales!$H$31="Todos",datos_base!$K$11,0))*parametros_manuales!$J$105+parametros_manuales!$F$31*(datos_base!$K$20+IF(parametros_manuales!$H$31="Todos",datos_base!$K$25,0))*parametros_manuales!$J$14+parametros_manuales!$G$31*(datos_base!$K$5+IF(parametros_manuales!$H$31="Todos",datos_base!$K$12,0))*parametros_manuales!$J$110+parametros_manuales!$G$31*(datos_base!$K$21+IF(parametros_manuales!$H$31="Todos",datos_base!$K$26,0))*parametros_manuales!$J$15)*parametros_manuales!$I$31*parametros_manuales!$J$31</f>
        <v>495.6041988228</v>
      </c>
      <c r="K257" s="9" t="n">
        <f aca="false">(parametros_manuales!$D$31*(datos_base!$K$2+IF(parametros_manuales!$H$31="Todos",datos_base!$K$9,0))*parametros_manuales!$K$95+parametros_manuales!$D$31*(datos_base!$K$18+IF(parametros_manuales!$H$31="Todos",datos_base!$K$23,0))*parametros_manuales!$K$12+parametros_manuales!$E$31*(datos_base!$K$3+IF(parametros_manuales!$H$31="Todos",datos_base!$K$10,0))*parametros_manuales!$K$100+parametros_manuales!$E$31*(datos_base!$K$19+IF(parametros_manuales!$H$31="Todos",datos_base!$K$24,0))*parametros_manuales!$K$13+parametros_manuales!$F$31*(datos_base!$K$4+IF(parametros_manuales!$H$31="Todos",datos_base!$K$11,0))*parametros_manuales!$K$105+parametros_manuales!$F$31*(datos_base!$K$20+IF(parametros_manuales!$H$31="Todos",datos_base!$K$25,0))*parametros_manuales!$K$14+parametros_manuales!$G$31*(datos_base!$K$5+IF(parametros_manuales!$H$31="Todos",datos_base!$K$12,0))*parametros_manuales!$K$110+parametros_manuales!$G$31*(datos_base!$K$21+IF(parametros_manuales!$H$31="Todos",datos_base!$K$26,0))*parametros_manuales!$K$15)*parametros_manuales!$I$31*parametros_manuales!$J$31</f>
        <v>503.7460553471</v>
      </c>
      <c r="L257" s="9" t="n">
        <f aca="false">(parametros_manuales!$D$31*(datos_base!$K$2+IF(parametros_manuales!$H$31="Todos",datos_base!$K$9,0))*parametros_manuales!$L$95+parametros_manuales!$D$31*(datos_base!$K$18+IF(parametros_manuales!$H$31="Todos",datos_base!$K$23,0))*parametros_manuales!$L$12+parametros_manuales!$E$31*(datos_base!$K$3+IF(parametros_manuales!$H$31="Todos",datos_base!$K$10,0))*parametros_manuales!$L$100+parametros_manuales!$E$31*(datos_base!$K$19+IF(parametros_manuales!$H$31="Todos",datos_base!$K$24,0))*parametros_manuales!$L$13+parametros_manuales!$F$31*(datos_base!$K$4+IF(parametros_manuales!$H$31="Todos",datos_base!$K$11,0))*parametros_manuales!$L$105+parametros_manuales!$F$31*(datos_base!$K$20+IF(parametros_manuales!$H$31="Todos",datos_base!$K$25,0))*parametros_manuales!$L$14+parametros_manuales!$G$31*(datos_base!$K$5+IF(parametros_manuales!$H$31="Todos",datos_base!$K$12,0))*parametros_manuales!$L$110+parametros_manuales!$G$31*(datos_base!$K$21+IF(parametros_manuales!$H$31="Todos",datos_base!$K$26,0))*parametros_manuales!$L$15)*parametros_manuales!$I$31*parametros_manuales!$J$31</f>
        <v>511.8879118714</v>
      </c>
      <c r="M257" s="9" t="n">
        <f aca="false">(parametros_manuales!$D$31*(datos_base!$K$2+IF(parametros_manuales!$H$31="Todos",datos_base!$K$9,0))*parametros_manuales!$M$95+parametros_manuales!$D$31*(datos_base!$K$18+IF(parametros_manuales!$H$31="Todos",datos_base!$K$23,0))*parametros_manuales!$M$12+parametros_manuales!$E$31*(datos_base!$K$3+IF(parametros_manuales!$H$31="Todos",datos_base!$K$10,0))*parametros_manuales!$M$100+parametros_manuales!$E$31*(datos_base!$K$19+IF(parametros_manuales!$H$31="Todos",datos_base!$K$24,0))*parametros_manuales!$M$13+parametros_manuales!$F$31*(datos_base!$K$4+IF(parametros_manuales!$H$31="Todos",datos_base!$K$11,0))*parametros_manuales!$M$105+parametros_manuales!$F$31*(datos_base!$K$20+IF(parametros_manuales!$H$31="Todos",datos_base!$K$25,0))*parametros_manuales!$M$14+parametros_manuales!$G$31*(datos_base!$K$5+IF(parametros_manuales!$H$31="Todos",datos_base!$K$12,0))*parametros_manuales!$M$110+parametros_manuales!$G$31*(datos_base!$K$21+IF(parametros_manuales!$H$31="Todos",datos_base!$K$26,0))*parametros_manuales!$M$15)*parametros_manuales!$I$31*parametros_manuales!$J$31</f>
        <v>512.0422478714</v>
      </c>
      <c r="N257" s="9" t="n">
        <f aca="false">SUM(B257:M257)</f>
        <v>5688.50088746</v>
      </c>
      <c r="O257" s="9" t="n">
        <f aca="false">MAX(B257:M257)</f>
        <v>512.0422478714</v>
      </c>
      <c r="P257" s="44" t="n">
        <f aca="false">O257/(parametros_manuales!$B$7)</f>
        <v>3.41361498580933</v>
      </c>
      <c r="Q257" s="8" t="str">
        <f aca="false">IF(O257=0,"-",INDEX($B$244:$M$244,MATCH(O257,B257:M257,0)))</f>
        <v>Dic</v>
      </c>
    </row>
    <row r="258" customFormat="false" ht="14.25" hidden="false" customHeight="true" outlineLevel="0" collapsed="false">
      <c r="A258" s="8" t="str">
        <f aca="false">parametros_manuales!$B$32</f>
        <v>Prueba hidráulica</v>
      </c>
      <c r="B258" s="9" t="n">
        <f aca="false">(parametros_manuales!$D$32*(datos_base!$K$2+IF(parametros_manuales!$H$32="Todos",datos_base!$K$9,0))*parametros_manuales!$B$95+parametros_manuales!$D$32*(datos_base!$K$18+IF(parametros_manuales!$H$32="Todos",datos_base!$K$23,0))*parametros_manuales!$B$12+parametros_manuales!$E$32*(datos_base!$K$3+IF(parametros_manuales!$H$32="Todos",datos_base!$K$10,0))*parametros_manuales!$B$100+parametros_manuales!$E$32*(datos_base!$K$19+IF(parametros_manuales!$H$32="Todos",datos_base!$K$24,0))*parametros_manuales!$B$13+parametros_manuales!$F$32*(datos_base!$K$4+IF(parametros_manuales!$H$32="Todos",datos_base!$K$11,0))*parametros_manuales!$B$105+parametros_manuales!$F$32*(datos_base!$K$20+IF(parametros_manuales!$H$32="Todos",datos_base!$K$25,0))*parametros_manuales!$B$14+parametros_manuales!$G$32*(datos_base!$K$5+IF(parametros_manuales!$H$32="Todos",datos_base!$K$12,0))*parametros_manuales!$B$110+parametros_manuales!$G$32*(datos_base!$K$21+IF(parametros_manuales!$H$32="Todos",datos_base!$K$26,0))*parametros_manuales!$B$15)*parametros_manuales!$I$32*parametros_manuales!$J$32</f>
        <v>25600.18319357</v>
      </c>
      <c r="C258" s="9" t="n">
        <f aca="false">(parametros_manuales!$D$32*(datos_base!$K$2+IF(parametros_manuales!$H$32="Todos",datos_base!$K$9,0))*parametros_manuales!$C$95+parametros_manuales!$D$32*(datos_base!$K$18+IF(parametros_manuales!$H$32="Todos",datos_base!$K$23,0))*parametros_manuales!$C$12+parametros_manuales!$E$32*(datos_base!$K$3+IF(parametros_manuales!$H$32="Todos",datos_base!$K$10,0))*parametros_manuales!$C$100+parametros_manuales!$E$32*(datos_base!$K$19+IF(parametros_manuales!$H$32="Todos",datos_base!$K$24,0))*parametros_manuales!$C$13+parametros_manuales!$F$32*(datos_base!$K$4+IF(parametros_manuales!$H$32="Todos",datos_base!$K$11,0))*parametros_manuales!$C$105+parametros_manuales!$F$32*(datos_base!$K$20+IF(parametros_manuales!$H$32="Todos",datos_base!$K$25,0))*parametros_manuales!$C$14+parametros_manuales!$G$32*(datos_base!$K$5+IF(parametros_manuales!$H$32="Todos",datos_base!$K$12,0))*parametros_manuales!$C$110+parametros_manuales!$G$32*(datos_base!$K$21+IF(parametros_manuales!$H$32="Todos",datos_base!$K$26,0))*parametros_manuales!$C$15)*parametros_manuales!$I$32*parametros_manuales!$J$32</f>
        <v>24780.20994114</v>
      </c>
      <c r="D258" s="9" t="n">
        <f aca="false">(parametros_manuales!$D$32*(datos_base!$K$2+IF(parametros_manuales!$H$32="Todos",datos_base!$K$9,0))*parametros_manuales!$D$95+parametros_manuales!$D$32*(datos_base!$K$18+IF(parametros_manuales!$H$32="Todos",datos_base!$K$23,0))*parametros_manuales!$D$12+parametros_manuales!$E$32*(datos_base!$K$3+IF(parametros_manuales!$H$32="Todos",datos_base!$K$10,0))*parametros_manuales!$D$100+parametros_manuales!$E$32*(datos_base!$K$19+IF(parametros_manuales!$H$32="Todos",datos_base!$K$24,0))*parametros_manuales!$D$13+parametros_manuales!$F$32*(datos_base!$K$4+IF(parametros_manuales!$H$32="Todos",datos_base!$K$11,0))*parametros_manuales!$D$105+parametros_manuales!$F$32*(datos_base!$K$20+IF(parametros_manuales!$H$32="Todos",datos_base!$K$25,0))*parametros_manuales!$D$14+parametros_manuales!$G$32*(datos_base!$K$5+IF(parametros_manuales!$H$32="Todos",datos_base!$K$12,0))*parametros_manuales!$D$110+parametros_manuales!$G$32*(datos_base!$K$21+IF(parametros_manuales!$H$32="Todos",datos_base!$K$26,0))*parametros_manuales!$D$15)*parametros_manuales!$I$32*parametros_manuales!$J$32</f>
        <v>23163.025576055</v>
      </c>
      <c r="E258" s="9" t="n">
        <f aca="false">(parametros_manuales!$D$32*(datos_base!$K$2+IF(parametros_manuales!$H$32="Todos",datos_base!$K$9,0))*parametros_manuales!$E$95+parametros_manuales!$D$32*(datos_base!$K$18+IF(parametros_manuales!$H$32="Todos",datos_base!$K$23,0))*parametros_manuales!$E$12+parametros_manuales!$E$32*(datos_base!$K$3+IF(parametros_manuales!$H$32="Todos",datos_base!$K$10,0))*parametros_manuales!$E$100+parametros_manuales!$E$32*(datos_base!$K$19+IF(parametros_manuales!$H$32="Todos",datos_base!$K$24,0))*parametros_manuales!$E$13+parametros_manuales!$F$32*(datos_base!$K$4+IF(parametros_manuales!$H$32="Todos",datos_base!$K$11,0))*parametros_manuales!$E$105+parametros_manuales!$F$32*(datos_base!$K$20+IF(parametros_manuales!$H$32="Todos",datos_base!$K$25,0))*parametros_manuales!$E$14+parametros_manuales!$G$32*(datos_base!$K$5+IF(parametros_manuales!$H$32="Todos",datos_base!$K$12,0))*parametros_manuales!$E$110+parametros_manuales!$G$32*(datos_base!$K$21+IF(parametros_manuales!$H$32="Todos",datos_base!$K$26,0))*parametros_manuales!$E$15)*parametros_manuales!$I$32*parametros_manuales!$J$32</f>
        <v>22149.922380405</v>
      </c>
      <c r="F258" s="9" t="n">
        <f aca="false">(parametros_manuales!$D$32*(datos_base!$K$2+IF(parametros_manuales!$H$32="Todos",datos_base!$K$9,0))*parametros_manuales!$F$95+parametros_manuales!$D$32*(datos_base!$K$18+IF(parametros_manuales!$H$32="Todos",datos_base!$K$23,0))*parametros_manuales!$F$12+parametros_manuales!$E$32*(datos_base!$K$3+IF(parametros_manuales!$H$32="Todos",datos_base!$K$10,0))*parametros_manuales!$F$100+parametros_manuales!$E$32*(datos_base!$K$19+IF(parametros_manuales!$H$32="Todos",datos_base!$K$24,0))*parametros_manuales!$F$13+parametros_manuales!$F$32*(datos_base!$K$4+IF(parametros_manuales!$H$32="Todos",datos_base!$K$11,0))*parametros_manuales!$F$105+parametros_manuales!$F$32*(datos_base!$K$20+IF(parametros_manuales!$H$32="Todos",datos_base!$K$25,0))*parametros_manuales!$F$14+parametros_manuales!$G$32*(datos_base!$K$5+IF(parametros_manuales!$H$32="Todos",datos_base!$K$12,0))*parametros_manuales!$F$110+parametros_manuales!$G$32*(datos_base!$K$21+IF(parametros_manuales!$H$32="Todos",datos_base!$K$26,0))*parametros_manuales!$F$15)*parametros_manuales!$I$32*parametros_manuales!$J$32</f>
        <v>20727.79715854</v>
      </c>
      <c r="G258" s="9" t="n">
        <f aca="false">(parametros_manuales!$D$32*(datos_base!$K$2+IF(parametros_manuales!$H$32="Todos",datos_base!$K$9,0))*parametros_manuales!$G$95+parametros_manuales!$D$32*(datos_base!$K$18+IF(parametros_manuales!$H$32="Todos",datos_base!$K$23,0))*parametros_manuales!$G$12+parametros_manuales!$E$32*(datos_base!$K$3+IF(parametros_manuales!$H$32="Todos",datos_base!$K$10,0))*parametros_manuales!$G$100+parametros_manuales!$E$32*(datos_base!$K$19+IF(parametros_manuales!$H$32="Todos",datos_base!$K$24,0))*parametros_manuales!$G$13+parametros_manuales!$F$32*(datos_base!$K$4+IF(parametros_manuales!$H$32="Todos",datos_base!$K$11,0))*parametros_manuales!$G$105+parametros_manuales!$F$32*(datos_base!$K$20+IF(parametros_manuales!$H$32="Todos",datos_base!$K$25,0))*parametros_manuales!$G$14+parametros_manuales!$G$32*(datos_base!$K$5+IF(parametros_manuales!$H$32="Todos",datos_base!$K$12,0))*parametros_manuales!$G$110+parametros_manuales!$G$32*(datos_base!$K$21+IF(parametros_manuales!$H$32="Todos",datos_base!$K$26,0))*parametros_manuales!$G$15)*parametros_manuales!$I$32*parametros_manuales!$J$32</f>
        <v>20318.775132325</v>
      </c>
      <c r="H258" s="9" t="n">
        <f aca="false">(parametros_manuales!$D$32*(datos_base!$K$2+IF(parametros_manuales!$H$32="Todos",datos_base!$K$9,0))*parametros_manuales!$H$95+parametros_manuales!$D$32*(datos_base!$K$18+IF(parametros_manuales!$H$32="Todos",datos_base!$K$23,0))*parametros_manuales!$H$12+parametros_manuales!$E$32*(datos_base!$K$3+IF(parametros_manuales!$H$32="Todos",datos_base!$K$10,0))*parametros_manuales!$H$100+parametros_manuales!$E$32*(datos_base!$K$19+IF(parametros_manuales!$H$32="Todos",datos_base!$K$24,0))*parametros_manuales!$H$13+parametros_manuales!$F$32*(datos_base!$K$4+IF(parametros_manuales!$H$32="Todos",datos_base!$K$11,0))*parametros_manuales!$H$105+parametros_manuales!$F$32*(datos_base!$K$20+IF(parametros_manuales!$H$32="Todos",datos_base!$K$25,0))*parametros_manuales!$H$14+parametros_manuales!$G$32*(datos_base!$K$5+IF(parametros_manuales!$H$32="Todos",datos_base!$K$12,0))*parametros_manuales!$H$110+parametros_manuales!$G$32*(datos_base!$K$21+IF(parametros_manuales!$H$32="Todos",datos_base!$K$26,0))*parametros_manuales!$H$15)*parametros_manuales!$I$32*parametros_manuales!$J$32</f>
        <v>21740.90035419</v>
      </c>
      <c r="I258" s="9" t="n">
        <f aca="false">(parametros_manuales!$D$32*(datos_base!$K$2+IF(parametros_manuales!$H$32="Todos",datos_base!$K$9,0))*parametros_manuales!$I$95+parametros_manuales!$D$32*(datos_base!$K$18+IF(parametros_manuales!$H$32="Todos",datos_base!$K$23,0))*parametros_manuales!$I$12+parametros_manuales!$E$32*(datos_base!$K$3+IF(parametros_manuales!$H$32="Todos",datos_base!$K$10,0))*parametros_manuales!$I$100+parametros_manuales!$E$32*(datos_base!$K$19+IF(parametros_manuales!$H$32="Todos",datos_base!$K$24,0))*parametros_manuales!$I$13+parametros_manuales!$F$32*(datos_base!$K$4+IF(parametros_manuales!$H$32="Todos",datos_base!$K$11,0))*parametros_manuales!$I$105+parametros_manuales!$F$32*(datos_base!$K$20+IF(parametros_manuales!$H$32="Todos",datos_base!$K$25,0))*parametros_manuales!$I$14+parametros_manuales!$G$32*(datos_base!$K$5+IF(parametros_manuales!$H$32="Todos",datos_base!$K$12,0))*parametros_manuales!$I$110+parametros_manuales!$G$32*(datos_base!$K$21+IF(parametros_manuales!$H$32="Todos",datos_base!$K$26,0))*parametros_manuales!$I$15)*parametros_manuales!$I$32*parametros_manuales!$J$32</f>
        <v>24780.20994114</v>
      </c>
      <c r="J258" s="9" t="n">
        <f aca="false">(parametros_manuales!$D$32*(datos_base!$K$2+IF(parametros_manuales!$H$32="Todos",datos_base!$K$9,0))*parametros_manuales!$J$95+parametros_manuales!$D$32*(datos_base!$K$18+IF(parametros_manuales!$H$32="Todos",datos_base!$K$23,0))*parametros_manuales!$J$12+parametros_manuales!$E$32*(datos_base!$K$3+IF(parametros_manuales!$H$32="Todos",datos_base!$K$10,0))*parametros_manuales!$J$100+parametros_manuales!$E$32*(datos_base!$K$19+IF(parametros_manuales!$H$32="Todos",datos_base!$K$24,0))*parametros_manuales!$J$13+parametros_manuales!$F$32*(datos_base!$K$4+IF(parametros_manuales!$H$32="Todos",datos_base!$K$11,0))*parametros_manuales!$J$105+parametros_manuales!$F$32*(datos_base!$K$20+IF(parametros_manuales!$H$32="Todos",datos_base!$K$25,0))*parametros_manuales!$J$14+parametros_manuales!$G$32*(datos_base!$K$5+IF(parametros_manuales!$H$32="Todos",datos_base!$K$12,0))*parametros_manuales!$J$110+parametros_manuales!$G$32*(datos_base!$K$21+IF(parametros_manuales!$H$32="Todos",datos_base!$K$26,0))*parametros_manuales!$J$15)*parametros_manuales!$I$32*parametros_manuales!$J$32</f>
        <v>24780.20994114</v>
      </c>
      <c r="K258" s="9" t="n">
        <f aca="false">(parametros_manuales!$D$32*(datos_base!$K$2+IF(parametros_manuales!$H$32="Todos",datos_base!$K$9,0))*parametros_manuales!$K$95+parametros_manuales!$D$32*(datos_base!$K$18+IF(parametros_manuales!$H$32="Todos",datos_base!$K$23,0))*parametros_manuales!$K$12+parametros_manuales!$E$32*(datos_base!$K$3+IF(parametros_manuales!$H$32="Todos",datos_base!$K$10,0))*parametros_manuales!$K$100+parametros_manuales!$E$32*(datos_base!$K$19+IF(parametros_manuales!$H$32="Todos",datos_base!$K$24,0))*parametros_manuales!$K$13+parametros_manuales!$F$32*(datos_base!$K$4+IF(parametros_manuales!$H$32="Todos",datos_base!$K$11,0))*parametros_manuales!$K$105+parametros_manuales!$F$32*(datos_base!$K$20+IF(parametros_manuales!$H$32="Todos",datos_base!$K$25,0))*parametros_manuales!$K$14+parametros_manuales!$G$32*(datos_base!$K$5+IF(parametros_manuales!$H$32="Todos",datos_base!$K$12,0))*parametros_manuales!$K$110+parametros_manuales!$G$32*(datos_base!$K$21+IF(parametros_manuales!$H$32="Todos",datos_base!$K$26,0))*parametros_manuales!$K$15)*parametros_manuales!$I$32*parametros_manuales!$J$32</f>
        <v>25187.302767355</v>
      </c>
      <c r="L258" s="9" t="n">
        <f aca="false">(parametros_manuales!$D$32*(datos_base!$K$2+IF(parametros_manuales!$H$32="Todos",datos_base!$K$9,0))*parametros_manuales!$L$95+parametros_manuales!$D$32*(datos_base!$K$18+IF(parametros_manuales!$H$32="Todos",datos_base!$K$23,0))*parametros_manuales!$L$12+parametros_manuales!$E$32*(datos_base!$K$3+IF(parametros_manuales!$H$32="Todos",datos_base!$K$10,0))*parametros_manuales!$L$100+parametros_manuales!$E$32*(datos_base!$K$19+IF(parametros_manuales!$H$32="Todos",datos_base!$K$24,0))*parametros_manuales!$L$13+parametros_manuales!$F$32*(datos_base!$K$4+IF(parametros_manuales!$H$32="Todos",datos_base!$K$11,0))*parametros_manuales!$L$105+parametros_manuales!$F$32*(datos_base!$K$20+IF(parametros_manuales!$H$32="Todos",datos_base!$K$25,0))*parametros_manuales!$L$14+parametros_manuales!$G$32*(datos_base!$K$5+IF(parametros_manuales!$H$32="Todos",datos_base!$K$12,0))*parametros_manuales!$L$110+parametros_manuales!$G$32*(datos_base!$K$21+IF(parametros_manuales!$H$32="Todos",datos_base!$K$26,0))*parametros_manuales!$L$15)*parametros_manuales!$I$32*parametros_manuales!$J$32</f>
        <v>25594.39559357</v>
      </c>
      <c r="M258" s="9" t="n">
        <f aca="false">(parametros_manuales!$D$32*(datos_base!$K$2+IF(parametros_manuales!$H$32="Todos",datos_base!$K$9,0))*parametros_manuales!$M$95+parametros_manuales!$D$32*(datos_base!$K$18+IF(parametros_manuales!$H$32="Todos",datos_base!$K$23,0))*parametros_manuales!$M$12+parametros_manuales!$E$32*(datos_base!$K$3+IF(parametros_manuales!$H$32="Todos",datos_base!$K$10,0))*parametros_manuales!$M$100+parametros_manuales!$E$32*(datos_base!$K$19+IF(parametros_manuales!$H$32="Todos",datos_base!$K$24,0))*parametros_manuales!$M$13+parametros_manuales!$F$32*(datos_base!$K$4+IF(parametros_manuales!$H$32="Todos",datos_base!$K$11,0))*parametros_manuales!$M$105+parametros_manuales!$F$32*(datos_base!$K$20+IF(parametros_manuales!$H$32="Todos",datos_base!$K$25,0))*parametros_manuales!$M$14+parametros_manuales!$G$32*(datos_base!$K$5+IF(parametros_manuales!$H$32="Todos",datos_base!$K$12,0))*parametros_manuales!$M$110+parametros_manuales!$G$32*(datos_base!$K$21+IF(parametros_manuales!$H$32="Todos",datos_base!$K$26,0))*parametros_manuales!$M$15)*parametros_manuales!$I$32*parametros_manuales!$J$32</f>
        <v>25602.11239357</v>
      </c>
      <c r="N258" s="9" t="n">
        <f aca="false">SUM(B258:M258)</f>
        <v>284425.044373</v>
      </c>
      <c r="O258" s="9" t="n">
        <f aca="false">MAX(B258:M258)</f>
        <v>25602.11239357</v>
      </c>
      <c r="P258" s="44" t="n">
        <f aca="false">O258/(parametros_manuales!$B$7)</f>
        <v>170.680749290467</v>
      </c>
      <c r="Q258" s="8" t="str">
        <f aca="false">IF(O258=0,"-",INDEX($B$244:$M$244,MATCH(O258,B258:M258,0)))</f>
        <v>Dic</v>
      </c>
    </row>
    <row r="259" customFormat="false" ht="14.25" hidden="false" customHeight="true" outlineLevel="0" collapsed="false">
      <c r="A259" s="8" t="str">
        <f aca="false">parametros_manuales!$B$33</f>
        <v>Secado</v>
      </c>
      <c r="B259" s="9" t="n">
        <f aca="false">(parametros_manuales!$D$33*(datos_base!$K$2+IF(parametros_manuales!$H$33="Todos",datos_base!$K$9,0))*parametros_manuales!$B$95+parametros_manuales!$D$33*(datos_base!$K$18+IF(parametros_manuales!$H$33="Todos",datos_base!$K$23,0))*parametros_manuales!$B$12+parametros_manuales!$E$33*(datos_base!$K$3+IF(parametros_manuales!$H$33="Todos",datos_base!$K$10,0))*parametros_manuales!$B$100+parametros_manuales!$E$33*(datos_base!$K$19+IF(parametros_manuales!$H$33="Todos",datos_base!$K$24,0))*parametros_manuales!$B$13+parametros_manuales!$F$33*(datos_base!$K$4+IF(parametros_manuales!$H$33="Todos",datos_base!$K$11,0))*parametros_manuales!$B$105+parametros_manuales!$F$33*(datos_base!$K$20+IF(parametros_manuales!$H$33="Todos",datos_base!$K$25,0))*parametros_manuales!$B$14+parametros_manuales!$G$33*(datos_base!$K$5+IF(parametros_manuales!$H$33="Todos",datos_base!$K$12,0))*parametros_manuales!$B$110+parametros_manuales!$G$33*(datos_base!$K$21+IF(parametros_manuales!$H$33="Todos",datos_base!$K$26,0))*parametros_manuales!$B$15)*parametros_manuales!$I$33*parametros_manuales!$J$33</f>
        <v>25600.18319357</v>
      </c>
      <c r="C259" s="9" t="n">
        <f aca="false">(parametros_manuales!$D$33*(datos_base!$K$2+IF(parametros_manuales!$H$33="Todos",datos_base!$K$9,0))*parametros_manuales!$C$95+parametros_manuales!$D$33*(datos_base!$K$18+IF(parametros_manuales!$H$33="Todos",datos_base!$K$23,0))*parametros_manuales!$C$12+parametros_manuales!$E$33*(datos_base!$K$3+IF(parametros_manuales!$H$33="Todos",datos_base!$K$10,0))*parametros_manuales!$C$100+parametros_manuales!$E$33*(datos_base!$K$19+IF(parametros_manuales!$H$33="Todos",datos_base!$K$24,0))*parametros_manuales!$C$13+parametros_manuales!$F$33*(datos_base!$K$4+IF(parametros_manuales!$H$33="Todos",datos_base!$K$11,0))*parametros_manuales!$C$105+parametros_manuales!$F$33*(datos_base!$K$20+IF(parametros_manuales!$H$33="Todos",datos_base!$K$25,0))*parametros_manuales!$C$14+parametros_manuales!$G$33*(datos_base!$K$5+IF(parametros_manuales!$H$33="Todos",datos_base!$K$12,0))*parametros_manuales!$C$110+parametros_manuales!$G$33*(datos_base!$K$21+IF(parametros_manuales!$H$33="Todos",datos_base!$K$26,0))*parametros_manuales!$C$15)*parametros_manuales!$I$33*parametros_manuales!$J$33</f>
        <v>24780.20994114</v>
      </c>
      <c r="D259" s="9" t="n">
        <f aca="false">(parametros_manuales!$D$33*(datos_base!$K$2+IF(parametros_manuales!$H$33="Todos",datos_base!$K$9,0))*parametros_manuales!$D$95+parametros_manuales!$D$33*(datos_base!$K$18+IF(parametros_manuales!$H$33="Todos",datos_base!$K$23,0))*parametros_manuales!$D$12+parametros_manuales!$E$33*(datos_base!$K$3+IF(parametros_manuales!$H$33="Todos",datos_base!$K$10,0))*parametros_manuales!$D$100+parametros_manuales!$E$33*(datos_base!$K$19+IF(parametros_manuales!$H$33="Todos",datos_base!$K$24,0))*parametros_manuales!$D$13+parametros_manuales!$F$33*(datos_base!$K$4+IF(parametros_manuales!$H$33="Todos",datos_base!$K$11,0))*parametros_manuales!$D$105+parametros_manuales!$F$33*(datos_base!$K$20+IF(parametros_manuales!$H$33="Todos",datos_base!$K$25,0))*parametros_manuales!$D$14+parametros_manuales!$G$33*(datos_base!$K$5+IF(parametros_manuales!$H$33="Todos",datos_base!$K$12,0))*parametros_manuales!$D$110+parametros_manuales!$G$33*(datos_base!$K$21+IF(parametros_manuales!$H$33="Todos",datos_base!$K$26,0))*parametros_manuales!$D$15)*parametros_manuales!$I$33*parametros_manuales!$J$33</f>
        <v>23163.025576055</v>
      </c>
      <c r="E259" s="9" t="n">
        <f aca="false">(parametros_manuales!$D$33*(datos_base!$K$2+IF(parametros_manuales!$H$33="Todos",datos_base!$K$9,0))*parametros_manuales!$E$95+parametros_manuales!$D$33*(datos_base!$K$18+IF(parametros_manuales!$H$33="Todos",datos_base!$K$23,0))*parametros_manuales!$E$12+parametros_manuales!$E$33*(datos_base!$K$3+IF(parametros_manuales!$H$33="Todos",datos_base!$K$10,0))*parametros_manuales!$E$100+parametros_manuales!$E$33*(datos_base!$K$19+IF(parametros_manuales!$H$33="Todos",datos_base!$K$24,0))*parametros_manuales!$E$13+parametros_manuales!$F$33*(datos_base!$K$4+IF(parametros_manuales!$H$33="Todos",datos_base!$K$11,0))*parametros_manuales!$E$105+parametros_manuales!$F$33*(datos_base!$K$20+IF(parametros_manuales!$H$33="Todos",datos_base!$K$25,0))*parametros_manuales!$E$14+parametros_manuales!$G$33*(datos_base!$K$5+IF(parametros_manuales!$H$33="Todos",datos_base!$K$12,0))*parametros_manuales!$E$110+parametros_manuales!$G$33*(datos_base!$K$21+IF(parametros_manuales!$H$33="Todos",datos_base!$K$26,0))*parametros_manuales!$E$15)*parametros_manuales!$I$33*parametros_manuales!$J$33</f>
        <v>22149.922380405</v>
      </c>
      <c r="F259" s="9" t="n">
        <f aca="false">(parametros_manuales!$D$33*(datos_base!$K$2+IF(parametros_manuales!$H$33="Todos",datos_base!$K$9,0))*parametros_manuales!$F$95+parametros_manuales!$D$33*(datos_base!$K$18+IF(parametros_manuales!$H$33="Todos",datos_base!$K$23,0))*parametros_manuales!$F$12+parametros_manuales!$E$33*(datos_base!$K$3+IF(parametros_manuales!$H$33="Todos",datos_base!$K$10,0))*parametros_manuales!$F$100+parametros_manuales!$E$33*(datos_base!$K$19+IF(parametros_manuales!$H$33="Todos",datos_base!$K$24,0))*parametros_manuales!$F$13+parametros_manuales!$F$33*(datos_base!$K$4+IF(parametros_manuales!$H$33="Todos",datos_base!$K$11,0))*parametros_manuales!$F$105+parametros_manuales!$F$33*(datos_base!$K$20+IF(parametros_manuales!$H$33="Todos",datos_base!$K$25,0))*parametros_manuales!$F$14+parametros_manuales!$G$33*(datos_base!$K$5+IF(parametros_manuales!$H$33="Todos",datos_base!$K$12,0))*parametros_manuales!$F$110+parametros_manuales!$G$33*(datos_base!$K$21+IF(parametros_manuales!$H$33="Todos",datos_base!$K$26,0))*parametros_manuales!$F$15)*parametros_manuales!$I$33*parametros_manuales!$J$33</f>
        <v>20727.79715854</v>
      </c>
      <c r="G259" s="9" t="n">
        <f aca="false">(parametros_manuales!$D$33*(datos_base!$K$2+IF(parametros_manuales!$H$33="Todos",datos_base!$K$9,0))*parametros_manuales!$G$95+parametros_manuales!$D$33*(datos_base!$K$18+IF(parametros_manuales!$H$33="Todos",datos_base!$K$23,0))*parametros_manuales!$G$12+parametros_manuales!$E$33*(datos_base!$K$3+IF(parametros_manuales!$H$33="Todos",datos_base!$K$10,0))*parametros_manuales!$G$100+parametros_manuales!$E$33*(datos_base!$K$19+IF(parametros_manuales!$H$33="Todos",datos_base!$K$24,0))*parametros_manuales!$G$13+parametros_manuales!$F$33*(datos_base!$K$4+IF(parametros_manuales!$H$33="Todos",datos_base!$K$11,0))*parametros_manuales!$G$105+parametros_manuales!$F$33*(datos_base!$K$20+IF(parametros_manuales!$H$33="Todos",datos_base!$K$25,0))*parametros_manuales!$G$14+parametros_manuales!$G$33*(datos_base!$K$5+IF(parametros_manuales!$H$33="Todos",datos_base!$K$12,0))*parametros_manuales!$G$110+parametros_manuales!$G$33*(datos_base!$K$21+IF(parametros_manuales!$H$33="Todos",datos_base!$K$26,0))*parametros_manuales!$G$15)*parametros_manuales!$I$33*parametros_manuales!$J$33</f>
        <v>20318.775132325</v>
      </c>
      <c r="H259" s="9" t="n">
        <f aca="false">(parametros_manuales!$D$33*(datos_base!$K$2+IF(parametros_manuales!$H$33="Todos",datos_base!$K$9,0))*parametros_manuales!$H$95+parametros_manuales!$D$33*(datos_base!$K$18+IF(parametros_manuales!$H$33="Todos",datos_base!$K$23,0))*parametros_manuales!$H$12+parametros_manuales!$E$33*(datos_base!$K$3+IF(parametros_manuales!$H$33="Todos",datos_base!$K$10,0))*parametros_manuales!$H$100+parametros_manuales!$E$33*(datos_base!$K$19+IF(parametros_manuales!$H$33="Todos",datos_base!$K$24,0))*parametros_manuales!$H$13+parametros_manuales!$F$33*(datos_base!$K$4+IF(parametros_manuales!$H$33="Todos",datos_base!$K$11,0))*parametros_manuales!$H$105+parametros_manuales!$F$33*(datos_base!$K$20+IF(parametros_manuales!$H$33="Todos",datos_base!$K$25,0))*parametros_manuales!$H$14+parametros_manuales!$G$33*(datos_base!$K$5+IF(parametros_manuales!$H$33="Todos",datos_base!$K$12,0))*parametros_manuales!$H$110+parametros_manuales!$G$33*(datos_base!$K$21+IF(parametros_manuales!$H$33="Todos",datos_base!$K$26,0))*parametros_manuales!$H$15)*parametros_manuales!$I$33*parametros_manuales!$J$33</f>
        <v>21740.90035419</v>
      </c>
      <c r="I259" s="9" t="n">
        <f aca="false">(parametros_manuales!$D$33*(datos_base!$K$2+IF(parametros_manuales!$H$33="Todos",datos_base!$K$9,0))*parametros_manuales!$I$95+parametros_manuales!$D$33*(datos_base!$K$18+IF(parametros_manuales!$H$33="Todos",datos_base!$K$23,0))*parametros_manuales!$I$12+parametros_manuales!$E$33*(datos_base!$K$3+IF(parametros_manuales!$H$33="Todos",datos_base!$K$10,0))*parametros_manuales!$I$100+parametros_manuales!$E$33*(datos_base!$K$19+IF(parametros_manuales!$H$33="Todos",datos_base!$K$24,0))*parametros_manuales!$I$13+parametros_manuales!$F$33*(datos_base!$K$4+IF(parametros_manuales!$H$33="Todos",datos_base!$K$11,0))*parametros_manuales!$I$105+parametros_manuales!$F$33*(datos_base!$K$20+IF(parametros_manuales!$H$33="Todos",datos_base!$K$25,0))*parametros_manuales!$I$14+parametros_manuales!$G$33*(datos_base!$K$5+IF(parametros_manuales!$H$33="Todos",datos_base!$K$12,0))*parametros_manuales!$I$110+parametros_manuales!$G$33*(datos_base!$K$21+IF(parametros_manuales!$H$33="Todos",datos_base!$K$26,0))*parametros_manuales!$I$15)*parametros_manuales!$I$33*parametros_manuales!$J$33</f>
        <v>24780.20994114</v>
      </c>
      <c r="J259" s="9" t="n">
        <f aca="false">(parametros_manuales!$D$33*(datos_base!$K$2+IF(parametros_manuales!$H$33="Todos",datos_base!$K$9,0))*parametros_manuales!$J$95+parametros_manuales!$D$33*(datos_base!$K$18+IF(parametros_manuales!$H$33="Todos",datos_base!$K$23,0))*parametros_manuales!$J$12+parametros_manuales!$E$33*(datos_base!$K$3+IF(parametros_manuales!$H$33="Todos",datos_base!$K$10,0))*parametros_manuales!$J$100+parametros_manuales!$E$33*(datos_base!$K$19+IF(parametros_manuales!$H$33="Todos",datos_base!$K$24,0))*parametros_manuales!$J$13+parametros_manuales!$F$33*(datos_base!$K$4+IF(parametros_manuales!$H$33="Todos",datos_base!$K$11,0))*parametros_manuales!$J$105+parametros_manuales!$F$33*(datos_base!$K$20+IF(parametros_manuales!$H$33="Todos",datos_base!$K$25,0))*parametros_manuales!$J$14+parametros_manuales!$G$33*(datos_base!$K$5+IF(parametros_manuales!$H$33="Todos",datos_base!$K$12,0))*parametros_manuales!$J$110+parametros_manuales!$G$33*(datos_base!$K$21+IF(parametros_manuales!$H$33="Todos",datos_base!$K$26,0))*parametros_manuales!$J$15)*parametros_manuales!$I$33*parametros_manuales!$J$33</f>
        <v>24780.20994114</v>
      </c>
      <c r="K259" s="9" t="n">
        <f aca="false">(parametros_manuales!$D$33*(datos_base!$K$2+IF(parametros_manuales!$H$33="Todos",datos_base!$K$9,0))*parametros_manuales!$K$95+parametros_manuales!$D$33*(datos_base!$K$18+IF(parametros_manuales!$H$33="Todos",datos_base!$K$23,0))*parametros_manuales!$K$12+parametros_manuales!$E$33*(datos_base!$K$3+IF(parametros_manuales!$H$33="Todos",datos_base!$K$10,0))*parametros_manuales!$K$100+parametros_manuales!$E$33*(datos_base!$K$19+IF(parametros_manuales!$H$33="Todos",datos_base!$K$24,0))*parametros_manuales!$K$13+parametros_manuales!$F$33*(datos_base!$K$4+IF(parametros_manuales!$H$33="Todos",datos_base!$K$11,0))*parametros_manuales!$K$105+parametros_manuales!$F$33*(datos_base!$K$20+IF(parametros_manuales!$H$33="Todos",datos_base!$K$25,0))*parametros_manuales!$K$14+parametros_manuales!$G$33*(datos_base!$K$5+IF(parametros_manuales!$H$33="Todos",datos_base!$K$12,0))*parametros_manuales!$K$110+parametros_manuales!$G$33*(datos_base!$K$21+IF(parametros_manuales!$H$33="Todos",datos_base!$K$26,0))*parametros_manuales!$K$15)*parametros_manuales!$I$33*parametros_manuales!$J$33</f>
        <v>25187.302767355</v>
      </c>
      <c r="L259" s="9" t="n">
        <f aca="false">(parametros_manuales!$D$33*(datos_base!$K$2+IF(parametros_manuales!$H$33="Todos",datos_base!$K$9,0))*parametros_manuales!$L$95+parametros_manuales!$D$33*(datos_base!$K$18+IF(parametros_manuales!$H$33="Todos",datos_base!$K$23,0))*parametros_manuales!$L$12+parametros_manuales!$E$33*(datos_base!$K$3+IF(parametros_manuales!$H$33="Todos",datos_base!$K$10,0))*parametros_manuales!$L$100+parametros_manuales!$E$33*(datos_base!$K$19+IF(parametros_manuales!$H$33="Todos",datos_base!$K$24,0))*parametros_manuales!$L$13+parametros_manuales!$F$33*(datos_base!$K$4+IF(parametros_manuales!$H$33="Todos",datos_base!$K$11,0))*parametros_manuales!$L$105+parametros_manuales!$F$33*(datos_base!$K$20+IF(parametros_manuales!$H$33="Todos",datos_base!$K$25,0))*parametros_manuales!$L$14+parametros_manuales!$G$33*(datos_base!$K$5+IF(parametros_manuales!$H$33="Todos",datos_base!$K$12,0))*parametros_manuales!$L$110+parametros_manuales!$G$33*(datos_base!$K$21+IF(parametros_manuales!$H$33="Todos",datos_base!$K$26,0))*parametros_manuales!$L$15)*parametros_manuales!$I$33*parametros_manuales!$J$33</f>
        <v>25594.39559357</v>
      </c>
      <c r="M259" s="9" t="n">
        <f aca="false">(parametros_manuales!$D$33*(datos_base!$K$2+IF(parametros_manuales!$H$33="Todos",datos_base!$K$9,0))*parametros_manuales!$M$95+parametros_manuales!$D$33*(datos_base!$K$18+IF(parametros_manuales!$H$33="Todos",datos_base!$K$23,0))*parametros_manuales!$M$12+parametros_manuales!$E$33*(datos_base!$K$3+IF(parametros_manuales!$H$33="Todos",datos_base!$K$10,0))*parametros_manuales!$M$100+parametros_manuales!$E$33*(datos_base!$K$19+IF(parametros_manuales!$H$33="Todos",datos_base!$K$24,0))*parametros_manuales!$M$13+parametros_manuales!$F$33*(datos_base!$K$4+IF(parametros_manuales!$H$33="Todos",datos_base!$K$11,0))*parametros_manuales!$M$105+parametros_manuales!$F$33*(datos_base!$K$20+IF(parametros_manuales!$H$33="Todos",datos_base!$K$25,0))*parametros_manuales!$M$14+parametros_manuales!$G$33*(datos_base!$K$5+IF(parametros_manuales!$H$33="Todos",datos_base!$K$12,0))*parametros_manuales!$M$110+parametros_manuales!$G$33*(datos_base!$K$21+IF(parametros_manuales!$H$33="Todos",datos_base!$K$26,0))*parametros_manuales!$M$15)*parametros_manuales!$I$33*parametros_manuales!$J$33</f>
        <v>25602.11239357</v>
      </c>
      <c r="N259" s="9" t="n">
        <f aca="false">SUM(B259:M259)</f>
        <v>284425.044373</v>
      </c>
      <c r="O259" s="9" t="n">
        <f aca="false">MAX(B259:M259)</f>
        <v>25602.11239357</v>
      </c>
      <c r="P259" s="44" t="n">
        <f aca="false">O259/(parametros_manuales!$B$7)</f>
        <v>170.680749290467</v>
      </c>
      <c r="Q259" s="8" t="str">
        <f aca="false">IF(O259=0,"-",INDEX($B$244:$M$244,MATCH(O259,B259:M259,0)))</f>
        <v>Dic</v>
      </c>
    </row>
    <row r="260" customFormat="false" ht="14.25" hidden="false" customHeight="true" outlineLevel="0" collapsed="false">
      <c r="A260" s="8" t="str">
        <f aca="false">parametros_manuales!$B$34</f>
        <v>Granallado</v>
      </c>
      <c r="B260" s="9" t="n">
        <f aca="false">(parametros_manuales!$D$34*(datos_base!$K$2+IF(parametros_manuales!$H$34="Todos",datos_base!$K$9,0))*parametros_manuales!$B$95+parametros_manuales!$D$34*(datos_base!$K$18+IF(parametros_manuales!$H$34="Todos",datos_base!$K$23,0))*parametros_manuales!$B$12+parametros_manuales!$E$34*(datos_base!$K$3+IF(parametros_manuales!$H$34="Todos",datos_base!$K$10,0))*parametros_manuales!$B$100+parametros_manuales!$E$34*(datos_base!$K$19+IF(parametros_manuales!$H$34="Todos",datos_base!$K$24,0))*parametros_manuales!$B$13+parametros_manuales!$F$34*(datos_base!$K$4+IF(parametros_manuales!$H$34="Todos",datos_base!$K$11,0))*parametros_manuales!$B$105+parametros_manuales!$F$34*(datos_base!$K$20+IF(parametros_manuales!$H$34="Todos",datos_base!$K$25,0))*parametros_manuales!$B$14+parametros_manuales!$G$34*(datos_base!$K$5+IF(parametros_manuales!$H$34="Todos",datos_base!$K$12,0))*parametros_manuales!$B$110+parametros_manuales!$G$34*(datos_base!$K$21+IF(parametros_manuales!$H$34="Todos",datos_base!$K$26,0))*parametros_manuales!$B$15)*parametros_manuales!$I$34*parametros_manuales!$J$34</f>
        <v>25600.18319357</v>
      </c>
      <c r="C260" s="9" t="n">
        <f aca="false">(parametros_manuales!$D$34*(datos_base!$K$2+IF(parametros_manuales!$H$34="Todos",datos_base!$K$9,0))*parametros_manuales!$C$95+parametros_manuales!$D$34*(datos_base!$K$18+IF(parametros_manuales!$H$34="Todos",datos_base!$K$23,0))*parametros_manuales!$C$12+parametros_manuales!$E$34*(datos_base!$K$3+IF(parametros_manuales!$H$34="Todos",datos_base!$K$10,0))*parametros_manuales!$C$100+parametros_manuales!$E$34*(datos_base!$K$19+IF(parametros_manuales!$H$34="Todos",datos_base!$K$24,0))*parametros_manuales!$C$13+parametros_manuales!$F$34*(datos_base!$K$4+IF(parametros_manuales!$H$34="Todos",datos_base!$K$11,0))*parametros_manuales!$C$105+parametros_manuales!$F$34*(datos_base!$K$20+IF(parametros_manuales!$H$34="Todos",datos_base!$K$25,0))*parametros_manuales!$C$14+parametros_manuales!$G$34*(datos_base!$K$5+IF(parametros_manuales!$H$34="Todos",datos_base!$K$12,0))*parametros_manuales!$C$110+parametros_manuales!$G$34*(datos_base!$K$21+IF(parametros_manuales!$H$34="Todos",datos_base!$K$26,0))*parametros_manuales!$C$15)*parametros_manuales!$I$34*parametros_manuales!$J$34</f>
        <v>24780.20994114</v>
      </c>
      <c r="D260" s="9" t="n">
        <f aca="false">(parametros_manuales!$D$34*(datos_base!$K$2+IF(parametros_manuales!$H$34="Todos",datos_base!$K$9,0))*parametros_manuales!$D$95+parametros_manuales!$D$34*(datos_base!$K$18+IF(parametros_manuales!$H$34="Todos",datos_base!$K$23,0))*parametros_manuales!$D$12+parametros_manuales!$E$34*(datos_base!$K$3+IF(parametros_manuales!$H$34="Todos",datos_base!$K$10,0))*parametros_manuales!$D$100+parametros_manuales!$E$34*(datos_base!$K$19+IF(parametros_manuales!$H$34="Todos",datos_base!$K$24,0))*parametros_manuales!$D$13+parametros_manuales!$F$34*(datos_base!$K$4+IF(parametros_manuales!$H$34="Todos",datos_base!$K$11,0))*parametros_manuales!$D$105+parametros_manuales!$F$34*(datos_base!$K$20+IF(parametros_manuales!$H$34="Todos",datos_base!$K$25,0))*parametros_manuales!$D$14+parametros_manuales!$G$34*(datos_base!$K$5+IF(parametros_manuales!$H$34="Todos",datos_base!$K$12,0))*parametros_manuales!$D$110+parametros_manuales!$G$34*(datos_base!$K$21+IF(parametros_manuales!$H$34="Todos",datos_base!$K$26,0))*parametros_manuales!$D$15)*parametros_manuales!$I$34*parametros_manuales!$J$34</f>
        <v>23163.025576055</v>
      </c>
      <c r="E260" s="9" t="n">
        <f aca="false">(parametros_manuales!$D$34*(datos_base!$K$2+IF(parametros_manuales!$H$34="Todos",datos_base!$K$9,0))*parametros_manuales!$E$95+parametros_manuales!$D$34*(datos_base!$K$18+IF(parametros_manuales!$H$34="Todos",datos_base!$K$23,0))*parametros_manuales!$E$12+parametros_manuales!$E$34*(datos_base!$K$3+IF(parametros_manuales!$H$34="Todos",datos_base!$K$10,0))*parametros_manuales!$E$100+parametros_manuales!$E$34*(datos_base!$K$19+IF(parametros_manuales!$H$34="Todos",datos_base!$K$24,0))*parametros_manuales!$E$13+parametros_manuales!$F$34*(datos_base!$K$4+IF(parametros_manuales!$H$34="Todos",datos_base!$K$11,0))*parametros_manuales!$E$105+parametros_manuales!$F$34*(datos_base!$K$20+IF(parametros_manuales!$H$34="Todos",datos_base!$K$25,0))*parametros_manuales!$E$14+parametros_manuales!$G$34*(datos_base!$K$5+IF(parametros_manuales!$H$34="Todos",datos_base!$K$12,0))*parametros_manuales!$E$110+parametros_manuales!$G$34*(datos_base!$K$21+IF(parametros_manuales!$H$34="Todos",datos_base!$K$26,0))*parametros_manuales!$E$15)*parametros_manuales!$I$34*parametros_manuales!$J$34</f>
        <v>22149.922380405</v>
      </c>
      <c r="F260" s="9" t="n">
        <f aca="false">(parametros_manuales!$D$34*(datos_base!$K$2+IF(parametros_manuales!$H$34="Todos",datos_base!$K$9,0))*parametros_manuales!$F$95+parametros_manuales!$D$34*(datos_base!$K$18+IF(parametros_manuales!$H$34="Todos",datos_base!$K$23,0))*parametros_manuales!$F$12+parametros_manuales!$E$34*(datos_base!$K$3+IF(parametros_manuales!$H$34="Todos",datos_base!$K$10,0))*parametros_manuales!$F$100+parametros_manuales!$E$34*(datos_base!$K$19+IF(parametros_manuales!$H$34="Todos",datos_base!$K$24,0))*parametros_manuales!$F$13+parametros_manuales!$F$34*(datos_base!$K$4+IF(parametros_manuales!$H$34="Todos",datos_base!$K$11,0))*parametros_manuales!$F$105+parametros_manuales!$F$34*(datos_base!$K$20+IF(parametros_manuales!$H$34="Todos",datos_base!$K$25,0))*parametros_manuales!$F$14+parametros_manuales!$G$34*(datos_base!$K$5+IF(parametros_manuales!$H$34="Todos",datos_base!$K$12,0))*parametros_manuales!$F$110+parametros_manuales!$G$34*(datos_base!$K$21+IF(parametros_manuales!$H$34="Todos",datos_base!$K$26,0))*parametros_manuales!$F$15)*parametros_manuales!$I$34*parametros_manuales!$J$34</f>
        <v>20727.79715854</v>
      </c>
      <c r="G260" s="9" t="n">
        <f aca="false">(parametros_manuales!$D$34*(datos_base!$K$2+IF(parametros_manuales!$H$34="Todos",datos_base!$K$9,0))*parametros_manuales!$G$95+parametros_manuales!$D$34*(datos_base!$K$18+IF(parametros_manuales!$H$34="Todos",datos_base!$K$23,0))*parametros_manuales!$G$12+parametros_manuales!$E$34*(datos_base!$K$3+IF(parametros_manuales!$H$34="Todos",datos_base!$K$10,0))*parametros_manuales!$G$100+parametros_manuales!$E$34*(datos_base!$K$19+IF(parametros_manuales!$H$34="Todos",datos_base!$K$24,0))*parametros_manuales!$G$13+parametros_manuales!$F$34*(datos_base!$K$4+IF(parametros_manuales!$H$34="Todos",datos_base!$K$11,0))*parametros_manuales!$G$105+parametros_manuales!$F$34*(datos_base!$K$20+IF(parametros_manuales!$H$34="Todos",datos_base!$K$25,0))*parametros_manuales!$G$14+parametros_manuales!$G$34*(datos_base!$K$5+IF(parametros_manuales!$H$34="Todos",datos_base!$K$12,0))*parametros_manuales!$G$110+parametros_manuales!$G$34*(datos_base!$K$21+IF(parametros_manuales!$H$34="Todos",datos_base!$K$26,0))*parametros_manuales!$G$15)*parametros_manuales!$I$34*parametros_manuales!$J$34</f>
        <v>20318.775132325</v>
      </c>
      <c r="H260" s="9" t="n">
        <f aca="false">(parametros_manuales!$D$34*(datos_base!$K$2+IF(parametros_manuales!$H$34="Todos",datos_base!$K$9,0))*parametros_manuales!$H$95+parametros_manuales!$D$34*(datos_base!$K$18+IF(parametros_manuales!$H$34="Todos",datos_base!$K$23,0))*parametros_manuales!$H$12+parametros_manuales!$E$34*(datos_base!$K$3+IF(parametros_manuales!$H$34="Todos",datos_base!$K$10,0))*parametros_manuales!$H$100+parametros_manuales!$E$34*(datos_base!$K$19+IF(parametros_manuales!$H$34="Todos",datos_base!$K$24,0))*parametros_manuales!$H$13+parametros_manuales!$F$34*(datos_base!$K$4+IF(parametros_manuales!$H$34="Todos",datos_base!$K$11,0))*parametros_manuales!$H$105+parametros_manuales!$F$34*(datos_base!$K$20+IF(parametros_manuales!$H$34="Todos",datos_base!$K$25,0))*parametros_manuales!$H$14+parametros_manuales!$G$34*(datos_base!$K$5+IF(parametros_manuales!$H$34="Todos",datos_base!$K$12,0))*parametros_manuales!$H$110+parametros_manuales!$G$34*(datos_base!$K$21+IF(parametros_manuales!$H$34="Todos",datos_base!$K$26,0))*parametros_manuales!$H$15)*parametros_manuales!$I$34*parametros_manuales!$J$34</f>
        <v>21740.90035419</v>
      </c>
      <c r="I260" s="9" t="n">
        <f aca="false">(parametros_manuales!$D$34*(datos_base!$K$2+IF(parametros_manuales!$H$34="Todos",datos_base!$K$9,0))*parametros_manuales!$I$95+parametros_manuales!$D$34*(datos_base!$K$18+IF(parametros_manuales!$H$34="Todos",datos_base!$K$23,0))*parametros_manuales!$I$12+parametros_manuales!$E$34*(datos_base!$K$3+IF(parametros_manuales!$H$34="Todos",datos_base!$K$10,0))*parametros_manuales!$I$100+parametros_manuales!$E$34*(datos_base!$K$19+IF(parametros_manuales!$H$34="Todos",datos_base!$K$24,0))*parametros_manuales!$I$13+parametros_manuales!$F$34*(datos_base!$K$4+IF(parametros_manuales!$H$34="Todos",datos_base!$K$11,0))*parametros_manuales!$I$105+parametros_manuales!$F$34*(datos_base!$K$20+IF(parametros_manuales!$H$34="Todos",datos_base!$K$25,0))*parametros_manuales!$I$14+parametros_manuales!$G$34*(datos_base!$K$5+IF(parametros_manuales!$H$34="Todos",datos_base!$K$12,0))*parametros_manuales!$I$110+parametros_manuales!$G$34*(datos_base!$K$21+IF(parametros_manuales!$H$34="Todos",datos_base!$K$26,0))*parametros_manuales!$I$15)*parametros_manuales!$I$34*parametros_manuales!$J$34</f>
        <v>24780.20994114</v>
      </c>
      <c r="J260" s="9" t="n">
        <f aca="false">(parametros_manuales!$D$34*(datos_base!$K$2+IF(parametros_manuales!$H$34="Todos",datos_base!$K$9,0))*parametros_manuales!$J$95+parametros_manuales!$D$34*(datos_base!$K$18+IF(parametros_manuales!$H$34="Todos",datos_base!$K$23,0))*parametros_manuales!$J$12+parametros_manuales!$E$34*(datos_base!$K$3+IF(parametros_manuales!$H$34="Todos",datos_base!$K$10,0))*parametros_manuales!$J$100+parametros_manuales!$E$34*(datos_base!$K$19+IF(parametros_manuales!$H$34="Todos",datos_base!$K$24,0))*parametros_manuales!$J$13+parametros_manuales!$F$34*(datos_base!$K$4+IF(parametros_manuales!$H$34="Todos",datos_base!$K$11,0))*parametros_manuales!$J$105+parametros_manuales!$F$34*(datos_base!$K$20+IF(parametros_manuales!$H$34="Todos",datos_base!$K$25,0))*parametros_manuales!$J$14+parametros_manuales!$G$34*(datos_base!$K$5+IF(parametros_manuales!$H$34="Todos",datos_base!$K$12,0))*parametros_manuales!$J$110+parametros_manuales!$G$34*(datos_base!$K$21+IF(parametros_manuales!$H$34="Todos",datos_base!$K$26,0))*parametros_manuales!$J$15)*parametros_manuales!$I$34*parametros_manuales!$J$34</f>
        <v>24780.20994114</v>
      </c>
      <c r="K260" s="9" t="n">
        <f aca="false">(parametros_manuales!$D$34*(datos_base!$K$2+IF(parametros_manuales!$H$34="Todos",datos_base!$K$9,0))*parametros_manuales!$K$95+parametros_manuales!$D$34*(datos_base!$K$18+IF(parametros_manuales!$H$34="Todos",datos_base!$K$23,0))*parametros_manuales!$K$12+parametros_manuales!$E$34*(datos_base!$K$3+IF(parametros_manuales!$H$34="Todos",datos_base!$K$10,0))*parametros_manuales!$K$100+parametros_manuales!$E$34*(datos_base!$K$19+IF(parametros_manuales!$H$34="Todos",datos_base!$K$24,0))*parametros_manuales!$K$13+parametros_manuales!$F$34*(datos_base!$K$4+IF(parametros_manuales!$H$34="Todos",datos_base!$K$11,0))*parametros_manuales!$K$105+parametros_manuales!$F$34*(datos_base!$K$20+IF(parametros_manuales!$H$34="Todos",datos_base!$K$25,0))*parametros_manuales!$K$14+parametros_manuales!$G$34*(datos_base!$K$5+IF(parametros_manuales!$H$34="Todos",datos_base!$K$12,0))*parametros_manuales!$K$110+parametros_manuales!$G$34*(datos_base!$K$21+IF(parametros_manuales!$H$34="Todos",datos_base!$K$26,0))*parametros_manuales!$K$15)*parametros_manuales!$I$34*parametros_manuales!$J$34</f>
        <v>25187.302767355</v>
      </c>
      <c r="L260" s="9" t="n">
        <f aca="false">(parametros_manuales!$D$34*(datos_base!$K$2+IF(parametros_manuales!$H$34="Todos",datos_base!$K$9,0))*parametros_manuales!$L$95+parametros_manuales!$D$34*(datos_base!$K$18+IF(parametros_manuales!$H$34="Todos",datos_base!$K$23,0))*parametros_manuales!$L$12+parametros_manuales!$E$34*(datos_base!$K$3+IF(parametros_manuales!$H$34="Todos",datos_base!$K$10,0))*parametros_manuales!$L$100+parametros_manuales!$E$34*(datos_base!$K$19+IF(parametros_manuales!$H$34="Todos",datos_base!$K$24,0))*parametros_manuales!$L$13+parametros_manuales!$F$34*(datos_base!$K$4+IF(parametros_manuales!$H$34="Todos",datos_base!$K$11,0))*parametros_manuales!$L$105+parametros_manuales!$F$34*(datos_base!$K$20+IF(parametros_manuales!$H$34="Todos",datos_base!$K$25,0))*parametros_manuales!$L$14+parametros_manuales!$G$34*(datos_base!$K$5+IF(parametros_manuales!$H$34="Todos",datos_base!$K$12,0))*parametros_manuales!$L$110+parametros_manuales!$G$34*(datos_base!$K$21+IF(parametros_manuales!$H$34="Todos",datos_base!$K$26,0))*parametros_manuales!$L$15)*parametros_manuales!$I$34*parametros_manuales!$J$34</f>
        <v>25594.39559357</v>
      </c>
      <c r="M260" s="9" t="n">
        <f aca="false">(parametros_manuales!$D$34*(datos_base!$K$2+IF(parametros_manuales!$H$34="Todos",datos_base!$K$9,0))*parametros_manuales!$M$95+parametros_manuales!$D$34*(datos_base!$K$18+IF(parametros_manuales!$H$34="Todos",datos_base!$K$23,0))*parametros_manuales!$M$12+parametros_manuales!$E$34*(datos_base!$K$3+IF(parametros_manuales!$H$34="Todos",datos_base!$K$10,0))*parametros_manuales!$M$100+parametros_manuales!$E$34*(datos_base!$K$19+IF(parametros_manuales!$H$34="Todos",datos_base!$K$24,0))*parametros_manuales!$M$13+parametros_manuales!$F$34*(datos_base!$K$4+IF(parametros_manuales!$H$34="Todos",datos_base!$K$11,0))*parametros_manuales!$M$105+parametros_manuales!$F$34*(datos_base!$K$20+IF(parametros_manuales!$H$34="Todos",datos_base!$K$25,0))*parametros_manuales!$M$14+parametros_manuales!$G$34*(datos_base!$K$5+IF(parametros_manuales!$H$34="Todos",datos_base!$K$12,0))*parametros_manuales!$M$110+parametros_manuales!$G$34*(datos_base!$K$21+IF(parametros_manuales!$H$34="Todos",datos_base!$K$26,0))*parametros_manuales!$M$15)*parametros_manuales!$I$34*parametros_manuales!$J$34</f>
        <v>25602.11239357</v>
      </c>
      <c r="N260" s="9" t="n">
        <f aca="false">SUM(B260:M260)</f>
        <v>284425.044373</v>
      </c>
      <c r="O260" s="9" t="n">
        <f aca="false">MAX(B260:M260)</f>
        <v>25602.11239357</v>
      </c>
      <c r="P260" s="44" t="n">
        <f aca="false">O260/(parametros_manuales!$B$7)</f>
        <v>170.680749290467</v>
      </c>
      <c r="Q260" s="8" t="str">
        <f aca="false">IF(O260=0,"-",INDEX($B$244:$M$244,MATCH(O260,B260:M260,0)))</f>
        <v>Dic</v>
      </c>
    </row>
    <row r="261" customFormat="false" ht="14.25" hidden="false" customHeight="true" outlineLevel="0" collapsed="false">
      <c r="A261" s="8" t="str">
        <f aca="false">parametros_manuales!$B$35</f>
        <v>Detección de defectos</v>
      </c>
      <c r="B261" s="9" t="n">
        <f aca="false">(parametros_manuales!$D$35*(datos_base!$K$2+IF(parametros_manuales!$H$35="Todos",datos_base!$K$9,0))*parametros_manuales!$B$95+parametros_manuales!$D$35*(datos_base!$K$18+IF(parametros_manuales!$H$35="Todos",datos_base!$K$23,0))*parametros_manuales!$B$12+parametros_manuales!$E$35*(datos_base!$K$3+IF(parametros_manuales!$H$35="Todos",datos_base!$K$10,0))*parametros_manuales!$B$100+parametros_manuales!$E$35*(datos_base!$K$19+IF(parametros_manuales!$H$35="Todos",datos_base!$K$24,0))*parametros_manuales!$B$13+parametros_manuales!$F$35*(datos_base!$K$4+IF(parametros_manuales!$H$35="Todos",datos_base!$K$11,0))*parametros_manuales!$B$105+parametros_manuales!$F$35*(datos_base!$K$20+IF(parametros_manuales!$H$35="Todos",datos_base!$K$25,0))*parametros_manuales!$B$14+parametros_manuales!$G$35*(datos_base!$K$5+IF(parametros_manuales!$H$35="Todos",datos_base!$K$12,0))*parametros_manuales!$B$110+parametros_manuales!$G$35*(datos_base!$K$21+IF(parametros_manuales!$H$35="Todos",datos_base!$K$26,0))*parametros_manuales!$B$15)*parametros_manuales!$I$35*parametros_manuales!$J$35</f>
        <v>25600.18319357</v>
      </c>
      <c r="C261" s="9" t="n">
        <f aca="false">(parametros_manuales!$D$35*(datos_base!$K$2+IF(parametros_manuales!$H$35="Todos",datos_base!$K$9,0))*parametros_manuales!$C$95+parametros_manuales!$D$35*(datos_base!$K$18+IF(parametros_manuales!$H$35="Todos",datos_base!$K$23,0))*parametros_manuales!$C$12+parametros_manuales!$E$35*(datos_base!$K$3+IF(parametros_manuales!$H$35="Todos",datos_base!$K$10,0))*parametros_manuales!$C$100+parametros_manuales!$E$35*(datos_base!$K$19+IF(parametros_manuales!$H$35="Todos",datos_base!$K$24,0))*parametros_manuales!$C$13+parametros_manuales!$F$35*(datos_base!$K$4+IF(parametros_manuales!$H$35="Todos",datos_base!$K$11,0))*parametros_manuales!$C$105+parametros_manuales!$F$35*(datos_base!$K$20+IF(parametros_manuales!$H$35="Todos",datos_base!$K$25,0))*parametros_manuales!$C$14+parametros_manuales!$G$35*(datos_base!$K$5+IF(parametros_manuales!$H$35="Todos",datos_base!$K$12,0))*parametros_manuales!$C$110+parametros_manuales!$G$35*(datos_base!$K$21+IF(parametros_manuales!$H$35="Todos",datos_base!$K$26,0))*parametros_manuales!$C$15)*parametros_manuales!$I$35*parametros_manuales!$J$35</f>
        <v>24780.20994114</v>
      </c>
      <c r="D261" s="9" t="n">
        <f aca="false">(parametros_manuales!$D$35*(datos_base!$K$2+IF(parametros_manuales!$H$35="Todos",datos_base!$K$9,0))*parametros_manuales!$D$95+parametros_manuales!$D$35*(datos_base!$K$18+IF(parametros_manuales!$H$35="Todos",datos_base!$K$23,0))*parametros_manuales!$D$12+parametros_manuales!$E$35*(datos_base!$K$3+IF(parametros_manuales!$H$35="Todos",datos_base!$K$10,0))*parametros_manuales!$D$100+parametros_manuales!$E$35*(datos_base!$K$19+IF(parametros_manuales!$H$35="Todos",datos_base!$K$24,0))*parametros_manuales!$D$13+parametros_manuales!$F$35*(datos_base!$K$4+IF(parametros_manuales!$H$35="Todos",datos_base!$K$11,0))*parametros_manuales!$D$105+parametros_manuales!$F$35*(datos_base!$K$20+IF(parametros_manuales!$H$35="Todos",datos_base!$K$25,0))*parametros_manuales!$D$14+parametros_manuales!$G$35*(datos_base!$K$5+IF(parametros_manuales!$H$35="Todos",datos_base!$K$12,0))*parametros_manuales!$D$110+parametros_manuales!$G$35*(datos_base!$K$21+IF(parametros_manuales!$H$35="Todos",datos_base!$K$26,0))*parametros_manuales!$D$15)*parametros_manuales!$I$35*parametros_manuales!$J$35</f>
        <v>23163.025576055</v>
      </c>
      <c r="E261" s="9" t="n">
        <f aca="false">(parametros_manuales!$D$35*(datos_base!$K$2+IF(parametros_manuales!$H$35="Todos",datos_base!$K$9,0))*parametros_manuales!$E$95+parametros_manuales!$D$35*(datos_base!$K$18+IF(parametros_manuales!$H$35="Todos",datos_base!$K$23,0))*parametros_manuales!$E$12+parametros_manuales!$E$35*(datos_base!$K$3+IF(parametros_manuales!$H$35="Todos",datos_base!$K$10,0))*parametros_manuales!$E$100+parametros_manuales!$E$35*(datos_base!$K$19+IF(parametros_manuales!$H$35="Todos",datos_base!$K$24,0))*parametros_manuales!$E$13+parametros_manuales!$F$35*(datos_base!$K$4+IF(parametros_manuales!$H$35="Todos",datos_base!$K$11,0))*parametros_manuales!$E$105+parametros_manuales!$F$35*(datos_base!$K$20+IF(parametros_manuales!$H$35="Todos",datos_base!$K$25,0))*parametros_manuales!$E$14+parametros_manuales!$G$35*(datos_base!$K$5+IF(parametros_manuales!$H$35="Todos",datos_base!$K$12,0))*parametros_manuales!$E$110+parametros_manuales!$G$35*(datos_base!$K$21+IF(parametros_manuales!$H$35="Todos",datos_base!$K$26,0))*parametros_manuales!$E$15)*parametros_manuales!$I$35*parametros_manuales!$J$35</f>
        <v>22149.922380405</v>
      </c>
      <c r="F261" s="9" t="n">
        <f aca="false">(parametros_manuales!$D$35*(datos_base!$K$2+IF(parametros_manuales!$H$35="Todos",datos_base!$K$9,0))*parametros_manuales!$F$95+parametros_manuales!$D$35*(datos_base!$K$18+IF(parametros_manuales!$H$35="Todos",datos_base!$K$23,0))*parametros_manuales!$F$12+parametros_manuales!$E$35*(datos_base!$K$3+IF(parametros_manuales!$H$35="Todos",datos_base!$K$10,0))*parametros_manuales!$F$100+parametros_manuales!$E$35*(datos_base!$K$19+IF(parametros_manuales!$H$35="Todos",datos_base!$K$24,0))*parametros_manuales!$F$13+parametros_manuales!$F$35*(datos_base!$K$4+IF(parametros_manuales!$H$35="Todos",datos_base!$K$11,0))*parametros_manuales!$F$105+parametros_manuales!$F$35*(datos_base!$K$20+IF(parametros_manuales!$H$35="Todos",datos_base!$K$25,0))*parametros_manuales!$F$14+parametros_manuales!$G$35*(datos_base!$K$5+IF(parametros_manuales!$H$35="Todos",datos_base!$K$12,0))*parametros_manuales!$F$110+parametros_manuales!$G$35*(datos_base!$K$21+IF(parametros_manuales!$H$35="Todos",datos_base!$K$26,0))*parametros_manuales!$F$15)*parametros_manuales!$I$35*parametros_manuales!$J$35</f>
        <v>20727.79715854</v>
      </c>
      <c r="G261" s="9" t="n">
        <f aca="false">(parametros_manuales!$D$35*(datos_base!$K$2+IF(parametros_manuales!$H$35="Todos",datos_base!$K$9,0))*parametros_manuales!$G$95+parametros_manuales!$D$35*(datos_base!$K$18+IF(parametros_manuales!$H$35="Todos",datos_base!$K$23,0))*parametros_manuales!$G$12+parametros_manuales!$E$35*(datos_base!$K$3+IF(parametros_manuales!$H$35="Todos",datos_base!$K$10,0))*parametros_manuales!$G$100+parametros_manuales!$E$35*(datos_base!$K$19+IF(parametros_manuales!$H$35="Todos",datos_base!$K$24,0))*parametros_manuales!$G$13+parametros_manuales!$F$35*(datos_base!$K$4+IF(parametros_manuales!$H$35="Todos",datos_base!$K$11,0))*parametros_manuales!$G$105+parametros_manuales!$F$35*(datos_base!$K$20+IF(parametros_manuales!$H$35="Todos",datos_base!$K$25,0))*parametros_manuales!$G$14+parametros_manuales!$G$35*(datos_base!$K$5+IF(parametros_manuales!$H$35="Todos",datos_base!$K$12,0))*parametros_manuales!$G$110+parametros_manuales!$G$35*(datos_base!$K$21+IF(parametros_manuales!$H$35="Todos",datos_base!$K$26,0))*parametros_manuales!$G$15)*parametros_manuales!$I$35*parametros_manuales!$J$35</f>
        <v>20318.775132325</v>
      </c>
      <c r="H261" s="9" t="n">
        <f aca="false">(parametros_manuales!$D$35*(datos_base!$K$2+IF(parametros_manuales!$H$35="Todos",datos_base!$K$9,0))*parametros_manuales!$H$95+parametros_manuales!$D$35*(datos_base!$K$18+IF(parametros_manuales!$H$35="Todos",datos_base!$K$23,0))*parametros_manuales!$H$12+parametros_manuales!$E$35*(datos_base!$K$3+IF(parametros_manuales!$H$35="Todos",datos_base!$K$10,0))*parametros_manuales!$H$100+parametros_manuales!$E$35*(datos_base!$K$19+IF(parametros_manuales!$H$35="Todos",datos_base!$K$24,0))*parametros_manuales!$H$13+parametros_manuales!$F$35*(datos_base!$K$4+IF(parametros_manuales!$H$35="Todos",datos_base!$K$11,0))*parametros_manuales!$H$105+parametros_manuales!$F$35*(datos_base!$K$20+IF(parametros_manuales!$H$35="Todos",datos_base!$K$25,0))*parametros_manuales!$H$14+parametros_manuales!$G$35*(datos_base!$K$5+IF(parametros_manuales!$H$35="Todos",datos_base!$K$12,0))*parametros_manuales!$H$110+parametros_manuales!$G$35*(datos_base!$K$21+IF(parametros_manuales!$H$35="Todos",datos_base!$K$26,0))*parametros_manuales!$H$15)*parametros_manuales!$I$35*parametros_manuales!$J$35</f>
        <v>21740.90035419</v>
      </c>
      <c r="I261" s="9" t="n">
        <f aca="false">(parametros_manuales!$D$35*(datos_base!$K$2+IF(parametros_manuales!$H$35="Todos",datos_base!$K$9,0))*parametros_manuales!$I$95+parametros_manuales!$D$35*(datos_base!$K$18+IF(parametros_manuales!$H$35="Todos",datos_base!$K$23,0))*parametros_manuales!$I$12+parametros_manuales!$E$35*(datos_base!$K$3+IF(parametros_manuales!$H$35="Todos",datos_base!$K$10,0))*parametros_manuales!$I$100+parametros_manuales!$E$35*(datos_base!$K$19+IF(parametros_manuales!$H$35="Todos",datos_base!$K$24,0))*parametros_manuales!$I$13+parametros_manuales!$F$35*(datos_base!$K$4+IF(parametros_manuales!$H$35="Todos",datos_base!$K$11,0))*parametros_manuales!$I$105+parametros_manuales!$F$35*(datos_base!$K$20+IF(parametros_manuales!$H$35="Todos",datos_base!$K$25,0))*parametros_manuales!$I$14+parametros_manuales!$G$35*(datos_base!$K$5+IF(parametros_manuales!$H$35="Todos",datos_base!$K$12,0))*parametros_manuales!$I$110+parametros_manuales!$G$35*(datos_base!$K$21+IF(parametros_manuales!$H$35="Todos",datos_base!$K$26,0))*parametros_manuales!$I$15)*parametros_manuales!$I$35*parametros_manuales!$J$35</f>
        <v>24780.20994114</v>
      </c>
      <c r="J261" s="9" t="n">
        <f aca="false">(parametros_manuales!$D$35*(datos_base!$K$2+IF(parametros_manuales!$H$35="Todos",datos_base!$K$9,0))*parametros_manuales!$J$95+parametros_manuales!$D$35*(datos_base!$K$18+IF(parametros_manuales!$H$35="Todos",datos_base!$K$23,0))*parametros_manuales!$J$12+parametros_manuales!$E$35*(datos_base!$K$3+IF(parametros_manuales!$H$35="Todos",datos_base!$K$10,0))*parametros_manuales!$J$100+parametros_manuales!$E$35*(datos_base!$K$19+IF(parametros_manuales!$H$35="Todos",datos_base!$K$24,0))*parametros_manuales!$J$13+parametros_manuales!$F$35*(datos_base!$K$4+IF(parametros_manuales!$H$35="Todos",datos_base!$K$11,0))*parametros_manuales!$J$105+parametros_manuales!$F$35*(datos_base!$K$20+IF(parametros_manuales!$H$35="Todos",datos_base!$K$25,0))*parametros_manuales!$J$14+parametros_manuales!$G$35*(datos_base!$K$5+IF(parametros_manuales!$H$35="Todos",datos_base!$K$12,0))*parametros_manuales!$J$110+parametros_manuales!$G$35*(datos_base!$K$21+IF(parametros_manuales!$H$35="Todos",datos_base!$K$26,0))*parametros_manuales!$J$15)*parametros_manuales!$I$35*parametros_manuales!$J$35</f>
        <v>24780.20994114</v>
      </c>
      <c r="K261" s="9" t="n">
        <f aca="false">(parametros_manuales!$D$35*(datos_base!$K$2+IF(parametros_manuales!$H$35="Todos",datos_base!$K$9,0))*parametros_manuales!$K$95+parametros_manuales!$D$35*(datos_base!$K$18+IF(parametros_manuales!$H$35="Todos",datos_base!$K$23,0))*parametros_manuales!$K$12+parametros_manuales!$E$35*(datos_base!$K$3+IF(parametros_manuales!$H$35="Todos",datos_base!$K$10,0))*parametros_manuales!$K$100+parametros_manuales!$E$35*(datos_base!$K$19+IF(parametros_manuales!$H$35="Todos",datos_base!$K$24,0))*parametros_manuales!$K$13+parametros_manuales!$F$35*(datos_base!$K$4+IF(parametros_manuales!$H$35="Todos",datos_base!$K$11,0))*parametros_manuales!$K$105+parametros_manuales!$F$35*(datos_base!$K$20+IF(parametros_manuales!$H$35="Todos",datos_base!$K$25,0))*parametros_manuales!$K$14+parametros_manuales!$G$35*(datos_base!$K$5+IF(parametros_manuales!$H$35="Todos",datos_base!$K$12,0))*parametros_manuales!$K$110+parametros_manuales!$G$35*(datos_base!$K$21+IF(parametros_manuales!$H$35="Todos",datos_base!$K$26,0))*parametros_manuales!$K$15)*parametros_manuales!$I$35*parametros_manuales!$J$35</f>
        <v>25187.302767355</v>
      </c>
      <c r="L261" s="9" t="n">
        <f aca="false">(parametros_manuales!$D$35*(datos_base!$K$2+IF(parametros_manuales!$H$35="Todos",datos_base!$K$9,0))*parametros_manuales!$L$95+parametros_manuales!$D$35*(datos_base!$K$18+IF(parametros_manuales!$H$35="Todos",datos_base!$K$23,0))*parametros_manuales!$L$12+parametros_manuales!$E$35*(datos_base!$K$3+IF(parametros_manuales!$H$35="Todos",datos_base!$K$10,0))*parametros_manuales!$L$100+parametros_manuales!$E$35*(datos_base!$K$19+IF(parametros_manuales!$H$35="Todos",datos_base!$K$24,0))*parametros_manuales!$L$13+parametros_manuales!$F$35*(datos_base!$K$4+IF(parametros_manuales!$H$35="Todos",datos_base!$K$11,0))*parametros_manuales!$L$105+parametros_manuales!$F$35*(datos_base!$K$20+IF(parametros_manuales!$H$35="Todos",datos_base!$K$25,0))*parametros_manuales!$L$14+parametros_manuales!$G$35*(datos_base!$K$5+IF(parametros_manuales!$H$35="Todos",datos_base!$K$12,0))*parametros_manuales!$L$110+parametros_manuales!$G$35*(datos_base!$K$21+IF(parametros_manuales!$H$35="Todos",datos_base!$K$26,0))*parametros_manuales!$L$15)*parametros_manuales!$I$35*parametros_manuales!$J$35</f>
        <v>25594.39559357</v>
      </c>
      <c r="M261" s="9" t="n">
        <f aca="false">(parametros_manuales!$D$35*(datos_base!$K$2+IF(parametros_manuales!$H$35="Todos",datos_base!$K$9,0))*parametros_manuales!$M$95+parametros_manuales!$D$35*(datos_base!$K$18+IF(parametros_manuales!$H$35="Todos",datos_base!$K$23,0))*parametros_manuales!$M$12+parametros_manuales!$E$35*(datos_base!$K$3+IF(parametros_manuales!$H$35="Todos",datos_base!$K$10,0))*parametros_manuales!$M$100+parametros_manuales!$E$35*(datos_base!$K$19+IF(parametros_manuales!$H$35="Todos",datos_base!$K$24,0))*parametros_manuales!$M$13+parametros_manuales!$F$35*(datos_base!$K$4+IF(parametros_manuales!$H$35="Todos",datos_base!$K$11,0))*parametros_manuales!$M$105+parametros_manuales!$F$35*(datos_base!$K$20+IF(parametros_manuales!$H$35="Todos",datos_base!$K$25,0))*parametros_manuales!$M$14+parametros_manuales!$G$35*(datos_base!$K$5+IF(parametros_manuales!$H$35="Todos",datos_base!$K$12,0))*parametros_manuales!$M$110+parametros_manuales!$G$35*(datos_base!$K$21+IF(parametros_manuales!$H$35="Todos",datos_base!$K$26,0))*parametros_manuales!$M$15)*parametros_manuales!$I$35*parametros_manuales!$J$35</f>
        <v>25602.11239357</v>
      </c>
      <c r="N261" s="9" t="n">
        <f aca="false">SUM(B261:M261)</f>
        <v>284425.044373</v>
      </c>
      <c r="O261" s="9" t="n">
        <f aca="false">MAX(B261:M261)</f>
        <v>25602.11239357</v>
      </c>
      <c r="P261" s="44" t="n">
        <f aca="false">O261/(parametros_manuales!$B$7)</f>
        <v>170.680749290467</v>
      </c>
      <c r="Q261" s="8" t="str">
        <f aca="false">IF(O261=0,"-",INDEX($B$244:$M$244,MATCH(O261,B261:M261,0)))</f>
        <v>Dic</v>
      </c>
    </row>
    <row r="262" customFormat="false" ht="14.25" hidden="false" customHeight="true" outlineLevel="0" collapsed="false">
      <c r="A262" s="8" t="str">
        <f aca="false">parametros_manuales!$B$36</f>
        <v>Corrección de defectos</v>
      </c>
      <c r="B262" s="9" t="n">
        <f aca="false">(parametros_manuales!$D$36*(datos_base!$K$2+IF(parametros_manuales!$H$36="Todos",datos_base!$K$9,0))*parametros_manuales!$B$95+parametros_manuales!$D$36*(datos_base!$K$18+IF(parametros_manuales!$H$36="Todos",datos_base!$K$23,0))*parametros_manuales!$B$12+parametros_manuales!$E$36*(datos_base!$K$3+IF(parametros_manuales!$H$36="Todos",datos_base!$K$10,0))*parametros_manuales!$B$100+parametros_manuales!$E$36*(datos_base!$K$19+IF(parametros_manuales!$H$36="Todos",datos_base!$K$24,0))*parametros_manuales!$B$13+parametros_manuales!$F$36*(datos_base!$K$4+IF(parametros_manuales!$H$36="Todos",datos_base!$K$11,0))*parametros_manuales!$B$105+parametros_manuales!$F$36*(datos_base!$K$20+IF(parametros_manuales!$H$36="Todos",datos_base!$K$25,0))*parametros_manuales!$B$14+parametros_manuales!$G$36*(datos_base!$K$5+IF(parametros_manuales!$H$36="Todos",datos_base!$K$12,0))*parametros_manuales!$B$110+parametros_manuales!$G$36*(datos_base!$K$21+IF(parametros_manuales!$H$36="Todos",datos_base!$K$26,0))*parametros_manuales!$B$15)*parametros_manuales!$I$36*parametros_manuales!$J$36</f>
        <v>1280.0091596785</v>
      </c>
      <c r="C262" s="9" t="n">
        <f aca="false">(parametros_manuales!$D$36*(datos_base!$K$2+IF(parametros_manuales!$H$36="Todos",datos_base!$K$9,0))*parametros_manuales!$C$95+parametros_manuales!$D$36*(datos_base!$K$18+IF(parametros_manuales!$H$36="Todos",datos_base!$K$23,0))*parametros_manuales!$C$12+parametros_manuales!$E$36*(datos_base!$K$3+IF(parametros_manuales!$H$36="Todos",datos_base!$K$10,0))*parametros_manuales!$C$100+parametros_manuales!$E$36*(datos_base!$K$19+IF(parametros_manuales!$H$36="Todos",datos_base!$K$24,0))*parametros_manuales!$C$13+parametros_manuales!$F$36*(datos_base!$K$4+IF(parametros_manuales!$H$36="Todos",datos_base!$K$11,0))*parametros_manuales!$C$105+parametros_manuales!$F$36*(datos_base!$K$20+IF(parametros_manuales!$H$36="Todos",datos_base!$K$25,0))*parametros_manuales!$C$14+parametros_manuales!$G$36*(datos_base!$K$5+IF(parametros_manuales!$H$36="Todos",datos_base!$K$12,0))*parametros_manuales!$C$110+parametros_manuales!$G$36*(datos_base!$K$21+IF(parametros_manuales!$H$36="Todos",datos_base!$K$26,0))*parametros_manuales!$C$15)*parametros_manuales!$I$36*parametros_manuales!$J$36</f>
        <v>1239.010497057</v>
      </c>
      <c r="D262" s="9" t="n">
        <f aca="false">(parametros_manuales!$D$36*(datos_base!$K$2+IF(parametros_manuales!$H$36="Todos",datos_base!$K$9,0))*parametros_manuales!$D$95+parametros_manuales!$D$36*(datos_base!$K$18+IF(parametros_manuales!$H$36="Todos",datos_base!$K$23,0))*parametros_manuales!$D$12+parametros_manuales!$E$36*(datos_base!$K$3+IF(parametros_manuales!$H$36="Todos",datos_base!$K$10,0))*parametros_manuales!$D$100+parametros_manuales!$E$36*(datos_base!$K$19+IF(parametros_manuales!$H$36="Todos",datos_base!$K$24,0))*parametros_manuales!$D$13+parametros_manuales!$F$36*(datos_base!$K$4+IF(parametros_manuales!$H$36="Todos",datos_base!$K$11,0))*parametros_manuales!$D$105+parametros_manuales!$F$36*(datos_base!$K$20+IF(parametros_manuales!$H$36="Todos",datos_base!$K$25,0))*parametros_manuales!$D$14+parametros_manuales!$G$36*(datos_base!$K$5+IF(parametros_manuales!$H$36="Todos",datos_base!$K$12,0))*parametros_manuales!$D$110+parametros_manuales!$G$36*(datos_base!$K$21+IF(parametros_manuales!$H$36="Todos",datos_base!$K$26,0))*parametros_manuales!$D$15)*parametros_manuales!$I$36*parametros_manuales!$J$36</f>
        <v>1158.15127880275</v>
      </c>
      <c r="E262" s="9" t="n">
        <f aca="false">(parametros_manuales!$D$36*(datos_base!$K$2+IF(parametros_manuales!$H$36="Todos",datos_base!$K$9,0))*parametros_manuales!$E$95+parametros_manuales!$D$36*(datos_base!$K$18+IF(parametros_manuales!$H$36="Todos",datos_base!$K$23,0))*parametros_manuales!$E$12+parametros_manuales!$E$36*(datos_base!$K$3+IF(parametros_manuales!$H$36="Todos",datos_base!$K$10,0))*parametros_manuales!$E$100+parametros_manuales!$E$36*(datos_base!$K$19+IF(parametros_manuales!$H$36="Todos",datos_base!$K$24,0))*parametros_manuales!$E$13+parametros_manuales!$F$36*(datos_base!$K$4+IF(parametros_manuales!$H$36="Todos",datos_base!$K$11,0))*parametros_manuales!$E$105+parametros_manuales!$F$36*(datos_base!$K$20+IF(parametros_manuales!$H$36="Todos",datos_base!$K$25,0))*parametros_manuales!$E$14+parametros_manuales!$G$36*(datos_base!$K$5+IF(parametros_manuales!$H$36="Todos",datos_base!$K$12,0))*parametros_manuales!$E$110+parametros_manuales!$G$36*(datos_base!$K$21+IF(parametros_manuales!$H$36="Todos",datos_base!$K$26,0))*parametros_manuales!$E$15)*parametros_manuales!$I$36*parametros_manuales!$J$36</f>
        <v>1107.49611902025</v>
      </c>
      <c r="F262" s="9" t="n">
        <f aca="false">(parametros_manuales!$D$36*(datos_base!$K$2+IF(parametros_manuales!$H$36="Todos",datos_base!$K$9,0))*parametros_manuales!$F$95+parametros_manuales!$D$36*(datos_base!$K$18+IF(parametros_manuales!$H$36="Todos",datos_base!$K$23,0))*parametros_manuales!$F$12+parametros_manuales!$E$36*(datos_base!$K$3+IF(parametros_manuales!$H$36="Todos",datos_base!$K$10,0))*parametros_manuales!$F$100+parametros_manuales!$E$36*(datos_base!$K$19+IF(parametros_manuales!$H$36="Todos",datos_base!$K$24,0))*parametros_manuales!$F$13+parametros_manuales!$F$36*(datos_base!$K$4+IF(parametros_manuales!$H$36="Todos",datos_base!$K$11,0))*parametros_manuales!$F$105+parametros_manuales!$F$36*(datos_base!$K$20+IF(parametros_manuales!$H$36="Todos",datos_base!$K$25,0))*parametros_manuales!$F$14+parametros_manuales!$G$36*(datos_base!$K$5+IF(parametros_manuales!$H$36="Todos",datos_base!$K$12,0))*parametros_manuales!$F$110+parametros_manuales!$G$36*(datos_base!$K$21+IF(parametros_manuales!$H$36="Todos",datos_base!$K$26,0))*parametros_manuales!$F$15)*parametros_manuales!$I$36*parametros_manuales!$J$36</f>
        <v>1036.389857927</v>
      </c>
      <c r="G262" s="9" t="n">
        <f aca="false">(parametros_manuales!$D$36*(datos_base!$K$2+IF(parametros_manuales!$H$36="Todos",datos_base!$K$9,0))*parametros_manuales!$G$95+parametros_manuales!$D$36*(datos_base!$K$18+IF(parametros_manuales!$H$36="Todos",datos_base!$K$23,0))*parametros_manuales!$G$12+parametros_manuales!$E$36*(datos_base!$K$3+IF(parametros_manuales!$H$36="Todos",datos_base!$K$10,0))*parametros_manuales!$G$100+parametros_manuales!$E$36*(datos_base!$K$19+IF(parametros_manuales!$H$36="Todos",datos_base!$K$24,0))*parametros_manuales!$G$13+parametros_manuales!$F$36*(datos_base!$K$4+IF(parametros_manuales!$H$36="Todos",datos_base!$K$11,0))*parametros_manuales!$G$105+parametros_manuales!$F$36*(datos_base!$K$20+IF(parametros_manuales!$H$36="Todos",datos_base!$K$25,0))*parametros_manuales!$G$14+parametros_manuales!$G$36*(datos_base!$K$5+IF(parametros_manuales!$H$36="Todos",datos_base!$K$12,0))*parametros_manuales!$G$110+parametros_manuales!$G$36*(datos_base!$K$21+IF(parametros_manuales!$H$36="Todos",datos_base!$K$26,0))*parametros_manuales!$G$15)*parametros_manuales!$I$36*parametros_manuales!$J$36</f>
        <v>1015.93875661625</v>
      </c>
      <c r="H262" s="9" t="n">
        <f aca="false">(parametros_manuales!$D$36*(datos_base!$K$2+IF(parametros_manuales!$H$36="Todos",datos_base!$K$9,0))*parametros_manuales!$H$95+parametros_manuales!$D$36*(datos_base!$K$18+IF(parametros_manuales!$H$36="Todos",datos_base!$K$23,0))*parametros_manuales!$H$12+parametros_manuales!$E$36*(datos_base!$K$3+IF(parametros_manuales!$H$36="Todos",datos_base!$K$10,0))*parametros_manuales!$H$100+parametros_manuales!$E$36*(datos_base!$K$19+IF(parametros_manuales!$H$36="Todos",datos_base!$K$24,0))*parametros_manuales!$H$13+parametros_manuales!$F$36*(datos_base!$K$4+IF(parametros_manuales!$H$36="Todos",datos_base!$K$11,0))*parametros_manuales!$H$105+parametros_manuales!$F$36*(datos_base!$K$20+IF(parametros_manuales!$H$36="Todos",datos_base!$K$25,0))*parametros_manuales!$H$14+parametros_manuales!$G$36*(datos_base!$K$5+IF(parametros_manuales!$H$36="Todos",datos_base!$K$12,0))*parametros_manuales!$H$110+parametros_manuales!$G$36*(datos_base!$K$21+IF(parametros_manuales!$H$36="Todos",datos_base!$K$26,0))*parametros_manuales!$H$15)*parametros_manuales!$I$36*parametros_manuales!$J$36</f>
        <v>1087.0450177095</v>
      </c>
      <c r="I262" s="9" t="n">
        <f aca="false">(parametros_manuales!$D$36*(datos_base!$K$2+IF(parametros_manuales!$H$36="Todos",datos_base!$K$9,0))*parametros_manuales!$I$95+parametros_manuales!$D$36*(datos_base!$K$18+IF(parametros_manuales!$H$36="Todos",datos_base!$K$23,0))*parametros_manuales!$I$12+parametros_manuales!$E$36*(datos_base!$K$3+IF(parametros_manuales!$H$36="Todos",datos_base!$K$10,0))*parametros_manuales!$I$100+parametros_manuales!$E$36*(datos_base!$K$19+IF(parametros_manuales!$H$36="Todos",datos_base!$K$24,0))*parametros_manuales!$I$13+parametros_manuales!$F$36*(datos_base!$K$4+IF(parametros_manuales!$H$36="Todos",datos_base!$K$11,0))*parametros_manuales!$I$105+parametros_manuales!$F$36*(datos_base!$K$20+IF(parametros_manuales!$H$36="Todos",datos_base!$K$25,0))*parametros_manuales!$I$14+parametros_manuales!$G$36*(datos_base!$K$5+IF(parametros_manuales!$H$36="Todos",datos_base!$K$12,0))*parametros_manuales!$I$110+parametros_manuales!$G$36*(datos_base!$K$21+IF(parametros_manuales!$H$36="Todos",datos_base!$K$26,0))*parametros_manuales!$I$15)*parametros_manuales!$I$36*parametros_manuales!$J$36</f>
        <v>1239.010497057</v>
      </c>
      <c r="J262" s="9" t="n">
        <f aca="false">(parametros_manuales!$D$36*(datos_base!$K$2+IF(parametros_manuales!$H$36="Todos",datos_base!$K$9,0))*parametros_manuales!$J$95+parametros_manuales!$D$36*(datos_base!$K$18+IF(parametros_manuales!$H$36="Todos",datos_base!$K$23,0))*parametros_manuales!$J$12+parametros_manuales!$E$36*(datos_base!$K$3+IF(parametros_manuales!$H$36="Todos",datos_base!$K$10,0))*parametros_manuales!$J$100+parametros_manuales!$E$36*(datos_base!$K$19+IF(parametros_manuales!$H$36="Todos",datos_base!$K$24,0))*parametros_manuales!$J$13+parametros_manuales!$F$36*(datos_base!$K$4+IF(parametros_manuales!$H$36="Todos",datos_base!$K$11,0))*parametros_manuales!$J$105+parametros_manuales!$F$36*(datos_base!$K$20+IF(parametros_manuales!$H$36="Todos",datos_base!$K$25,0))*parametros_manuales!$J$14+parametros_manuales!$G$36*(datos_base!$K$5+IF(parametros_manuales!$H$36="Todos",datos_base!$K$12,0))*parametros_manuales!$J$110+parametros_manuales!$G$36*(datos_base!$K$21+IF(parametros_manuales!$H$36="Todos",datos_base!$K$26,0))*parametros_manuales!$J$15)*parametros_manuales!$I$36*parametros_manuales!$J$36</f>
        <v>1239.010497057</v>
      </c>
      <c r="K262" s="9" t="n">
        <f aca="false">(parametros_manuales!$D$36*(datos_base!$K$2+IF(parametros_manuales!$H$36="Todos",datos_base!$K$9,0))*parametros_manuales!$K$95+parametros_manuales!$D$36*(datos_base!$K$18+IF(parametros_manuales!$H$36="Todos",datos_base!$K$23,0))*parametros_manuales!$K$12+parametros_manuales!$E$36*(datos_base!$K$3+IF(parametros_manuales!$H$36="Todos",datos_base!$K$10,0))*parametros_manuales!$K$100+parametros_manuales!$E$36*(datos_base!$K$19+IF(parametros_manuales!$H$36="Todos",datos_base!$K$24,0))*parametros_manuales!$K$13+parametros_manuales!$F$36*(datos_base!$K$4+IF(parametros_manuales!$H$36="Todos",datos_base!$K$11,0))*parametros_manuales!$K$105+parametros_manuales!$F$36*(datos_base!$K$20+IF(parametros_manuales!$H$36="Todos",datos_base!$K$25,0))*parametros_manuales!$K$14+parametros_manuales!$G$36*(datos_base!$K$5+IF(parametros_manuales!$H$36="Todos",datos_base!$K$12,0))*parametros_manuales!$K$110+parametros_manuales!$G$36*(datos_base!$K$21+IF(parametros_manuales!$H$36="Todos",datos_base!$K$26,0))*parametros_manuales!$K$15)*parametros_manuales!$I$36*parametros_manuales!$J$36</f>
        <v>1259.36513836775</v>
      </c>
      <c r="L262" s="9" t="n">
        <f aca="false">(parametros_manuales!$D$36*(datos_base!$K$2+IF(parametros_manuales!$H$36="Todos",datos_base!$K$9,0))*parametros_manuales!$L$95+parametros_manuales!$D$36*(datos_base!$K$18+IF(parametros_manuales!$H$36="Todos",datos_base!$K$23,0))*parametros_manuales!$L$12+parametros_manuales!$E$36*(datos_base!$K$3+IF(parametros_manuales!$H$36="Todos",datos_base!$K$10,0))*parametros_manuales!$L$100+parametros_manuales!$E$36*(datos_base!$K$19+IF(parametros_manuales!$H$36="Todos",datos_base!$K$24,0))*parametros_manuales!$L$13+parametros_manuales!$F$36*(datos_base!$K$4+IF(parametros_manuales!$H$36="Todos",datos_base!$K$11,0))*parametros_manuales!$L$105+parametros_manuales!$F$36*(datos_base!$K$20+IF(parametros_manuales!$H$36="Todos",datos_base!$K$25,0))*parametros_manuales!$L$14+parametros_manuales!$G$36*(datos_base!$K$5+IF(parametros_manuales!$H$36="Todos",datos_base!$K$12,0))*parametros_manuales!$L$110+parametros_manuales!$G$36*(datos_base!$K$21+IF(parametros_manuales!$H$36="Todos",datos_base!$K$26,0))*parametros_manuales!$L$15)*parametros_manuales!$I$36*parametros_manuales!$J$36</f>
        <v>1279.7197796785</v>
      </c>
      <c r="M262" s="9" t="n">
        <f aca="false">(parametros_manuales!$D$36*(datos_base!$K$2+IF(parametros_manuales!$H$36="Todos",datos_base!$K$9,0))*parametros_manuales!$M$95+parametros_manuales!$D$36*(datos_base!$K$18+IF(parametros_manuales!$H$36="Todos",datos_base!$K$23,0))*parametros_manuales!$M$12+parametros_manuales!$E$36*(datos_base!$K$3+IF(parametros_manuales!$H$36="Todos",datos_base!$K$10,0))*parametros_manuales!$M$100+parametros_manuales!$E$36*(datos_base!$K$19+IF(parametros_manuales!$H$36="Todos",datos_base!$K$24,0))*parametros_manuales!$M$13+parametros_manuales!$F$36*(datos_base!$K$4+IF(parametros_manuales!$H$36="Todos",datos_base!$K$11,0))*parametros_manuales!$M$105+parametros_manuales!$F$36*(datos_base!$K$20+IF(parametros_manuales!$H$36="Todos",datos_base!$K$25,0))*parametros_manuales!$M$14+parametros_manuales!$G$36*(datos_base!$K$5+IF(parametros_manuales!$H$36="Todos",datos_base!$K$12,0))*parametros_manuales!$M$110+parametros_manuales!$G$36*(datos_base!$K$21+IF(parametros_manuales!$H$36="Todos",datos_base!$K$26,0))*parametros_manuales!$M$15)*parametros_manuales!$I$36*parametros_manuales!$J$36</f>
        <v>1280.1056196785</v>
      </c>
      <c r="N262" s="9" t="n">
        <f aca="false">SUM(B262:M262)</f>
        <v>14221.25221865</v>
      </c>
      <c r="O262" s="9" t="n">
        <f aca="false">MAX(B262:M262)</f>
        <v>1280.1056196785</v>
      </c>
      <c r="P262" s="44" t="n">
        <f aca="false">O262/(parametros_manuales!$B$7)</f>
        <v>8.53403746452334</v>
      </c>
      <c r="Q262" s="8" t="str">
        <f aca="false">IF(O262=0,"-",INDEX($B$244:$M$244,MATCH(O262,B262:M262,0)))</f>
        <v>Dic</v>
      </c>
    </row>
    <row r="263" customFormat="false" ht="14.25" hidden="false" customHeight="true" outlineLevel="0" collapsed="false">
      <c r="A263" s="8" t="str">
        <f aca="false">parametros_manuales!$B$37</f>
        <v>Pintura en polvo + horno</v>
      </c>
      <c r="B263" s="9" t="n">
        <f aca="false">(parametros_manuales!$D$37*(datos_base!$K$2+IF(parametros_manuales!$H$37="Todos",datos_base!$K$9,0))*parametros_manuales!$B$95+parametros_manuales!$D$37*(datos_base!$K$18+IF(parametros_manuales!$H$37="Todos",datos_base!$K$23,0))*parametros_manuales!$B$12+parametros_manuales!$E$37*(datos_base!$K$3+IF(parametros_manuales!$H$37="Todos",datos_base!$K$10,0))*parametros_manuales!$B$100+parametros_manuales!$E$37*(datos_base!$K$19+IF(parametros_manuales!$H$37="Todos",datos_base!$K$24,0))*parametros_manuales!$B$13+parametros_manuales!$F$37*(datos_base!$K$4+IF(parametros_manuales!$H$37="Todos",datos_base!$K$11,0))*parametros_manuales!$B$105+parametros_manuales!$F$37*(datos_base!$K$20+IF(parametros_manuales!$H$37="Todos",datos_base!$K$25,0))*parametros_manuales!$B$14+parametros_manuales!$G$37*(datos_base!$K$5+IF(parametros_manuales!$H$37="Todos",datos_base!$K$12,0))*parametros_manuales!$B$110+parametros_manuales!$G$37*(datos_base!$K$21+IF(parametros_manuales!$H$37="Todos",datos_base!$K$26,0))*parametros_manuales!$B$15)*parametros_manuales!$I$37*parametros_manuales!$J$37</f>
        <v>25600.18319357</v>
      </c>
      <c r="C263" s="9" t="n">
        <f aca="false">(parametros_manuales!$D$37*(datos_base!$K$2+IF(parametros_manuales!$H$37="Todos",datos_base!$K$9,0))*parametros_manuales!$C$95+parametros_manuales!$D$37*(datos_base!$K$18+IF(parametros_manuales!$H$37="Todos",datos_base!$K$23,0))*parametros_manuales!$C$12+parametros_manuales!$E$37*(datos_base!$K$3+IF(parametros_manuales!$H$37="Todos",datos_base!$K$10,0))*parametros_manuales!$C$100+parametros_manuales!$E$37*(datos_base!$K$19+IF(parametros_manuales!$H$37="Todos",datos_base!$K$24,0))*parametros_manuales!$C$13+parametros_manuales!$F$37*(datos_base!$K$4+IF(parametros_manuales!$H$37="Todos",datos_base!$K$11,0))*parametros_manuales!$C$105+parametros_manuales!$F$37*(datos_base!$K$20+IF(parametros_manuales!$H$37="Todos",datos_base!$K$25,0))*parametros_manuales!$C$14+parametros_manuales!$G$37*(datos_base!$K$5+IF(parametros_manuales!$H$37="Todos",datos_base!$K$12,0))*parametros_manuales!$C$110+parametros_manuales!$G$37*(datos_base!$K$21+IF(parametros_manuales!$H$37="Todos",datos_base!$K$26,0))*parametros_manuales!$C$15)*parametros_manuales!$I$37*parametros_manuales!$J$37</f>
        <v>24780.20994114</v>
      </c>
      <c r="D263" s="9" t="n">
        <f aca="false">(parametros_manuales!$D$37*(datos_base!$K$2+IF(parametros_manuales!$H$37="Todos",datos_base!$K$9,0))*parametros_manuales!$D$95+parametros_manuales!$D$37*(datos_base!$K$18+IF(parametros_manuales!$H$37="Todos",datos_base!$K$23,0))*parametros_manuales!$D$12+parametros_manuales!$E$37*(datos_base!$K$3+IF(parametros_manuales!$H$37="Todos",datos_base!$K$10,0))*parametros_manuales!$D$100+parametros_manuales!$E$37*(datos_base!$K$19+IF(parametros_manuales!$H$37="Todos",datos_base!$K$24,0))*parametros_manuales!$D$13+parametros_manuales!$F$37*(datos_base!$K$4+IF(parametros_manuales!$H$37="Todos",datos_base!$K$11,0))*parametros_manuales!$D$105+parametros_manuales!$F$37*(datos_base!$K$20+IF(parametros_manuales!$H$37="Todos",datos_base!$K$25,0))*parametros_manuales!$D$14+parametros_manuales!$G$37*(datos_base!$K$5+IF(parametros_manuales!$H$37="Todos",datos_base!$K$12,0))*parametros_manuales!$D$110+parametros_manuales!$G$37*(datos_base!$K$21+IF(parametros_manuales!$H$37="Todos",datos_base!$K$26,0))*parametros_manuales!$D$15)*parametros_manuales!$I$37*parametros_manuales!$J$37</f>
        <v>23163.025576055</v>
      </c>
      <c r="E263" s="9" t="n">
        <f aca="false">(parametros_manuales!$D$37*(datos_base!$K$2+IF(parametros_manuales!$H$37="Todos",datos_base!$K$9,0))*parametros_manuales!$E$95+parametros_manuales!$D$37*(datos_base!$K$18+IF(parametros_manuales!$H$37="Todos",datos_base!$K$23,0))*parametros_manuales!$E$12+parametros_manuales!$E$37*(datos_base!$K$3+IF(parametros_manuales!$H$37="Todos",datos_base!$K$10,0))*parametros_manuales!$E$100+parametros_manuales!$E$37*(datos_base!$K$19+IF(parametros_manuales!$H$37="Todos",datos_base!$K$24,0))*parametros_manuales!$E$13+parametros_manuales!$F$37*(datos_base!$K$4+IF(parametros_manuales!$H$37="Todos",datos_base!$K$11,0))*parametros_manuales!$E$105+parametros_manuales!$F$37*(datos_base!$K$20+IF(parametros_manuales!$H$37="Todos",datos_base!$K$25,0))*parametros_manuales!$E$14+parametros_manuales!$G$37*(datos_base!$K$5+IF(parametros_manuales!$H$37="Todos",datos_base!$K$12,0))*parametros_manuales!$E$110+parametros_manuales!$G$37*(datos_base!$K$21+IF(parametros_manuales!$H$37="Todos",datos_base!$K$26,0))*parametros_manuales!$E$15)*parametros_manuales!$I$37*parametros_manuales!$J$37</f>
        <v>22149.922380405</v>
      </c>
      <c r="F263" s="9" t="n">
        <f aca="false">(parametros_manuales!$D$37*(datos_base!$K$2+IF(parametros_manuales!$H$37="Todos",datos_base!$K$9,0))*parametros_manuales!$F$95+parametros_manuales!$D$37*(datos_base!$K$18+IF(parametros_manuales!$H$37="Todos",datos_base!$K$23,0))*parametros_manuales!$F$12+parametros_manuales!$E$37*(datos_base!$K$3+IF(parametros_manuales!$H$37="Todos",datos_base!$K$10,0))*parametros_manuales!$F$100+parametros_manuales!$E$37*(datos_base!$K$19+IF(parametros_manuales!$H$37="Todos",datos_base!$K$24,0))*parametros_manuales!$F$13+parametros_manuales!$F$37*(datos_base!$K$4+IF(parametros_manuales!$H$37="Todos",datos_base!$K$11,0))*parametros_manuales!$F$105+parametros_manuales!$F$37*(datos_base!$K$20+IF(parametros_manuales!$H$37="Todos",datos_base!$K$25,0))*parametros_manuales!$F$14+parametros_manuales!$G$37*(datos_base!$K$5+IF(parametros_manuales!$H$37="Todos",datos_base!$K$12,0))*parametros_manuales!$F$110+parametros_manuales!$G$37*(datos_base!$K$21+IF(parametros_manuales!$H$37="Todos",datos_base!$K$26,0))*parametros_manuales!$F$15)*parametros_manuales!$I$37*parametros_manuales!$J$37</f>
        <v>20727.79715854</v>
      </c>
      <c r="G263" s="9" t="n">
        <f aca="false">(parametros_manuales!$D$37*(datos_base!$K$2+IF(parametros_manuales!$H$37="Todos",datos_base!$K$9,0))*parametros_manuales!$G$95+parametros_manuales!$D$37*(datos_base!$K$18+IF(parametros_manuales!$H$37="Todos",datos_base!$K$23,0))*parametros_manuales!$G$12+parametros_manuales!$E$37*(datos_base!$K$3+IF(parametros_manuales!$H$37="Todos",datos_base!$K$10,0))*parametros_manuales!$G$100+parametros_manuales!$E$37*(datos_base!$K$19+IF(parametros_manuales!$H$37="Todos",datos_base!$K$24,0))*parametros_manuales!$G$13+parametros_manuales!$F$37*(datos_base!$K$4+IF(parametros_manuales!$H$37="Todos",datos_base!$K$11,0))*parametros_manuales!$G$105+parametros_manuales!$F$37*(datos_base!$K$20+IF(parametros_manuales!$H$37="Todos",datos_base!$K$25,0))*parametros_manuales!$G$14+parametros_manuales!$G$37*(datos_base!$K$5+IF(parametros_manuales!$H$37="Todos",datos_base!$K$12,0))*parametros_manuales!$G$110+parametros_manuales!$G$37*(datos_base!$K$21+IF(parametros_manuales!$H$37="Todos",datos_base!$K$26,0))*parametros_manuales!$G$15)*parametros_manuales!$I$37*parametros_manuales!$J$37</f>
        <v>20318.775132325</v>
      </c>
      <c r="H263" s="9" t="n">
        <f aca="false">(parametros_manuales!$D$37*(datos_base!$K$2+IF(parametros_manuales!$H$37="Todos",datos_base!$K$9,0))*parametros_manuales!$H$95+parametros_manuales!$D$37*(datos_base!$K$18+IF(parametros_manuales!$H$37="Todos",datos_base!$K$23,0))*parametros_manuales!$H$12+parametros_manuales!$E$37*(datos_base!$K$3+IF(parametros_manuales!$H$37="Todos",datos_base!$K$10,0))*parametros_manuales!$H$100+parametros_manuales!$E$37*(datos_base!$K$19+IF(parametros_manuales!$H$37="Todos",datos_base!$K$24,0))*parametros_manuales!$H$13+parametros_manuales!$F$37*(datos_base!$K$4+IF(parametros_manuales!$H$37="Todos",datos_base!$K$11,0))*parametros_manuales!$H$105+parametros_manuales!$F$37*(datos_base!$K$20+IF(parametros_manuales!$H$37="Todos",datos_base!$K$25,0))*parametros_manuales!$H$14+parametros_manuales!$G$37*(datos_base!$K$5+IF(parametros_manuales!$H$37="Todos",datos_base!$K$12,0))*parametros_manuales!$H$110+parametros_manuales!$G$37*(datos_base!$K$21+IF(parametros_manuales!$H$37="Todos",datos_base!$K$26,0))*parametros_manuales!$H$15)*parametros_manuales!$I$37*parametros_manuales!$J$37</f>
        <v>21740.90035419</v>
      </c>
      <c r="I263" s="9" t="n">
        <f aca="false">(parametros_manuales!$D$37*(datos_base!$K$2+IF(parametros_manuales!$H$37="Todos",datos_base!$K$9,0))*parametros_manuales!$I$95+parametros_manuales!$D$37*(datos_base!$K$18+IF(parametros_manuales!$H$37="Todos",datos_base!$K$23,0))*parametros_manuales!$I$12+parametros_manuales!$E$37*(datos_base!$K$3+IF(parametros_manuales!$H$37="Todos",datos_base!$K$10,0))*parametros_manuales!$I$100+parametros_manuales!$E$37*(datos_base!$K$19+IF(parametros_manuales!$H$37="Todos",datos_base!$K$24,0))*parametros_manuales!$I$13+parametros_manuales!$F$37*(datos_base!$K$4+IF(parametros_manuales!$H$37="Todos",datos_base!$K$11,0))*parametros_manuales!$I$105+parametros_manuales!$F$37*(datos_base!$K$20+IF(parametros_manuales!$H$37="Todos",datos_base!$K$25,0))*parametros_manuales!$I$14+parametros_manuales!$G$37*(datos_base!$K$5+IF(parametros_manuales!$H$37="Todos",datos_base!$K$12,0))*parametros_manuales!$I$110+parametros_manuales!$G$37*(datos_base!$K$21+IF(parametros_manuales!$H$37="Todos",datos_base!$K$26,0))*parametros_manuales!$I$15)*parametros_manuales!$I$37*parametros_manuales!$J$37</f>
        <v>24780.20994114</v>
      </c>
      <c r="J263" s="9" t="n">
        <f aca="false">(parametros_manuales!$D$37*(datos_base!$K$2+IF(parametros_manuales!$H$37="Todos",datos_base!$K$9,0))*parametros_manuales!$J$95+parametros_manuales!$D$37*(datos_base!$K$18+IF(parametros_manuales!$H$37="Todos",datos_base!$K$23,0))*parametros_manuales!$J$12+parametros_manuales!$E$37*(datos_base!$K$3+IF(parametros_manuales!$H$37="Todos",datos_base!$K$10,0))*parametros_manuales!$J$100+parametros_manuales!$E$37*(datos_base!$K$19+IF(parametros_manuales!$H$37="Todos",datos_base!$K$24,0))*parametros_manuales!$J$13+parametros_manuales!$F$37*(datos_base!$K$4+IF(parametros_manuales!$H$37="Todos",datos_base!$K$11,0))*parametros_manuales!$J$105+parametros_manuales!$F$37*(datos_base!$K$20+IF(parametros_manuales!$H$37="Todos",datos_base!$K$25,0))*parametros_manuales!$J$14+parametros_manuales!$G$37*(datos_base!$K$5+IF(parametros_manuales!$H$37="Todos",datos_base!$K$12,0))*parametros_manuales!$J$110+parametros_manuales!$G$37*(datos_base!$K$21+IF(parametros_manuales!$H$37="Todos",datos_base!$K$26,0))*parametros_manuales!$J$15)*parametros_manuales!$I$37*parametros_manuales!$J$37</f>
        <v>24780.20994114</v>
      </c>
      <c r="K263" s="9" t="n">
        <f aca="false">(parametros_manuales!$D$37*(datos_base!$K$2+IF(parametros_manuales!$H$37="Todos",datos_base!$K$9,0))*parametros_manuales!$K$95+parametros_manuales!$D$37*(datos_base!$K$18+IF(parametros_manuales!$H$37="Todos",datos_base!$K$23,0))*parametros_manuales!$K$12+parametros_manuales!$E$37*(datos_base!$K$3+IF(parametros_manuales!$H$37="Todos",datos_base!$K$10,0))*parametros_manuales!$K$100+parametros_manuales!$E$37*(datos_base!$K$19+IF(parametros_manuales!$H$37="Todos",datos_base!$K$24,0))*parametros_manuales!$K$13+parametros_manuales!$F$37*(datos_base!$K$4+IF(parametros_manuales!$H$37="Todos",datos_base!$K$11,0))*parametros_manuales!$K$105+parametros_manuales!$F$37*(datos_base!$K$20+IF(parametros_manuales!$H$37="Todos",datos_base!$K$25,0))*parametros_manuales!$K$14+parametros_manuales!$G$37*(datos_base!$K$5+IF(parametros_manuales!$H$37="Todos",datos_base!$K$12,0))*parametros_manuales!$K$110+parametros_manuales!$G$37*(datos_base!$K$21+IF(parametros_manuales!$H$37="Todos",datos_base!$K$26,0))*parametros_manuales!$K$15)*parametros_manuales!$I$37*parametros_manuales!$J$37</f>
        <v>25187.302767355</v>
      </c>
      <c r="L263" s="9" t="n">
        <f aca="false">(parametros_manuales!$D$37*(datos_base!$K$2+IF(parametros_manuales!$H$37="Todos",datos_base!$K$9,0))*parametros_manuales!$L$95+parametros_manuales!$D$37*(datos_base!$K$18+IF(parametros_manuales!$H$37="Todos",datos_base!$K$23,0))*parametros_manuales!$L$12+parametros_manuales!$E$37*(datos_base!$K$3+IF(parametros_manuales!$H$37="Todos",datos_base!$K$10,0))*parametros_manuales!$L$100+parametros_manuales!$E$37*(datos_base!$K$19+IF(parametros_manuales!$H$37="Todos",datos_base!$K$24,0))*parametros_manuales!$L$13+parametros_manuales!$F$37*(datos_base!$K$4+IF(parametros_manuales!$H$37="Todos",datos_base!$K$11,0))*parametros_manuales!$L$105+parametros_manuales!$F$37*(datos_base!$K$20+IF(parametros_manuales!$H$37="Todos",datos_base!$K$25,0))*parametros_manuales!$L$14+parametros_manuales!$G$37*(datos_base!$K$5+IF(parametros_manuales!$H$37="Todos",datos_base!$K$12,0))*parametros_manuales!$L$110+parametros_manuales!$G$37*(datos_base!$K$21+IF(parametros_manuales!$H$37="Todos",datos_base!$K$26,0))*parametros_manuales!$L$15)*parametros_manuales!$I$37*parametros_manuales!$J$37</f>
        <v>25594.39559357</v>
      </c>
      <c r="M263" s="9" t="n">
        <f aca="false">(parametros_manuales!$D$37*(datos_base!$K$2+IF(parametros_manuales!$H$37="Todos",datos_base!$K$9,0))*parametros_manuales!$M$95+parametros_manuales!$D$37*(datos_base!$K$18+IF(parametros_manuales!$H$37="Todos",datos_base!$K$23,0))*parametros_manuales!$M$12+parametros_manuales!$E$37*(datos_base!$K$3+IF(parametros_manuales!$H$37="Todos",datos_base!$K$10,0))*parametros_manuales!$M$100+parametros_manuales!$E$37*(datos_base!$K$19+IF(parametros_manuales!$H$37="Todos",datos_base!$K$24,0))*parametros_manuales!$M$13+parametros_manuales!$F$37*(datos_base!$K$4+IF(parametros_manuales!$H$37="Todos",datos_base!$K$11,0))*parametros_manuales!$M$105+parametros_manuales!$F$37*(datos_base!$K$20+IF(parametros_manuales!$H$37="Todos",datos_base!$K$25,0))*parametros_manuales!$M$14+parametros_manuales!$G$37*(datos_base!$K$5+IF(parametros_manuales!$H$37="Todos",datos_base!$K$12,0))*parametros_manuales!$M$110+parametros_manuales!$G$37*(datos_base!$K$21+IF(parametros_manuales!$H$37="Todos",datos_base!$K$26,0))*parametros_manuales!$M$15)*parametros_manuales!$I$37*parametros_manuales!$J$37</f>
        <v>25602.11239357</v>
      </c>
      <c r="N263" s="9" t="n">
        <f aca="false">SUM(B263:M263)</f>
        <v>284425.044373</v>
      </c>
      <c r="O263" s="9" t="n">
        <f aca="false">MAX(B263:M263)</f>
        <v>25602.11239357</v>
      </c>
      <c r="P263" s="44" t="n">
        <f aca="false">O263/(parametros_manuales!$B$7)</f>
        <v>170.680749290467</v>
      </c>
      <c r="Q263" s="8" t="str">
        <f aca="false">IF(O263=0,"-",INDEX($B$244:$M$244,MATCH(O263,B263:M263,0)))</f>
        <v>Dic</v>
      </c>
    </row>
    <row r="264" customFormat="false" ht="14.25" hidden="false" customHeight="true" outlineLevel="0" collapsed="false">
      <c r="A264" s="8" t="str">
        <f aca="false">parametros_manuales!$B$38</f>
        <v>Carga de polvo</v>
      </c>
      <c r="B264" s="9" t="n">
        <f aca="false">(parametros_manuales!$D$38*(datos_base!$K$2+IF(parametros_manuales!$H$38="Todos",datos_base!$K$9,0))*parametros_manuales!$B$95+parametros_manuales!$D$38*(datos_base!$K$18+IF(parametros_manuales!$H$38="Todos",datos_base!$K$23,0))*parametros_manuales!$B$12+parametros_manuales!$E$38*(datos_base!$K$3+IF(parametros_manuales!$H$38="Todos",datos_base!$K$10,0))*parametros_manuales!$B$100+parametros_manuales!$E$38*(datos_base!$K$19+IF(parametros_manuales!$H$38="Todos",datos_base!$K$24,0))*parametros_manuales!$B$13+parametros_manuales!$F$38*(datos_base!$K$4+IF(parametros_manuales!$H$38="Todos",datos_base!$K$11,0))*parametros_manuales!$B$105+parametros_manuales!$F$38*(datos_base!$K$20+IF(parametros_manuales!$H$38="Todos",datos_base!$K$25,0))*parametros_manuales!$B$14+parametros_manuales!$G$38*(datos_base!$K$5+IF(parametros_manuales!$H$38="Todos",datos_base!$K$12,0))*parametros_manuales!$B$110+parametros_manuales!$G$38*(datos_base!$K$21+IF(parametros_manuales!$H$38="Todos",datos_base!$K$26,0))*parametros_manuales!$B$15)*parametros_manuales!$I$38*parametros_manuales!$J$38</f>
        <v>6494.52919357</v>
      </c>
      <c r="C264" s="9" t="n">
        <f aca="false">(parametros_manuales!$D$38*(datos_base!$K$2+IF(parametros_manuales!$H$38="Todos",datos_base!$K$9,0))*parametros_manuales!$C$95+parametros_manuales!$D$38*(datos_base!$K$18+IF(parametros_manuales!$H$38="Todos",datos_base!$K$23,0))*parametros_manuales!$C$12+parametros_manuales!$E$38*(datos_base!$K$3+IF(parametros_manuales!$H$38="Todos",datos_base!$K$10,0))*parametros_manuales!$C$100+parametros_manuales!$E$38*(datos_base!$K$19+IF(parametros_manuales!$H$38="Todos",datos_base!$K$24,0))*parametros_manuales!$C$13+parametros_manuales!$F$38*(datos_base!$K$4+IF(parametros_manuales!$H$38="Todos",datos_base!$K$11,0))*parametros_manuales!$C$105+parametros_manuales!$F$38*(datos_base!$K$20+IF(parametros_manuales!$H$38="Todos",datos_base!$K$25,0))*parametros_manuales!$C$14+parametros_manuales!$G$38*(datos_base!$K$5+IF(parametros_manuales!$H$38="Todos",datos_base!$K$12,0))*parametros_manuales!$C$110+parametros_manuales!$G$38*(datos_base!$K$21+IF(parametros_manuales!$H$38="Todos",datos_base!$K$26,0))*parametros_manuales!$C$15)*parametros_manuales!$I$38*parametros_manuales!$J$38</f>
        <v>6093.06274114</v>
      </c>
      <c r="D264" s="9" t="n">
        <f aca="false">(parametros_manuales!$D$38*(datos_base!$K$2+IF(parametros_manuales!$H$38="Todos",datos_base!$K$9,0))*parametros_manuales!$D$95+parametros_manuales!$D$38*(datos_base!$K$18+IF(parametros_manuales!$H$38="Todos",datos_base!$K$23,0))*parametros_manuales!$D$12+parametros_manuales!$E$38*(datos_base!$K$3+IF(parametros_manuales!$H$38="Todos",datos_base!$K$10,0))*parametros_manuales!$D$100+parametros_manuales!$E$38*(datos_base!$K$19+IF(parametros_manuales!$H$38="Todos",datos_base!$K$24,0))*parametros_manuales!$D$13+parametros_manuales!$F$38*(datos_base!$K$4+IF(parametros_manuales!$H$38="Todos",datos_base!$K$11,0))*parametros_manuales!$D$105+parametros_manuales!$F$38*(datos_base!$K$20+IF(parametros_manuales!$H$38="Todos",datos_base!$K$25,0))*parametros_manuales!$D$14+parametros_manuales!$G$38*(datos_base!$K$5+IF(parametros_manuales!$H$38="Todos",datos_base!$K$12,0))*parametros_manuales!$D$110+parametros_manuales!$G$38*(datos_base!$K$21+IF(parametros_manuales!$H$38="Todos",datos_base!$K$26,0))*parametros_manuales!$D$15)*parametros_manuales!$I$38*parametros_manuales!$J$38</f>
        <v>5972.744176055</v>
      </c>
      <c r="E264" s="9" t="n">
        <f aca="false">(parametros_manuales!$D$38*(datos_base!$K$2+IF(parametros_manuales!$H$38="Todos",datos_base!$K$9,0))*parametros_manuales!$E$95+parametros_manuales!$D$38*(datos_base!$K$18+IF(parametros_manuales!$H$38="Todos",datos_base!$K$23,0))*parametros_manuales!$E$12+parametros_manuales!$E$38*(datos_base!$K$3+IF(parametros_manuales!$H$38="Todos",datos_base!$K$10,0))*parametros_manuales!$E$100+parametros_manuales!$E$38*(datos_base!$K$19+IF(parametros_manuales!$H$38="Todos",datos_base!$K$24,0))*parametros_manuales!$E$13+parametros_manuales!$F$38*(datos_base!$K$4+IF(parametros_manuales!$H$38="Todos",datos_base!$K$11,0))*parametros_manuales!$E$105+parametros_manuales!$F$38*(datos_base!$K$20+IF(parametros_manuales!$H$38="Todos",datos_base!$K$25,0))*parametros_manuales!$E$14+parametros_manuales!$G$38*(datos_base!$K$5+IF(parametros_manuales!$H$38="Todos",datos_base!$K$12,0))*parametros_manuales!$E$110+parametros_manuales!$G$38*(datos_base!$K$21+IF(parametros_manuales!$H$38="Todos",datos_base!$K$26,0))*parametros_manuales!$E$15)*parametros_manuales!$I$38*parametros_manuales!$J$38</f>
        <v>5812.380980405</v>
      </c>
      <c r="F264" s="9" t="n">
        <f aca="false">(parametros_manuales!$D$38*(datos_base!$K$2+IF(parametros_manuales!$H$38="Todos",datos_base!$K$9,0))*parametros_manuales!$F$95+parametros_manuales!$D$38*(datos_base!$K$18+IF(parametros_manuales!$H$38="Todos",datos_base!$K$23,0))*parametros_manuales!$F$12+parametros_manuales!$E$38*(datos_base!$K$3+IF(parametros_manuales!$H$38="Todos",datos_base!$K$10,0))*parametros_manuales!$F$100+parametros_manuales!$E$38*(datos_base!$K$19+IF(parametros_manuales!$H$38="Todos",datos_base!$K$24,0))*parametros_manuales!$F$13+parametros_manuales!$F$38*(datos_base!$K$4+IF(parametros_manuales!$H$38="Todos",datos_base!$K$11,0))*parametros_manuales!$F$105+parametros_manuales!$F$38*(datos_base!$K$20+IF(parametros_manuales!$H$38="Todos",datos_base!$K$25,0))*parametros_manuales!$F$14+parametros_manuales!$G$38*(datos_base!$K$5+IF(parametros_manuales!$H$38="Todos",datos_base!$K$12,0))*parametros_manuales!$F$110+parametros_manuales!$G$38*(datos_base!$K$21+IF(parametros_manuales!$H$38="Todos",datos_base!$K$26,0))*parametros_manuales!$F$15)*parametros_manuales!$I$38*parametros_manuales!$J$38</f>
        <v>5451.60995854</v>
      </c>
      <c r="G264" s="9" t="n">
        <f aca="false">(parametros_manuales!$D$38*(datos_base!$K$2+IF(parametros_manuales!$H$38="Todos",datos_base!$K$9,0))*parametros_manuales!$G$95+parametros_manuales!$D$38*(datos_base!$K$18+IF(parametros_manuales!$H$38="Todos",datos_base!$K$23,0))*parametros_manuales!$G$12+parametros_manuales!$E$38*(datos_base!$K$3+IF(parametros_manuales!$H$38="Todos",datos_base!$K$10,0))*parametros_manuales!$G$100+parametros_manuales!$E$38*(datos_base!$K$19+IF(parametros_manuales!$H$38="Todos",datos_base!$K$24,0))*parametros_manuales!$G$13+parametros_manuales!$F$38*(datos_base!$K$4+IF(parametros_manuales!$H$38="Todos",datos_base!$K$11,0))*parametros_manuales!$G$105+parametros_manuales!$F$38*(datos_base!$K$20+IF(parametros_manuales!$H$38="Todos",datos_base!$K$25,0))*parametros_manuales!$G$14+parametros_manuales!$G$38*(datos_base!$K$5+IF(parametros_manuales!$H$38="Todos",datos_base!$K$12,0))*parametros_manuales!$G$110+parametros_manuales!$G$38*(datos_base!$K$21+IF(parametros_manuales!$H$38="Todos",datos_base!$K$26,0))*parametros_manuales!$G$15)*parametros_manuales!$I$38*parametros_manuales!$J$38</f>
        <v>5251.202132325</v>
      </c>
      <c r="H264" s="9" t="n">
        <f aca="false">(parametros_manuales!$D$38*(datos_base!$K$2+IF(parametros_manuales!$H$38="Todos",datos_base!$K$9,0))*parametros_manuales!$H$95+parametros_manuales!$D$38*(datos_base!$K$18+IF(parametros_manuales!$H$38="Todos",datos_base!$K$23,0))*parametros_manuales!$H$12+parametros_manuales!$E$38*(datos_base!$K$3+IF(parametros_manuales!$H$38="Todos",datos_base!$K$10,0))*parametros_manuales!$H$100+parametros_manuales!$E$38*(datos_base!$K$19+IF(parametros_manuales!$H$38="Todos",datos_base!$K$24,0))*parametros_manuales!$H$13+parametros_manuales!$F$38*(datos_base!$K$4+IF(parametros_manuales!$H$38="Todos",datos_base!$K$11,0))*parametros_manuales!$H$105+parametros_manuales!$F$38*(datos_base!$K$20+IF(parametros_manuales!$H$38="Todos",datos_base!$K$25,0))*parametros_manuales!$H$14+parametros_manuales!$G$38*(datos_base!$K$5+IF(parametros_manuales!$H$38="Todos",datos_base!$K$12,0))*parametros_manuales!$H$110+parametros_manuales!$G$38*(datos_base!$K$21+IF(parametros_manuales!$H$38="Todos",datos_base!$K$26,0))*parametros_manuales!$H$15)*parametros_manuales!$I$38*parametros_manuales!$J$38</f>
        <v>5611.97315419</v>
      </c>
      <c r="I264" s="9" t="n">
        <f aca="false">(parametros_manuales!$D$38*(datos_base!$K$2+IF(parametros_manuales!$H$38="Todos",datos_base!$K$9,0))*parametros_manuales!$I$95+parametros_manuales!$D$38*(datos_base!$K$18+IF(parametros_manuales!$H$38="Todos",datos_base!$K$23,0))*parametros_manuales!$I$12+parametros_manuales!$E$38*(datos_base!$K$3+IF(parametros_manuales!$H$38="Todos",datos_base!$K$10,0))*parametros_manuales!$I$100+parametros_manuales!$E$38*(datos_base!$K$19+IF(parametros_manuales!$H$38="Todos",datos_base!$K$24,0))*parametros_manuales!$I$13+parametros_manuales!$F$38*(datos_base!$K$4+IF(parametros_manuales!$H$38="Todos",datos_base!$K$11,0))*parametros_manuales!$I$105+parametros_manuales!$F$38*(datos_base!$K$20+IF(parametros_manuales!$H$38="Todos",datos_base!$K$25,0))*parametros_manuales!$I$14+parametros_manuales!$G$38*(datos_base!$K$5+IF(parametros_manuales!$H$38="Todos",datos_base!$K$12,0))*parametros_manuales!$I$110+parametros_manuales!$G$38*(datos_base!$K$21+IF(parametros_manuales!$H$38="Todos",datos_base!$K$26,0))*parametros_manuales!$I$15)*parametros_manuales!$I$38*parametros_manuales!$J$38</f>
        <v>6093.06274114</v>
      </c>
      <c r="J264" s="9" t="n">
        <f aca="false">(parametros_manuales!$D$38*(datos_base!$K$2+IF(parametros_manuales!$H$38="Todos",datos_base!$K$9,0))*parametros_manuales!$J$95+parametros_manuales!$D$38*(datos_base!$K$18+IF(parametros_manuales!$H$38="Todos",datos_base!$K$23,0))*parametros_manuales!$J$12+parametros_manuales!$E$38*(datos_base!$K$3+IF(parametros_manuales!$H$38="Todos",datos_base!$K$10,0))*parametros_manuales!$J$100+parametros_manuales!$E$38*(datos_base!$K$19+IF(parametros_manuales!$H$38="Todos",datos_base!$K$24,0))*parametros_manuales!$J$13+parametros_manuales!$F$38*(datos_base!$K$4+IF(parametros_manuales!$H$38="Todos",datos_base!$K$11,0))*parametros_manuales!$J$105+parametros_manuales!$F$38*(datos_base!$K$20+IF(parametros_manuales!$H$38="Todos",datos_base!$K$25,0))*parametros_manuales!$J$14+parametros_manuales!$G$38*(datos_base!$K$5+IF(parametros_manuales!$H$38="Todos",datos_base!$K$12,0))*parametros_manuales!$J$110+parametros_manuales!$G$38*(datos_base!$K$21+IF(parametros_manuales!$H$38="Todos",datos_base!$K$26,0))*parametros_manuales!$J$15)*parametros_manuales!$I$38*parametros_manuales!$J$38</f>
        <v>6093.06274114</v>
      </c>
      <c r="K264" s="9" t="n">
        <f aca="false">(parametros_manuales!$D$38*(datos_base!$K$2+IF(parametros_manuales!$H$38="Todos",datos_base!$K$9,0))*parametros_manuales!$K$95+parametros_manuales!$D$38*(datos_base!$K$18+IF(parametros_manuales!$H$38="Todos",datos_base!$K$23,0))*parametros_manuales!$K$12+parametros_manuales!$E$38*(datos_base!$K$3+IF(parametros_manuales!$H$38="Todos",datos_base!$K$10,0))*parametros_manuales!$K$100+parametros_manuales!$E$38*(datos_base!$K$19+IF(parametros_manuales!$H$38="Todos",datos_base!$K$24,0))*parametros_manuales!$K$13+parametros_manuales!$F$38*(datos_base!$K$4+IF(parametros_manuales!$H$38="Todos",datos_base!$K$11,0))*parametros_manuales!$K$105+parametros_manuales!$F$38*(datos_base!$K$20+IF(parametros_manuales!$H$38="Todos",datos_base!$K$25,0))*parametros_manuales!$K$14+parametros_manuales!$G$38*(datos_base!$K$5+IF(parametros_manuales!$H$38="Todos",datos_base!$K$12,0))*parametros_manuales!$K$110+parametros_manuales!$G$38*(datos_base!$K$21+IF(parametros_manuales!$H$38="Todos",datos_base!$K$26,0))*parametros_manuales!$K$15)*parametros_manuales!$I$38*parametros_manuales!$J$38</f>
        <v>6292.819767355</v>
      </c>
      <c r="L264" s="9" t="n">
        <f aca="false">(parametros_manuales!$D$38*(datos_base!$K$2+IF(parametros_manuales!$H$38="Todos",datos_base!$K$9,0))*parametros_manuales!$L$95+parametros_manuales!$D$38*(datos_base!$K$18+IF(parametros_manuales!$H$38="Todos",datos_base!$K$23,0))*parametros_manuales!$L$12+parametros_manuales!$E$38*(datos_base!$K$3+IF(parametros_manuales!$H$38="Todos",datos_base!$K$10,0))*parametros_manuales!$L$100+parametros_manuales!$E$38*(datos_base!$K$19+IF(parametros_manuales!$H$38="Todos",datos_base!$K$24,0))*parametros_manuales!$L$13+parametros_manuales!$F$38*(datos_base!$K$4+IF(parametros_manuales!$H$38="Todos",datos_base!$K$11,0))*parametros_manuales!$L$105+parametros_manuales!$F$38*(datos_base!$K$20+IF(parametros_manuales!$H$38="Todos",datos_base!$K$25,0))*parametros_manuales!$L$14+parametros_manuales!$G$38*(datos_base!$K$5+IF(parametros_manuales!$H$38="Todos",datos_base!$K$12,0))*parametros_manuales!$L$110+parametros_manuales!$G$38*(datos_base!$K$21+IF(parametros_manuales!$H$38="Todos",datos_base!$K$26,0))*parametros_manuales!$L$15)*parametros_manuales!$I$38*parametros_manuales!$J$38</f>
        <v>6492.57679357</v>
      </c>
      <c r="M264" s="9" t="n">
        <f aca="false">(parametros_manuales!$D$38*(datos_base!$K$2+IF(parametros_manuales!$H$38="Todos",datos_base!$K$9,0))*parametros_manuales!$M$95+parametros_manuales!$D$38*(datos_base!$K$18+IF(parametros_manuales!$H$38="Todos",datos_base!$K$23,0))*parametros_manuales!$M$12+parametros_manuales!$E$38*(datos_base!$K$3+IF(parametros_manuales!$H$38="Todos",datos_base!$K$10,0))*parametros_manuales!$M$100+parametros_manuales!$E$38*(datos_base!$K$19+IF(parametros_manuales!$H$38="Todos",datos_base!$K$24,0))*parametros_manuales!$M$13+parametros_manuales!$F$38*(datos_base!$K$4+IF(parametros_manuales!$H$38="Todos",datos_base!$K$11,0))*parametros_manuales!$M$105+parametros_manuales!$F$38*(datos_base!$K$20+IF(parametros_manuales!$H$38="Todos",datos_base!$K$25,0))*parametros_manuales!$M$14+parametros_manuales!$G$38*(datos_base!$K$5+IF(parametros_manuales!$H$38="Todos",datos_base!$K$12,0))*parametros_manuales!$M$110+parametros_manuales!$G$38*(datos_base!$K$21+IF(parametros_manuales!$H$38="Todos",datos_base!$K$26,0))*parametros_manuales!$M$15)*parametros_manuales!$I$38*parametros_manuales!$J$38</f>
        <v>6495.17999357</v>
      </c>
      <c r="N264" s="9" t="n">
        <f aca="false">SUM(B264:M264)</f>
        <v>72154.204373</v>
      </c>
      <c r="O264" s="9" t="n">
        <f aca="false">MAX(B264:M264)</f>
        <v>6495.17999357</v>
      </c>
      <c r="P264" s="44" t="n">
        <f aca="false">O264/(parametros_manuales!$B$7)</f>
        <v>43.3011999571333</v>
      </c>
      <c r="Q264" s="8" t="str">
        <f aca="false">IF(O264=0,"-",INDEX($B$244:$M$244,MATCH(O264,B264:M264,0)))</f>
        <v>Dic</v>
      </c>
    </row>
    <row r="265" customFormat="false" ht="14.25" hidden="false" customHeight="true" outlineLevel="0" collapsed="false">
      <c r="A265" s="8" t="str">
        <f aca="false">parametros_manuales!$B$39</f>
        <v>Ensamblaje</v>
      </c>
      <c r="B265" s="9" t="n">
        <f aca="false">(parametros_manuales!$D$39*(datos_base!$K$2+IF(parametros_manuales!$H$39="Todos",datos_base!$K$9,0))*parametros_manuales!$B$95+parametros_manuales!$D$39*(datos_base!$K$18+IF(parametros_manuales!$H$39="Todos",datos_base!$K$23,0))*parametros_manuales!$B$12+parametros_manuales!$E$39*(datos_base!$K$3+IF(parametros_manuales!$H$39="Todos",datos_base!$K$10,0))*parametros_manuales!$B$100+parametros_manuales!$E$39*(datos_base!$K$19+IF(parametros_manuales!$H$39="Todos",datos_base!$K$24,0))*parametros_manuales!$B$13+parametros_manuales!$F$39*(datos_base!$K$4+IF(parametros_manuales!$H$39="Todos",datos_base!$K$11,0))*parametros_manuales!$B$105+parametros_manuales!$F$39*(datos_base!$K$20+IF(parametros_manuales!$H$39="Todos",datos_base!$K$25,0))*parametros_manuales!$B$14+parametros_manuales!$G$39*(datos_base!$K$5+IF(parametros_manuales!$H$39="Todos",datos_base!$K$12,0))*parametros_manuales!$B$110+parametros_manuales!$G$39*(datos_base!$K$21+IF(parametros_manuales!$H$39="Todos",datos_base!$K$26,0))*parametros_manuales!$B$15)*parametros_manuales!$I$39*parametros_manuales!$J$39</f>
        <v>6494.52919357</v>
      </c>
      <c r="C265" s="9" t="n">
        <f aca="false">(parametros_manuales!$D$39*(datos_base!$K$2+IF(parametros_manuales!$H$39="Todos",datos_base!$K$9,0))*parametros_manuales!$C$95+parametros_manuales!$D$39*(datos_base!$K$18+IF(parametros_manuales!$H$39="Todos",datos_base!$K$23,0))*parametros_manuales!$C$12+parametros_manuales!$E$39*(datos_base!$K$3+IF(parametros_manuales!$H$39="Todos",datos_base!$K$10,0))*parametros_manuales!$C$100+parametros_manuales!$E$39*(datos_base!$K$19+IF(parametros_manuales!$H$39="Todos",datos_base!$K$24,0))*parametros_manuales!$C$13+parametros_manuales!$F$39*(datos_base!$K$4+IF(parametros_manuales!$H$39="Todos",datos_base!$K$11,0))*parametros_manuales!$C$105+parametros_manuales!$F$39*(datos_base!$K$20+IF(parametros_manuales!$H$39="Todos",datos_base!$K$25,0))*parametros_manuales!$C$14+parametros_manuales!$G$39*(datos_base!$K$5+IF(parametros_manuales!$H$39="Todos",datos_base!$K$12,0))*parametros_manuales!$C$110+parametros_manuales!$G$39*(datos_base!$K$21+IF(parametros_manuales!$H$39="Todos",datos_base!$K$26,0))*parametros_manuales!$C$15)*parametros_manuales!$I$39*parametros_manuales!$J$39</f>
        <v>6093.06274114</v>
      </c>
      <c r="D265" s="9" t="n">
        <f aca="false">(parametros_manuales!$D$39*(datos_base!$K$2+IF(parametros_manuales!$H$39="Todos",datos_base!$K$9,0))*parametros_manuales!$D$95+parametros_manuales!$D$39*(datos_base!$K$18+IF(parametros_manuales!$H$39="Todos",datos_base!$K$23,0))*parametros_manuales!$D$12+parametros_manuales!$E$39*(datos_base!$K$3+IF(parametros_manuales!$H$39="Todos",datos_base!$K$10,0))*parametros_manuales!$D$100+parametros_manuales!$E$39*(datos_base!$K$19+IF(parametros_manuales!$H$39="Todos",datos_base!$K$24,0))*parametros_manuales!$D$13+parametros_manuales!$F$39*(datos_base!$K$4+IF(parametros_manuales!$H$39="Todos",datos_base!$K$11,0))*parametros_manuales!$D$105+parametros_manuales!$F$39*(datos_base!$K$20+IF(parametros_manuales!$H$39="Todos",datos_base!$K$25,0))*parametros_manuales!$D$14+parametros_manuales!$G$39*(datos_base!$K$5+IF(parametros_manuales!$H$39="Todos",datos_base!$K$12,0))*parametros_manuales!$D$110+parametros_manuales!$G$39*(datos_base!$K$21+IF(parametros_manuales!$H$39="Todos",datos_base!$K$26,0))*parametros_manuales!$D$15)*parametros_manuales!$I$39*parametros_manuales!$J$39</f>
        <v>5972.744176055</v>
      </c>
      <c r="E265" s="9" t="n">
        <f aca="false">(parametros_manuales!$D$39*(datos_base!$K$2+IF(parametros_manuales!$H$39="Todos",datos_base!$K$9,0))*parametros_manuales!$E$95+parametros_manuales!$D$39*(datos_base!$K$18+IF(parametros_manuales!$H$39="Todos",datos_base!$K$23,0))*parametros_manuales!$E$12+parametros_manuales!$E$39*(datos_base!$K$3+IF(parametros_manuales!$H$39="Todos",datos_base!$K$10,0))*parametros_manuales!$E$100+parametros_manuales!$E$39*(datos_base!$K$19+IF(parametros_manuales!$H$39="Todos",datos_base!$K$24,0))*parametros_manuales!$E$13+parametros_manuales!$F$39*(datos_base!$K$4+IF(parametros_manuales!$H$39="Todos",datos_base!$K$11,0))*parametros_manuales!$E$105+parametros_manuales!$F$39*(datos_base!$K$20+IF(parametros_manuales!$H$39="Todos",datos_base!$K$25,0))*parametros_manuales!$E$14+parametros_manuales!$G$39*(datos_base!$K$5+IF(parametros_manuales!$H$39="Todos",datos_base!$K$12,0))*parametros_manuales!$E$110+parametros_manuales!$G$39*(datos_base!$K$21+IF(parametros_manuales!$H$39="Todos",datos_base!$K$26,0))*parametros_manuales!$E$15)*parametros_manuales!$I$39*parametros_manuales!$J$39</f>
        <v>5812.380980405</v>
      </c>
      <c r="F265" s="9" t="n">
        <f aca="false">(parametros_manuales!$D$39*(datos_base!$K$2+IF(parametros_manuales!$H$39="Todos",datos_base!$K$9,0))*parametros_manuales!$F$95+parametros_manuales!$D$39*(datos_base!$K$18+IF(parametros_manuales!$H$39="Todos",datos_base!$K$23,0))*parametros_manuales!$F$12+parametros_manuales!$E$39*(datos_base!$K$3+IF(parametros_manuales!$H$39="Todos",datos_base!$K$10,0))*parametros_manuales!$F$100+parametros_manuales!$E$39*(datos_base!$K$19+IF(parametros_manuales!$H$39="Todos",datos_base!$K$24,0))*parametros_manuales!$F$13+parametros_manuales!$F$39*(datos_base!$K$4+IF(parametros_manuales!$H$39="Todos",datos_base!$K$11,0))*parametros_manuales!$F$105+parametros_manuales!$F$39*(datos_base!$K$20+IF(parametros_manuales!$H$39="Todos",datos_base!$K$25,0))*parametros_manuales!$F$14+parametros_manuales!$G$39*(datos_base!$K$5+IF(parametros_manuales!$H$39="Todos",datos_base!$K$12,0))*parametros_manuales!$F$110+parametros_manuales!$G$39*(datos_base!$K$21+IF(parametros_manuales!$H$39="Todos",datos_base!$K$26,0))*parametros_manuales!$F$15)*parametros_manuales!$I$39*parametros_manuales!$J$39</f>
        <v>5451.60995854</v>
      </c>
      <c r="G265" s="9" t="n">
        <f aca="false">(parametros_manuales!$D$39*(datos_base!$K$2+IF(parametros_manuales!$H$39="Todos",datos_base!$K$9,0))*parametros_manuales!$G$95+parametros_manuales!$D$39*(datos_base!$K$18+IF(parametros_manuales!$H$39="Todos",datos_base!$K$23,0))*parametros_manuales!$G$12+parametros_manuales!$E$39*(datos_base!$K$3+IF(parametros_manuales!$H$39="Todos",datos_base!$K$10,0))*parametros_manuales!$G$100+parametros_manuales!$E$39*(datos_base!$K$19+IF(parametros_manuales!$H$39="Todos",datos_base!$K$24,0))*parametros_manuales!$G$13+parametros_manuales!$F$39*(datos_base!$K$4+IF(parametros_manuales!$H$39="Todos",datos_base!$K$11,0))*parametros_manuales!$G$105+parametros_manuales!$F$39*(datos_base!$K$20+IF(parametros_manuales!$H$39="Todos",datos_base!$K$25,0))*parametros_manuales!$G$14+parametros_manuales!$G$39*(datos_base!$K$5+IF(parametros_manuales!$H$39="Todos",datos_base!$K$12,0))*parametros_manuales!$G$110+parametros_manuales!$G$39*(datos_base!$K$21+IF(parametros_manuales!$H$39="Todos",datos_base!$K$26,0))*parametros_manuales!$G$15)*parametros_manuales!$I$39*parametros_manuales!$J$39</f>
        <v>5251.202132325</v>
      </c>
      <c r="H265" s="9" t="n">
        <f aca="false">(parametros_manuales!$D$39*(datos_base!$K$2+IF(parametros_manuales!$H$39="Todos",datos_base!$K$9,0))*parametros_manuales!$H$95+parametros_manuales!$D$39*(datos_base!$K$18+IF(parametros_manuales!$H$39="Todos",datos_base!$K$23,0))*parametros_manuales!$H$12+parametros_manuales!$E$39*(datos_base!$K$3+IF(parametros_manuales!$H$39="Todos",datos_base!$K$10,0))*parametros_manuales!$H$100+parametros_manuales!$E$39*(datos_base!$K$19+IF(parametros_manuales!$H$39="Todos",datos_base!$K$24,0))*parametros_manuales!$H$13+parametros_manuales!$F$39*(datos_base!$K$4+IF(parametros_manuales!$H$39="Todos",datos_base!$K$11,0))*parametros_manuales!$H$105+parametros_manuales!$F$39*(datos_base!$K$20+IF(parametros_manuales!$H$39="Todos",datos_base!$K$25,0))*parametros_manuales!$H$14+parametros_manuales!$G$39*(datos_base!$K$5+IF(parametros_manuales!$H$39="Todos",datos_base!$K$12,0))*parametros_manuales!$H$110+parametros_manuales!$G$39*(datos_base!$K$21+IF(parametros_manuales!$H$39="Todos",datos_base!$K$26,0))*parametros_manuales!$H$15)*parametros_manuales!$I$39*parametros_manuales!$J$39</f>
        <v>5611.97315419</v>
      </c>
      <c r="I265" s="9" t="n">
        <f aca="false">(parametros_manuales!$D$39*(datos_base!$K$2+IF(parametros_manuales!$H$39="Todos",datos_base!$K$9,0))*parametros_manuales!$I$95+parametros_manuales!$D$39*(datos_base!$K$18+IF(parametros_manuales!$H$39="Todos",datos_base!$K$23,0))*parametros_manuales!$I$12+parametros_manuales!$E$39*(datos_base!$K$3+IF(parametros_manuales!$H$39="Todos",datos_base!$K$10,0))*parametros_manuales!$I$100+parametros_manuales!$E$39*(datos_base!$K$19+IF(parametros_manuales!$H$39="Todos",datos_base!$K$24,0))*parametros_manuales!$I$13+parametros_manuales!$F$39*(datos_base!$K$4+IF(parametros_manuales!$H$39="Todos",datos_base!$K$11,0))*parametros_manuales!$I$105+parametros_manuales!$F$39*(datos_base!$K$20+IF(parametros_manuales!$H$39="Todos",datos_base!$K$25,0))*parametros_manuales!$I$14+parametros_manuales!$G$39*(datos_base!$K$5+IF(parametros_manuales!$H$39="Todos",datos_base!$K$12,0))*parametros_manuales!$I$110+parametros_manuales!$G$39*(datos_base!$K$21+IF(parametros_manuales!$H$39="Todos",datos_base!$K$26,0))*parametros_manuales!$I$15)*parametros_manuales!$I$39*parametros_manuales!$J$39</f>
        <v>6093.06274114</v>
      </c>
      <c r="J265" s="9" t="n">
        <f aca="false">(parametros_manuales!$D$39*(datos_base!$K$2+IF(parametros_manuales!$H$39="Todos",datos_base!$K$9,0))*parametros_manuales!$J$95+parametros_manuales!$D$39*(datos_base!$K$18+IF(parametros_manuales!$H$39="Todos",datos_base!$K$23,0))*parametros_manuales!$J$12+parametros_manuales!$E$39*(datos_base!$K$3+IF(parametros_manuales!$H$39="Todos",datos_base!$K$10,0))*parametros_manuales!$J$100+parametros_manuales!$E$39*(datos_base!$K$19+IF(parametros_manuales!$H$39="Todos",datos_base!$K$24,0))*parametros_manuales!$J$13+parametros_manuales!$F$39*(datos_base!$K$4+IF(parametros_manuales!$H$39="Todos",datos_base!$K$11,0))*parametros_manuales!$J$105+parametros_manuales!$F$39*(datos_base!$K$20+IF(parametros_manuales!$H$39="Todos",datos_base!$K$25,0))*parametros_manuales!$J$14+parametros_manuales!$G$39*(datos_base!$K$5+IF(parametros_manuales!$H$39="Todos",datos_base!$K$12,0))*parametros_manuales!$J$110+parametros_manuales!$G$39*(datos_base!$K$21+IF(parametros_manuales!$H$39="Todos",datos_base!$K$26,0))*parametros_manuales!$J$15)*parametros_manuales!$I$39*parametros_manuales!$J$39</f>
        <v>6093.06274114</v>
      </c>
      <c r="K265" s="9" t="n">
        <f aca="false">(parametros_manuales!$D$39*(datos_base!$K$2+IF(parametros_manuales!$H$39="Todos",datos_base!$K$9,0))*parametros_manuales!$K$95+parametros_manuales!$D$39*(datos_base!$K$18+IF(parametros_manuales!$H$39="Todos",datos_base!$K$23,0))*parametros_manuales!$K$12+parametros_manuales!$E$39*(datos_base!$K$3+IF(parametros_manuales!$H$39="Todos",datos_base!$K$10,0))*parametros_manuales!$K$100+parametros_manuales!$E$39*(datos_base!$K$19+IF(parametros_manuales!$H$39="Todos",datos_base!$K$24,0))*parametros_manuales!$K$13+parametros_manuales!$F$39*(datos_base!$K$4+IF(parametros_manuales!$H$39="Todos",datos_base!$K$11,0))*parametros_manuales!$K$105+parametros_manuales!$F$39*(datos_base!$K$20+IF(parametros_manuales!$H$39="Todos",datos_base!$K$25,0))*parametros_manuales!$K$14+parametros_manuales!$G$39*(datos_base!$K$5+IF(parametros_manuales!$H$39="Todos",datos_base!$K$12,0))*parametros_manuales!$K$110+parametros_manuales!$G$39*(datos_base!$K$21+IF(parametros_manuales!$H$39="Todos",datos_base!$K$26,0))*parametros_manuales!$K$15)*parametros_manuales!$I$39*parametros_manuales!$J$39</f>
        <v>6292.819767355</v>
      </c>
      <c r="L265" s="9" t="n">
        <f aca="false">(parametros_manuales!$D$39*(datos_base!$K$2+IF(parametros_manuales!$H$39="Todos",datos_base!$K$9,0))*parametros_manuales!$L$95+parametros_manuales!$D$39*(datos_base!$K$18+IF(parametros_manuales!$H$39="Todos",datos_base!$K$23,0))*parametros_manuales!$L$12+parametros_manuales!$E$39*(datos_base!$K$3+IF(parametros_manuales!$H$39="Todos",datos_base!$K$10,0))*parametros_manuales!$L$100+parametros_manuales!$E$39*(datos_base!$K$19+IF(parametros_manuales!$H$39="Todos",datos_base!$K$24,0))*parametros_manuales!$L$13+parametros_manuales!$F$39*(datos_base!$K$4+IF(parametros_manuales!$H$39="Todos",datos_base!$K$11,0))*parametros_manuales!$L$105+parametros_manuales!$F$39*(datos_base!$K$20+IF(parametros_manuales!$H$39="Todos",datos_base!$K$25,0))*parametros_manuales!$L$14+parametros_manuales!$G$39*(datos_base!$K$5+IF(parametros_manuales!$H$39="Todos",datos_base!$K$12,0))*parametros_manuales!$L$110+parametros_manuales!$G$39*(datos_base!$K$21+IF(parametros_manuales!$H$39="Todos",datos_base!$K$26,0))*parametros_manuales!$L$15)*parametros_manuales!$I$39*parametros_manuales!$J$39</f>
        <v>6492.57679357</v>
      </c>
      <c r="M265" s="9" t="n">
        <f aca="false">(parametros_manuales!$D$39*(datos_base!$K$2+IF(parametros_manuales!$H$39="Todos",datos_base!$K$9,0))*parametros_manuales!$M$95+parametros_manuales!$D$39*(datos_base!$K$18+IF(parametros_manuales!$H$39="Todos",datos_base!$K$23,0))*parametros_manuales!$M$12+parametros_manuales!$E$39*(datos_base!$K$3+IF(parametros_manuales!$H$39="Todos",datos_base!$K$10,0))*parametros_manuales!$M$100+parametros_manuales!$E$39*(datos_base!$K$19+IF(parametros_manuales!$H$39="Todos",datos_base!$K$24,0))*parametros_manuales!$M$13+parametros_manuales!$F$39*(datos_base!$K$4+IF(parametros_manuales!$H$39="Todos",datos_base!$K$11,0))*parametros_manuales!$M$105+parametros_manuales!$F$39*(datos_base!$K$20+IF(parametros_manuales!$H$39="Todos",datos_base!$K$25,0))*parametros_manuales!$M$14+parametros_manuales!$G$39*(datos_base!$K$5+IF(parametros_manuales!$H$39="Todos",datos_base!$K$12,0))*parametros_manuales!$M$110+parametros_manuales!$G$39*(datos_base!$K$21+IF(parametros_manuales!$H$39="Todos",datos_base!$K$26,0))*parametros_manuales!$M$15)*parametros_manuales!$I$39*parametros_manuales!$J$39</f>
        <v>6495.17999357</v>
      </c>
      <c r="N265" s="9" t="n">
        <f aca="false">SUM(B265:M265)</f>
        <v>72154.204373</v>
      </c>
      <c r="O265" s="9" t="n">
        <f aca="false">MAX(B265:M265)</f>
        <v>6495.17999357</v>
      </c>
      <c r="P265" s="44" t="n">
        <f aca="false">O265/(parametros_manuales!$B$7)</f>
        <v>43.3011999571333</v>
      </c>
      <c r="Q265" s="8" t="str">
        <f aca="false">IF(O265=0,"-",INDEX($B$244:$M$244,MATCH(O265,B265:M265,0)))</f>
        <v>Dic</v>
      </c>
    </row>
    <row r="266" customFormat="false" ht="14.25" hidden="false" customHeight="true" outlineLevel="0" collapsed="false">
      <c r="A266" s="8" t="str">
        <f aca="false">parametros_manuales!$B$40</f>
        <v>Presurización</v>
      </c>
      <c r="B266" s="9" t="n">
        <f aca="false">(parametros_manuales!$D$40*(datos_base!$K$2+IF(parametros_manuales!$H$40="Todos",datos_base!$K$9,0))*parametros_manuales!$B$95+parametros_manuales!$D$40*(datos_base!$K$18+IF(parametros_manuales!$H$40="Todos",datos_base!$K$23,0))*parametros_manuales!$B$12+parametros_manuales!$E$40*(datos_base!$K$3+IF(parametros_manuales!$H$40="Todos",datos_base!$K$10,0))*parametros_manuales!$B$100+parametros_manuales!$E$40*(datos_base!$K$19+IF(parametros_manuales!$H$40="Todos",datos_base!$K$24,0))*parametros_manuales!$B$13+parametros_manuales!$F$40*(datos_base!$K$4+IF(parametros_manuales!$H$40="Todos",datos_base!$K$11,0))*parametros_manuales!$B$105+parametros_manuales!$F$40*(datos_base!$K$20+IF(parametros_manuales!$H$40="Todos",datos_base!$K$25,0))*parametros_manuales!$B$14+parametros_manuales!$G$40*(datos_base!$K$5+IF(parametros_manuales!$H$40="Todos",datos_base!$K$12,0))*parametros_manuales!$B$110+parametros_manuales!$G$40*(datos_base!$K$21+IF(parametros_manuales!$H$40="Todos",datos_base!$K$26,0))*parametros_manuales!$B$15)*parametros_manuales!$I$40*parametros_manuales!$J$40</f>
        <v>6494.52919357</v>
      </c>
      <c r="C266" s="9" t="n">
        <f aca="false">(parametros_manuales!$D$40*(datos_base!$K$2+IF(parametros_manuales!$H$40="Todos",datos_base!$K$9,0))*parametros_manuales!$C$95+parametros_manuales!$D$40*(datos_base!$K$18+IF(parametros_manuales!$H$40="Todos",datos_base!$K$23,0))*parametros_manuales!$C$12+parametros_manuales!$E$40*(datos_base!$K$3+IF(parametros_manuales!$H$40="Todos",datos_base!$K$10,0))*parametros_manuales!$C$100+parametros_manuales!$E$40*(datos_base!$K$19+IF(parametros_manuales!$H$40="Todos",datos_base!$K$24,0))*parametros_manuales!$C$13+parametros_manuales!$F$40*(datos_base!$K$4+IF(parametros_manuales!$H$40="Todos",datos_base!$K$11,0))*parametros_manuales!$C$105+parametros_manuales!$F$40*(datos_base!$K$20+IF(parametros_manuales!$H$40="Todos",datos_base!$K$25,0))*parametros_manuales!$C$14+parametros_manuales!$G$40*(datos_base!$K$5+IF(parametros_manuales!$H$40="Todos",datos_base!$K$12,0))*parametros_manuales!$C$110+parametros_manuales!$G$40*(datos_base!$K$21+IF(parametros_manuales!$H$40="Todos",datos_base!$K$26,0))*parametros_manuales!$C$15)*parametros_manuales!$I$40*parametros_manuales!$J$40</f>
        <v>6093.06274114</v>
      </c>
      <c r="D266" s="9" t="n">
        <f aca="false">(parametros_manuales!$D$40*(datos_base!$K$2+IF(parametros_manuales!$H$40="Todos",datos_base!$K$9,0))*parametros_manuales!$D$95+parametros_manuales!$D$40*(datos_base!$K$18+IF(parametros_manuales!$H$40="Todos",datos_base!$K$23,0))*parametros_manuales!$D$12+parametros_manuales!$E$40*(datos_base!$K$3+IF(parametros_manuales!$H$40="Todos",datos_base!$K$10,0))*parametros_manuales!$D$100+parametros_manuales!$E$40*(datos_base!$K$19+IF(parametros_manuales!$H$40="Todos",datos_base!$K$24,0))*parametros_manuales!$D$13+parametros_manuales!$F$40*(datos_base!$K$4+IF(parametros_manuales!$H$40="Todos",datos_base!$K$11,0))*parametros_manuales!$D$105+parametros_manuales!$F$40*(datos_base!$K$20+IF(parametros_manuales!$H$40="Todos",datos_base!$K$25,0))*parametros_manuales!$D$14+parametros_manuales!$G$40*(datos_base!$K$5+IF(parametros_manuales!$H$40="Todos",datos_base!$K$12,0))*parametros_manuales!$D$110+parametros_manuales!$G$40*(datos_base!$K$21+IF(parametros_manuales!$H$40="Todos",datos_base!$K$26,0))*parametros_manuales!$D$15)*parametros_manuales!$I$40*parametros_manuales!$J$40</f>
        <v>5972.744176055</v>
      </c>
      <c r="E266" s="9" t="n">
        <f aca="false">(parametros_manuales!$D$40*(datos_base!$K$2+IF(parametros_manuales!$H$40="Todos",datos_base!$K$9,0))*parametros_manuales!$E$95+parametros_manuales!$D$40*(datos_base!$K$18+IF(parametros_manuales!$H$40="Todos",datos_base!$K$23,0))*parametros_manuales!$E$12+parametros_manuales!$E$40*(datos_base!$K$3+IF(parametros_manuales!$H$40="Todos",datos_base!$K$10,0))*parametros_manuales!$E$100+parametros_manuales!$E$40*(datos_base!$K$19+IF(parametros_manuales!$H$40="Todos",datos_base!$K$24,0))*parametros_manuales!$E$13+parametros_manuales!$F$40*(datos_base!$K$4+IF(parametros_manuales!$H$40="Todos",datos_base!$K$11,0))*parametros_manuales!$E$105+parametros_manuales!$F$40*(datos_base!$K$20+IF(parametros_manuales!$H$40="Todos",datos_base!$K$25,0))*parametros_manuales!$E$14+parametros_manuales!$G$40*(datos_base!$K$5+IF(parametros_manuales!$H$40="Todos",datos_base!$K$12,0))*parametros_manuales!$E$110+parametros_manuales!$G$40*(datos_base!$K$21+IF(parametros_manuales!$H$40="Todos",datos_base!$K$26,0))*parametros_manuales!$E$15)*parametros_manuales!$I$40*parametros_manuales!$J$40</f>
        <v>5812.380980405</v>
      </c>
      <c r="F266" s="9" t="n">
        <f aca="false">(parametros_manuales!$D$40*(datos_base!$K$2+IF(parametros_manuales!$H$40="Todos",datos_base!$K$9,0))*parametros_manuales!$F$95+parametros_manuales!$D$40*(datos_base!$K$18+IF(parametros_manuales!$H$40="Todos",datos_base!$K$23,0))*parametros_manuales!$F$12+parametros_manuales!$E$40*(datos_base!$K$3+IF(parametros_manuales!$H$40="Todos",datos_base!$K$10,0))*parametros_manuales!$F$100+parametros_manuales!$E$40*(datos_base!$K$19+IF(parametros_manuales!$H$40="Todos",datos_base!$K$24,0))*parametros_manuales!$F$13+parametros_manuales!$F$40*(datos_base!$K$4+IF(parametros_manuales!$H$40="Todos",datos_base!$K$11,0))*parametros_manuales!$F$105+parametros_manuales!$F$40*(datos_base!$K$20+IF(parametros_manuales!$H$40="Todos",datos_base!$K$25,0))*parametros_manuales!$F$14+parametros_manuales!$G$40*(datos_base!$K$5+IF(parametros_manuales!$H$40="Todos",datos_base!$K$12,0))*parametros_manuales!$F$110+parametros_manuales!$G$40*(datos_base!$K$21+IF(parametros_manuales!$H$40="Todos",datos_base!$K$26,0))*parametros_manuales!$F$15)*parametros_manuales!$I$40*parametros_manuales!$J$40</f>
        <v>5451.60995854</v>
      </c>
      <c r="G266" s="9" t="n">
        <f aca="false">(parametros_manuales!$D$40*(datos_base!$K$2+IF(parametros_manuales!$H$40="Todos",datos_base!$K$9,0))*parametros_manuales!$G$95+parametros_manuales!$D$40*(datos_base!$K$18+IF(parametros_manuales!$H$40="Todos",datos_base!$K$23,0))*parametros_manuales!$G$12+parametros_manuales!$E$40*(datos_base!$K$3+IF(parametros_manuales!$H$40="Todos",datos_base!$K$10,0))*parametros_manuales!$G$100+parametros_manuales!$E$40*(datos_base!$K$19+IF(parametros_manuales!$H$40="Todos",datos_base!$K$24,0))*parametros_manuales!$G$13+parametros_manuales!$F$40*(datos_base!$K$4+IF(parametros_manuales!$H$40="Todos",datos_base!$K$11,0))*parametros_manuales!$G$105+parametros_manuales!$F$40*(datos_base!$K$20+IF(parametros_manuales!$H$40="Todos",datos_base!$K$25,0))*parametros_manuales!$G$14+parametros_manuales!$G$40*(datos_base!$K$5+IF(parametros_manuales!$H$40="Todos",datos_base!$K$12,0))*parametros_manuales!$G$110+parametros_manuales!$G$40*(datos_base!$K$21+IF(parametros_manuales!$H$40="Todos",datos_base!$K$26,0))*parametros_manuales!$G$15)*parametros_manuales!$I$40*parametros_manuales!$J$40</f>
        <v>5251.202132325</v>
      </c>
      <c r="H266" s="9" t="n">
        <f aca="false">(parametros_manuales!$D$40*(datos_base!$K$2+IF(parametros_manuales!$H$40="Todos",datos_base!$K$9,0))*parametros_manuales!$H$95+parametros_manuales!$D$40*(datos_base!$K$18+IF(parametros_manuales!$H$40="Todos",datos_base!$K$23,0))*parametros_manuales!$H$12+parametros_manuales!$E$40*(datos_base!$K$3+IF(parametros_manuales!$H$40="Todos",datos_base!$K$10,0))*parametros_manuales!$H$100+parametros_manuales!$E$40*(datos_base!$K$19+IF(parametros_manuales!$H$40="Todos",datos_base!$K$24,0))*parametros_manuales!$H$13+parametros_manuales!$F$40*(datos_base!$K$4+IF(parametros_manuales!$H$40="Todos",datos_base!$K$11,0))*parametros_manuales!$H$105+parametros_manuales!$F$40*(datos_base!$K$20+IF(parametros_manuales!$H$40="Todos",datos_base!$K$25,0))*parametros_manuales!$H$14+parametros_manuales!$G$40*(datos_base!$K$5+IF(parametros_manuales!$H$40="Todos",datos_base!$K$12,0))*parametros_manuales!$H$110+parametros_manuales!$G$40*(datos_base!$K$21+IF(parametros_manuales!$H$40="Todos",datos_base!$K$26,0))*parametros_manuales!$H$15)*parametros_manuales!$I$40*parametros_manuales!$J$40</f>
        <v>5611.97315419</v>
      </c>
      <c r="I266" s="9" t="n">
        <f aca="false">(parametros_manuales!$D$40*(datos_base!$K$2+IF(parametros_manuales!$H$40="Todos",datos_base!$K$9,0))*parametros_manuales!$I$95+parametros_manuales!$D$40*(datos_base!$K$18+IF(parametros_manuales!$H$40="Todos",datos_base!$K$23,0))*parametros_manuales!$I$12+parametros_manuales!$E$40*(datos_base!$K$3+IF(parametros_manuales!$H$40="Todos",datos_base!$K$10,0))*parametros_manuales!$I$100+parametros_manuales!$E$40*(datos_base!$K$19+IF(parametros_manuales!$H$40="Todos",datos_base!$K$24,0))*parametros_manuales!$I$13+parametros_manuales!$F$40*(datos_base!$K$4+IF(parametros_manuales!$H$40="Todos",datos_base!$K$11,0))*parametros_manuales!$I$105+parametros_manuales!$F$40*(datos_base!$K$20+IF(parametros_manuales!$H$40="Todos",datos_base!$K$25,0))*parametros_manuales!$I$14+parametros_manuales!$G$40*(datos_base!$K$5+IF(parametros_manuales!$H$40="Todos",datos_base!$K$12,0))*parametros_manuales!$I$110+parametros_manuales!$G$40*(datos_base!$K$21+IF(parametros_manuales!$H$40="Todos",datos_base!$K$26,0))*parametros_manuales!$I$15)*parametros_manuales!$I$40*parametros_manuales!$J$40</f>
        <v>6093.06274114</v>
      </c>
      <c r="J266" s="9" t="n">
        <f aca="false">(parametros_manuales!$D$40*(datos_base!$K$2+IF(parametros_manuales!$H$40="Todos",datos_base!$K$9,0))*parametros_manuales!$J$95+parametros_manuales!$D$40*(datos_base!$K$18+IF(parametros_manuales!$H$40="Todos",datos_base!$K$23,0))*parametros_manuales!$J$12+parametros_manuales!$E$40*(datos_base!$K$3+IF(parametros_manuales!$H$40="Todos",datos_base!$K$10,0))*parametros_manuales!$J$100+parametros_manuales!$E$40*(datos_base!$K$19+IF(parametros_manuales!$H$40="Todos",datos_base!$K$24,0))*parametros_manuales!$J$13+parametros_manuales!$F$40*(datos_base!$K$4+IF(parametros_manuales!$H$40="Todos",datos_base!$K$11,0))*parametros_manuales!$J$105+parametros_manuales!$F$40*(datos_base!$K$20+IF(parametros_manuales!$H$40="Todos",datos_base!$K$25,0))*parametros_manuales!$J$14+parametros_manuales!$G$40*(datos_base!$K$5+IF(parametros_manuales!$H$40="Todos",datos_base!$K$12,0))*parametros_manuales!$J$110+parametros_manuales!$G$40*(datos_base!$K$21+IF(parametros_manuales!$H$40="Todos",datos_base!$K$26,0))*parametros_manuales!$J$15)*parametros_manuales!$I$40*parametros_manuales!$J$40</f>
        <v>6093.06274114</v>
      </c>
      <c r="K266" s="9" t="n">
        <f aca="false">(parametros_manuales!$D$40*(datos_base!$K$2+IF(parametros_manuales!$H$40="Todos",datos_base!$K$9,0))*parametros_manuales!$K$95+parametros_manuales!$D$40*(datos_base!$K$18+IF(parametros_manuales!$H$40="Todos",datos_base!$K$23,0))*parametros_manuales!$K$12+parametros_manuales!$E$40*(datos_base!$K$3+IF(parametros_manuales!$H$40="Todos",datos_base!$K$10,0))*parametros_manuales!$K$100+parametros_manuales!$E$40*(datos_base!$K$19+IF(parametros_manuales!$H$40="Todos",datos_base!$K$24,0))*parametros_manuales!$K$13+parametros_manuales!$F$40*(datos_base!$K$4+IF(parametros_manuales!$H$40="Todos",datos_base!$K$11,0))*parametros_manuales!$K$105+parametros_manuales!$F$40*(datos_base!$K$20+IF(parametros_manuales!$H$40="Todos",datos_base!$K$25,0))*parametros_manuales!$K$14+parametros_manuales!$G$40*(datos_base!$K$5+IF(parametros_manuales!$H$40="Todos",datos_base!$K$12,0))*parametros_manuales!$K$110+parametros_manuales!$G$40*(datos_base!$K$21+IF(parametros_manuales!$H$40="Todos",datos_base!$K$26,0))*parametros_manuales!$K$15)*parametros_manuales!$I$40*parametros_manuales!$J$40</f>
        <v>6292.819767355</v>
      </c>
      <c r="L266" s="9" t="n">
        <f aca="false">(parametros_manuales!$D$40*(datos_base!$K$2+IF(parametros_manuales!$H$40="Todos",datos_base!$K$9,0))*parametros_manuales!$L$95+parametros_manuales!$D$40*(datos_base!$K$18+IF(parametros_manuales!$H$40="Todos",datos_base!$K$23,0))*parametros_manuales!$L$12+parametros_manuales!$E$40*(datos_base!$K$3+IF(parametros_manuales!$H$40="Todos",datos_base!$K$10,0))*parametros_manuales!$L$100+parametros_manuales!$E$40*(datos_base!$K$19+IF(parametros_manuales!$H$40="Todos",datos_base!$K$24,0))*parametros_manuales!$L$13+parametros_manuales!$F$40*(datos_base!$K$4+IF(parametros_manuales!$H$40="Todos",datos_base!$K$11,0))*parametros_manuales!$L$105+parametros_manuales!$F$40*(datos_base!$K$20+IF(parametros_manuales!$H$40="Todos",datos_base!$K$25,0))*parametros_manuales!$L$14+parametros_manuales!$G$40*(datos_base!$K$5+IF(parametros_manuales!$H$40="Todos",datos_base!$K$12,0))*parametros_manuales!$L$110+parametros_manuales!$G$40*(datos_base!$K$21+IF(parametros_manuales!$H$40="Todos",datos_base!$K$26,0))*parametros_manuales!$L$15)*parametros_manuales!$I$40*parametros_manuales!$J$40</f>
        <v>6492.57679357</v>
      </c>
      <c r="M266" s="9" t="n">
        <f aca="false">(parametros_manuales!$D$40*(datos_base!$K$2+IF(parametros_manuales!$H$40="Todos",datos_base!$K$9,0))*parametros_manuales!$M$95+parametros_manuales!$D$40*(datos_base!$K$18+IF(parametros_manuales!$H$40="Todos",datos_base!$K$23,0))*parametros_manuales!$M$12+parametros_manuales!$E$40*(datos_base!$K$3+IF(parametros_manuales!$H$40="Todos",datos_base!$K$10,0))*parametros_manuales!$M$100+parametros_manuales!$E$40*(datos_base!$K$19+IF(parametros_manuales!$H$40="Todos",datos_base!$K$24,0))*parametros_manuales!$M$13+parametros_manuales!$F$40*(datos_base!$K$4+IF(parametros_manuales!$H$40="Todos",datos_base!$K$11,0))*parametros_manuales!$M$105+parametros_manuales!$F$40*(datos_base!$K$20+IF(parametros_manuales!$H$40="Todos",datos_base!$K$25,0))*parametros_manuales!$M$14+parametros_manuales!$G$40*(datos_base!$K$5+IF(parametros_manuales!$H$40="Todos",datos_base!$K$12,0))*parametros_manuales!$M$110+parametros_manuales!$G$40*(datos_base!$K$21+IF(parametros_manuales!$H$40="Todos",datos_base!$K$26,0))*parametros_manuales!$M$15)*parametros_manuales!$I$40*parametros_manuales!$J$40</f>
        <v>6495.17999357</v>
      </c>
      <c r="N266" s="9" t="n">
        <f aca="false">SUM(B266:M266)</f>
        <v>72154.204373</v>
      </c>
      <c r="O266" s="9" t="n">
        <f aca="false">MAX(B266:M266)</f>
        <v>6495.17999357</v>
      </c>
      <c r="P266" s="44" t="n">
        <f aca="false">O266/(parametros_manuales!$B$7)</f>
        <v>43.3011999571333</v>
      </c>
      <c r="Q266" s="8" t="str">
        <f aca="false">IF(O266=0,"-",INDEX($B$244:$M$244,MATCH(O266,B266:M266,0)))</f>
        <v>Dic</v>
      </c>
    </row>
    <row r="267" customFormat="false" ht="14.25" hidden="false" customHeight="true" outlineLevel="0" collapsed="false">
      <c r="A267" s="8" t="str">
        <f aca="false">parametros_manuales!$B$41</f>
        <v>Control de calidad — Ensayo de pérdidas</v>
      </c>
      <c r="B267" s="9" t="n">
        <f aca="false">(parametros_manuales!$D$41*(datos_base!$K$2+IF(parametros_manuales!$H$41="Todos",datos_base!$K$9,0))*parametros_manuales!$B$95+parametros_manuales!$D$41*(datos_base!$K$18+IF(parametros_manuales!$H$41="Todos",datos_base!$K$23,0))*parametros_manuales!$B$12+parametros_manuales!$E$41*(datos_base!$K$3+IF(parametros_manuales!$H$41="Todos",datos_base!$K$10,0))*parametros_manuales!$B$100+parametros_manuales!$E$41*(datos_base!$K$19+IF(parametros_manuales!$H$41="Todos",datos_base!$K$24,0))*parametros_manuales!$B$13+parametros_manuales!$F$41*(datos_base!$K$4+IF(parametros_manuales!$H$41="Todos",datos_base!$K$11,0))*parametros_manuales!$B$105+parametros_manuales!$F$41*(datos_base!$K$20+IF(parametros_manuales!$H$41="Todos",datos_base!$K$25,0))*parametros_manuales!$B$14+parametros_manuales!$G$41*(datos_base!$K$5+IF(parametros_manuales!$H$41="Todos",datos_base!$K$12,0))*parametros_manuales!$B$110+parametros_manuales!$G$41*(datos_base!$K$21+IF(parametros_manuales!$H$41="Todos",datos_base!$K$26,0))*parametros_manuales!$B$15)*parametros_manuales!$I$41*parametros_manuales!$J$41</f>
        <v>6494.52919357</v>
      </c>
      <c r="C267" s="9" t="n">
        <f aca="false">(parametros_manuales!$D$41*(datos_base!$K$2+IF(parametros_manuales!$H$41="Todos",datos_base!$K$9,0))*parametros_manuales!$C$95+parametros_manuales!$D$41*(datos_base!$K$18+IF(parametros_manuales!$H$41="Todos",datos_base!$K$23,0))*parametros_manuales!$C$12+parametros_manuales!$E$41*(datos_base!$K$3+IF(parametros_manuales!$H$41="Todos",datos_base!$K$10,0))*parametros_manuales!$C$100+parametros_manuales!$E$41*(datos_base!$K$19+IF(parametros_manuales!$H$41="Todos",datos_base!$K$24,0))*parametros_manuales!$C$13+parametros_manuales!$F$41*(datos_base!$K$4+IF(parametros_manuales!$H$41="Todos",datos_base!$K$11,0))*parametros_manuales!$C$105+parametros_manuales!$F$41*(datos_base!$K$20+IF(parametros_manuales!$H$41="Todos",datos_base!$K$25,0))*parametros_manuales!$C$14+parametros_manuales!$G$41*(datos_base!$K$5+IF(parametros_manuales!$H$41="Todos",datos_base!$K$12,0))*parametros_manuales!$C$110+parametros_manuales!$G$41*(datos_base!$K$21+IF(parametros_manuales!$H$41="Todos",datos_base!$K$26,0))*parametros_manuales!$C$15)*parametros_manuales!$I$41*parametros_manuales!$J$41</f>
        <v>6093.06274114</v>
      </c>
      <c r="D267" s="9" t="n">
        <f aca="false">(parametros_manuales!$D$41*(datos_base!$K$2+IF(parametros_manuales!$H$41="Todos",datos_base!$K$9,0))*parametros_manuales!$D$95+parametros_manuales!$D$41*(datos_base!$K$18+IF(parametros_manuales!$H$41="Todos",datos_base!$K$23,0))*parametros_manuales!$D$12+parametros_manuales!$E$41*(datos_base!$K$3+IF(parametros_manuales!$H$41="Todos",datos_base!$K$10,0))*parametros_manuales!$D$100+parametros_manuales!$E$41*(datos_base!$K$19+IF(parametros_manuales!$H$41="Todos",datos_base!$K$24,0))*parametros_manuales!$D$13+parametros_manuales!$F$41*(datos_base!$K$4+IF(parametros_manuales!$H$41="Todos",datos_base!$K$11,0))*parametros_manuales!$D$105+parametros_manuales!$F$41*(datos_base!$K$20+IF(parametros_manuales!$H$41="Todos",datos_base!$K$25,0))*parametros_manuales!$D$14+parametros_manuales!$G$41*(datos_base!$K$5+IF(parametros_manuales!$H$41="Todos",datos_base!$K$12,0))*parametros_manuales!$D$110+parametros_manuales!$G$41*(datos_base!$K$21+IF(parametros_manuales!$H$41="Todos",datos_base!$K$26,0))*parametros_manuales!$D$15)*parametros_manuales!$I$41*parametros_manuales!$J$41</f>
        <v>5972.744176055</v>
      </c>
      <c r="E267" s="9" t="n">
        <f aca="false">(parametros_manuales!$D$41*(datos_base!$K$2+IF(parametros_manuales!$H$41="Todos",datos_base!$K$9,0))*parametros_manuales!$E$95+parametros_manuales!$D$41*(datos_base!$K$18+IF(parametros_manuales!$H$41="Todos",datos_base!$K$23,0))*parametros_manuales!$E$12+parametros_manuales!$E$41*(datos_base!$K$3+IF(parametros_manuales!$H$41="Todos",datos_base!$K$10,0))*parametros_manuales!$E$100+parametros_manuales!$E$41*(datos_base!$K$19+IF(parametros_manuales!$H$41="Todos",datos_base!$K$24,0))*parametros_manuales!$E$13+parametros_manuales!$F$41*(datos_base!$K$4+IF(parametros_manuales!$H$41="Todos",datos_base!$K$11,0))*parametros_manuales!$E$105+parametros_manuales!$F$41*(datos_base!$K$20+IF(parametros_manuales!$H$41="Todos",datos_base!$K$25,0))*parametros_manuales!$E$14+parametros_manuales!$G$41*(datos_base!$K$5+IF(parametros_manuales!$H$41="Todos",datos_base!$K$12,0))*parametros_manuales!$E$110+parametros_manuales!$G$41*(datos_base!$K$21+IF(parametros_manuales!$H$41="Todos",datos_base!$K$26,0))*parametros_manuales!$E$15)*parametros_manuales!$I$41*parametros_manuales!$J$41</f>
        <v>5812.380980405</v>
      </c>
      <c r="F267" s="9" t="n">
        <f aca="false">(parametros_manuales!$D$41*(datos_base!$K$2+IF(parametros_manuales!$H$41="Todos",datos_base!$K$9,0))*parametros_manuales!$F$95+parametros_manuales!$D$41*(datos_base!$K$18+IF(parametros_manuales!$H$41="Todos",datos_base!$K$23,0))*parametros_manuales!$F$12+parametros_manuales!$E$41*(datos_base!$K$3+IF(parametros_manuales!$H$41="Todos",datos_base!$K$10,0))*parametros_manuales!$F$100+parametros_manuales!$E$41*(datos_base!$K$19+IF(parametros_manuales!$H$41="Todos",datos_base!$K$24,0))*parametros_manuales!$F$13+parametros_manuales!$F$41*(datos_base!$K$4+IF(parametros_manuales!$H$41="Todos",datos_base!$K$11,0))*parametros_manuales!$F$105+parametros_manuales!$F$41*(datos_base!$K$20+IF(parametros_manuales!$H$41="Todos",datos_base!$K$25,0))*parametros_manuales!$F$14+parametros_manuales!$G$41*(datos_base!$K$5+IF(parametros_manuales!$H$41="Todos",datos_base!$K$12,0))*parametros_manuales!$F$110+parametros_manuales!$G$41*(datos_base!$K$21+IF(parametros_manuales!$H$41="Todos",datos_base!$K$26,0))*parametros_manuales!$F$15)*parametros_manuales!$I$41*parametros_manuales!$J$41</f>
        <v>5451.60995854</v>
      </c>
      <c r="G267" s="9" t="n">
        <f aca="false">(parametros_manuales!$D$41*(datos_base!$K$2+IF(parametros_manuales!$H$41="Todos",datos_base!$K$9,0))*parametros_manuales!$G$95+parametros_manuales!$D$41*(datos_base!$K$18+IF(parametros_manuales!$H$41="Todos",datos_base!$K$23,0))*parametros_manuales!$G$12+parametros_manuales!$E$41*(datos_base!$K$3+IF(parametros_manuales!$H$41="Todos",datos_base!$K$10,0))*parametros_manuales!$G$100+parametros_manuales!$E$41*(datos_base!$K$19+IF(parametros_manuales!$H$41="Todos",datos_base!$K$24,0))*parametros_manuales!$G$13+parametros_manuales!$F$41*(datos_base!$K$4+IF(parametros_manuales!$H$41="Todos",datos_base!$K$11,0))*parametros_manuales!$G$105+parametros_manuales!$F$41*(datos_base!$K$20+IF(parametros_manuales!$H$41="Todos",datos_base!$K$25,0))*parametros_manuales!$G$14+parametros_manuales!$G$41*(datos_base!$K$5+IF(parametros_manuales!$H$41="Todos",datos_base!$K$12,0))*parametros_manuales!$G$110+parametros_manuales!$G$41*(datos_base!$K$21+IF(parametros_manuales!$H$41="Todos",datos_base!$K$26,0))*parametros_manuales!$G$15)*parametros_manuales!$I$41*parametros_manuales!$J$41</f>
        <v>5251.202132325</v>
      </c>
      <c r="H267" s="9" t="n">
        <f aca="false">(parametros_manuales!$D$41*(datos_base!$K$2+IF(parametros_manuales!$H$41="Todos",datos_base!$K$9,0))*parametros_manuales!$H$95+parametros_manuales!$D$41*(datos_base!$K$18+IF(parametros_manuales!$H$41="Todos",datos_base!$K$23,0))*parametros_manuales!$H$12+parametros_manuales!$E$41*(datos_base!$K$3+IF(parametros_manuales!$H$41="Todos",datos_base!$K$10,0))*parametros_manuales!$H$100+parametros_manuales!$E$41*(datos_base!$K$19+IF(parametros_manuales!$H$41="Todos",datos_base!$K$24,0))*parametros_manuales!$H$13+parametros_manuales!$F$41*(datos_base!$K$4+IF(parametros_manuales!$H$41="Todos",datos_base!$K$11,0))*parametros_manuales!$H$105+parametros_manuales!$F$41*(datos_base!$K$20+IF(parametros_manuales!$H$41="Todos",datos_base!$K$25,0))*parametros_manuales!$H$14+parametros_manuales!$G$41*(datos_base!$K$5+IF(parametros_manuales!$H$41="Todos",datos_base!$K$12,0))*parametros_manuales!$H$110+parametros_manuales!$G$41*(datos_base!$K$21+IF(parametros_manuales!$H$41="Todos",datos_base!$K$26,0))*parametros_manuales!$H$15)*parametros_manuales!$I$41*parametros_manuales!$J$41</f>
        <v>5611.97315419</v>
      </c>
      <c r="I267" s="9" t="n">
        <f aca="false">(parametros_manuales!$D$41*(datos_base!$K$2+IF(parametros_manuales!$H$41="Todos",datos_base!$K$9,0))*parametros_manuales!$I$95+parametros_manuales!$D$41*(datos_base!$K$18+IF(parametros_manuales!$H$41="Todos",datos_base!$K$23,0))*parametros_manuales!$I$12+parametros_manuales!$E$41*(datos_base!$K$3+IF(parametros_manuales!$H$41="Todos",datos_base!$K$10,0))*parametros_manuales!$I$100+parametros_manuales!$E$41*(datos_base!$K$19+IF(parametros_manuales!$H$41="Todos",datos_base!$K$24,0))*parametros_manuales!$I$13+parametros_manuales!$F$41*(datos_base!$K$4+IF(parametros_manuales!$H$41="Todos",datos_base!$K$11,0))*parametros_manuales!$I$105+parametros_manuales!$F$41*(datos_base!$K$20+IF(parametros_manuales!$H$41="Todos",datos_base!$K$25,0))*parametros_manuales!$I$14+parametros_manuales!$G$41*(datos_base!$K$5+IF(parametros_manuales!$H$41="Todos",datos_base!$K$12,0))*parametros_manuales!$I$110+parametros_manuales!$G$41*(datos_base!$K$21+IF(parametros_manuales!$H$41="Todos",datos_base!$K$26,0))*parametros_manuales!$I$15)*parametros_manuales!$I$41*parametros_manuales!$J$41</f>
        <v>6093.06274114</v>
      </c>
      <c r="J267" s="9" t="n">
        <f aca="false">(parametros_manuales!$D$41*(datos_base!$K$2+IF(parametros_manuales!$H$41="Todos",datos_base!$K$9,0))*parametros_manuales!$J$95+parametros_manuales!$D$41*(datos_base!$K$18+IF(parametros_manuales!$H$41="Todos",datos_base!$K$23,0))*parametros_manuales!$J$12+parametros_manuales!$E$41*(datos_base!$K$3+IF(parametros_manuales!$H$41="Todos",datos_base!$K$10,0))*parametros_manuales!$J$100+parametros_manuales!$E$41*(datos_base!$K$19+IF(parametros_manuales!$H$41="Todos",datos_base!$K$24,0))*parametros_manuales!$J$13+parametros_manuales!$F$41*(datos_base!$K$4+IF(parametros_manuales!$H$41="Todos",datos_base!$K$11,0))*parametros_manuales!$J$105+parametros_manuales!$F$41*(datos_base!$K$20+IF(parametros_manuales!$H$41="Todos",datos_base!$K$25,0))*parametros_manuales!$J$14+parametros_manuales!$G$41*(datos_base!$K$5+IF(parametros_manuales!$H$41="Todos",datos_base!$K$12,0))*parametros_manuales!$J$110+parametros_manuales!$G$41*(datos_base!$K$21+IF(parametros_manuales!$H$41="Todos",datos_base!$K$26,0))*parametros_manuales!$J$15)*parametros_manuales!$I$41*parametros_manuales!$J$41</f>
        <v>6093.06274114</v>
      </c>
      <c r="K267" s="9" t="n">
        <f aca="false">(parametros_manuales!$D$41*(datos_base!$K$2+IF(parametros_manuales!$H$41="Todos",datos_base!$K$9,0))*parametros_manuales!$K$95+parametros_manuales!$D$41*(datos_base!$K$18+IF(parametros_manuales!$H$41="Todos",datos_base!$K$23,0))*parametros_manuales!$K$12+parametros_manuales!$E$41*(datos_base!$K$3+IF(parametros_manuales!$H$41="Todos",datos_base!$K$10,0))*parametros_manuales!$K$100+parametros_manuales!$E$41*(datos_base!$K$19+IF(parametros_manuales!$H$41="Todos",datos_base!$K$24,0))*parametros_manuales!$K$13+parametros_manuales!$F$41*(datos_base!$K$4+IF(parametros_manuales!$H$41="Todos",datos_base!$K$11,0))*parametros_manuales!$K$105+parametros_manuales!$F$41*(datos_base!$K$20+IF(parametros_manuales!$H$41="Todos",datos_base!$K$25,0))*parametros_manuales!$K$14+parametros_manuales!$G$41*(datos_base!$K$5+IF(parametros_manuales!$H$41="Todos",datos_base!$K$12,0))*parametros_manuales!$K$110+parametros_manuales!$G$41*(datos_base!$K$21+IF(parametros_manuales!$H$41="Todos",datos_base!$K$26,0))*parametros_manuales!$K$15)*parametros_manuales!$I$41*parametros_manuales!$J$41</f>
        <v>6292.819767355</v>
      </c>
      <c r="L267" s="9" t="n">
        <f aca="false">(parametros_manuales!$D$41*(datos_base!$K$2+IF(parametros_manuales!$H$41="Todos",datos_base!$K$9,0))*parametros_manuales!$L$95+parametros_manuales!$D$41*(datos_base!$K$18+IF(parametros_manuales!$H$41="Todos",datos_base!$K$23,0))*parametros_manuales!$L$12+parametros_manuales!$E$41*(datos_base!$K$3+IF(parametros_manuales!$H$41="Todos",datos_base!$K$10,0))*parametros_manuales!$L$100+parametros_manuales!$E$41*(datos_base!$K$19+IF(parametros_manuales!$H$41="Todos",datos_base!$K$24,0))*parametros_manuales!$L$13+parametros_manuales!$F$41*(datos_base!$K$4+IF(parametros_manuales!$H$41="Todos",datos_base!$K$11,0))*parametros_manuales!$L$105+parametros_manuales!$F$41*(datos_base!$K$20+IF(parametros_manuales!$H$41="Todos",datos_base!$K$25,0))*parametros_manuales!$L$14+parametros_manuales!$G$41*(datos_base!$K$5+IF(parametros_manuales!$H$41="Todos",datos_base!$K$12,0))*parametros_manuales!$L$110+parametros_manuales!$G$41*(datos_base!$K$21+IF(parametros_manuales!$H$41="Todos",datos_base!$K$26,0))*parametros_manuales!$L$15)*parametros_manuales!$I$41*parametros_manuales!$J$41</f>
        <v>6492.57679357</v>
      </c>
      <c r="M267" s="9" t="n">
        <f aca="false">(parametros_manuales!$D$41*(datos_base!$K$2+IF(parametros_manuales!$H$41="Todos",datos_base!$K$9,0))*parametros_manuales!$M$95+parametros_manuales!$D$41*(datos_base!$K$18+IF(parametros_manuales!$H$41="Todos",datos_base!$K$23,0))*parametros_manuales!$M$12+parametros_manuales!$E$41*(datos_base!$K$3+IF(parametros_manuales!$H$41="Todos",datos_base!$K$10,0))*parametros_manuales!$M$100+parametros_manuales!$E$41*(datos_base!$K$19+IF(parametros_manuales!$H$41="Todos",datos_base!$K$24,0))*parametros_manuales!$M$13+parametros_manuales!$F$41*(datos_base!$K$4+IF(parametros_manuales!$H$41="Todos",datos_base!$K$11,0))*parametros_manuales!$M$105+parametros_manuales!$F$41*(datos_base!$K$20+IF(parametros_manuales!$H$41="Todos",datos_base!$K$25,0))*parametros_manuales!$M$14+parametros_manuales!$G$41*(datos_base!$K$5+IF(parametros_manuales!$H$41="Todos",datos_base!$K$12,0))*parametros_manuales!$M$110+parametros_manuales!$G$41*(datos_base!$K$21+IF(parametros_manuales!$H$41="Todos",datos_base!$K$26,0))*parametros_manuales!$M$15)*parametros_manuales!$I$41*parametros_manuales!$J$41</f>
        <v>6495.17999357</v>
      </c>
      <c r="N267" s="9" t="n">
        <f aca="false">SUM(B267:M267)</f>
        <v>72154.204373</v>
      </c>
      <c r="O267" s="9" t="n">
        <f aca="false">MAX(B267:M267)</f>
        <v>6495.17999357</v>
      </c>
      <c r="P267" s="44" t="n">
        <f aca="false">O267/(parametros_manuales!$B$7)</f>
        <v>43.3011999571333</v>
      </c>
      <c r="Q267" s="8" t="str">
        <f aca="false">IF(O267=0,"-",INDEX($B$244:$M$244,MATCH(O267,B267:M267,0)))</f>
        <v>Dic</v>
      </c>
    </row>
    <row r="268" customFormat="false" ht="14.25" hidden="false" customHeight="true" outlineLevel="0" collapsed="false">
      <c r="A268" s="8" t="str">
        <f aca="false">parametros_manuales!$B$42</f>
        <v>Etiquetado</v>
      </c>
      <c r="B268" s="9" t="n">
        <f aca="false">(parametros_manuales!$D$42*(datos_base!$K$2+IF(parametros_manuales!$H$42="Todos",datos_base!$K$9,0))*parametros_manuales!$B$95+parametros_manuales!$D$42*(datos_base!$K$18+IF(parametros_manuales!$H$42="Todos",datos_base!$K$23,0))*parametros_manuales!$B$12+parametros_manuales!$E$42*(datos_base!$K$3+IF(parametros_manuales!$H$42="Todos",datos_base!$K$10,0))*parametros_manuales!$B$100+parametros_manuales!$E$42*(datos_base!$K$19+IF(parametros_manuales!$H$42="Todos",datos_base!$K$24,0))*parametros_manuales!$B$13+parametros_manuales!$F$42*(datos_base!$K$4+IF(parametros_manuales!$H$42="Todos",datos_base!$K$11,0))*parametros_manuales!$B$105+parametros_manuales!$F$42*(datos_base!$K$20+IF(parametros_manuales!$H$42="Todos",datos_base!$K$25,0))*parametros_manuales!$B$14+parametros_manuales!$G$42*(datos_base!$K$5+IF(parametros_manuales!$H$42="Todos",datos_base!$K$12,0))*parametros_manuales!$B$110+parametros_manuales!$G$42*(datos_base!$K$21+IF(parametros_manuales!$H$42="Todos",datos_base!$K$26,0))*parametros_manuales!$B$15)*parametros_manuales!$I$42*parametros_manuales!$J$42</f>
        <v>6494.52919357</v>
      </c>
      <c r="C268" s="9" t="n">
        <f aca="false">(parametros_manuales!$D$42*(datos_base!$K$2+IF(parametros_manuales!$H$42="Todos",datos_base!$K$9,0))*parametros_manuales!$C$95+parametros_manuales!$D$42*(datos_base!$K$18+IF(parametros_manuales!$H$42="Todos",datos_base!$K$23,0))*parametros_manuales!$C$12+parametros_manuales!$E$42*(datos_base!$K$3+IF(parametros_manuales!$H$42="Todos",datos_base!$K$10,0))*parametros_manuales!$C$100+parametros_manuales!$E$42*(datos_base!$K$19+IF(parametros_manuales!$H$42="Todos",datos_base!$K$24,0))*parametros_manuales!$C$13+parametros_manuales!$F$42*(datos_base!$K$4+IF(parametros_manuales!$H$42="Todos",datos_base!$K$11,0))*parametros_manuales!$C$105+parametros_manuales!$F$42*(datos_base!$K$20+IF(parametros_manuales!$H$42="Todos",datos_base!$K$25,0))*parametros_manuales!$C$14+parametros_manuales!$G$42*(datos_base!$K$5+IF(parametros_manuales!$H$42="Todos",datos_base!$K$12,0))*parametros_manuales!$C$110+parametros_manuales!$G$42*(datos_base!$K$21+IF(parametros_manuales!$H$42="Todos",datos_base!$K$26,0))*parametros_manuales!$C$15)*parametros_manuales!$I$42*parametros_manuales!$J$42</f>
        <v>6093.06274114</v>
      </c>
      <c r="D268" s="9" t="n">
        <f aca="false">(parametros_manuales!$D$42*(datos_base!$K$2+IF(parametros_manuales!$H$42="Todos",datos_base!$K$9,0))*parametros_manuales!$D$95+parametros_manuales!$D$42*(datos_base!$K$18+IF(parametros_manuales!$H$42="Todos",datos_base!$K$23,0))*parametros_manuales!$D$12+parametros_manuales!$E$42*(datos_base!$K$3+IF(parametros_manuales!$H$42="Todos",datos_base!$K$10,0))*parametros_manuales!$D$100+parametros_manuales!$E$42*(datos_base!$K$19+IF(parametros_manuales!$H$42="Todos",datos_base!$K$24,0))*parametros_manuales!$D$13+parametros_manuales!$F$42*(datos_base!$K$4+IF(parametros_manuales!$H$42="Todos",datos_base!$K$11,0))*parametros_manuales!$D$105+parametros_manuales!$F$42*(datos_base!$K$20+IF(parametros_manuales!$H$42="Todos",datos_base!$K$25,0))*parametros_manuales!$D$14+parametros_manuales!$G$42*(datos_base!$K$5+IF(parametros_manuales!$H$42="Todos",datos_base!$K$12,0))*parametros_manuales!$D$110+parametros_manuales!$G$42*(datos_base!$K$21+IF(parametros_manuales!$H$42="Todos",datos_base!$K$26,0))*parametros_manuales!$D$15)*parametros_manuales!$I$42*parametros_manuales!$J$42</f>
        <v>5972.744176055</v>
      </c>
      <c r="E268" s="9" t="n">
        <f aca="false">(parametros_manuales!$D$42*(datos_base!$K$2+IF(parametros_manuales!$H$42="Todos",datos_base!$K$9,0))*parametros_manuales!$E$95+parametros_manuales!$D$42*(datos_base!$K$18+IF(parametros_manuales!$H$42="Todos",datos_base!$K$23,0))*parametros_manuales!$E$12+parametros_manuales!$E$42*(datos_base!$K$3+IF(parametros_manuales!$H$42="Todos",datos_base!$K$10,0))*parametros_manuales!$E$100+parametros_manuales!$E$42*(datos_base!$K$19+IF(parametros_manuales!$H$42="Todos",datos_base!$K$24,0))*parametros_manuales!$E$13+parametros_manuales!$F$42*(datos_base!$K$4+IF(parametros_manuales!$H$42="Todos",datos_base!$K$11,0))*parametros_manuales!$E$105+parametros_manuales!$F$42*(datos_base!$K$20+IF(parametros_manuales!$H$42="Todos",datos_base!$K$25,0))*parametros_manuales!$E$14+parametros_manuales!$G$42*(datos_base!$K$5+IF(parametros_manuales!$H$42="Todos",datos_base!$K$12,0))*parametros_manuales!$E$110+parametros_manuales!$G$42*(datos_base!$K$21+IF(parametros_manuales!$H$42="Todos",datos_base!$K$26,0))*parametros_manuales!$E$15)*parametros_manuales!$I$42*parametros_manuales!$J$42</f>
        <v>5812.380980405</v>
      </c>
      <c r="F268" s="9" t="n">
        <f aca="false">(parametros_manuales!$D$42*(datos_base!$K$2+IF(parametros_manuales!$H$42="Todos",datos_base!$K$9,0))*parametros_manuales!$F$95+parametros_manuales!$D$42*(datos_base!$K$18+IF(parametros_manuales!$H$42="Todos",datos_base!$K$23,0))*parametros_manuales!$F$12+parametros_manuales!$E$42*(datos_base!$K$3+IF(parametros_manuales!$H$42="Todos",datos_base!$K$10,0))*parametros_manuales!$F$100+parametros_manuales!$E$42*(datos_base!$K$19+IF(parametros_manuales!$H$42="Todos",datos_base!$K$24,0))*parametros_manuales!$F$13+parametros_manuales!$F$42*(datos_base!$K$4+IF(parametros_manuales!$H$42="Todos",datos_base!$K$11,0))*parametros_manuales!$F$105+parametros_manuales!$F$42*(datos_base!$K$20+IF(parametros_manuales!$H$42="Todos",datos_base!$K$25,0))*parametros_manuales!$F$14+parametros_manuales!$G$42*(datos_base!$K$5+IF(parametros_manuales!$H$42="Todos",datos_base!$K$12,0))*parametros_manuales!$F$110+parametros_manuales!$G$42*(datos_base!$K$21+IF(parametros_manuales!$H$42="Todos",datos_base!$K$26,0))*parametros_manuales!$F$15)*parametros_manuales!$I$42*parametros_manuales!$J$42</f>
        <v>5451.60995854</v>
      </c>
      <c r="G268" s="9" t="n">
        <f aca="false">(parametros_manuales!$D$42*(datos_base!$K$2+IF(parametros_manuales!$H$42="Todos",datos_base!$K$9,0))*parametros_manuales!$G$95+parametros_manuales!$D$42*(datos_base!$K$18+IF(parametros_manuales!$H$42="Todos",datos_base!$K$23,0))*parametros_manuales!$G$12+parametros_manuales!$E$42*(datos_base!$K$3+IF(parametros_manuales!$H$42="Todos",datos_base!$K$10,0))*parametros_manuales!$G$100+parametros_manuales!$E$42*(datos_base!$K$19+IF(parametros_manuales!$H$42="Todos",datos_base!$K$24,0))*parametros_manuales!$G$13+parametros_manuales!$F$42*(datos_base!$K$4+IF(parametros_manuales!$H$42="Todos",datos_base!$K$11,0))*parametros_manuales!$G$105+parametros_manuales!$F$42*(datos_base!$K$20+IF(parametros_manuales!$H$42="Todos",datos_base!$K$25,0))*parametros_manuales!$G$14+parametros_manuales!$G$42*(datos_base!$K$5+IF(parametros_manuales!$H$42="Todos",datos_base!$K$12,0))*parametros_manuales!$G$110+parametros_manuales!$G$42*(datos_base!$K$21+IF(parametros_manuales!$H$42="Todos",datos_base!$K$26,0))*parametros_manuales!$G$15)*parametros_manuales!$I$42*parametros_manuales!$J$42</f>
        <v>5251.202132325</v>
      </c>
      <c r="H268" s="9" t="n">
        <f aca="false">(parametros_manuales!$D$42*(datos_base!$K$2+IF(parametros_manuales!$H$42="Todos",datos_base!$K$9,0))*parametros_manuales!$H$95+parametros_manuales!$D$42*(datos_base!$K$18+IF(parametros_manuales!$H$42="Todos",datos_base!$K$23,0))*parametros_manuales!$H$12+parametros_manuales!$E$42*(datos_base!$K$3+IF(parametros_manuales!$H$42="Todos",datos_base!$K$10,0))*parametros_manuales!$H$100+parametros_manuales!$E$42*(datos_base!$K$19+IF(parametros_manuales!$H$42="Todos",datos_base!$K$24,0))*parametros_manuales!$H$13+parametros_manuales!$F$42*(datos_base!$K$4+IF(parametros_manuales!$H$42="Todos",datos_base!$K$11,0))*parametros_manuales!$H$105+parametros_manuales!$F$42*(datos_base!$K$20+IF(parametros_manuales!$H$42="Todos",datos_base!$K$25,0))*parametros_manuales!$H$14+parametros_manuales!$G$42*(datos_base!$K$5+IF(parametros_manuales!$H$42="Todos",datos_base!$K$12,0))*parametros_manuales!$H$110+parametros_manuales!$G$42*(datos_base!$K$21+IF(parametros_manuales!$H$42="Todos",datos_base!$K$26,0))*parametros_manuales!$H$15)*parametros_manuales!$I$42*parametros_manuales!$J$42</f>
        <v>5611.97315419</v>
      </c>
      <c r="I268" s="9" t="n">
        <f aca="false">(parametros_manuales!$D$42*(datos_base!$K$2+IF(parametros_manuales!$H$42="Todos",datos_base!$K$9,0))*parametros_manuales!$I$95+parametros_manuales!$D$42*(datos_base!$K$18+IF(parametros_manuales!$H$42="Todos",datos_base!$K$23,0))*parametros_manuales!$I$12+parametros_manuales!$E$42*(datos_base!$K$3+IF(parametros_manuales!$H$42="Todos",datos_base!$K$10,0))*parametros_manuales!$I$100+parametros_manuales!$E$42*(datos_base!$K$19+IF(parametros_manuales!$H$42="Todos",datos_base!$K$24,0))*parametros_manuales!$I$13+parametros_manuales!$F$42*(datos_base!$K$4+IF(parametros_manuales!$H$42="Todos",datos_base!$K$11,0))*parametros_manuales!$I$105+parametros_manuales!$F$42*(datos_base!$K$20+IF(parametros_manuales!$H$42="Todos",datos_base!$K$25,0))*parametros_manuales!$I$14+parametros_manuales!$G$42*(datos_base!$K$5+IF(parametros_manuales!$H$42="Todos",datos_base!$K$12,0))*parametros_manuales!$I$110+parametros_manuales!$G$42*(datos_base!$K$21+IF(parametros_manuales!$H$42="Todos",datos_base!$K$26,0))*parametros_manuales!$I$15)*parametros_manuales!$I$42*parametros_manuales!$J$42</f>
        <v>6093.06274114</v>
      </c>
      <c r="J268" s="9" t="n">
        <f aca="false">(parametros_manuales!$D$42*(datos_base!$K$2+IF(parametros_manuales!$H$42="Todos",datos_base!$K$9,0))*parametros_manuales!$J$95+parametros_manuales!$D$42*(datos_base!$K$18+IF(parametros_manuales!$H$42="Todos",datos_base!$K$23,0))*parametros_manuales!$J$12+parametros_manuales!$E$42*(datos_base!$K$3+IF(parametros_manuales!$H$42="Todos",datos_base!$K$10,0))*parametros_manuales!$J$100+parametros_manuales!$E$42*(datos_base!$K$19+IF(parametros_manuales!$H$42="Todos",datos_base!$K$24,0))*parametros_manuales!$J$13+parametros_manuales!$F$42*(datos_base!$K$4+IF(parametros_manuales!$H$42="Todos",datos_base!$K$11,0))*parametros_manuales!$J$105+parametros_manuales!$F$42*(datos_base!$K$20+IF(parametros_manuales!$H$42="Todos",datos_base!$K$25,0))*parametros_manuales!$J$14+parametros_manuales!$G$42*(datos_base!$K$5+IF(parametros_manuales!$H$42="Todos",datos_base!$K$12,0))*parametros_manuales!$J$110+parametros_manuales!$G$42*(datos_base!$K$21+IF(parametros_manuales!$H$42="Todos",datos_base!$K$26,0))*parametros_manuales!$J$15)*parametros_manuales!$I$42*parametros_manuales!$J$42</f>
        <v>6093.06274114</v>
      </c>
      <c r="K268" s="9" t="n">
        <f aca="false">(parametros_manuales!$D$42*(datos_base!$K$2+IF(parametros_manuales!$H$42="Todos",datos_base!$K$9,0))*parametros_manuales!$K$95+parametros_manuales!$D$42*(datos_base!$K$18+IF(parametros_manuales!$H$42="Todos",datos_base!$K$23,0))*parametros_manuales!$K$12+parametros_manuales!$E$42*(datos_base!$K$3+IF(parametros_manuales!$H$42="Todos",datos_base!$K$10,0))*parametros_manuales!$K$100+parametros_manuales!$E$42*(datos_base!$K$19+IF(parametros_manuales!$H$42="Todos",datos_base!$K$24,0))*parametros_manuales!$K$13+parametros_manuales!$F$42*(datos_base!$K$4+IF(parametros_manuales!$H$42="Todos",datos_base!$K$11,0))*parametros_manuales!$K$105+parametros_manuales!$F$42*(datos_base!$K$20+IF(parametros_manuales!$H$42="Todos",datos_base!$K$25,0))*parametros_manuales!$K$14+parametros_manuales!$G$42*(datos_base!$K$5+IF(parametros_manuales!$H$42="Todos",datos_base!$K$12,0))*parametros_manuales!$K$110+parametros_manuales!$G$42*(datos_base!$K$21+IF(parametros_manuales!$H$42="Todos",datos_base!$K$26,0))*parametros_manuales!$K$15)*parametros_manuales!$I$42*parametros_manuales!$J$42</f>
        <v>6292.819767355</v>
      </c>
      <c r="L268" s="9" t="n">
        <f aca="false">(parametros_manuales!$D$42*(datos_base!$K$2+IF(parametros_manuales!$H$42="Todos",datos_base!$K$9,0))*parametros_manuales!$L$95+parametros_manuales!$D$42*(datos_base!$K$18+IF(parametros_manuales!$H$42="Todos",datos_base!$K$23,0))*parametros_manuales!$L$12+parametros_manuales!$E$42*(datos_base!$K$3+IF(parametros_manuales!$H$42="Todos",datos_base!$K$10,0))*parametros_manuales!$L$100+parametros_manuales!$E$42*(datos_base!$K$19+IF(parametros_manuales!$H$42="Todos",datos_base!$K$24,0))*parametros_manuales!$L$13+parametros_manuales!$F$42*(datos_base!$K$4+IF(parametros_manuales!$H$42="Todos",datos_base!$K$11,0))*parametros_manuales!$L$105+parametros_manuales!$F$42*(datos_base!$K$20+IF(parametros_manuales!$H$42="Todos",datos_base!$K$25,0))*parametros_manuales!$L$14+parametros_manuales!$G$42*(datos_base!$K$5+IF(parametros_manuales!$H$42="Todos",datos_base!$K$12,0))*parametros_manuales!$L$110+parametros_manuales!$G$42*(datos_base!$K$21+IF(parametros_manuales!$H$42="Todos",datos_base!$K$26,0))*parametros_manuales!$L$15)*parametros_manuales!$I$42*parametros_manuales!$J$42</f>
        <v>6492.57679357</v>
      </c>
      <c r="M268" s="9" t="n">
        <f aca="false">(parametros_manuales!$D$42*(datos_base!$K$2+IF(parametros_manuales!$H$42="Todos",datos_base!$K$9,0))*parametros_manuales!$M$95+parametros_manuales!$D$42*(datos_base!$K$18+IF(parametros_manuales!$H$42="Todos",datos_base!$K$23,0))*parametros_manuales!$M$12+parametros_manuales!$E$42*(datos_base!$K$3+IF(parametros_manuales!$H$42="Todos",datos_base!$K$10,0))*parametros_manuales!$M$100+parametros_manuales!$E$42*(datos_base!$K$19+IF(parametros_manuales!$H$42="Todos",datos_base!$K$24,0))*parametros_manuales!$M$13+parametros_manuales!$F$42*(datos_base!$K$4+IF(parametros_manuales!$H$42="Todos",datos_base!$K$11,0))*parametros_manuales!$M$105+parametros_manuales!$F$42*(datos_base!$K$20+IF(parametros_manuales!$H$42="Todos",datos_base!$K$25,0))*parametros_manuales!$M$14+parametros_manuales!$G$42*(datos_base!$K$5+IF(parametros_manuales!$H$42="Todos",datos_base!$K$12,0))*parametros_manuales!$M$110+parametros_manuales!$G$42*(datos_base!$K$21+IF(parametros_manuales!$H$42="Todos",datos_base!$K$26,0))*parametros_manuales!$M$15)*parametros_manuales!$I$42*parametros_manuales!$J$42</f>
        <v>6495.17999357</v>
      </c>
      <c r="N268" s="9" t="n">
        <f aca="false">SUM(B268:M268)</f>
        <v>72154.204373</v>
      </c>
      <c r="O268" s="9" t="n">
        <f aca="false">MAX(B268:M268)</f>
        <v>6495.17999357</v>
      </c>
      <c r="P268" s="44" t="n">
        <f aca="false">O268/(parametros_manuales!$B$7)</f>
        <v>43.3011999571333</v>
      </c>
      <c r="Q268" s="8" t="str">
        <f aca="false">IF(O268=0,"-",INDEX($B$244:$M$244,MATCH(O268,B268:M268,0)))</f>
        <v>Dic</v>
      </c>
    </row>
    <row r="269" customFormat="false" ht="14.25" hidden="false" customHeight="true" outlineLevel="0" collapsed="false">
      <c r="A269" s="8" t="str">
        <f aca="false">parametros_manuales!$B$43</f>
        <v>Embalaje y paletizado</v>
      </c>
      <c r="B269" s="9" t="n">
        <f aca="false">(parametros_manuales!$D$43*(datos_base!$K$2+IF(parametros_manuales!$H$43="Todos",datos_base!$K$9,0))*parametros_manuales!$B$95+parametros_manuales!$D$43*(datos_base!$K$18+IF(parametros_manuales!$H$43="Todos",datos_base!$K$23,0))*parametros_manuales!$B$12+parametros_manuales!$E$43*(datos_base!$K$3+IF(parametros_manuales!$H$43="Todos",datos_base!$K$10,0))*parametros_manuales!$B$100+parametros_manuales!$E$43*(datos_base!$K$19+IF(parametros_manuales!$H$43="Todos",datos_base!$K$24,0))*parametros_manuales!$B$13+parametros_manuales!$F$43*(datos_base!$K$4+IF(parametros_manuales!$H$43="Todos",datos_base!$K$11,0))*parametros_manuales!$B$105+parametros_manuales!$F$43*(datos_base!$K$20+IF(parametros_manuales!$H$43="Todos",datos_base!$K$25,0))*parametros_manuales!$B$14+parametros_manuales!$G$43*(datos_base!$K$5+IF(parametros_manuales!$H$43="Todos",datos_base!$K$12,0))*parametros_manuales!$B$110+parametros_manuales!$G$43*(datos_base!$K$21+IF(parametros_manuales!$H$43="Todos",datos_base!$K$26,0))*parametros_manuales!$B$15)*parametros_manuales!$I$43*parametros_manuales!$J$43</f>
        <v>25600.18319357</v>
      </c>
      <c r="C269" s="9" t="n">
        <f aca="false">(parametros_manuales!$D$43*(datos_base!$K$2+IF(parametros_manuales!$H$43="Todos",datos_base!$K$9,0))*parametros_manuales!$C$95+parametros_manuales!$D$43*(datos_base!$K$18+IF(parametros_manuales!$H$43="Todos",datos_base!$K$23,0))*parametros_manuales!$C$12+parametros_manuales!$E$43*(datos_base!$K$3+IF(parametros_manuales!$H$43="Todos",datos_base!$K$10,0))*parametros_manuales!$C$100+parametros_manuales!$E$43*(datos_base!$K$19+IF(parametros_manuales!$H$43="Todos",datos_base!$K$24,0))*parametros_manuales!$C$13+parametros_manuales!$F$43*(datos_base!$K$4+IF(parametros_manuales!$H$43="Todos",datos_base!$K$11,0))*parametros_manuales!$C$105+parametros_manuales!$F$43*(datos_base!$K$20+IF(parametros_manuales!$H$43="Todos",datos_base!$K$25,0))*parametros_manuales!$C$14+parametros_manuales!$G$43*(datos_base!$K$5+IF(parametros_manuales!$H$43="Todos",datos_base!$K$12,0))*parametros_manuales!$C$110+parametros_manuales!$G$43*(datos_base!$K$21+IF(parametros_manuales!$H$43="Todos",datos_base!$K$26,0))*parametros_manuales!$C$15)*parametros_manuales!$I$43*parametros_manuales!$J$43</f>
        <v>24780.20994114</v>
      </c>
      <c r="D269" s="9" t="n">
        <f aca="false">(parametros_manuales!$D$43*(datos_base!$K$2+IF(parametros_manuales!$H$43="Todos",datos_base!$K$9,0))*parametros_manuales!$D$95+parametros_manuales!$D$43*(datos_base!$K$18+IF(parametros_manuales!$H$43="Todos",datos_base!$K$23,0))*parametros_manuales!$D$12+parametros_manuales!$E$43*(datos_base!$K$3+IF(parametros_manuales!$H$43="Todos",datos_base!$K$10,0))*parametros_manuales!$D$100+parametros_manuales!$E$43*(datos_base!$K$19+IF(parametros_manuales!$H$43="Todos",datos_base!$K$24,0))*parametros_manuales!$D$13+parametros_manuales!$F$43*(datos_base!$K$4+IF(parametros_manuales!$H$43="Todos",datos_base!$K$11,0))*parametros_manuales!$D$105+parametros_manuales!$F$43*(datos_base!$K$20+IF(parametros_manuales!$H$43="Todos",datos_base!$K$25,0))*parametros_manuales!$D$14+parametros_manuales!$G$43*(datos_base!$K$5+IF(parametros_manuales!$H$43="Todos",datos_base!$K$12,0))*parametros_manuales!$D$110+parametros_manuales!$G$43*(datos_base!$K$21+IF(parametros_manuales!$H$43="Todos",datos_base!$K$26,0))*parametros_manuales!$D$15)*parametros_manuales!$I$43*parametros_manuales!$J$43</f>
        <v>23163.025576055</v>
      </c>
      <c r="E269" s="9" t="n">
        <f aca="false">(parametros_manuales!$D$43*(datos_base!$K$2+IF(parametros_manuales!$H$43="Todos",datos_base!$K$9,0))*parametros_manuales!$E$95+parametros_manuales!$D$43*(datos_base!$K$18+IF(parametros_manuales!$H$43="Todos",datos_base!$K$23,0))*parametros_manuales!$E$12+parametros_manuales!$E$43*(datos_base!$K$3+IF(parametros_manuales!$H$43="Todos",datos_base!$K$10,0))*parametros_manuales!$E$100+parametros_manuales!$E$43*(datos_base!$K$19+IF(parametros_manuales!$H$43="Todos",datos_base!$K$24,0))*parametros_manuales!$E$13+parametros_manuales!$F$43*(datos_base!$K$4+IF(parametros_manuales!$H$43="Todos",datos_base!$K$11,0))*parametros_manuales!$E$105+parametros_manuales!$F$43*(datos_base!$K$20+IF(parametros_manuales!$H$43="Todos",datos_base!$K$25,0))*parametros_manuales!$E$14+parametros_manuales!$G$43*(datos_base!$K$5+IF(parametros_manuales!$H$43="Todos",datos_base!$K$12,0))*parametros_manuales!$E$110+parametros_manuales!$G$43*(datos_base!$K$21+IF(parametros_manuales!$H$43="Todos",datos_base!$K$26,0))*parametros_manuales!$E$15)*parametros_manuales!$I$43*parametros_manuales!$J$43</f>
        <v>22149.922380405</v>
      </c>
      <c r="F269" s="9" t="n">
        <f aca="false">(parametros_manuales!$D$43*(datos_base!$K$2+IF(parametros_manuales!$H$43="Todos",datos_base!$K$9,0))*parametros_manuales!$F$95+parametros_manuales!$D$43*(datos_base!$K$18+IF(parametros_manuales!$H$43="Todos",datos_base!$K$23,0))*parametros_manuales!$F$12+parametros_manuales!$E$43*(datos_base!$K$3+IF(parametros_manuales!$H$43="Todos",datos_base!$K$10,0))*parametros_manuales!$F$100+parametros_manuales!$E$43*(datos_base!$K$19+IF(parametros_manuales!$H$43="Todos",datos_base!$K$24,0))*parametros_manuales!$F$13+parametros_manuales!$F$43*(datos_base!$K$4+IF(parametros_manuales!$H$43="Todos",datos_base!$K$11,0))*parametros_manuales!$F$105+parametros_manuales!$F$43*(datos_base!$K$20+IF(parametros_manuales!$H$43="Todos",datos_base!$K$25,0))*parametros_manuales!$F$14+parametros_manuales!$G$43*(datos_base!$K$5+IF(parametros_manuales!$H$43="Todos",datos_base!$K$12,0))*parametros_manuales!$F$110+parametros_manuales!$G$43*(datos_base!$K$21+IF(parametros_manuales!$H$43="Todos",datos_base!$K$26,0))*parametros_manuales!$F$15)*parametros_manuales!$I$43*parametros_manuales!$J$43</f>
        <v>20727.79715854</v>
      </c>
      <c r="G269" s="9" t="n">
        <f aca="false">(parametros_manuales!$D$43*(datos_base!$K$2+IF(parametros_manuales!$H$43="Todos",datos_base!$K$9,0))*parametros_manuales!$G$95+parametros_manuales!$D$43*(datos_base!$K$18+IF(parametros_manuales!$H$43="Todos",datos_base!$K$23,0))*parametros_manuales!$G$12+parametros_manuales!$E$43*(datos_base!$K$3+IF(parametros_manuales!$H$43="Todos",datos_base!$K$10,0))*parametros_manuales!$G$100+parametros_manuales!$E$43*(datos_base!$K$19+IF(parametros_manuales!$H$43="Todos",datos_base!$K$24,0))*parametros_manuales!$G$13+parametros_manuales!$F$43*(datos_base!$K$4+IF(parametros_manuales!$H$43="Todos",datos_base!$K$11,0))*parametros_manuales!$G$105+parametros_manuales!$F$43*(datos_base!$K$20+IF(parametros_manuales!$H$43="Todos",datos_base!$K$25,0))*parametros_manuales!$G$14+parametros_manuales!$G$43*(datos_base!$K$5+IF(parametros_manuales!$H$43="Todos",datos_base!$K$12,0))*parametros_manuales!$G$110+parametros_manuales!$G$43*(datos_base!$K$21+IF(parametros_manuales!$H$43="Todos",datos_base!$K$26,0))*parametros_manuales!$G$15)*parametros_manuales!$I$43*parametros_manuales!$J$43</f>
        <v>20318.775132325</v>
      </c>
      <c r="H269" s="9" t="n">
        <f aca="false">(parametros_manuales!$D$43*(datos_base!$K$2+IF(parametros_manuales!$H$43="Todos",datos_base!$K$9,0))*parametros_manuales!$H$95+parametros_manuales!$D$43*(datos_base!$K$18+IF(parametros_manuales!$H$43="Todos",datos_base!$K$23,0))*parametros_manuales!$H$12+parametros_manuales!$E$43*(datos_base!$K$3+IF(parametros_manuales!$H$43="Todos",datos_base!$K$10,0))*parametros_manuales!$H$100+parametros_manuales!$E$43*(datos_base!$K$19+IF(parametros_manuales!$H$43="Todos",datos_base!$K$24,0))*parametros_manuales!$H$13+parametros_manuales!$F$43*(datos_base!$K$4+IF(parametros_manuales!$H$43="Todos",datos_base!$K$11,0))*parametros_manuales!$H$105+parametros_manuales!$F$43*(datos_base!$K$20+IF(parametros_manuales!$H$43="Todos",datos_base!$K$25,0))*parametros_manuales!$H$14+parametros_manuales!$G$43*(datos_base!$K$5+IF(parametros_manuales!$H$43="Todos",datos_base!$K$12,0))*parametros_manuales!$H$110+parametros_manuales!$G$43*(datos_base!$K$21+IF(parametros_manuales!$H$43="Todos",datos_base!$K$26,0))*parametros_manuales!$H$15)*parametros_manuales!$I$43*parametros_manuales!$J$43</f>
        <v>21740.90035419</v>
      </c>
      <c r="I269" s="9" t="n">
        <f aca="false">(parametros_manuales!$D$43*(datos_base!$K$2+IF(parametros_manuales!$H$43="Todos",datos_base!$K$9,0))*parametros_manuales!$I$95+parametros_manuales!$D$43*(datos_base!$K$18+IF(parametros_manuales!$H$43="Todos",datos_base!$K$23,0))*parametros_manuales!$I$12+parametros_manuales!$E$43*(datos_base!$K$3+IF(parametros_manuales!$H$43="Todos",datos_base!$K$10,0))*parametros_manuales!$I$100+parametros_manuales!$E$43*(datos_base!$K$19+IF(parametros_manuales!$H$43="Todos",datos_base!$K$24,0))*parametros_manuales!$I$13+parametros_manuales!$F$43*(datos_base!$K$4+IF(parametros_manuales!$H$43="Todos",datos_base!$K$11,0))*parametros_manuales!$I$105+parametros_manuales!$F$43*(datos_base!$K$20+IF(parametros_manuales!$H$43="Todos",datos_base!$K$25,0))*parametros_manuales!$I$14+parametros_manuales!$G$43*(datos_base!$K$5+IF(parametros_manuales!$H$43="Todos",datos_base!$K$12,0))*parametros_manuales!$I$110+parametros_manuales!$G$43*(datos_base!$K$21+IF(parametros_manuales!$H$43="Todos",datos_base!$K$26,0))*parametros_manuales!$I$15)*parametros_manuales!$I$43*parametros_manuales!$J$43</f>
        <v>24780.20994114</v>
      </c>
      <c r="J269" s="9" t="n">
        <f aca="false">(parametros_manuales!$D$43*(datos_base!$K$2+IF(parametros_manuales!$H$43="Todos",datos_base!$K$9,0))*parametros_manuales!$J$95+parametros_manuales!$D$43*(datos_base!$K$18+IF(parametros_manuales!$H$43="Todos",datos_base!$K$23,0))*parametros_manuales!$J$12+parametros_manuales!$E$43*(datos_base!$K$3+IF(parametros_manuales!$H$43="Todos",datos_base!$K$10,0))*parametros_manuales!$J$100+parametros_manuales!$E$43*(datos_base!$K$19+IF(parametros_manuales!$H$43="Todos",datos_base!$K$24,0))*parametros_manuales!$J$13+parametros_manuales!$F$43*(datos_base!$K$4+IF(parametros_manuales!$H$43="Todos",datos_base!$K$11,0))*parametros_manuales!$J$105+parametros_manuales!$F$43*(datos_base!$K$20+IF(parametros_manuales!$H$43="Todos",datos_base!$K$25,0))*parametros_manuales!$J$14+parametros_manuales!$G$43*(datos_base!$K$5+IF(parametros_manuales!$H$43="Todos",datos_base!$K$12,0))*parametros_manuales!$J$110+parametros_manuales!$G$43*(datos_base!$K$21+IF(parametros_manuales!$H$43="Todos",datos_base!$K$26,0))*parametros_manuales!$J$15)*parametros_manuales!$I$43*parametros_manuales!$J$43</f>
        <v>24780.20994114</v>
      </c>
      <c r="K269" s="9" t="n">
        <f aca="false">(parametros_manuales!$D$43*(datos_base!$K$2+IF(parametros_manuales!$H$43="Todos",datos_base!$K$9,0))*parametros_manuales!$K$95+parametros_manuales!$D$43*(datos_base!$K$18+IF(parametros_manuales!$H$43="Todos",datos_base!$K$23,0))*parametros_manuales!$K$12+parametros_manuales!$E$43*(datos_base!$K$3+IF(parametros_manuales!$H$43="Todos",datos_base!$K$10,0))*parametros_manuales!$K$100+parametros_manuales!$E$43*(datos_base!$K$19+IF(parametros_manuales!$H$43="Todos",datos_base!$K$24,0))*parametros_manuales!$K$13+parametros_manuales!$F$43*(datos_base!$K$4+IF(parametros_manuales!$H$43="Todos",datos_base!$K$11,0))*parametros_manuales!$K$105+parametros_manuales!$F$43*(datos_base!$K$20+IF(parametros_manuales!$H$43="Todos",datos_base!$K$25,0))*parametros_manuales!$K$14+parametros_manuales!$G$43*(datos_base!$K$5+IF(parametros_manuales!$H$43="Todos",datos_base!$K$12,0))*parametros_manuales!$K$110+parametros_manuales!$G$43*(datos_base!$K$21+IF(parametros_manuales!$H$43="Todos",datos_base!$K$26,0))*parametros_manuales!$K$15)*parametros_manuales!$I$43*parametros_manuales!$J$43</f>
        <v>25187.302767355</v>
      </c>
      <c r="L269" s="9" t="n">
        <f aca="false">(parametros_manuales!$D$43*(datos_base!$K$2+IF(parametros_manuales!$H$43="Todos",datos_base!$K$9,0))*parametros_manuales!$L$95+parametros_manuales!$D$43*(datos_base!$K$18+IF(parametros_manuales!$H$43="Todos",datos_base!$K$23,0))*parametros_manuales!$L$12+parametros_manuales!$E$43*(datos_base!$K$3+IF(parametros_manuales!$H$43="Todos",datos_base!$K$10,0))*parametros_manuales!$L$100+parametros_manuales!$E$43*(datos_base!$K$19+IF(parametros_manuales!$H$43="Todos",datos_base!$K$24,0))*parametros_manuales!$L$13+parametros_manuales!$F$43*(datos_base!$K$4+IF(parametros_manuales!$H$43="Todos",datos_base!$K$11,0))*parametros_manuales!$L$105+parametros_manuales!$F$43*(datos_base!$K$20+IF(parametros_manuales!$H$43="Todos",datos_base!$K$25,0))*parametros_manuales!$L$14+parametros_manuales!$G$43*(datos_base!$K$5+IF(parametros_manuales!$H$43="Todos",datos_base!$K$12,0))*parametros_manuales!$L$110+parametros_manuales!$G$43*(datos_base!$K$21+IF(parametros_manuales!$H$43="Todos",datos_base!$K$26,0))*parametros_manuales!$L$15)*parametros_manuales!$I$43*parametros_manuales!$J$43</f>
        <v>25594.39559357</v>
      </c>
      <c r="M269" s="9" t="n">
        <f aca="false">(parametros_manuales!$D$43*(datos_base!$K$2+IF(parametros_manuales!$H$43="Todos",datos_base!$K$9,0))*parametros_manuales!$M$95+parametros_manuales!$D$43*(datos_base!$K$18+IF(parametros_manuales!$H$43="Todos",datos_base!$K$23,0))*parametros_manuales!$M$12+parametros_manuales!$E$43*(datos_base!$K$3+IF(parametros_manuales!$H$43="Todos",datos_base!$K$10,0))*parametros_manuales!$M$100+parametros_manuales!$E$43*(datos_base!$K$19+IF(parametros_manuales!$H$43="Todos",datos_base!$K$24,0))*parametros_manuales!$M$13+parametros_manuales!$F$43*(datos_base!$K$4+IF(parametros_manuales!$H$43="Todos",datos_base!$K$11,0))*parametros_manuales!$M$105+parametros_manuales!$F$43*(datos_base!$K$20+IF(parametros_manuales!$H$43="Todos",datos_base!$K$25,0))*parametros_manuales!$M$14+parametros_manuales!$G$43*(datos_base!$K$5+IF(parametros_manuales!$H$43="Todos",datos_base!$K$12,0))*parametros_manuales!$M$110+parametros_manuales!$G$43*(datos_base!$K$21+IF(parametros_manuales!$H$43="Todos",datos_base!$K$26,0))*parametros_manuales!$M$15)*parametros_manuales!$I$43*parametros_manuales!$J$43</f>
        <v>25602.11239357</v>
      </c>
      <c r="N269" s="9" t="n">
        <f aca="false">SUM(B269:M269)</f>
        <v>284425.044373</v>
      </c>
      <c r="O269" s="9" t="n">
        <f aca="false">MAX(B269:M269)</f>
        <v>25602.11239357</v>
      </c>
      <c r="P269" s="44" t="n">
        <f aca="false">O269/(parametros_manuales!$B$7)</f>
        <v>170.680749290467</v>
      </c>
      <c r="Q269" s="8" t="str">
        <f aca="false">IF(O269=0,"-",INDEX($B$244:$M$244,MATCH(O269,B269:M269,0)))</f>
        <v>Dic</v>
      </c>
    </row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  <col collapsed="false" customWidth="true" hidden="false" outlineLevel="0" max="15" min="14" style="1" width="8.57"/>
  </cols>
  <sheetData>
    <row r="1" customFormat="false" ht="14.25" hidden="false" customHeight="true" outlineLevel="0" collapsed="false">
      <c r="A1" s="58" t="s">
        <v>210</v>
      </c>
      <c r="B1" s="58" t="n">
        <v>2026</v>
      </c>
      <c r="C1" s="58" t="n">
        <v>2027</v>
      </c>
      <c r="D1" s="58" t="n">
        <v>2028</v>
      </c>
      <c r="E1" s="58" t="n">
        <v>2029</v>
      </c>
      <c r="F1" s="58" t="n">
        <v>2030</v>
      </c>
      <c r="G1" s="58" t="n">
        <v>2031</v>
      </c>
      <c r="H1" s="58" t="n">
        <v>2032</v>
      </c>
      <c r="I1" s="58" t="n">
        <v>2033</v>
      </c>
      <c r="J1" s="58" t="n">
        <v>2034</v>
      </c>
      <c r="K1" s="58" t="n">
        <v>2035</v>
      </c>
      <c r="L1" s="58" t="s">
        <v>211</v>
      </c>
      <c r="O1" s="57" t="s">
        <v>225</v>
      </c>
    </row>
    <row r="2" customFormat="false" ht="14.25" hidden="false" customHeight="true" outlineLevel="0" collapsed="false">
      <c r="A2" s="8" t="str">
        <f aca="false">parametros_manuales!$B$19</f>
        <v>Recepción de materia prima</v>
      </c>
      <c r="B2" s="46" t="n">
        <f aca="false">IF(B30*B58*parametros_manuales!$M$19*parametros_manuales!$B$6=0,0,'Demanda puesto con sobrestock'!$P$2/(parametros_manuales!$M$19*B30*B58*parametros_manuales!$B$6))</f>
        <v>0.0685803977339667</v>
      </c>
      <c r="C2" s="46" t="n">
        <f aca="false">IF(C30*C58*parametros_manuales!$M$19*parametros_manuales!$B$6=0,0,'Demanda puesto con sobrestock'!$P$29/(parametros_manuales!$M$19*C30*C58*parametros_manuales!$B$6))</f>
        <v>0.108344131605556</v>
      </c>
      <c r="D2" s="46" t="n">
        <f aca="false">IF(D30*D58*parametros_manuales!$M$19*parametros_manuales!$B$6=0,0,'Demanda puesto con sobrestock'!$P$56/(parametros_manuales!$M$19*D30*D58*parametros_manuales!$B$6))</f>
        <v>0.228935055197333</v>
      </c>
      <c r="E2" s="46" t="n">
        <f aca="false">IF(E30*E58*parametros_manuales!$M$19*parametros_manuales!$B$6=0,0,'Demanda puesto con sobrestock'!$P$83/(parametros_manuales!$M$19*E30*E58*parametros_manuales!$B$6))</f>
        <v>0.506452028634333</v>
      </c>
      <c r="F2" s="47" t="n">
        <f aca="false">IF(F30*F58*parametros_manuales!$M$19*parametros_manuales!$B$6=0,0,'Demanda puesto con sobrestock'!$P$110/(parametros_manuales!$M$19*F30*F58*parametros_manuales!$B$6))</f>
        <v>0.4410170276395</v>
      </c>
      <c r="G2" s="59" t="n">
        <f aca="false">IF(G30*G58*parametros_manuales!$M$19*parametros_manuales!$B$6=0,0,'Demanda puesto con sobrestock'!$P$137/(parametros_manuales!$M$19*G30*G58*parametros_manuales!$B$6))</f>
        <v>0.619246949383889</v>
      </c>
      <c r="H2" s="47" t="n">
        <f aca="false">IF(H30*H58*parametros_manuales!$M$19*parametros_manuales!$B$6=0,0,'Demanda puesto con sobrestock'!$P$164/(parametros_manuales!$M$19*H30*H58*parametros_manuales!$B$6))</f>
        <v>0.4269287729225</v>
      </c>
      <c r="I2" s="59" t="n">
        <f aca="false">IF(I30*I58*parametros_manuales!$M$19*parametros_manuales!$B$6=0,0,'Demanda puesto con sobrestock'!$P$191/(parametros_manuales!$M$19*I30*I58*parametros_manuales!$B$6))</f>
        <v>0.545480518400278</v>
      </c>
      <c r="J2" s="46" t="n">
        <f aca="false">IF(J30*J58*parametros_manuales!$M$19*parametros_manuales!$B$6=0,0,'Demanda puesto con sobrestock'!$P$218/(parametros_manuales!$M$19*J30*J58*parametros_manuales!$B$6))</f>
        <v>0.615506425800833</v>
      </c>
      <c r="K2" s="46" t="n">
        <f aca="false">IF(K30*K58*parametros_manuales!$M$19*parametros_manuales!$B$6=0,0,'Demanda puesto con sobrestock'!$P$245/(parametros_manuales!$M$19*K30*K58*parametros_manuales!$B$6))</f>
        <v>0.711169788710278</v>
      </c>
      <c r="L2" s="8" t="s">
        <v>212</v>
      </c>
    </row>
    <row r="3" customFormat="false" ht="14.25" hidden="false" customHeight="true" outlineLevel="0" collapsed="false">
      <c r="A3" s="8" t="str">
        <f aca="false">parametros_manuales!$B$20</f>
        <v>Corte de chapa (guillotina) — 2,5 a 10 kg</v>
      </c>
      <c r="B3" s="46" t="n">
        <f aca="false">IF(B31*B59*parametros_manuales!$M$20*parametros_manuales!$B$6=0,0,'Demanda puesto con sobrestock'!$P$3/(parametros_manuales!$M$20*B31*B59*parametros_manuales!$B$6))</f>
        <v>0.0404592769690772</v>
      </c>
      <c r="C3" s="46" t="n">
        <f aca="false">IF(C31*C59*parametros_manuales!$M$20*parametros_manuales!$B$6=0,0,'Demanda puesto con sobrestock'!$P$30/(parametros_manuales!$M$20*C31*C59*parametros_manuales!$B$6))</f>
        <v>0.0730435950536913</v>
      </c>
      <c r="D3" s="46" t="n">
        <f aca="false">IF(D31*D59*parametros_manuales!$M$20*parametros_manuales!$B$6=0,0,'Demanda puesto con sobrestock'!$P$57/(parametros_manuales!$M$20*D31*D59*parametros_manuales!$B$6))</f>
        <v>0.126533925932215</v>
      </c>
      <c r="E3" s="46" t="n">
        <f aca="false">IF(E31*E59*parametros_manuales!$M$20*parametros_manuales!$B$6=0,0,'Demanda puesto con sobrestock'!$P$84/(parametros_manuales!$M$20*E31*E59*parametros_manuales!$B$6))</f>
        <v>0.233807727902517</v>
      </c>
      <c r="F3" s="46" t="n">
        <f aca="false">IF(F31*F59*parametros_manuales!$M$20*parametros_manuales!$B$6=0,0,'Demanda puesto con sobrestock'!$P$111/(parametros_manuales!$M$20*F31*F59*parametros_manuales!$B$6))</f>
        <v>0.393945898256879</v>
      </c>
      <c r="G3" s="46" t="n">
        <f aca="false">IF(G31*G59*parametros_manuales!$M$20*parametros_manuales!$B$6=0,0,'Demanda puesto con sobrestock'!$P$138/(parametros_manuales!$M$20*G31*G59*parametros_manuales!$B$6))</f>
        <v>0.551913475270134</v>
      </c>
      <c r="H3" s="46" t="n">
        <f aca="false">IF(H31*H59*parametros_manuales!$M$20*parametros_manuales!$B$6=0,0,'Demanda puesto con sobrestock'!$P$165/(parametros_manuales!$M$20*H31*H59*parametros_manuales!$B$6))</f>
        <v>0.741418126142618</v>
      </c>
      <c r="I3" s="47" t="n">
        <f aca="false">IF(I31*I59*parametros_manuales!$M$20*parametros_manuales!$B$6=0,0,'Demanda puesto con sobrestock'!$P$192/(parametros_manuales!$M$20*I31*I59*parametros_manuales!$B$6))</f>
        <v>0.468567248255872</v>
      </c>
      <c r="J3" s="46" t="n">
        <f aca="false">IF(J31*J59*parametros_manuales!$M$20*parametros_manuales!$B$6=0,0,'Demanda puesto con sobrestock'!$P$219/(parametros_manuales!$M$20*J31*J59*parametros_manuales!$B$6))</f>
        <v>0.534634989616611</v>
      </c>
      <c r="K3" s="46" t="n">
        <f aca="false">IF(K31*K59*parametros_manuales!$M$20*parametros_manuales!$B$6=0,0,'Demanda puesto con sobrestock'!$P$246/(parametros_manuales!$M$20*K31*K59*parametros_manuales!$B$6))</f>
        <v>0.617974402002517</v>
      </c>
      <c r="L3" s="8" t="s">
        <v>81</v>
      </c>
    </row>
    <row r="4" customFormat="false" ht="14.25" hidden="false" customHeight="true" outlineLevel="0" collapsed="false">
      <c r="A4" s="8" t="str">
        <f aca="false">parametros_manuales!$B$21</f>
        <v>Corte de tubo — 1 kg</v>
      </c>
      <c r="B4" s="46" t="n">
        <f aca="false">IF(B32*B60*parametros_manuales!$M$21*parametros_manuales!$B$6=0,0,'Demanda puesto con sobrestock'!$P$4/(parametros_manuales!$M$21*B32*B60*parametros_manuales!$B$6))</f>
        <v>0.020893682715</v>
      </c>
      <c r="C4" s="46" t="n">
        <f aca="false">IF(C32*C60*parametros_manuales!$M$21*parametros_manuales!$B$6=0,0,'Demanda puesto con sobrestock'!$P$31/(parametros_manuales!$M$21*C32*C60*parametros_manuales!$B$6))</f>
        <v>0.029986519885</v>
      </c>
      <c r="D4" s="46" t="n">
        <f aca="false">IF(D32*D60*parametros_manuales!$M$21*parametros_manuales!$B$6=0,0,'Demanda puesto con sobrestock'!$P$58/(parametros_manuales!$M$21*D32*D60*parametros_manuales!$B$6))</f>
        <v>0.07257073879</v>
      </c>
      <c r="E4" s="46" t="n">
        <f aca="false">IF(E32*E60*parametros_manuales!$M$21*parametros_manuales!$B$6=0,0,'Demanda puesto con sobrestock'!$P$85/(parametros_manuales!$M$21*E32*E60*parametros_manuales!$B$6))</f>
        <v>0.175809677745</v>
      </c>
      <c r="F4" s="46" t="n">
        <f aca="false">IF(F32*F60*parametros_manuales!$M$21*parametros_manuales!$B$6=0,0,'Demanda puesto con sobrestock'!$P$112/(parametros_manuales!$M$21*F32*F60*parametros_manuales!$B$6))</f>
        <v>0.31057716355</v>
      </c>
      <c r="G4" s="46" t="n">
        <f aca="false">IF(G32*G60*parametros_manuales!$M$21*parametros_manuales!$B$6=0,0,'Demanda puesto con sobrestock'!$P$139/(parametros_manuales!$M$21*G32*G60*parametros_manuales!$B$6))</f>
        <v>0.43650226535</v>
      </c>
      <c r="H4" s="46" t="n">
        <f aca="false">IF(H32*H60*parametros_manuales!$M$21*parametros_manuales!$B$6=0,0,'Demanda puesto con sobrestock'!$P$166/(parametros_manuales!$M$21*H32*H60*parametros_manuales!$B$6))</f>
        <v>0.6083657663</v>
      </c>
      <c r="I4" s="47" t="n">
        <f aca="false">IF(I32*I60*parametros_manuales!$M$21*parametros_manuales!$B$6=0,0,'Demanda puesto con sobrestock'!$P$193/(parametros_manuales!$M$21*I32*I60*parametros_manuales!$B$6))</f>
        <v>0.7806653924</v>
      </c>
      <c r="J4" s="46" t="n">
        <f aca="false">IF(J32*J60*parametros_manuales!$M$21*parametros_manuales!$B$6=0,0,'Demanda puesto con sobrestock'!$P$220/(parametros_manuales!$M$21*J32*J60*parametros_manuales!$B$6))</f>
        <v>0.43848284035</v>
      </c>
      <c r="K4" s="46" t="n">
        <f aca="false">IF(K32*K60*parametros_manuales!$M$21*parametros_manuales!$B$6=0,0,'Demanda puesto con sobrestock'!$P$247/(parametros_manuales!$M$21*K32*K60*parametros_manuales!$B$6))</f>
        <v>0.506551597825</v>
      </c>
      <c r="L4" s="8" t="s">
        <v>81</v>
      </c>
    </row>
    <row r="5" customFormat="false" ht="14.25" hidden="false" customHeight="true" outlineLevel="0" collapsed="false">
      <c r="A5" s="8" t="str">
        <f aca="false">parametros_manuales!$B$22</f>
        <v>Corte de disco y embutido (cúpula y fondo)</v>
      </c>
      <c r="B5" s="46" t="n">
        <f aca="false">IF(B33*B61*parametros_manuales!$M$22*parametros_manuales!$B$6=0,0,'Demanda puesto con sobrestock'!$P$5/(parametros_manuales!$M$22*B33*B61*parametros_manuales!$B$6))</f>
        <v>0.0268942736211634</v>
      </c>
      <c r="C5" s="46" t="n">
        <f aca="false">IF(C33*C61*parametros_manuales!$M$22*parametros_manuales!$B$6=0,0,'Demanda puesto con sobrestock'!$P$32/(parametros_manuales!$M$22*C33*C61*parametros_manuales!$B$6))</f>
        <v>0.0424878947472767</v>
      </c>
      <c r="D5" s="46" t="n">
        <f aca="false">IF(D33*D61*parametros_manuales!$M$22*parametros_manuales!$B$6=0,0,'Demanda puesto con sobrestock'!$P$59/(parametros_manuales!$M$22*D33*D61*parametros_manuales!$B$6))</f>
        <v>0.0897784530185621</v>
      </c>
      <c r="E5" s="46" t="n">
        <f aca="false">IF(E33*E61*parametros_manuales!$M$22*parametros_manuales!$B$6=0,0,'Demanda puesto con sobrestock'!$P$86/(parametros_manuales!$M$22*E33*E61*parametros_manuales!$B$6))</f>
        <v>0.198608638680131</v>
      </c>
      <c r="F5" s="46" t="n">
        <f aca="false">IF(F33*F61*parametros_manuales!$M$22*parametros_manuales!$B$6=0,0,'Demanda puesto con sobrestock'!$P$113/(parametros_manuales!$M$22*F33*F61*parametros_manuales!$B$6))</f>
        <v>0.345895707952549</v>
      </c>
      <c r="G5" s="46" t="n">
        <f aca="false">IF(G33*G61*parametros_manuales!$M$22*parametros_manuales!$B$6=0,0,'Demanda puesto con sobrestock'!$P$140/(parametros_manuales!$M$22*G33*G61*parametros_manuales!$B$6))</f>
        <v>0.485683881869717</v>
      </c>
      <c r="H5" s="46" t="n">
        <f aca="false">IF(H33*H61*parametros_manuales!$M$22*parametros_manuales!$B$6=0,0,'Demanda puesto con sobrestock'!$P$167/(parametros_manuales!$M$22*H33*H61*parametros_manuales!$B$6))</f>
        <v>0.669692192819608</v>
      </c>
      <c r="I5" s="47" t="n">
        <f aca="false">IF(I33*I61*parametros_manuales!$M$22*parametros_manuales!$B$6=0,0,'Demanda puesto con sobrestock'!$P$194/(parametros_manuales!$M$22*I33*I61*parametros_manuales!$B$6))</f>
        <v>0.855655715137691</v>
      </c>
      <c r="J5" s="46" t="n">
        <f aca="false">IF(J33*J61*parametros_manuales!$M$22*parametros_manuales!$B$6=0,0,'Demanda puesto con sobrestock'!$P$221/(parametros_manuales!$M$22*J33*J61*parametros_manuales!$B$6))</f>
        <v>0.482750137883007</v>
      </c>
      <c r="K5" s="46" t="n">
        <f aca="false">IF(K33*K61*parametros_manuales!$M$22*parametros_manuales!$B$6=0,0,'Demanda puesto con sobrestock'!$P$248/(parametros_manuales!$M$22*K33*K61*parametros_manuales!$B$6))</f>
        <v>0.557780226439434</v>
      </c>
      <c r="L5" s="8" t="s">
        <v>81</v>
      </c>
    </row>
    <row r="6" customFormat="false" ht="14.25" hidden="false" customHeight="true" outlineLevel="0" collapsed="false">
      <c r="A6" s="8" t="str">
        <f aca="false">parametros_manuales!$B$23</f>
        <v>Preparación de cuello</v>
      </c>
      <c r="B6" s="46" t="n">
        <f aca="false">IF(B34*B62*parametros_manuales!$M$23*parametros_manuales!$B$6=0,0,'Demanda puesto con sobrestock'!$P$6/(parametros_manuales!$M$23*B34*B62*parametros_manuales!$B$6))</f>
        <v>0.0685803977339667</v>
      </c>
      <c r="C6" s="46" t="n">
        <f aca="false">IF(C34*C62*parametros_manuales!$M$23*parametros_manuales!$B$6=0,0,'Demanda puesto con sobrestock'!$P$33/(parametros_manuales!$M$23*C34*C62*parametros_manuales!$B$6))</f>
        <v>0.108344131605556</v>
      </c>
      <c r="D6" s="46" t="n">
        <f aca="false">IF(D34*D62*parametros_manuales!$M$23*parametros_manuales!$B$6=0,0,'Demanda puesto con sobrestock'!$P$60/(parametros_manuales!$M$23*D34*D62*parametros_manuales!$B$6))</f>
        <v>0.228935055197333</v>
      </c>
      <c r="E6" s="46" t="n">
        <f aca="false">IF(E34*E62*parametros_manuales!$M$23*parametros_manuales!$B$6=0,0,'Demanda puesto con sobrestock'!$P$87/(parametros_manuales!$M$23*E34*E62*parametros_manuales!$B$6))</f>
        <v>0.506452028634333</v>
      </c>
      <c r="F6" s="59" t="n">
        <f aca="false">IF(F34*F62*parametros_manuales!$M$23*parametros_manuales!$B$6=0,0,'Demanda puesto con sobrestock'!$P$114/(parametros_manuales!$M$23*F34*F62*parametros_manuales!$B$6))</f>
        <v>0.882034055279</v>
      </c>
      <c r="G6" s="47" t="n">
        <f aca="false">IF(G34*G62*parametros_manuales!$M$23*parametros_manuales!$B$6=0,0,'Demanda puesto con sobrestock'!$P$141/(parametros_manuales!$M$23*G34*G62*parametros_manuales!$B$6))</f>
        <v>0.619246949383889</v>
      </c>
      <c r="H6" s="59" t="n">
        <f aca="false">IF(H34*H62*parametros_manuales!$M$23*parametros_manuales!$B$6=0,0,'Demanda puesto con sobrestock'!$P$168/(parametros_manuales!$M$23*H34*H62*parametros_manuales!$B$6))</f>
        <v>0.853857545845</v>
      </c>
      <c r="I6" s="47" t="n">
        <f aca="false">IF(I34*I62*parametros_manuales!$M$23*parametros_manuales!$B$6=0,0,'Demanda puesto con sobrestock'!$P$195/(parametros_manuales!$M$23*I34*I62*parametros_manuales!$B$6))</f>
        <v>0.545480518400278</v>
      </c>
      <c r="J6" s="46" t="n">
        <f aca="false">IF(J34*J62*parametros_manuales!$M$23*parametros_manuales!$B$6=0,0,'Demanda puesto con sobrestock'!$P$222/(parametros_manuales!$M$23*J34*J62*parametros_manuales!$B$6))</f>
        <v>0.615506425800833</v>
      </c>
      <c r="K6" s="46" t="n">
        <f aca="false">IF(K34*K62*parametros_manuales!$M$23*parametros_manuales!$B$6=0,0,'Demanda puesto con sobrestock'!$P$249/(parametros_manuales!$M$23*K34*K62*parametros_manuales!$B$6))</f>
        <v>0.711169788710278</v>
      </c>
      <c r="L6" s="8" t="s">
        <v>81</v>
      </c>
    </row>
    <row r="7" customFormat="false" ht="14.25" hidden="false" customHeight="true" outlineLevel="0" collapsed="false">
      <c r="A7" s="8" t="str">
        <f aca="false">parametros_manuales!$B$24</f>
        <v>Numerado de cúpula</v>
      </c>
      <c r="B7" s="46" t="n">
        <f aca="false">IF(B35*B63*parametros_manuales!$M$24*parametros_manuales!$B$6=0,0,'Demanda puesto con sobrestock'!$P$7/(parametros_manuales!$M$24*B35*B63*parametros_manuales!$B$6))</f>
        <v>0.0228601325779889</v>
      </c>
      <c r="C7" s="46" t="n">
        <f aca="false">IF(C35*C63*parametros_manuales!$M$24*parametros_manuales!$B$6=0,0,'Demanda puesto con sobrestock'!$P$34/(parametros_manuales!$M$24*C35*C63*parametros_manuales!$B$6))</f>
        <v>0.0361147105351852</v>
      </c>
      <c r="D7" s="46" t="n">
        <f aca="false">IF(D35*D63*parametros_manuales!$M$24*parametros_manuales!$B$6=0,0,'Demanda puesto con sobrestock'!$P$61/(parametros_manuales!$M$24*D35*D63*parametros_manuales!$B$6))</f>
        <v>0.0763116850657778</v>
      </c>
      <c r="E7" s="46" t="n">
        <f aca="false">IF(E35*E63*parametros_manuales!$M$24*parametros_manuales!$B$6=0,0,'Demanda puesto con sobrestock'!$P$88/(parametros_manuales!$M$24*E35*E63*parametros_manuales!$B$6))</f>
        <v>0.168817342878111</v>
      </c>
      <c r="F7" s="46" t="n">
        <f aca="false">IF(F35*F63*parametros_manuales!$M$24*parametros_manuales!$B$6=0,0,'Demanda puesto con sobrestock'!$P$115/(parametros_manuales!$M$24*F35*F63*parametros_manuales!$B$6))</f>
        <v>0.294011351759667</v>
      </c>
      <c r="G7" s="46" t="n">
        <f aca="false">IF(G35*G63*parametros_manuales!$M$24*parametros_manuales!$B$6=0,0,'Demanda puesto con sobrestock'!$P$142/(parametros_manuales!$M$24*G35*G63*parametros_manuales!$B$6))</f>
        <v>0.412831299589259</v>
      </c>
      <c r="H7" s="46" t="n">
        <f aca="false">IF(H35*H63*parametros_manuales!$M$24*parametros_manuales!$B$6=0,0,'Demanda puesto con sobrestock'!$P$169/(parametros_manuales!$M$24*H35*H63*parametros_manuales!$B$6))</f>
        <v>0.569238363896667</v>
      </c>
      <c r="I7" s="60" t="n">
        <f aca="false">IF(I35*I63*parametros_manuales!$M$24*parametros_manuales!$B$6=0,0,'Demanda puesto con sobrestock'!$P$196/(parametros_manuales!$M$24*I35*I63*parametros_manuales!$B$6))</f>
        <v>0.363653678933519</v>
      </c>
      <c r="J7" s="46" t="n">
        <f aca="false">IF(J35*J63*parametros_manuales!$M$24*parametros_manuales!$B$6=0,0,'Demanda puesto con sobrestock'!$P$223/(parametros_manuales!$M$24*J35*J63*parametros_manuales!$B$6))</f>
        <v>0.410337617200556</v>
      </c>
      <c r="K7" s="46" t="n">
        <f aca="false">IF(K35*K63*parametros_manuales!$M$24*parametros_manuales!$B$6=0,0,'Demanda puesto con sobrestock'!$P$250/(parametros_manuales!$M$24*K35*K63*parametros_manuales!$B$6))</f>
        <v>0.474113192473519</v>
      </c>
      <c r="L7" s="8" t="s">
        <v>81</v>
      </c>
      <c r="M7" s="48" t="s">
        <v>213</v>
      </c>
    </row>
    <row r="8" customFormat="false" ht="14.25" hidden="false" customHeight="true" outlineLevel="0" collapsed="false">
      <c r="A8" s="8" t="str">
        <f aca="false">parametros_manuales!$B$25</f>
        <v>Soldadura del cuello a la cúpula</v>
      </c>
      <c r="B8" s="46" t="n">
        <f aca="false">IF(B36*B64*parametros_manuales!$M$25*parametros_manuales!$B$6=0,0,'Demanda puesto con sobrestock'!$P$8/(parametros_manuales!$M$25*B36*B64*parametros_manuales!$B$6))</f>
        <v>0.029358046975157</v>
      </c>
      <c r="C8" s="46" t="n">
        <f aca="false">IF(C36*C64*parametros_manuales!$M$25*parametros_manuales!$B$6=0,0,'Demanda puesto con sobrestock'!$P$35/(parametros_manuales!$M$25*C36*C64*parametros_manuales!$B$6))</f>
        <v>0.0463801933242961</v>
      </c>
      <c r="D8" s="46" t="n">
        <f aca="false">IF(D36*D64*parametros_manuales!$M$25*parametros_manuales!$B$6=0,0,'Demanda puesto con sobrestock'!$P$62/(parametros_manuales!$M$25*D36*D64*parametros_manuales!$B$6))</f>
        <v>0.0980030202043379</v>
      </c>
      <c r="E8" s="46" t="n">
        <f aca="false">IF(E36*E64*parametros_manuales!$M$25*parametros_manuales!$B$6=0,0,'Demanda puesto con sobrestock'!$P$89/(parametros_manuales!$M$25*E36*E64*parametros_manuales!$B$6))</f>
        <v>0.216803094449629</v>
      </c>
      <c r="F8" s="46" t="n">
        <f aca="false">IF(F36*F64*parametros_manuales!$M$25*parametros_manuales!$B$6=0,0,'Demanda puesto con sobrestock'!$P$116/(parametros_manuales!$M$25*F36*F64*parametros_manuales!$B$6))</f>
        <v>0.377583071609161</v>
      </c>
      <c r="G8" s="46" t="n">
        <f aca="false">IF(G36*G64*parametros_manuales!$M$25*parametros_manuales!$B$6=0,0,'Demanda puesto con sobrestock'!$P$143/(parametros_manuales!$M$25*G36*G64*parametros_manuales!$B$6))</f>
        <v>0.530177182691686</v>
      </c>
      <c r="H8" s="59" t="n">
        <f aca="false">IF(H36*H64*parametros_manuales!$M$25*parametros_manuales!$B$6=0,0,'Demanda puesto con sobrestock'!$P$170/(parametros_manuales!$M$25*H36*H64*parametros_manuales!$B$6))</f>
        <v>0.731042419387843</v>
      </c>
      <c r="I8" s="47" t="n">
        <f aca="false">IF(I36*I64*parametros_manuales!$M$25*parametros_manuales!$B$6=0,0,'Demanda puesto con sobrestock'!$P$197/(parametros_manuales!$M$25*I36*I64*parametros_manuales!$B$6))</f>
        <v>0.46702099178106</v>
      </c>
      <c r="J8" s="46" t="n">
        <f aca="false">IF(J36*J64*parametros_manuales!$M$25*parametros_manuales!$B$6=0,0,'Demanda puesto con sobrestock'!$P$224/(parametros_manuales!$M$25*J36*J64*parametros_manuales!$B$6))</f>
        <v>0.526974679624001</v>
      </c>
      <c r="K8" s="46" t="n">
        <f aca="false">IF(K36*K64*parametros_manuales!$M$25*parametros_manuales!$B$6=0,0,'Demanda puesto con sobrestock'!$P$251/(parametros_manuales!$M$25*K36*K64*parametros_manuales!$B$6))</f>
        <v>0.6088782437588</v>
      </c>
      <c r="L8" s="8" t="s">
        <v>81</v>
      </c>
      <c r="M8" s="49" t="s">
        <v>214</v>
      </c>
    </row>
    <row r="9" customFormat="false" ht="14.25" hidden="false" customHeight="true" outlineLevel="0" collapsed="false">
      <c r="A9" s="8" t="str">
        <f aca="false">parametros_manuales!$B$26</f>
        <v>Cilindrado</v>
      </c>
      <c r="B9" s="46" t="n">
        <f aca="false">IF(B37*B65*parametros_manuales!$M$26*parametros_manuales!$B$6=0,0,'Demanda puesto con sobrestock'!$P$9/(parametros_manuales!$M$26*B37*B65*parametros_manuales!$B$6))</f>
        <v>0.0362068004107658</v>
      </c>
      <c r="C9" s="46" t="n">
        <f aca="false">IF(C37*C65*parametros_manuales!$M$26*parametros_manuales!$B$6=0,0,'Demanda puesto con sobrestock'!$P$36/(parametros_manuales!$M$26*C37*C65*parametros_manuales!$B$6))</f>
        <v>0.0653663403183183</v>
      </c>
      <c r="D9" s="46" t="n">
        <f aca="false">IF(D37*D65*parametros_manuales!$M$26*parametros_manuales!$B$6=0,0,'Demanda puesto con sobrestock'!$P$63/(parametros_manuales!$M$26*D37*D65*parametros_manuales!$B$6))</f>
        <v>0.113234564347748</v>
      </c>
      <c r="E9" s="46" t="n">
        <f aca="false">IF(E37*E65*parametros_manuales!$M$26*parametros_manuales!$B$6=0,0,'Demanda puesto con sobrestock'!$P$90/(parametros_manuales!$M$26*E37*E65*parametros_manuales!$B$6))</f>
        <v>0.209233342086937</v>
      </c>
      <c r="F9" s="46" t="n">
        <f aca="false">IF(F37*F65*parametros_manuales!$M$26*parametros_manuales!$B$6=0,0,'Demanda puesto con sobrestock'!$P$117/(parametros_manuales!$M$26*F37*F65*parametros_manuales!$B$6))</f>
        <v>0.352540173214865</v>
      </c>
      <c r="G9" s="46" t="n">
        <f aca="false">IF(G37*G65*parametros_manuales!$M$26*parametros_manuales!$B$6=0,0,'Demanda puesto con sobrestock'!$P$144/(parametros_manuales!$M$26*G37*G65*parametros_manuales!$B$6))</f>
        <v>0.493904551442943</v>
      </c>
      <c r="H9" s="46" t="n">
        <f aca="false">IF(H37*H65*parametros_manuales!$M$26*parametros_manuales!$B$6=0,0,'Demanda puesto con sobrestock'!$P$171/(parametros_manuales!$M$26*H37*H65*parametros_manuales!$B$6))</f>
        <v>0.663491296067568</v>
      </c>
      <c r="I9" s="47" t="n">
        <f aca="false">IF(I37*I65*parametros_manuales!$M$26*parametros_manuales!$B$6=0,0,'Demanda puesto con sobrestock'!$P$198/(parametros_manuales!$M$26*I37*I65*parametros_manuales!$B$6))</f>
        <v>0.419318438379129</v>
      </c>
      <c r="J9" s="46" t="n">
        <f aca="false">IF(J37*J65*parametros_manuales!$M$26*parametros_manuales!$B$6=0,0,'Demanda puesto con sobrestock'!$P$225/(parametros_manuales!$M$26*J37*J65*parametros_manuales!$B$6))</f>
        <v>0.47844212284009</v>
      </c>
      <c r="K9" s="46" t="n">
        <f aca="false">IF(K37*K65*parametros_manuales!$M$26*parametros_manuales!$B$6=0,0,'Demanda puesto con sobrestock'!$P$252/(parametros_manuales!$M$26*K37*K65*parametros_manuales!$B$6))</f>
        <v>0.553022137527778</v>
      </c>
      <c r="L9" s="8" t="s">
        <v>81</v>
      </c>
      <c r="M9" s="50" t="s">
        <v>215</v>
      </c>
    </row>
    <row r="10" customFormat="false" ht="14.25" hidden="false" customHeight="true" outlineLevel="0" collapsed="false">
      <c r="A10" s="8" t="str">
        <f aca="false">parametros_manuales!$B$27</f>
        <v>Soldadura longitudinal</v>
      </c>
      <c r="B10" s="46" t="n">
        <f aca="false">IF(B38*B66*parametros_manuales!$M$27*parametros_manuales!$B$6=0,0,'Demanda puesto con sobrestock'!$P$10/(parametros_manuales!$M$27*B38*B66*parametros_manuales!$B$6))</f>
        <v>0.0520472755904758</v>
      </c>
      <c r="C10" s="46" t="n">
        <f aca="false">IF(C38*C66*parametros_manuales!$M$27*parametros_manuales!$B$6=0,0,'Demanda puesto con sobrestock'!$P$37/(parametros_manuales!$M$27*C38*C66*parametros_manuales!$B$6))</f>
        <v>0.0939641142075826</v>
      </c>
      <c r="D10" s="46" t="n">
        <f aca="false">IF(D38*D66*parametros_manuales!$M$27*parametros_manuales!$B$6=0,0,'Demanda puesto con sobrestock'!$P$64/(parametros_manuales!$M$27*D38*D66*parametros_manuales!$B$6))</f>
        <v>0.162774686249887</v>
      </c>
      <c r="E10" s="46" t="n">
        <f aca="false">IF(E38*E66*parametros_manuales!$M$27*parametros_manuales!$B$6=0,0,'Demanda puesto con sobrestock'!$P$91/(parametros_manuales!$M$27*E38*E66*parametros_manuales!$B$6))</f>
        <v>0.300772929249972</v>
      </c>
      <c r="F10" s="46" t="n">
        <f aca="false">IF(F38*F66*parametros_manuales!$M$27*parametros_manuales!$B$6=0,0,'Demanda puesto con sobrestock'!$P$118/(parametros_manuales!$M$27*F38*F66*parametros_manuales!$B$6))</f>
        <v>0.506776498996368</v>
      </c>
      <c r="G10" s="46" t="n">
        <f aca="false">IF(G38*G66*parametros_manuales!$M$27*parametros_manuales!$B$6=0,0,'Demanda puesto con sobrestock'!$P$145/(parametros_manuales!$M$27*G38*G66*parametros_manuales!$B$6))</f>
        <v>0.70998779269923</v>
      </c>
      <c r="H10" s="59" t="n">
        <f aca="false">IF(H38*H66*parametros_manuales!$M$27*parametros_manuales!$B$6=0,0,'Demanda puesto con sobrestock'!$P$172/(parametros_manuales!$M$27*H38*H66*parametros_manuales!$B$6))</f>
        <v>0.476884369048564</v>
      </c>
      <c r="I10" s="47" t="n">
        <f aca="false">IF(I38*I66*parametros_manuales!$M$27*parametros_manuales!$B$6=0,0,'Demanda puesto con sobrestock'!$P$199/(parametros_manuales!$M$27*I38*I66*parametros_manuales!$B$6))</f>
        <v>0.602770255169998</v>
      </c>
      <c r="J10" s="46" t="n">
        <f aca="false">IF(J38*J66*parametros_manuales!$M$27*parametros_manuales!$B$6=0,0,'Demanda puesto con sobrestock'!$P$226/(parametros_manuales!$M$27*J38*J66*parametros_manuales!$B$6))</f>
        <v>0.68776055158263</v>
      </c>
      <c r="K10" s="46" t="n">
        <f aca="false">IF(K38*K66*parametros_manuales!$M$27*parametros_manuales!$B$6=0,0,'Demanda puesto con sobrestock'!$P$253/(parametros_manuales!$M$27*K38*K66*parametros_manuales!$B$6))</f>
        <v>0.794969322696181</v>
      </c>
      <c r="L10" s="8" t="s">
        <v>81</v>
      </c>
      <c r="M10" s="51" t="s">
        <v>216</v>
      </c>
    </row>
    <row r="11" customFormat="false" ht="14.25" hidden="false" customHeight="true" outlineLevel="0" collapsed="false">
      <c r="A11" s="8" t="str">
        <f aca="false">parametros_manuales!$B$28</f>
        <v>Encastre de fondo</v>
      </c>
      <c r="B11" s="46" t="n">
        <f aca="false">IF(B39*B67*parametros_manuales!$M$28*parametros_manuales!$B$6=0,0,'Demanda puesto con sobrestock'!$P$11/(parametros_manuales!$M$28*B39*B67*parametros_manuales!$B$6))</f>
        <v>0.0349108359505487</v>
      </c>
      <c r="C11" s="46" t="n">
        <f aca="false">IF(C39*C67*parametros_manuales!$M$28*parametros_manuales!$B$6=0,0,'Demanda puesto con sobrestock'!$P$38/(parametros_manuales!$M$28*C39*C67*parametros_manuales!$B$6))</f>
        <v>0.0551525556815611</v>
      </c>
      <c r="D11" s="46" t="n">
        <f aca="false">IF(D39*D67*parametros_manuales!$M$28*parametros_manuales!$B$6=0,0,'Demanda puesto con sobrestock'!$P$65/(parametros_manuales!$M$28*D39*D67*parametros_manuales!$B$6))</f>
        <v>0.116539338052941</v>
      </c>
      <c r="E11" s="46" t="n">
        <f aca="false">IF(E39*E67*parametros_manuales!$M$28*parametros_manuales!$B$6=0,0,'Demanda puesto con sobrestock'!$P$92/(parametros_manuales!$M$28*E39*E67*parametros_manuales!$B$6))</f>
        <v>0.257809290594401</v>
      </c>
      <c r="F11" s="46" t="n">
        <f aca="false">IF(F39*F67*parametros_manuales!$M$28*parametros_manuales!$B$6=0,0,'Demanda puesto con sobrestock'!$P$119/(parametros_manuales!$M$28*F39*F67*parametros_manuales!$B$6))</f>
        <v>0.448999236284559</v>
      </c>
      <c r="G11" s="46" t="n">
        <f aca="false">IF(G39*G67*parametros_manuales!$M$28*parametros_manuales!$B$6=0,0,'Demanda puesto con sobrestock'!$P$146/(parametros_manuales!$M$28*G39*G67*parametros_manuales!$B$6))</f>
        <v>0.630455038965498</v>
      </c>
      <c r="H11" s="59" t="n">
        <f aca="false">IF(H39*H67*parametros_manuales!$M$28*parametros_manuales!$B$6=0,0,'Demanda puesto con sobrestock'!$P$173/(parametros_manuales!$M$28*H39*H67*parametros_manuales!$B$6))</f>
        <v>0.869311981063914</v>
      </c>
      <c r="I11" s="47" t="n">
        <f aca="false">IF(I39*I67*parametros_manuales!$M$28*parametros_manuales!$B$6=0,0,'Demanda puesto con sobrestock'!$P$200/(parametros_manuales!$M$28*I39*I67*parametros_manuales!$B$6))</f>
        <v>0.555353468959559</v>
      </c>
      <c r="J11" s="46" t="n">
        <f aca="false">IF(J39*J67*parametros_manuales!$M$28*parametros_manuales!$B$6=0,0,'Demanda puesto con sobrestock'!$P$227/(parametros_manuales!$M$28*J39*J67*parametros_manuales!$B$6))</f>
        <v>0.626646813598134</v>
      </c>
      <c r="K11" s="46" t="n">
        <f aca="false">IF(K39*K67*parametros_manuales!$M$28*parametros_manuales!$B$6=0,0,'Demanda puesto con sobrestock'!$P$254/(parametros_manuales!$M$28*K39*K67*parametros_manuales!$B$6))</f>
        <v>0.72404164008965</v>
      </c>
      <c r="L11" s="8" t="s">
        <v>81</v>
      </c>
      <c r="M11" s="52" t="s">
        <v>217</v>
      </c>
    </row>
    <row r="12" customFormat="false" ht="14.25" hidden="false" customHeight="true" outlineLevel="0" collapsed="false">
      <c r="A12" s="8" t="str">
        <f aca="false">parametros_manuales!$B$29</f>
        <v>Bordoneado</v>
      </c>
      <c r="B12" s="46" t="n">
        <f aca="false">IF(B40*B68*parametros_manuales!$M$29*parametros_manuales!$B$6=0,0,'Demanda puesto con sobrestock'!$P$12/(parametros_manuales!$M$29*B40*B68*parametros_manuales!$B$6))</f>
        <v>0.0232738906336991</v>
      </c>
      <c r="C12" s="46" t="n">
        <f aca="false">IF(C40*C68*parametros_manuales!$M$29*parametros_manuales!$B$6=0,0,'Demanda puesto con sobrestock'!$P$39/(parametros_manuales!$M$29*C40*C68*parametros_manuales!$B$6))</f>
        <v>0.0367683704543741</v>
      </c>
      <c r="D12" s="46" t="n">
        <f aca="false">IF(D40*D68*parametros_manuales!$M$29*parametros_manuales!$B$6=0,0,'Demanda puesto con sobrestock'!$P$66/(parametros_manuales!$M$29*D40*D68*parametros_manuales!$B$6))</f>
        <v>0.0776928920352941</v>
      </c>
      <c r="E12" s="46" t="n">
        <f aca="false">IF(E40*E68*parametros_manuales!$M$29*parametros_manuales!$B$6=0,0,'Demanda puesto con sobrestock'!$P$93/(parametros_manuales!$M$29*E40*E68*parametros_manuales!$B$6))</f>
        <v>0.171872860396267</v>
      </c>
      <c r="F12" s="46" t="n">
        <f aca="false">IF(F40*F68*parametros_manuales!$M$29*parametros_manuales!$B$6=0,0,'Demanda puesto con sobrestock'!$P$120/(parametros_manuales!$M$29*F40*F68*parametros_manuales!$B$6))</f>
        <v>0.299332824189706</v>
      </c>
      <c r="G12" s="46" t="n">
        <f aca="false">IF(G40*G68*parametros_manuales!$M$29*parametros_manuales!$B$6=0,0,'Demanda puesto con sobrestock'!$P$147/(parametros_manuales!$M$29*G40*G68*parametros_manuales!$B$6))</f>
        <v>0.420303359310332</v>
      </c>
      <c r="H12" s="46" t="n">
        <f aca="false">IF(H40*H68*parametros_manuales!$M$29*parametros_manuales!$B$6=0,0,'Demanda puesto con sobrestock'!$P$174/(parametros_manuales!$M$29*H40*H68*parametros_manuales!$B$6))</f>
        <v>0.579541320709276</v>
      </c>
      <c r="I12" s="47" t="n">
        <f aca="false">IF(I40*I68*parametros_manuales!$M$29*parametros_manuales!$B$6=0,0,'Demanda puesto con sobrestock'!$P$201/(parametros_manuales!$M$29*I40*I68*parametros_manuales!$B$6))</f>
        <v>0.370235645973039</v>
      </c>
      <c r="J12" s="59" t="n">
        <f aca="false">IF(J40*J68*parametros_manuales!$M$29*parametros_manuales!$B$6=0,0,'Demanda puesto con sobrestock'!$P$228/(parametros_manuales!$M$29*J40*J68*parametros_manuales!$B$6))</f>
        <v>0.417764542398756</v>
      </c>
      <c r="K12" s="46" t="n">
        <f aca="false">IF(K40*K68*parametros_manuales!$M$29*parametros_manuales!$B$6=0,0,'Demanda puesto con sobrestock'!$P$255/(parametros_manuales!$M$29*K40*K68*parametros_manuales!$B$6))</f>
        <v>0.482694426726433</v>
      </c>
      <c r="L12" s="8" t="s">
        <v>81</v>
      </c>
    </row>
    <row r="13" customFormat="false" ht="14.25" hidden="false" customHeight="true" outlineLevel="0" collapsed="false">
      <c r="A13" s="8" t="str">
        <f aca="false">parametros_manuales!$B$30</f>
        <v>Soldadura circunferencial de cúpula y fondo</v>
      </c>
      <c r="B13" s="46" t="n">
        <f aca="false">IF(B41*B69*parametros_manuales!$M$30*parametros_manuales!$B$6=0,0,'Demanda puesto con sobrestock'!$P$13/(parametros_manuales!$M$30*B41*B69*parametros_manuales!$B$6))</f>
        <v>0.0698216719010973</v>
      </c>
      <c r="C13" s="46" t="n">
        <f aca="false">IF(C41*C69*parametros_manuales!$M$30*parametros_manuales!$B$6=0,0,'Demanda puesto con sobrestock'!$P$40/(parametros_manuales!$M$30*C41*C69*parametros_manuales!$B$6))</f>
        <v>0.110305111363122</v>
      </c>
      <c r="D13" s="46" t="n">
        <f aca="false">IF(D41*D69*parametros_manuales!$M$30*parametros_manuales!$B$6=0,0,'Demanda puesto con sobrestock'!$P$67/(parametros_manuales!$M$30*D41*D69*parametros_manuales!$B$6))</f>
        <v>0.233078676105882</v>
      </c>
      <c r="E13" s="46" t="n">
        <f aca="false">IF(E41*E69*parametros_manuales!$M$30*parametros_manuales!$B$6=0,0,'Demanda puesto con sobrestock'!$P$94/(parametros_manuales!$M$30*E41*E69*parametros_manuales!$B$6))</f>
        <v>0.515618581188801</v>
      </c>
      <c r="F13" s="59" t="n">
        <f aca="false">IF(F41*F69*parametros_manuales!$M$30*parametros_manuales!$B$6=0,0,'Demanda puesto con sobrestock'!$P$121/(parametros_manuales!$M$30*F41*F69*parametros_manuales!$B$6))</f>
        <v>0.897998472569118</v>
      </c>
      <c r="G13" s="47" t="n">
        <f aca="false">IF(G41*G69*parametros_manuales!$M$30*parametros_manuales!$B$6=0,0,'Demanda puesto con sobrestock'!$P$148/(parametros_manuales!$M$30*G41*G69*parametros_manuales!$B$6))</f>
        <v>0.630455038965498</v>
      </c>
      <c r="H13" s="59" t="n">
        <f aca="false">IF(H41*H69*parametros_manuales!$M$30*parametros_manuales!$B$6=0,0,'Demanda puesto con sobrestock'!$P$175/(parametros_manuales!$M$30*H41*H69*parametros_manuales!$B$6))</f>
        <v>0.869311981063914</v>
      </c>
      <c r="I13" s="47" t="n">
        <f aca="false">IF(I41*I69*parametros_manuales!$M$30*parametros_manuales!$B$6=0,0,'Demanda puesto con sobrestock'!$P$202/(parametros_manuales!$M$30*I41*I69*parametros_manuales!$B$6))</f>
        <v>0.555353468959559</v>
      </c>
      <c r="J13" s="46" t="n">
        <f aca="false">IF(J41*J69*parametros_manuales!$M$30*parametros_manuales!$B$6=0,0,'Demanda puesto con sobrestock'!$P$229/(parametros_manuales!$M$30*J41*J69*parametros_manuales!$B$6))</f>
        <v>0.626646813598134</v>
      </c>
      <c r="K13" s="46" t="n">
        <f aca="false">IF(K41*K69*parametros_manuales!$M$30*parametros_manuales!$B$6=0,0,'Demanda puesto con sobrestock'!$P$256/(parametros_manuales!$M$30*K41*K69*parametros_manuales!$B$6))</f>
        <v>0.72404164008965</v>
      </c>
      <c r="L13" s="8" t="s">
        <v>81</v>
      </c>
      <c r="M13" s="53" t="s">
        <v>53</v>
      </c>
      <c r="N13" s="54" t="n">
        <f aca="false">parametros_manuales!$B$8</f>
        <v>0.9</v>
      </c>
    </row>
    <row r="14" customFormat="false" ht="14.25" hidden="false" customHeight="true" outlineLevel="0" collapsed="false">
      <c r="A14" s="8" t="str">
        <f aca="false">parametros_manuales!$B$31</f>
        <v>Control de calidad — Espesor</v>
      </c>
      <c r="B14" s="46" t="n">
        <f aca="false">IF(B42*B70*parametros_manuales!$M$31*parametros_manuales!$B$6=0,0,'Demanda puesto con sobrestock'!$P$14/(parametros_manuales!$M$31*B42*B70*parametros_manuales!$B$6))</f>
        <v>0.00274321590935867</v>
      </c>
      <c r="C14" s="46" t="n">
        <f aca="false">IF(C42*C70*parametros_manuales!$M$31*parametros_manuales!$B$6=0,0,'Demanda puesto con sobrestock'!$P$41/(parametros_manuales!$M$31*C42*C70*parametros_manuales!$B$6))</f>
        <v>0.00433376526422222</v>
      </c>
      <c r="D14" s="46" t="n">
        <f aca="false">IF(D42*D70*parametros_manuales!$M$31*parametros_manuales!$B$6=0,0,'Demanda puesto con sobrestock'!$P$68/(parametros_manuales!$M$31*D42*D70*parametros_manuales!$B$6))</f>
        <v>0.00915740220789333</v>
      </c>
      <c r="E14" s="46" t="n">
        <f aca="false">IF(E42*E70*parametros_manuales!$M$31*parametros_manuales!$B$6=0,0,'Demanda puesto con sobrestock'!$P$95/(parametros_manuales!$M$31*E42*E70*parametros_manuales!$B$6))</f>
        <v>0.0202580811453733</v>
      </c>
      <c r="F14" s="46" t="n">
        <f aca="false">IF(F42*F70*parametros_manuales!$M$31*parametros_manuales!$B$6=0,0,'Demanda puesto con sobrestock'!$P$122/(parametros_manuales!$M$31*F42*F70*parametros_manuales!$B$6))</f>
        <v>0.03528136221116</v>
      </c>
      <c r="G14" s="46" t="n">
        <f aca="false">IF(G42*G70*parametros_manuales!$M$31*parametros_manuales!$B$6=0,0,'Demanda puesto con sobrestock'!$P$149/(parametros_manuales!$M$31*G42*G70*parametros_manuales!$B$6))</f>
        <v>0.0495397559507111</v>
      </c>
      <c r="H14" s="46" t="n">
        <f aca="false">IF(H42*H70*parametros_manuales!$M$31*parametros_manuales!$B$6=0,0,'Demanda puesto con sobrestock'!$P$176/(parametros_manuales!$M$31*H42*H70*parametros_manuales!$B$6))</f>
        <v>0.0683086036676</v>
      </c>
      <c r="I14" s="46" t="n">
        <f aca="false">IF(I42*I70*parametros_manuales!$M$31*parametros_manuales!$B$6=0,0,'Demanda puesto con sobrestock'!$P$203/(parametros_manuales!$M$31*I42*I70*parametros_manuales!$B$6))</f>
        <v>0.0872768829440445</v>
      </c>
      <c r="J14" s="46" t="n">
        <f aca="false">IF(J42*J70*parametros_manuales!$M$31*parametros_manuales!$B$6=0,0,'Demanda puesto con sobrestock'!$P$230/(parametros_manuales!$M$31*J42*J70*parametros_manuales!$B$6))</f>
        <v>0.0984810281281334</v>
      </c>
      <c r="K14" s="46" t="n">
        <f aca="false">IF(K42*K70*parametros_manuales!$M$31*parametros_manuales!$B$6=0,0,'Demanda puesto con sobrestock'!$P$257/(parametros_manuales!$M$31*K42*K70*parametros_manuales!$B$6))</f>
        <v>0.113787166193644</v>
      </c>
      <c r="L14" s="8" t="s">
        <v>212</v>
      </c>
      <c r="M14" s="12" t="s">
        <v>218</v>
      </c>
    </row>
    <row r="15" customFormat="false" ht="14.25" hidden="false" customHeight="true" outlineLevel="0" collapsed="false">
      <c r="A15" s="8" t="str">
        <f aca="false">parametros_manuales!$B$32</f>
        <v>Prueba hidráulica</v>
      </c>
      <c r="B15" s="46" t="n">
        <f aca="false">IF(B43*B71*parametros_manuales!$M$32*parametros_manuales!$B$6=0,0,'Demanda puesto con sobrestock'!$P$15/(parametros_manuales!$M$32*B43*B71*parametros_manuales!$B$6))</f>
        <v>0.0698216719010973</v>
      </c>
      <c r="C15" s="46" t="n">
        <f aca="false">IF(C43*C71*parametros_manuales!$M$32*parametros_manuales!$B$6=0,0,'Demanda puesto con sobrestock'!$P$42/(parametros_manuales!$M$32*C43*C71*parametros_manuales!$B$6))</f>
        <v>0.110305111363122</v>
      </c>
      <c r="D15" s="46" t="n">
        <f aca="false">IF(D43*D71*parametros_manuales!$M$32*parametros_manuales!$B$6=0,0,'Demanda puesto con sobrestock'!$P$69/(parametros_manuales!$M$32*D43*D71*parametros_manuales!$B$6))</f>
        <v>0.233078676105882</v>
      </c>
      <c r="E15" s="46" t="n">
        <f aca="false">IF(E43*E71*parametros_manuales!$M$32*parametros_manuales!$B$6=0,0,'Demanda puesto con sobrestock'!$P$96/(parametros_manuales!$M$32*E43*E71*parametros_manuales!$B$6))</f>
        <v>0.515618581188801</v>
      </c>
      <c r="F15" s="59" t="n">
        <f aca="false">IF(F43*F71*parametros_manuales!$M$32*parametros_manuales!$B$6=0,0,'Demanda puesto con sobrestock'!$P$123/(parametros_manuales!$M$32*F43*F71*parametros_manuales!$B$6))</f>
        <v>0.897998472569118</v>
      </c>
      <c r="G15" s="47" t="n">
        <f aca="false">IF(G43*G71*parametros_manuales!$M$32*parametros_manuales!$B$6=0,0,'Demanda puesto con sobrestock'!$P$150/(parametros_manuales!$M$32*G43*G71*parametros_manuales!$B$6))</f>
        <v>0.630455038965498</v>
      </c>
      <c r="H15" s="59" t="n">
        <f aca="false">IF(H43*H71*parametros_manuales!$M$32*parametros_manuales!$B$6=0,0,'Demanda puesto con sobrestock'!$P$177/(parametros_manuales!$M$32*H43*H71*parametros_manuales!$B$6))</f>
        <v>0.869311981063914</v>
      </c>
      <c r="I15" s="47" t="n">
        <f aca="false">IF(I43*I71*parametros_manuales!$M$32*parametros_manuales!$B$6=0,0,'Demanda puesto con sobrestock'!$P$204/(parametros_manuales!$M$32*I43*I71*parametros_manuales!$B$6))</f>
        <v>0.555353468959559</v>
      </c>
      <c r="J15" s="46" t="n">
        <f aca="false">IF(J43*J71*parametros_manuales!$M$32*parametros_manuales!$B$6=0,0,'Demanda puesto con sobrestock'!$P$231/(parametros_manuales!$M$32*J43*J71*parametros_manuales!$B$6))</f>
        <v>0.626646813598134</v>
      </c>
      <c r="K15" s="46" t="n">
        <f aca="false">IF(K43*K71*parametros_manuales!$M$32*parametros_manuales!$B$6=0,0,'Demanda puesto con sobrestock'!$P$258/(parametros_manuales!$M$32*K43*K71*parametros_manuales!$B$6))</f>
        <v>0.72404164008965</v>
      </c>
      <c r="L15" s="8" t="s">
        <v>81</v>
      </c>
    </row>
    <row r="16" customFormat="false" ht="14.25" hidden="false" customHeight="true" outlineLevel="0" collapsed="false">
      <c r="A16" s="8" t="str">
        <f aca="false">parametros_manuales!$B$33</f>
        <v>Secado</v>
      </c>
      <c r="B16" s="46" t="n">
        <f aca="false">IF(B44*B72*parametros_manuales!$M$33*parametros_manuales!$B$6=0,0,'Demanda puesto con sobrestock'!$P$16/(parametros_manuales!$M$33*B44*B72*parametros_manuales!$B$6))</f>
        <v>0.137160795467933</v>
      </c>
      <c r="C16" s="46" t="n">
        <f aca="false">IF(C44*C72*parametros_manuales!$M$33*parametros_manuales!$B$6=0,0,'Demanda puesto con sobrestock'!$P$43/(parametros_manuales!$M$33*C44*C72*parametros_manuales!$B$6))</f>
        <v>0.216688263211111</v>
      </c>
      <c r="D16" s="46" t="n">
        <f aca="false">IF(D44*D72*parametros_manuales!$M$33*parametros_manuales!$B$6=0,0,'Demanda puesto con sobrestock'!$P$70/(parametros_manuales!$M$33*D44*D72*parametros_manuales!$B$6))</f>
        <v>0.457870110394667</v>
      </c>
      <c r="E16" s="47" t="n">
        <f aca="false">IF(E44*E72*parametros_manuales!$M$33*parametros_manuales!$B$6=0,0,'Demanda puesto con sobrestock'!$P$97/(parametros_manuales!$M$33*E44*E72*parametros_manuales!$B$6))</f>
        <v>0.506452028634333</v>
      </c>
      <c r="F16" s="59" t="n">
        <f aca="false">IF(F44*F72*parametros_manuales!$M$33*parametros_manuales!$B$6=0,0,'Demanda puesto con sobrestock'!$P$124/(parametros_manuales!$M$33*F44*F72*parametros_manuales!$B$6))</f>
        <v>0.882034055279</v>
      </c>
      <c r="G16" s="47" t="n">
        <f aca="false">IF(G44*G72*parametros_manuales!$M$33*parametros_manuales!$B$6=0,0,'Demanda puesto con sobrestock'!$P$151/(parametros_manuales!$M$33*G44*G72*parametros_manuales!$B$6))</f>
        <v>0.825662599178519</v>
      </c>
      <c r="H16" s="47" t="n">
        <f aca="false">IF(H44*H72*parametros_manuales!$M$33*parametros_manuales!$B$6=0,0,'Demanda puesto con sobrestock'!$P$178/(parametros_manuales!$M$33*H44*H72*parametros_manuales!$B$6))</f>
        <v>0.853857545845</v>
      </c>
      <c r="I16" s="47" t="n">
        <f aca="false">IF(I44*I72*parametros_manuales!$M$33*parametros_manuales!$B$6=0,0,'Demanda puesto con sobrestock'!$P$205/(parametros_manuales!$M$33*I44*I72*parametros_manuales!$B$6))</f>
        <v>0.545480518400278</v>
      </c>
      <c r="J16" s="46" t="n">
        <f aca="false">IF(J44*J72*parametros_manuales!$M$33*parametros_manuales!$B$6=0,0,'Demanda puesto con sobrestock'!$P$232/(parametros_manuales!$M$33*J44*J72*parametros_manuales!$B$6))</f>
        <v>0.615506425800833</v>
      </c>
      <c r="K16" s="46" t="n">
        <f aca="false">IF(K44*K72*parametros_manuales!$M$33*parametros_manuales!$B$6=0,0,'Demanda puesto con sobrestock'!$P$259/(parametros_manuales!$M$33*K44*K72*parametros_manuales!$B$6))</f>
        <v>0.711169788710278</v>
      </c>
      <c r="L16" s="8" t="s">
        <v>81</v>
      </c>
    </row>
    <row r="17" customFormat="false" ht="14.25" hidden="false" customHeight="true" outlineLevel="0" collapsed="false">
      <c r="A17" s="8" t="str">
        <f aca="false">parametros_manuales!$B$34</f>
        <v>Granallado</v>
      </c>
      <c r="B17" s="46" t="n">
        <f aca="false">IF(B45*B73*parametros_manuales!$M$34*parametros_manuales!$B$6=0,0,'Demanda puesto con sobrestock'!$P$17/(parametros_manuales!$M$34*B45*B73*parametros_manuales!$B$6))</f>
        <v>0.0342901988669833</v>
      </c>
      <c r="C17" s="46" t="n">
        <f aca="false">IF(C45*C73*parametros_manuales!$M$34*parametros_manuales!$B$6=0,0,'Demanda puesto con sobrestock'!$P$44/(parametros_manuales!$M$34*C45*C73*parametros_manuales!$B$6))</f>
        <v>0.0541720658027778</v>
      </c>
      <c r="D17" s="46" t="n">
        <f aca="false">IF(D45*D73*parametros_manuales!$M$34*parametros_manuales!$B$6=0,0,'Demanda puesto con sobrestock'!$P$71/(parametros_manuales!$M$34*D45*D73*parametros_manuales!$B$6))</f>
        <v>0.114467527598667</v>
      </c>
      <c r="E17" s="46" t="n">
        <f aca="false">IF(E45*E73*parametros_manuales!$M$34*parametros_manuales!$B$6=0,0,'Demanda puesto con sobrestock'!$P$98/(parametros_manuales!$M$34*E45*E73*parametros_manuales!$B$6))</f>
        <v>0.253226014317167</v>
      </c>
      <c r="F17" s="46" t="n">
        <f aca="false">IF(F45*F73*parametros_manuales!$M$34*parametros_manuales!$B$6=0,0,'Demanda puesto con sobrestock'!$P$125/(parametros_manuales!$M$34*F45*F73*parametros_manuales!$B$6))</f>
        <v>0.4410170276395</v>
      </c>
      <c r="G17" s="46" t="n">
        <f aca="false">IF(G45*G73*parametros_manuales!$M$34*parametros_manuales!$B$6=0,0,'Demanda puesto con sobrestock'!$P$152/(parametros_manuales!$M$34*G45*G73*parametros_manuales!$B$6))</f>
        <v>0.619246949383889</v>
      </c>
      <c r="H17" s="59" t="n">
        <f aca="false">IF(H45*H73*parametros_manuales!$M$34*parametros_manuales!$B$6=0,0,'Demanda puesto con sobrestock'!$P$179/(parametros_manuales!$M$34*H45*H73*parametros_manuales!$B$6))</f>
        <v>0.853857545845</v>
      </c>
      <c r="I17" s="47" t="n">
        <f aca="false">IF(I45*I73*parametros_manuales!$M$34*parametros_manuales!$B$6=0,0,'Demanda puesto con sobrestock'!$P$206/(parametros_manuales!$M$34*I45*I73*parametros_manuales!$B$6))</f>
        <v>0.545480518400278</v>
      </c>
      <c r="J17" s="46" t="n">
        <f aca="false">IF(J45*J73*parametros_manuales!$M$34*parametros_manuales!$B$6=0,0,'Demanda puesto con sobrestock'!$P$233/(parametros_manuales!$M$34*J45*J73*parametros_manuales!$B$6))</f>
        <v>0.615506425800833</v>
      </c>
      <c r="K17" s="46" t="n">
        <f aca="false">IF(K45*K73*parametros_manuales!$M$34*parametros_manuales!$B$6=0,0,'Demanda puesto con sobrestock'!$P$260/(parametros_manuales!$M$34*K45*K73*parametros_manuales!$B$6))</f>
        <v>0.711169788710278</v>
      </c>
      <c r="L17" s="8" t="s">
        <v>81</v>
      </c>
    </row>
    <row r="18" customFormat="false" ht="14.25" hidden="false" customHeight="true" outlineLevel="0" collapsed="false">
      <c r="A18" s="8" t="str">
        <f aca="false">parametros_manuales!$B$35</f>
        <v>Detección de defectos</v>
      </c>
      <c r="B18" s="46" t="n">
        <f aca="false">IF(B46*B74*parametros_manuales!$M$35*parametros_manuales!$B$6=0,0,'Demanda puesto con sobrestock'!$P$18/(parametros_manuales!$M$35*B46*B74*parametros_manuales!$B$6))</f>
        <v>0.0228601325779889</v>
      </c>
      <c r="C18" s="46" t="n">
        <f aca="false">IF(C46*C74*parametros_manuales!$M$35*parametros_manuales!$B$6=0,0,'Demanda puesto con sobrestock'!$P$45/(parametros_manuales!$M$35*C46*C74*parametros_manuales!$B$6))</f>
        <v>0.0361147105351852</v>
      </c>
      <c r="D18" s="46" t="n">
        <f aca="false">IF(D46*D74*parametros_manuales!$M$35*parametros_manuales!$B$6=0,0,'Demanda puesto con sobrestock'!$P$72/(parametros_manuales!$M$35*D46*D74*parametros_manuales!$B$6))</f>
        <v>0.0763116850657778</v>
      </c>
      <c r="E18" s="46" t="n">
        <f aca="false">IF(E46*E74*parametros_manuales!$M$35*parametros_manuales!$B$6=0,0,'Demanda puesto con sobrestock'!$P$99/(parametros_manuales!$M$35*E46*E74*parametros_manuales!$B$6))</f>
        <v>0.168817342878111</v>
      </c>
      <c r="F18" s="46" t="n">
        <f aca="false">IF(F46*F74*parametros_manuales!$M$35*parametros_manuales!$B$6=0,0,'Demanda puesto con sobrestock'!$P$126/(parametros_manuales!$M$35*F46*F74*parametros_manuales!$B$6))</f>
        <v>0.294011351759667</v>
      </c>
      <c r="G18" s="46" t="n">
        <f aca="false">IF(G46*G74*parametros_manuales!$M$35*parametros_manuales!$B$6=0,0,'Demanda puesto con sobrestock'!$P$153/(parametros_manuales!$M$35*G46*G74*parametros_manuales!$B$6))</f>
        <v>0.412831299589259</v>
      </c>
      <c r="H18" s="46" t="n">
        <f aca="false">IF(H46*H74*parametros_manuales!$M$35*parametros_manuales!$B$6=0,0,'Demanda puesto con sobrestock'!$P$180/(parametros_manuales!$M$35*H46*H74*parametros_manuales!$B$6))</f>
        <v>0.569238363896667</v>
      </c>
      <c r="I18" s="47" t="n">
        <f aca="false">IF(I46*I74*parametros_manuales!$M$35*parametros_manuales!$B$6=0,0,'Demanda puesto con sobrestock'!$P$207/(parametros_manuales!$M$35*I46*I74*parametros_manuales!$B$6))</f>
        <v>0.363653678933519</v>
      </c>
      <c r="J18" s="46" t="n">
        <f aca="false">IF(J46*J74*parametros_manuales!$M$35*parametros_manuales!$B$6=0,0,'Demanda puesto con sobrestock'!$P$234/(parametros_manuales!$M$35*J46*J74*parametros_manuales!$B$6))</f>
        <v>0.410337617200556</v>
      </c>
      <c r="K18" s="46" t="n">
        <f aca="false">IF(K46*K74*parametros_manuales!$M$35*parametros_manuales!$B$6=0,0,'Demanda puesto con sobrestock'!$P$261/(parametros_manuales!$M$35*K46*K74*parametros_manuales!$B$6))</f>
        <v>0.474113192473519</v>
      </c>
      <c r="L18" s="8" t="s">
        <v>212</v>
      </c>
    </row>
    <row r="19" customFormat="false" ht="14.25" hidden="false" customHeight="true" outlineLevel="0" collapsed="false">
      <c r="A19" s="8" t="str">
        <f aca="false">parametros_manuales!$B$36</f>
        <v>Corrección de defectos</v>
      </c>
      <c r="B19" s="46" t="n">
        <f aca="false">IF(B47*B75*parametros_manuales!$M$36*parametros_manuales!$B$6=0,0,'Demanda puesto con sobrestock'!$P$19/(parametros_manuales!$M$36*B47*B75*parametros_manuales!$B$6))</f>
        <v>0.010287059660095</v>
      </c>
      <c r="C19" s="46" t="n">
        <f aca="false">IF(C47*C75*parametros_manuales!$M$36*parametros_manuales!$B$6=0,0,'Demanda puesto con sobrestock'!$P$46/(parametros_manuales!$M$36*C47*C75*parametros_manuales!$B$6))</f>
        <v>0.0162516197408333</v>
      </c>
      <c r="D19" s="46" t="n">
        <f aca="false">IF(D47*D75*parametros_manuales!$M$36*parametros_manuales!$B$6=0,0,'Demanda puesto con sobrestock'!$P$73/(parametros_manuales!$M$36*D47*D75*parametros_manuales!$B$6))</f>
        <v>0.0343402582796</v>
      </c>
      <c r="E19" s="46" t="n">
        <f aca="false">IF(E47*E75*parametros_manuales!$M$36*parametros_manuales!$B$6=0,0,'Demanda puesto con sobrestock'!$P$100/(parametros_manuales!$M$36*E47*E75*parametros_manuales!$B$6))</f>
        <v>0.07596780429515</v>
      </c>
      <c r="F19" s="46" t="n">
        <f aca="false">IF(F47*F75*parametros_manuales!$M$36*parametros_manuales!$B$6=0,0,'Demanda puesto con sobrestock'!$P$127/(parametros_manuales!$M$36*F47*F75*parametros_manuales!$B$6))</f>
        <v>0.13230510829185</v>
      </c>
      <c r="G19" s="46" t="n">
        <f aca="false">IF(G47*G75*parametros_manuales!$M$36*parametros_manuales!$B$6=0,0,'Demanda puesto con sobrestock'!$P$154/(parametros_manuales!$M$36*G47*G75*parametros_manuales!$B$6))</f>
        <v>0.185774084815167</v>
      </c>
      <c r="H19" s="46" t="n">
        <f aca="false">IF(H47*H75*parametros_manuales!$M$36*parametros_manuales!$B$6=0,0,'Demanda puesto con sobrestock'!$P$181/(parametros_manuales!$M$36*H47*H75*parametros_manuales!$B$6))</f>
        <v>0.2561572637535</v>
      </c>
      <c r="I19" s="46" t="n">
        <f aca="false">IF(I47*I75*parametros_manuales!$M$36*parametros_manuales!$B$6=0,0,'Demanda puesto con sobrestock'!$P$208/(parametros_manuales!$M$36*I47*I75*parametros_manuales!$B$6))</f>
        <v>0.327288311040167</v>
      </c>
      <c r="J19" s="46" t="n">
        <f aca="false">IF(J47*J75*parametros_manuales!$M$36*parametros_manuales!$B$6=0,0,'Demanda puesto con sobrestock'!$P$235/(parametros_manuales!$M$36*J47*J75*parametros_manuales!$B$6))</f>
        <v>0.3693038554805</v>
      </c>
      <c r="K19" s="46" t="n">
        <f aca="false">IF(K47*K75*parametros_manuales!$M$36*parametros_manuales!$B$6=0,0,'Demanda puesto con sobrestock'!$P$262/(parametros_manuales!$M$36*K47*K75*parametros_manuales!$B$6))</f>
        <v>0.426701873226167</v>
      </c>
      <c r="L19" s="8" t="s">
        <v>212</v>
      </c>
    </row>
    <row r="20" customFormat="false" ht="14.25" hidden="false" customHeight="true" outlineLevel="0" collapsed="false">
      <c r="A20" s="8" t="str">
        <f aca="false">parametros_manuales!$B$37</f>
        <v>Pintura en polvo + horno</v>
      </c>
      <c r="B20" s="59" t="n">
        <f aca="false">IF(B48*B76*parametros_manuales!$M$37*parametros_manuales!$B$6=0,0,'Demanda puesto con sobrestock'!$P$20/(parametros_manuales!$M$37*B48*B76*parametros_manuales!$B$6))</f>
        <v>0.0301850342138938</v>
      </c>
      <c r="C20" s="59" t="n">
        <f aca="false">IF(C48*C76*parametros_manuales!$M$37*parametros_manuales!$B$6=0,0,'Demanda puesto con sobrestock'!$P$47/(parametros_manuales!$M$37*C48*C76*parametros_manuales!$B$6))</f>
        <v>0.0476866776432903</v>
      </c>
      <c r="D20" s="59" t="n">
        <f aca="false">IF(D48*D76*parametros_manuales!$M$37*parametros_manuales!$B$6=0,0,'Demanda puesto con sobrestock'!$P$74/(parametros_manuales!$M$37*D48*D76*parametros_manuales!$B$6))</f>
        <v>0.100763668660798</v>
      </c>
      <c r="E20" s="59" t="n">
        <f aca="false">IF(E48*E76*parametros_manuales!$M$37*parametros_manuales!$B$6=0,0,'Demanda puesto con sobrestock'!$P$101/(parametros_manuales!$M$37*E48*E76*parametros_manuales!$B$6))</f>
        <v>0.222910223870745</v>
      </c>
      <c r="F20" s="46" t="n">
        <f aca="false">IF(F48*F76*parametros_manuales!$M$37*parametros_manuales!$B$6=0,0,'Demanda puesto con sobrestock'!$P$128/(parametros_manuales!$M$37*F48*F76*parametros_manuales!$B$6))</f>
        <v>0.388219214471391</v>
      </c>
      <c r="G20" s="46" t="n">
        <f aca="false">IF(G48*G76*parametros_manuales!$M$37*parametros_manuales!$B$6=0,0,'Demanda puesto con sobrestock'!$P$155/(parametros_manuales!$M$37*G48*G76*parametros_manuales!$B$6))</f>
        <v>0.545111751218212</v>
      </c>
      <c r="H20" s="59" t="n">
        <f aca="false">IF(H48*H76*parametros_manuales!$M$37*parametros_manuales!$B$6=0,0,'Demanda puesto con sobrestock'!$P$182/(parametros_manuales!$M$37*H48*H76*parametros_manuales!$B$6))</f>
        <v>0.751635163595951</v>
      </c>
      <c r="I20" s="47" t="n">
        <f aca="false">IF(I48*I76*parametros_manuales!$M$37*parametros_manuales!$B$6=0,0,'Demanda puesto con sobrestock'!$P$209/(parametros_manuales!$M$37*I48*I76*parametros_manuales!$B$6))</f>
        <v>0.480176512676301</v>
      </c>
      <c r="J20" s="46" t="n">
        <f aca="false">IF(J48*J76*parametros_manuales!$M$37*parametros_manuales!$B$6=0,0,'Demanda puesto con sobrestock'!$P$236/(parametros_manuales!$M$37*J48*J76*parametros_manuales!$B$6))</f>
        <v>0.541819036796508</v>
      </c>
      <c r="K20" s="46" t="n">
        <f aca="false">IF(K48*K76*parametros_manuales!$M$37*parametros_manuales!$B$6=0,0,'Demanda puesto con sobrestock'!$P$263/(parametros_manuales!$M$37*K48*K76*parametros_manuales!$B$6))</f>
        <v>0.626029743582991</v>
      </c>
      <c r="L20" s="8" t="s">
        <v>81</v>
      </c>
    </row>
    <row r="21" customFormat="false" ht="14.25" hidden="false" customHeight="true" outlineLevel="0" collapsed="false">
      <c r="A21" s="8" t="str">
        <f aca="false">parametros_manuales!$B$38</f>
        <v>Carga de polvo</v>
      </c>
      <c r="B21" s="46" t="n">
        <f aca="false">IF(B49*B77*parametros_manuales!$M$38*parametros_manuales!$B$6=0,0,'Demanda puesto con sobrestock'!$P$21/(parametros_manuales!$M$38*B49*B77*parametros_manuales!$B$6))</f>
        <v>0.0512611316338083</v>
      </c>
      <c r="C21" s="46" t="n">
        <f aca="false">IF(C49*C77*parametros_manuales!$M$38*parametros_manuales!$B$6=0,0,'Demanda puesto con sobrestock'!$P$48/(parametros_manuales!$M$38*C49*C77*parametros_manuales!$B$6))</f>
        <v>0.0807399987041667</v>
      </c>
      <c r="D21" s="46" t="n">
        <f aca="false">IF(D49*D77*parametros_manuales!$M$38*parametros_manuales!$B$6=0,0,'Demanda puesto con sobrestock'!$P$75/(parametros_manuales!$M$38*D49*D77*parametros_manuales!$B$6))</f>
        <v>0.0993380247313334</v>
      </c>
      <c r="E21" s="46" t="n">
        <f aca="false">IF(E49*E77*parametros_manuales!$M$38*parametros_manuales!$B$6=0,0,'Demanda puesto con sobrestock'!$P$102/(parametros_manuales!$M$38*E49*E77*parametros_manuales!$B$6))</f>
        <v>0.129356754809083</v>
      </c>
      <c r="F21" s="46" t="n">
        <f aca="false">IF(F49*F77*parametros_manuales!$M$38*parametros_manuales!$B$6=0,0,'Demanda puesto con sobrestock'!$P$129/(parametros_manuales!$M$38*F49*F77*parametros_manuales!$B$6))</f>
        <v>0.198872174792583</v>
      </c>
      <c r="G21" s="46" t="n">
        <f aca="false">IF(G49*G77*parametros_manuales!$M$38*parametros_manuales!$B$6=0,0,'Demanda puesto con sobrestock'!$P$156/(parametros_manuales!$M$38*G49*G77*parametros_manuales!$B$6))</f>
        <v>0.2584923907425</v>
      </c>
      <c r="H21" s="46" t="n">
        <f aca="false">IF(H49*H77*parametros_manuales!$M$38*parametros_manuales!$B$6=0,0,'Demanda puesto con sobrestock'!$P$183/(parametros_manuales!$M$38*H49*H77*parametros_manuales!$B$6))</f>
        <v>0.334006452100833</v>
      </c>
      <c r="I21" s="46" t="n">
        <f aca="false">IF(I49*I77*parametros_manuales!$M$38*parametros_manuales!$B$6=0,0,'Demanda puesto con sobrestock'!$P$210/(parametros_manuales!$M$38*I49*I77*parametros_manuales!$B$6))</f>
        <v>0.413118688534167</v>
      </c>
      <c r="J21" s="46" t="n">
        <f aca="false">IF(J49*J77*parametros_manuales!$M$38*parametros_manuales!$B$6=0,0,'Demanda puesto con sobrestock'!$P$237/(parametros_manuales!$M$38*J49*J77*parametros_manuales!$B$6))</f>
        <v>0.475688310735833</v>
      </c>
      <c r="K21" s="46" t="n">
        <f aca="false">IF(K49*K77*parametros_manuales!$M$38*parametros_manuales!$B$6=0,0,'Demanda puesto con sobrestock'!$P$264/(parametros_manuales!$M$38*K49*K77*parametros_manuales!$B$6))</f>
        <v>0.541264999464167</v>
      </c>
      <c r="L21" s="8" t="s">
        <v>81</v>
      </c>
    </row>
    <row r="22" customFormat="false" ht="14.25" hidden="false" customHeight="true" outlineLevel="0" collapsed="false">
      <c r="A22" s="8" t="str">
        <f aca="false">parametros_manuales!$B$39</f>
        <v>Ensamblaje</v>
      </c>
      <c r="B22" s="46" t="n">
        <f aca="false">IF(B50*B78*parametros_manuales!$M$39*parametros_manuales!$B$6=0,0,'Demanda puesto con sobrestock'!$P$22/(parametros_manuales!$M$39*B50*B78*parametros_manuales!$B$6))</f>
        <v>0.115975410936218</v>
      </c>
      <c r="C22" s="46" t="n">
        <f aca="false">IF(C50*C78*parametros_manuales!$M$39*parametros_manuales!$B$6=0,0,'Demanda puesto con sobrestock'!$P$49/(parametros_manuales!$M$39*C50*C78*parametros_manuales!$B$6))</f>
        <v>0.182669680326169</v>
      </c>
      <c r="D22" s="46" t="n">
        <f aca="false">IF(D50*D78*parametros_manuales!$M$39*parametros_manuales!$B$6=0,0,'Demanda puesto con sobrestock'!$P$76/(parametros_manuales!$M$39*D50*D78*parametros_manuales!$B$6))</f>
        <v>0.224746662288085</v>
      </c>
      <c r="E22" s="46" t="n">
        <f aca="false">IF(E50*E78*parametros_manuales!$M$39*parametros_manuales!$B$6=0,0,'Demanda puesto con sobrestock'!$P$103/(parametros_manuales!$M$39*E50*E78*parametros_manuales!$B$6))</f>
        <v>0.292662341197021</v>
      </c>
      <c r="F22" s="46" t="n">
        <f aca="false">IF(F50*F78*parametros_manuales!$M$39*parametros_manuales!$B$6=0,0,'Demanda puesto con sobrestock'!$P$130/(parametros_manuales!$M$39*F50*F78*parametros_manuales!$B$6))</f>
        <v>0.449937047042044</v>
      </c>
      <c r="G22" s="46" t="n">
        <f aca="false">IF(G50*G78*parametros_manuales!$M$39*parametros_manuales!$B$6=0,0,'Demanda puesto con sobrestock'!$P$157/(parametros_manuales!$M$39*G50*G78*parametros_manuales!$B$6))</f>
        <v>0.58482441344457</v>
      </c>
      <c r="H22" s="59" t="n">
        <f aca="false">IF(H50*H78*parametros_manuales!$M$39*parametros_manuales!$B$6=0,0,'Demanda puesto con sobrestock'!$P$184/(parametros_manuales!$M$39*H50*H78*parametros_manuales!$B$6))</f>
        <v>0.755670706110483</v>
      </c>
      <c r="I22" s="47" t="n">
        <f aca="false">IF(I50*I78*parametros_manuales!$M$39*parametros_manuales!$B$6=0,0,'Demanda puesto con sobrestock'!$P$211/(parametros_manuales!$M$39*I50*I78*parametros_manuales!$B$6))</f>
        <v>0.467328833183447</v>
      </c>
      <c r="J22" s="46" t="n">
        <f aca="false">IF(J50*J78*parametros_manuales!$M$39*parametros_manuales!$B$6=0,0,'Demanda puesto con sobrestock'!$P$238/(parametros_manuales!$M$39*J50*J78*parametros_manuales!$B$6))</f>
        <v>0.538108948796192</v>
      </c>
      <c r="K22" s="46" t="n">
        <f aca="false">IF(K50*K78*parametros_manuales!$M$39*parametros_manuales!$B$6=0,0,'Demanda puesto con sobrestock'!$P$265/(parametros_manuales!$M$39*K50*K78*parametros_manuales!$B$6))</f>
        <v>0.612290723375754</v>
      </c>
      <c r="L22" s="8" t="s">
        <v>212</v>
      </c>
    </row>
    <row r="23" customFormat="false" ht="14.25" hidden="false" customHeight="true" outlineLevel="0" collapsed="false">
      <c r="A23" s="8" t="str">
        <f aca="false">parametros_manuales!$B$40</f>
        <v>Presurización</v>
      </c>
      <c r="B23" s="46" t="n">
        <f aca="false">IF(B51*B79*parametros_manuales!$M$40*parametros_manuales!$B$6=0,0,'Demanda puesto con sobrestock'!$P$23/(parametros_manuales!$M$40*B51*B79*parametros_manuales!$B$6))</f>
        <v>0.0341740877558722</v>
      </c>
      <c r="C23" s="46" t="n">
        <f aca="false">IF(C51*C79*parametros_manuales!$M$40*parametros_manuales!$B$6=0,0,'Demanda puesto con sobrestock'!$P$50/(parametros_manuales!$M$40*C51*C79*parametros_manuales!$B$6))</f>
        <v>0.0538266658027778</v>
      </c>
      <c r="D23" s="46" t="n">
        <f aca="false">IF(D51*D79*parametros_manuales!$M$40*parametros_manuales!$B$6=0,0,'Demanda puesto con sobrestock'!$P$77/(parametros_manuales!$M$40*D51*D79*parametros_manuales!$B$6))</f>
        <v>0.0662253498208889</v>
      </c>
      <c r="E23" s="46" t="n">
        <f aca="false">IF(E51*E79*parametros_manuales!$M$40*parametros_manuales!$B$6=0,0,'Demanda puesto con sobrestock'!$P$104/(parametros_manuales!$M$40*E51*E79*parametros_manuales!$B$6))</f>
        <v>0.0862378365393889</v>
      </c>
      <c r="F23" s="46" t="n">
        <f aca="false">IF(F51*F79*parametros_manuales!$M$40*parametros_manuales!$B$6=0,0,'Demanda puesto con sobrestock'!$P$131/(parametros_manuales!$M$40*F51*F79*parametros_manuales!$B$6))</f>
        <v>0.132581449861722</v>
      </c>
      <c r="G23" s="46" t="n">
        <f aca="false">IF(G51*G79*parametros_manuales!$M$40*parametros_manuales!$B$6=0,0,'Demanda puesto con sobrestock'!$P$158/(parametros_manuales!$M$40*G51*G79*parametros_manuales!$B$6))</f>
        <v>0.172328260495</v>
      </c>
      <c r="H23" s="46" t="n">
        <f aca="false">IF(H51*H79*parametros_manuales!$M$40*parametros_manuales!$B$6=0,0,'Demanda puesto con sobrestock'!$P$185/(parametros_manuales!$M$40*H51*H79*parametros_manuales!$B$6))</f>
        <v>0.222670968067222</v>
      </c>
      <c r="I23" s="46" t="n">
        <f aca="false">IF(I51*I79*parametros_manuales!$M$40*parametros_manuales!$B$6=0,0,'Demanda puesto con sobrestock'!$P$212/(parametros_manuales!$M$40*I51*I79*parametros_manuales!$B$6))</f>
        <v>0.275412459022778</v>
      </c>
      <c r="J23" s="46" t="n">
        <f aca="false">IF(J51*J79*parametros_manuales!$M$40*parametros_manuales!$B$6=0,0,'Demanda puesto con sobrestock'!$P$239/(parametros_manuales!$M$40*J51*J79*parametros_manuales!$B$6))</f>
        <v>0.317125540490556</v>
      </c>
      <c r="K23" s="46" t="n">
        <f aca="false">IF(K51*K79*parametros_manuales!$M$40*parametros_manuales!$B$6=0,0,'Demanda puesto con sobrestock'!$P$266/(parametros_manuales!$M$40*K51*K79*parametros_manuales!$B$6))</f>
        <v>0.360843332976111</v>
      </c>
      <c r="L23" s="8" t="s">
        <v>81</v>
      </c>
    </row>
    <row r="24" customFormat="false" ht="14.25" hidden="false" customHeight="true" outlineLevel="0" collapsed="false">
      <c r="A24" s="8" t="str">
        <f aca="false">parametros_manuales!$B$41</f>
        <v>Control de calidad — Ensayo de pérdidas</v>
      </c>
      <c r="B24" s="46" t="n">
        <f aca="false">IF(B52*B80*parametros_manuales!$M$41*parametros_manuales!$B$6=0,0,'Demanda puesto con sobrestock'!$P$24/(parametros_manuales!$M$41*B52*B80*parametros_manuales!$B$6))</f>
        <v>0.0626524942190991</v>
      </c>
      <c r="C24" s="46" t="n">
        <f aca="false">IF(C52*C80*parametros_manuales!$M$41*parametros_manuales!$B$6=0,0,'Demanda puesto con sobrestock'!$P$51/(parametros_manuales!$M$41*C52*C80*parametros_manuales!$B$6))</f>
        <v>0.0986822206384259</v>
      </c>
      <c r="D24" s="46" t="n">
        <f aca="false">IF(D52*D80*parametros_manuales!$M$41*parametros_manuales!$B$6=0,0,'Demanda puesto con sobrestock'!$P$78/(parametros_manuales!$M$41*D52*D80*parametros_manuales!$B$6))</f>
        <v>0.121413141338296</v>
      </c>
      <c r="E24" s="46" t="n">
        <f aca="false">IF(E52*E80*parametros_manuales!$M$41*parametros_manuales!$B$6=0,0,'Demanda puesto con sobrestock'!$P$105/(parametros_manuales!$M$41*E52*E80*parametros_manuales!$B$6))</f>
        <v>0.158102700322213</v>
      </c>
      <c r="F24" s="46" t="n">
        <f aca="false">IF(F52*F80*parametros_manuales!$M$41*parametros_manuales!$B$6=0,0,'Demanda puesto con sobrestock'!$P$132/(parametros_manuales!$M$41*F52*F80*parametros_manuales!$B$6))</f>
        <v>0.243065991413157</v>
      </c>
      <c r="G24" s="46" t="n">
        <f aca="false">IF(G52*G80*parametros_manuales!$M$41*parametros_manuales!$B$6=0,0,'Demanda puesto con sobrestock'!$P$159/(parametros_manuales!$M$41*G52*G80*parametros_manuales!$B$6))</f>
        <v>0.315935144240833</v>
      </c>
      <c r="H24" s="46" t="n">
        <f aca="false">IF(H52*H80*parametros_manuales!$M$41*parametros_manuales!$B$6=0,0,'Demanda puesto con sobrestock'!$P$186/(parametros_manuales!$M$41*H52*H80*parametros_manuales!$B$6))</f>
        <v>0.408230108123241</v>
      </c>
      <c r="I24" s="46" t="n">
        <f aca="false">IF(I52*I80*parametros_manuales!$M$41*parametros_manuales!$B$6=0,0,'Demanda puesto con sobrestock'!$P$213/(parametros_manuales!$M$41*I52*I80*parametros_manuales!$B$6))</f>
        <v>0.504922841541759</v>
      </c>
      <c r="J24" s="59" t="n">
        <f aca="false">IF(J52*J80*parametros_manuales!$M$41*parametros_manuales!$B$6=0,0,'Demanda puesto con sobrestock'!$P$240/(parametros_manuales!$M$41*J52*J80*parametros_manuales!$B$6))</f>
        <v>0.581396824232685</v>
      </c>
      <c r="K24" s="46" t="n">
        <f aca="false">IF(K52*K80*parametros_manuales!$M$41*parametros_manuales!$B$6=0,0,'Demanda puesto con sobrestock'!$P$267/(parametros_manuales!$M$41*K52*K80*parametros_manuales!$B$6))</f>
        <v>0.661546110456204</v>
      </c>
      <c r="L24" s="8" t="s">
        <v>81</v>
      </c>
    </row>
    <row r="25" customFormat="false" ht="14.25" hidden="false" customHeight="true" outlineLevel="0" collapsed="false">
      <c r="A25" s="8" t="str">
        <f aca="false">parametros_manuales!$B$42</f>
        <v>Etiquetado</v>
      </c>
      <c r="B25" s="46" t="n">
        <f aca="false">IF(B53*B81*parametros_manuales!$M$42*parametros_manuales!$B$6=0,0,'Demanda puesto con sobrestock'!$P$25/(parametros_manuales!$M$42*B53*B81*parametros_manuales!$B$6))</f>
        <v>0.0683481755117445</v>
      </c>
      <c r="C25" s="46" t="n">
        <f aca="false">IF(C53*C81*parametros_manuales!$M$42*parametros_manuales!$B$6=0,0,'Demanda puesto con sobrestock'!$P$52/(parametros_manuales!$M$42*C53*C81*parametros_manuales!$B$6))</f>
        <v>0.107653331605556</v>
      </c>
      <c r="D25" s="46" t="n">
        <f aca="false">IF(D53*D81*parametros_manuales!$M$42*parametros_manuales!$B$6=0,0,'Demanda puesto con sobrestock'!$P$79/(parametros_manuales!$M$42*D53*D81*parametros_manuales!$B$6))</f>
        <v>0.132450699641778</v>
      </c>
      <c r="E25" s="46" t="n">
        <f aca="false">IF(E53*E81*parametros_manuales!$M$42*parametros_manuales!$B$6=0,0,'Demanda puesto con sobrestock'!$P$106/(parametros_manuales!$M$42*E53*E81*parametros_manuales!$B$6))</f>
        <v>0.172475673078778</v>
      </c>
      <c r="F25" s="46" t="n">
        <f aca="false">IF(F53*F81*parametros_manuales!$M$42*parametros_manuales!$B$6=0,0,'Demanda puesto con sobrestock'!$P$133/(parametros_manuales!$M$42*F53*F81*parametros_manuales!$B$6))</f>
        <v>0.265162899723445</v>
      </c>
      <c r="G25" s="46" t="n">
        <f aca="false">IF(G53*G81*parametros_manuales!$M$42*parametros_manuales!$B$6=0,0,'Demanda puesto con sobrestock'!$P$160/(parametros_manuales!$M$42*G53*G81*parametros_manuales!$B$6))</f>
        <v>0.34465652099</v>
      </c>
      <c r="H25" s="46" t="n">
        <f aca="false">IF(H53*H81*parametros_manuales!$M$42*parametros_manuales!$B$6=0,0,'Demanda puesto con sobrestock'!$P$187/(parametros_manuales!$M$42*H53*H81*parametros_manuales!$B$6))</f>
        <v>0.445341936134445</v>
      </c>
      <c r="I25" s="46" t="n">
        <f aca="false">IF(I53*I81*parametros_manuales!$M$42*parametros_manuales!$B$6=0,0,'Demanda puesto con sobrestock'!$P$214/(parametros_manuales!$M$42*I53*I81*parametros_manuales!$B$6))</f>
        <v>0.550824918045556</v>
      </c>
      <c r="J25" s="46" t="n">
        <f aca="false">IF(J53*J81*parametros_manuales!$M$42*parametros_manuales!$B$6=0,0,'Demanda puesto con sobrestock'!$P$241/(parametros_manuales!$M$42*J53*J81*parametros_manuales!$B$6))</f>
        <v>0.634251080981111</v>
      </c>
      <c r="K25" s="46" t="n">
        <f aca="false">IF(K53*K81*parametros_manuales!$M$42*parametros_manuales!$B$6=0,0,'Demanda puesto con sobrestock'!$P$268/(parametros_manuales!$M$42*K53*K81*parametros_manuales!$B$6))</f>
        <v>0.721686665952222</v>
      </c>
      <c r="L25" s="8" t="s">
        <v>81</v>
      </c>
    </row>
    <row r="26" customFormat="false" ht="14.25" hidden="false" customHeight="true" outlineLevel="0" collapsed="false">
      <c r="A26" s="8" t="str">
        <f aca="false">parametros_manuales!$B$43</f>
        <v>Embalaje y paletizado</v>
      </c>
      <c r="B26" s="46" t="n">
        <f aca="false">IF(B54*B82*parametros_manuales!$M$43*parametros_manuales!$B$6=0,0,'Demanda puesto con sobrestock'!$P$26/(parametros_manuales!$M$43*B54*B82*parametros_manuales!$B$6))</f>
        <v>0.0518966014242461</v>
      </c>
      <c r="C26" s="46" t="n">
        <f aca="false">IF(C54*C82*parametros_manuales!$M$43*parametros_manuales!$B$6=0,0,'Demanda puesto con sobrestock'!$P$53/(parametros_manuales!$M$43*C54*C82*parametros_manuales!$B$6))</f>
        <v>0.0819868708898543</v>
      </c>
      <c r="D26" s="46" t="n">
        <f aca="false">IF(D54*D82*parametros_manuales!$M$43*parametros_manuales!$B$6=0,0,'Demanda puesto con sobrestock'!$P$80/(parametros_manuales!$M$43*D54*D82*parametros_manuales!$B$6))</f>
        <v>0.173241213293946</v>
      </c>
      <c r="E26" s="46" t="n">
        <f aca="false">IF(E54*E82*parametros_manuales!$M$43*parametros_manuales!$B$6=0,0,'Demanda puesto con sobrestock'!$P$107/(parametros_manuales!$M$43*E54*E82*parametros_manuales!$B$6))</f>
        <v>0.383245649471048</v>
      </c>
      <c r="F26" s="46" t="n">
        <f aca="false">IF(F54*F82*parametros_manuales!$M$43*parametros_manuales!$B$6=0,0,'Demanda puesto con sobrestock'!$P$134/(parametros_manuales!$M$43*F54*F82*parametros_manuales!$B$6))</f>
        <v>0.667458505956643</v>
      </c>
      <c r="G26" s="59" t="n">
        <f aca="false">IF(G54*G82*parametros_manuales!$M$43*parametros_manuales!$B$6=0,0,'Demanda puesto con sobrestock'!$P$161/(parametros_manuales!$M$43*G54*G82*parametros_manuales!$B$6))</f>
        <v>0.468600550262472</v>
      </c>
      <c r="H26" s="47" t="n">
        <f aca="false">IF(H54*H82*parametros_manuales!$M$43*parametros_manuales!$B$6=0,0,'Demanda puesto con sobrestock'!$P$188/(parametros_manuales!$M$43*H54*H82*parametros_manuales!$B$6))</f>
        <v>0.646136595790779</v>
      </c>
      <c r="I26" s="47" t="n">
        <f aca="false">IF(I54*I82*parametros_manuales!$M$43*parametros_manuales!$B$6=0,0,'Demanda puesto con sobrestock'!$P$215/(parametros_manuales!$M$43*I54*I82*parametros_manuales!$B$6))</f>
        <v>0.412779540269269</v>
      </c>
      <c r="J26" s="46" t="n">
        <f aca="false">IF(J54*J82*parametros_manuales!$M$43*parametros_manuales!$B$6=0,0,'Demanda puesto con sobrestock'!$P$242/(parametros_manuales!$M$43*J54*J82*parametros_manuales!$B$6))</f>
        <v>0.465769997102649</v>
      </c>
      <c r="K26" s="46" t="n">
        <f aca="false">IF(K54*K82*parametros_manuales!$M$43*parametros_manuales!$B$6=0,0,'Demanda puesto con sobrestock'!$P$269/(parametros_manuales!$M$43*K54*K82*parametros_manuales!$B$6))</f>
        <v>0.538160994819997</v>
      </c>
      <c r="L26" s="8" t="s">
        <v>212</v>
      </c>
    </row>
    <row r="27" customFormat="false" ht="14.25" hidden="false" customHeight="true" outlineLevel="0" collapsed="false">
      <c r="A27" s="10" t="s">
        <v>219</v>
      </c>
      <c r="B27" s="61" t="n">
        <f aca="false">MAX(B2:B26)</f>
        <v>0.137160795467933</v>
      </c>
      <c r="C27" s="61" t="n">
        <f aca="false">MAX(C2:C26)</f>
        <v>0.216688263211111</v>
      </c>
      <c r="D27" s="61" t="n">
        <f aca="false">MAX(D2:D26)</f>
        <v>0.457870110394667</v>
      </c>
      <c r="E27" s="61" t="n">
        <f aca="false">MAX(E2:E26)</f>
        <v>0.515618581188801</v>
      </c>
      <c r="F27" s="61" t="n">
        <f aca="false">MAX(F2:F26)</f>
        <v>0.897998472569118</v>
      </c>
      <c r="G27" s="61" t="n">
        <f aca="false">MAX(G2:G26)</f>
        <v>0.825662599178519</v>
      </c>
      <c r="H27" s="61" t="n">
        <f aca="false">MAX(H2:H26)</f>
        <v>0.869311981063914</v>
      </c>
      <c r="I27" s="61" t="n">
        <f aca="false">MAX(I2:I26)</f>
        <v>0.855655715137691</v>
      </c>
      <c r="J27" s="61" t="n">
        <f aca="false">MAX(J2:J26)</f>
        <v>0.68776055158263</v>
      </c>
      <c r="K27" s="61" t="n">
        <f aca="false">MAX(K2:K26)</f>
        <v>0.794969322696181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58" t="s">
        <v>220</v>
      </c>
      <c r="B29" s="58" t="n">
        <v>2026</v>
      </c>
      <c r="C29" s="58" t="n">
        <v>2027</v>
      </c>
      <c r="D29" s="58" t="n">
        <v>2028</v>
      </c>
      <c r="E29" s="58" t="n">
        <v>2029</v>
      </c>
      <c r="F29" s="58" t="n">
        <v>2030</v>
      </c>
      <c r="G29" s="58" t="n">
        <v>2031</v>
      </c>
      <c r="H29" s="58" t="n">
        <v>2032</v>
      </c>
      <c r="I29" s="58" t="n">
        <v>2033</v>
      </c>
      <c r="J29" s="58" t="n">
        <v>2034</v>
      </c>
      <c r="K29" s="58" t="n">
        <v>2035</v>
      </c>
    </row>
    <row r="30" customFormat="false" ht="14.25" hidden="false" customHeight="true" outlineLevel="0" collapsed="false">
      <c r="A30" s="8" t="str">
        <f aca="false">parametros_manuales!$B$19</f>
        <v>Recepción de materia prima</v>
      </c>
      <c r="B30" s="41" t="n">
        <v>1</v>
      </c>
      <c r="C30" s="41" t="n">
        <v>1</v>
      </c>
      <c r="D30" s="41" t="n">
        <v>1</v>
      </c>
      <c r="E30" s="41" t="n">
        <v>1</v>
      </c>
      <c r="F30" s="41" t="n">
        <v>2</v>
      </c>
      <c r="G30" s="41" t="n">
        <v>2</v>
      </c>
      <c r="H30" s="41" t="n">
        <v>2</v>
      </c>
      <c r="I30" s="41" t="n">
        <v>2</v>
      </c>
      <c r="J30" s="41" t="n">
        <v>2</v>
      </c>
      <c r="K30" s="41" t="n">
        <v>2</v>
      </c>
    </row>
    <row r="31" customFormat="false" ht="14.25" hidden="false" customHeight="true" outlineLevel="0" collapsed="false">
      <c r="A31" s="8" t="str">
        <f aca="false">parametros_manuales!$B$20</f>
        <v>Corte de chapa (guillotina) — 2,5 a 10 kg</v>
      </c>
      <c r="B31" s="41" t="n">
        <v>1</v>
      </c>
      <c r="C31" s="41" t="n">
        <v>1</v>
      </c>
      <c r="D31" s="41" t="n">
        <v>1</v>
      </c>
      <c r="E31" s="41" t="n">
        <v>1</v>
      </c>
      <c r="F31" s="41" t="n">
        <v>1</v>
      </c>
      <c r="G31" s="41" t="n">
        <v>1</v>
      </c>
      <c r="H31" s="41" t="n">
        <v>1</v>
      </c>
      <c r="I31" s="41" t="n">
        <v>1</v>
      </c>
      <c r="J31" s="41" t="n">
        <v>1</v>
      </c>
      <c r="K31" s="41" t="n">
        <v>1</v>
      </c>
    </row>
    <row r="32" customFormat="false" ht="14.25" hidden="false" customHeight="true" outlineLevel="0" collapsed="false">
      <c r="A32" s="8" t="str">
        <f aca="false">parametros_manuales!$B$21</f>
        <v>Corte de tubo — 1 kg</v>
      </c>
      <c r="B32" s="41" t="n">
        <v>1</v>
      </c>
      <c r="C32" s="41" t="n">
        <v>1</v>
      </c>
      <c r="D32" s="41" t="n">
        <v>1</v>
      </c>
      <c r="E32" s="41" t="n">
        <v>1</v>
      </c>
      <c r="F32" s="41" t="n">
        <v>1</v>
      </c>
      <c r="G32" s="41" t="n">
        <v>1</v>
      </c>
      <c r="H32" s="41" t="n">
        <v>1</v>
      </c>
      <c r="I32" s="41" t="n">
        <v>1</v>
      </c>
      <c r="J32" s="41" t="n">
        <v>1</v>
      </c>
      <c r="K32" s="41" t="n">
        <v>1</v>
      </c>
    </row>
    <row r="33" customFormat="false" ht="14.25" hidden="false" customHeight="true" outlineLevel="0" collapsed="false">
      <c r="A33" s="8" t="str">
        <f aca="false">parametros_manuales!$B$22</f>
        <v>Corte de disco y embutido (cúpula y fondo)</v>
      </c>
      <c r="B33" s="41" t="n">
        <v>1</v>
      </c>
      <c r="C33" s="41" t="n">
        <v>1</v>
      </c>
      <c r="D33" s="41" t="n">
        <v>1</v>
      </c>
      <c r="E33" s="41" t="n">
        <v>1</v>
      </c>
      <c r="F33" s="41" t="n">
        <v>1</v>
      </c>
      <c r="G33" s="41" t="n">
        <v>1</v>
      </c>
      <c r="H33" s="41" t="n">
        <v>1</v>
      </c>
      <c r="I33" s="41" t="n">
        <v>1</v>
      </c>
      <c r="J33" s="41" t="n">
        <v>1</v>
      </c>
      <c r="K33" s="41" t="n">
        <v>1</v>
      </c>
    </row>
    <row r="34" customFormat="false" ht="14.25" hidden="false" customHeight="true" outlineLevel="0" collapsed="false">
      <c r="A34" s="8" t="str">
        <f aca="false">parametros_manuales!$B$23</f>
        <v>Preparación de cuello</v>
      </c>
      <c r="B34" s="41" t="n">
        <v>1</v>
      </c>
      <c r="C34" s="41" t="n">
        <v>1</v>
      </c>
      <c r="D34" s="41" t="n">
        <v>1</v>
      </c>
      <c r="E34" s="41" t="n">
        <v>1</v>
      </c>
      <c r="F34" s="41" t="n">
        <v>1</v>
      </c>
      <c r="G34" s="41" t="n">
        <v>2</v>
      </c>
      <c r="H34" s="41" t="n">
        <v>2</v>
      </c>
      <c r="I34" s="41" t="n">
        <v>2</v>
      </c>
      <c r="J34" s="41" t="n">
        <v>2</v>
      </c>
      <c r="K34" s="41" t="n">
        <v>2</v>
      </c>
    </row>
    <row r="35" customFormat="false" ht="14.25" hidden="false" customHeight="true" outlineLevel="0" collapsed="false">
      <c r="A35" s="8" t="str">
        <f aca="false">parametros_manuales!$B$24</f>
        <v>Numerado de cúpula</v>
      </c>
      <c r="B35" s="41" t="n">
        <v>1</v>
      </c>
      <c r="C35" s="41" t="n">
        <v>1</v>
      </c>
      <c r="D35" s="41" t="n">
        <v>1</v>
      </c>
      <c r="E35" s="41" t="n">
        <v>1</v>
      </c>
      <c r="F35" s="41" t="n">
        <v>1</v>
      </c>
      <c r="G35" s="41" t="n">
        <v>1</v>
      </c>
      <c r="H35" s="41" t="n">
        <v>1</v>
      </c>
      <c r="I35" s="41" t="n">
        <v>1</v>
      </c>
      <c r="J35" s="41" t="n">
        <v>1</v>
      </c>
      <c r="K35" s="41" t="n">
        <v>1</v>
      </c>
    </row>
    <row r="36" customFormat="false" ht="14.25" hidden="false" customHeight="true" outlineLevel="0" collapsed="false">
      <c r="A36" s="8" t="str">
        <f aca="false">parametros_manuales!$B$25</f>
        <v>Soldadura del cuello a la cúpula</v>
      </c>
      <c r="B36" s="41" t="n">
        <v>1</v>
      </c>
      <c r="C36" s="41" t="n">
        <v>1</v>
      </c>
      <c r="D36" s="41" t="n">
        <v>1</v>
      </c>
      <c r="E36" s="41" t="n">
        <v>1</v>
      </c>
      <c r="F36" s="41" t="n">
        <v>1</v>
      </c>
      <c r="G36" s="41" t="n">
        <v>1</v>
      </c>
      <c r="H36" s="41" t="n">
        <v>1</v>
      </c>
      <c r="I36" s="41" t="n">
        <v>1</v>
      </c>
      <c r="J36" s="41" t="n">
        <v>1</v>
      </c>
      <c r="K36" s="41" t="n">
        <v>1</v>
      </c>
    </row>
    <row r="37" customFormat="false" ht="14.25" hidden="false" customHeight="true" outlineLevel="0" collapsed="false">
      <c r="A37" s="8" t="str">
        <f aca="false">parametros_manuales!$B$26</f>
        <v>Cilindrado</v>
      </c>
      <c r="B37" s="41" t="n">
        <v>1</v>
      </c>
      <c r="C37" s="41" t="n">
        <v>1</v>
      </c>
      <c r="D37" s="41" t="n">
        <v>1</v>
      </c>
      <c r="E37" s="41" t="n">
        <v>1</v>
      </c>
      <c r="F37" s="41" t="n">
        <v>1</v>
      </c>
      <c r="G37" s="41" t="n">
        <v>1</v>
      </c>
      <c r="H37" s="41" t="n">
        <v>1</v>
      </c>
      <c r="I37" s="41" t="n">
        <v>1</v>
      </c>
      <c r="J37" s="41" t="n">
        <v>1</v>
      </c>
      <c r="K37" s="41" t="n">
        <v>1</v>
      </c>
    </row>
    <row r="38" customFormat="false" ht="14.25" hidden="false" customHeight="true" outlineLevel="0" collapsed="false">
      <c r="A38" s="8" t="str">
        <f aca="false">parametros_manuales!$B$27</f>
        <v>Soldadura longitudinal</v>
      </c>
      <c r="B38" s="41" t="n">
        <v>1</v>
      </c>
      <c r="C38" s="41" t="n">
        <v>1</v>
      </c>
      <c r="D38" s="41" t="n">
        <v>1</v>
      </c>
      <c r="E38" s="41" t="n">
        <v>1</v>
      </c>
      <c r="F38" s="41" t="n">
        <v>1</v>
      </c>
      <c r="G38" s="41" t="n">
        <v>1</v>
      </c>
      <c r="H38" s="41" t="n">
        <v>1</v>
      </c>
      <c r="I38" s="41" t="n">
        <v>1</v>
      </c>
      <c r="J38" s="41" t="n">
        <v>1</v>
      </c>
      <c r="K38" s="41" t="n">
        <v>1</v>
      </c>
    </row>
    <row r="39" customFormat="false" ht="14.25" hidden="false" customHeight="true" outlineLevel="0" collapsed="false">
      <c r="A39" s="8" t="str">
        <f aca="false">parametros_manuales!$B$28</f>
        <v>Encastre de fondo</v>
      </c>
      <c r="B39" s="41" t="n">
        <v>1</v>
      </c>
      <c r="C39" s="41" t="n">
        <v>1</v>
      </c>
      <c r="D39" s="41" t="n">
        <v>1</v>
      </c>
      <c r="E39" s="41" t="n">
        <v>1</v>
      </c>
      <c r="F39" s="41" t="n">
        <v>1</v>
      </c>
      <c r="G39" s="41" t="n">
        <v>1</v>
      </c>
      <c r="H39" s="41" t="n">
        <v>1</v>
      </c>
      <c r="I39" s="41" t="n">
        <v>1</v>
      </c>
      <c r="J39" s="41" t="n">
        <v>1</v>
      </c>
      <c r="K39" s="41" t="n">
        <v>1</v>
      </c>
    </row>
    <row r="40" customFormat="false" ht="14.25" hidden="false" customHeight="true" outlineLevel="0" collapsed="false">
      <c r="A40" s="8" t="str">
        <f aca="false">parametros_manuales!$B$29</f>
        <v>Bordoneado</v>
      </c>
      <c r="B40" s="41" t="n">
        <v>1</v>
      </c>
      <c r="C40" s="41" t="n">
        <v>1</v>
      </c>
      <c r="D40" s="41" t="n">
        <v>1</v>
      </c>
      <c r="E40" s="41" t="n">
        <v>1</v>
      </c>
      <c r="F40" s="41" t="n">
        <v>1</v>
      </c>
      <c r="G40" s="41" t="n">
        <v>1</v>
      </c>
      <c r="H40" s="41" t="n">
        <v>1</v>
      </c>
      <c r="I40" s="41" t="n">
        <v>1</v>
      </c>
      <c r="J40" s="41" t="n">
        <v>1</v>
      </c>
      <c r="K40" s="41" t="n">
        <v>1</v>
      </c>
    </row>
    <row r="41" customFormat="false" ht="14.25" hidden="false" customHeight="true" outlineLevel="0" collapsed="false">
      <c r="A41" s="8" t="str">
        <f aca="false">parametros_manuales!$B$30</f>
        <v>Soldadura circunferencial de cúpula y fondo</v>
      </c>
      <c r="B41" s="41" t="n">
        <v>1</v>
      </c>
      <c r="C41" s="41" t="n">
        <v>1</v>
      </c>
      <c r="D41" s="41" t="n">
        <v>1</v>
      </c>
      <c r="E41" s="41" t="n">
        <v>1</v>
      </c>
      <c r="F41" s="41" t="n">
        <v>1</v>
      </c>
      <c r="G41" s="41" t="n">
        <v>2</v>
      </c>
      <c r="H41" s="41" t="n">
        <v>2</v>
      </c>
      <c r="I41" s="41" t="n">
        <v>2</v>
      </c>
      <c r="J41" s="41" t="n">
        <v>2</v>
      </c>
      <c r="K41" s="41" t="n">
        <v>2</v>
      </c>
    </row>
    <row r="42" customFormat="false" ht="14.25" hidden="false" customHeight="true" outlineLevel="0" collapsed="false">
      <c r="A42" s="8" t="str">
        <f aca="false">parametros_manuales!$B$31</f>
        <v>Control de calidad — Espesor</v>
      </c>
      <c r="B42" s="41" t="n">
        <v>1</v>
      </c>
      <c r="C42" s="41" t="n">
        <v>1</v>
      </c>
      <c r="D42" s="41" t="n">
        <v>1</v>
      </c>
      <c r="E42" s="41" t="n">
        <v>1</v>
      </c>
      <c r="F42" s="41" t="n">
        <v>1</v>
      </c>
      <c r="G42" s="41" t="n">
        <v>1</v>
      </c>
      <c r="H42" s="41" t="n">
        <v>1</v>
      </c>
      <c r="I42" s="41" t="n">
        <v>1</v>
      </c>
      <c r="J42" s="41" t="n">
        <v>1</v>
      </c>
      <c r="K42" s="41" t="n">
        <v>1</v>
      </c>
    </row>
    <row r="43" customFormat="false" ht="14.25" hidden="false" customHeight="true" outlineLevel="0" collapsed="false">
      <c r="A43" s="8" t="str">
        <f aca="false">parametros_manuales!$B$32</f>
        <v>Prueba hidráulica</v>
      </c>
      <c r="B43" s="41" t="n">
        <v>1</v>
      </c>
      <c r="C43" s="41" t="n">
        <v>1</v>
      </c>
      <c r="D43" s="41" t="n">
        <v>1</v>
      </c>
      <c r="E43" s="41" t="n">
        <v>1</v>
      </c>
      <c r="F43" s="41" t="n">
        <v>1</v>
      </c>
      <c r="G43" s="41" t="n">
        <v>2</v>
      </c>
      <c r="H43" s="41" t="n">
        <v>2</v>
      </c>
      <c r="I43" s="41" t="n">
        <v>2</v>
      </c>
      <c r="J43" s="41" t="n">
        <v>2</v>
      </c>
      <c r="K43" s="41" t="n">
        <v>2</v>
      </c>
    </row>
    <row r="44" customFormat="false" ht="14.25" hidden="false" customHeight="true" outlineLevel="0" collapsed="false">
      <c r="A44" s="8" t="str">
        <f aca="false">parametros_manuales!$B$33</f>
        <v>Secado</v>
      </c>
      <c r="B44" s="41" t="n">
        <v>1</v>
      </c>
      <c r="C44" s="41" t="n">
        <v>1</v>
      </c>
      <c r="D44" s="41" t="n">
        <v>1</v>
      </c>
      <c r="E44" s="41" t="n">
        <v>2</v>
      </c>
      <c r="F44" s="41" t="n">
        <v>2</v>
      </c>
      <c r="G44" s="41" t="n">
        <v>3</v>
      </c>
      <c r="H44" s="41" t="n">
        <v>4</v>
      </c>
      <c r="I44" s="41" t="n">
        <v>4</v>
      </c>
      <c r="J44" s="41" t="n">
        <v>4</v>
      </c>
      <c r="K44" s="41" t="n">
        <v>4</v>
      </c>
    </row>
    <row r="45" customFormat="false" ht="14.25" hidden="false" customHeight="true" outlineLevel="0" collapsed="false">
      <c r="A45" s="8" t="str">
        <f aca="false">parametros_manuales!$B$34</f>
        <v>Granallado</v>
      </c>
      <c r="B45" s="41" t="n">
        <v>1</v>
      </c>
      <c r="C45" s="41" t="n">
        <v>1</v>
      </c>
      <c r="D45" s="41" t="n">
        <v>1</v>
      </c>
      <c r="E45" s="41" t="n">
        <v>1</v>
      </c>
      <c r="F45" s="41" t="n">
        <v>1</v>
      </c>
      <c r="G45" s="41" t="n">
        <v>1</v>
      </c>
      <c r="H45" s="41" t="n">
        <v>1</v>
      </c>
      <c r="I45" s="41" t="n">
        <v>1</v>
      </c>
      <c r="J45" s="41" t="n">
        <v>1</v>
      </c>
      <c r="K45" s="41" t="n">
        <v>1</v>
      </c>
    </row>
    <row r="46" customFormat="false" ht="14.25" hidden="false" customHeight="true" outlineLevel="0" collapsed="false">
      <c r="A46" s="8" t="str">
        <f aca="false">parametros_manuales!$B$35</f>
        <v>Detección de defectos</v>
      </c>
      <c r="B46" s="41" t="n">
        <v>1</v>
      </c>
      <c r="C46" s="41" t="n">
        <v>1</v>
      </c>
      <c r="D46" s="41" t="n">
        <v>1</v>
      </c>
      <c r="E46" s="41" t="n">
        <v>1</v>
      </c>
      <c r="F46" s="41" t="n">
        <v>1</v>
      </c>
      <c r="G46" s="41" t="n">
        <v>1</v>
      </c>
      <c r="H46" s="41" t="n">
        <v>1</v>
      </c>
      <c r="I46" s="41" t="n">
        <v>1</v>
      </c>
      <c r="J46" s="41" t="n">
        <v>1</v>
      </c>
      <c r="K46" s="41" t="n">
        <v>1</v>
      </c>
    </row>
    <row r="47" customFormat="false" ht="14.25" hidden="false" customHeight="true" outlineLevel="0" collapsed="false">
      <c r="A47" s="8" t="str">
        <f aca="false">parametros_manuales!$B$36</f>
        <v>Corrección de defectos</v>
      </c>
      <c r="B47" s="41" t="n">
        <v>1</v>
      </c>
      <c r="C47" s="41" t="n">
        <v>1</v>
      </c>
      <c r="D47" s="41" t="n">
        <v>1</v>
      </c>
      <c r="E47" s="41" t="n">
        <v>1</v>
      </c>
      <c r="F47" s="41" t="n">
        <v>1</v>
      </c>
      <c r="G47" s="41" t="n">
        <v>1</v>
      </c>
      <c r="H47" s="41" t="n">
        <v>1</v>
      </c>
      <c r="I47" s="41" t="n">
        <v>1</v>
      </c>
      <c r="J47" s="41" t="n">
        <v>1</v>
      </c>
      <c r="K47" s="41" t="n">
        <v>1</v>
      </c>
    </row>
    <row r="48" customFormat="false" ht="14.25" hidden="false" customHeight="true" outlineLevel="0" collapsed="false">
      <c r="A48" s="8" t="str">
        <f aca="false">parametros_manuales!$B$37</f>
        <v>Pintura en polvo + horno</v>
      </c>
      <c r="B48" s="41" t="n">
        <v>1</v>
      </c>
      <c r="C48" s="41" t="n">
        <v>1</v>
      </c>
      <c r="D48" s="41" t="n">
        <v>1</v>
      </c>
      <c r="E48" s="41" t="n">
        <v>1</v>
      </c>
      <c r="F48" s="41" t="n">
        <v>1</v>
      </c>
      <c r="G48" s="41" t="n">
        <v>1</v>
      </c>
      <c r="H48" s="41" t="n">
        <v>1</v>
      </c>
      <c r="I48" s="41" t="n">
        <v>1</v>
      </c>
      <c r="J48" s="41" t="n">
        <v>1</v>
      </c>
      <c r="K48" s="41" t="n">
        <v>1</v>
      </c>
    </row>
    <row r="49" customFormat="false" ht="14.25" hidden="false" customHeight="true" outlineLevel="0" collapsed="false">
      <c r="A49" s="8" t="str">
        <f aca="false">parametros_manuales!$B$38</f>
        <v>Carga de polvo</v>
      </c>
      <c r="B49" s="41" t="n">
        <v>1</v>
      </c>
      <c r="C49" s="41" t="n">
        <v>1</v>
      </c>
      <c r="D49" s="41" t="n">
        <v>1</v>
      </c>
      <c r="E49" s="41" t="n">
        <v>1</v>
      </c>
      <c r="F49" s="41" t="n">
        <v>1</v>
      </c>
      <c r="G49" s="41" t="n">
        <v>1</v>
      </c>
      <c r="H49" s="41" t="n">
        <v>1</v>
      </c>
      <c r="I49" s="41" t="n">
        <v>1</v>
      </c>
      <c r="J49" s="41" t="n">
        <v>1</v>
      </c>
      <c r="K49" s="41" t="n">
        <v>1</v>
      </c>
    </row>
    <row r="50" customFormat="false" ht="14.25" hidden="false" customHeight="true" outlineLevel="0" collapsed="false">
      <c r="A50" s="8" t="str">
        <f aca="false">parametros_manuales!$B$39</f>
        <v>Ensamblaje</v>
      </c>
      <c r="B50" s="41" t="n">
        <v>1</v>
      </c>
      <c r="C50" s="41" t="n">
        <v>1</v>
      </c>
      <c r="D50" s="41" t="n">
        <v>1</v>
      </c>
      <c r="E50" s="41" t="n">
        <v>1</v>
      </c>
      <c r="F50" s="41" t="n">
        <v>1</v>
      </c>
      <c r="G50" s="41" t="n">
        <v>1</v>
      </c>
      <c r="H50" s="41" t="n">
        <v>1</v>
      </c>
      <c r="I50" s="41" t="n">
        <v>1</v>
      </c>
      <c r="J50" s="41" t="n">
        <v>1</v>
      </c>
      <c r="K50" s="41" t="n">
        <v>1</v>
      </c>
    </row>
    <row r="51" customFormat="false" ht="14.25" hidden="false" customHeight="true" outlineLevel="0" collapsed="false">
      <c r="A51" s="8" t="str">
        <f aca="false">parametros_manuales!$B$40</f>
        <v>Presurización</v>
      </c>
      <c r="B51" s="41" t="n">
        <v>1</v>
      </c>
      <c r="C51" s="41" t="n">
        <v>1</v>
      </c>
      <c r="D51" s="41" t="n">
        <v>1</v>
      </c>
      <c r="E51" s="41" t="n">
        <v>1</v>
      </c>
      <c r="F51" s="41" t="n">
        <v>1</v>
      </c>
      <c r="G51" s="41" t="n">
        <v>1</v>
      </c>
      <c r="H51" s="41" t="n">
        <v>1</v>
      </c>
      <c r="I51" s="41" t="n">
        <v>1</v>
      </c>
      <c r="J51" s="41" t="n">
        <v>1</v>
      </c>
      <c r="K51" s="41" t="n">
        <v>1</v>
      </c>
    </row>
    <row r="52" customFormat="false" ht="14.25" hidden="false" customHeight="true" outlineLevel="0" collapsed="false">
      <c r="A52" s="8" t="str">
        <f aca="false">parametros_manuales!$B$41</f>
        <v>Control de calidad — Ensayo de pérdidas</v>
      </c>
      <c r="B52" s="41" t="n">
        <v>1</v>
      </c>
      <c r="C52" s="41" t="n">
        <v>1</v>
      </c>
      <c r="D52" s="41" t="n">
        <v>1</v>
      </c>
      <c r="E52" s="41" t="n">
        <v>1</v>
      </c>
      <c r="F52" s="41" t="n">
        <v>1</v>
      </c>
      <c r="G52" s="41" t="n">
        <v>1</v>
      </c>
      <c r="H52" s="41" t="n">
        <v>1</v>
      </c>
      <c r="I52" s="41" t="n">
        <v>1</v>
      </c>
      <c r="J52" s="41" t="n">
        <v>1</v>
      </c>
      <c r="K52" s="41" t="n">
        <v>1</v>
      </c>
    </row>
    <row r="53" customFormat="false" ht="14.25" hidden="false" customHeight="true" outlineLevel="0" collapsed="false">
      <c r="A53" s="8" t="str">
        <f aca="false">parametros_manuales!$B$42</f>
        <v>Etiquetado</v>
      </c>
      <c r="B53" s="41" t="n">
        <v>1</v>
      </c>
      <c r="C53" s="41" t="n">
        <v>1</v>
      </c>
      <c r="D53" s="41" t="n">
        <v>1</v>
      </c>
      <c r="E53" s="41" t="n">
        <v>1</v>
      </c>
      <c r="F53" s="41" t="n">
        <v>1</v>
      </c>
      <c r="G53" s="41" t="n">
        <v>1</v>
      </c>
      <c r="H53" s="41" t="n">
        <v>1</v>
      </c>
      <c r="I53" s="41" t="n">
        <v>1</v>
      </c>
      <c r="J53" s="41" t="n">
        <v>1</v>
      </c>
      <c r="K53" s="41" t="n">
        <v>1</v>
      </c>
    </row>
    <row r="54" customFormat="false" ht="14.25" hidden="false" customHeight="true" outlineLevel="0" collapsed="false">
      <c r="A54" s="8" t="str">
        <f aca="false">parametros_manuales!$B$43</f>
        <v>Embalaje y paletizado</v>
      </c>
      <c r="B54" s="41" t="n">
        <v>1</v>
      </c>
      <c r="C54" s="41" t="n">
        <v>1</v>
      </c>
      <c r="D54" s="41" t="n">
        <v>1</v>
      </c>
      <c r="E54" s="41" t="n">
        <v>1</v>
      </c>
      <c r="F54" s="41" t="n">
        <v>1</v>
      </c>
      <c r="G54" s="41" t="n">
        <v>2</v>
      </c>
      <c r="H54" s="41" t="n">
        <v>2</v>
      </c>
      <c r="I54" s="41" t="n">
        <v>2</v>
      </c>
      <c r="J54" s="41" t="n">
        <v>2</v>
      </c>
      <c r="K54" s="41" t="n">
        <v>2</v>
      </c>
    </row>
    <row r="55" customFormat="false" ht="14.25" hidden="false" customHeight="true" outlineLevel="0" collapsed="false">
      <c r="A55" s="10" t="s">
        <v>221</v>
      </c>
      <c r="B55" s="56" t="n">
        <f aca="false">SUM(B30:B54)</f>
        <v>25</v>
      </c>
      <c r="C55" s="56" t="n">
        <f aca="false">SUM(C30:C54)</f>
        <v>25</v>
      </c>
      <c r="D55" s="56" t="n">
        <f aca="false">SUM(D30:D54)</f>
        <v>25</v>
      </c>
      <c r="E55" s="56" t="n">
        <f aca="false">SUM(E30:E54)</f>
        <v>26</v>
      </c>
      <c r="F55" s="56" t="n">
        <f aca="false">SUM(F30:F54)</f>
        <v>27</v>
      </c>
      <c r="G55" s="56" t="n">
        <f aca="false">SUM(G30:G54)</f>
        <v>32</v>
      </c>
      <c r="H55" s="56" t="n">
        <f aca="false">SUM(H30:H54)</f>
        <v>33</v>
      </c>
      <c r="I55" s="56" t="n">
        <f aca="false">SUM(I30:I54)</f>
        <v>33</v>
      </c>
      <c r="J55" s="56" t="n">
        <f aca="false">SUM(J30:J54)</f>
        <v>33</v>
      </c>
      <c r="K55" s="56" t="n">
        <f aca="false">SUM(K30:K54)</f>
        <v>33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58" t="s">
        <v>222</v>
      </c>
      <c r="B57" s="58" t="n">
        <v>2026</v>
      </c>
      <c r="C57" s="58" t="n">
        <v>2027</v>
      </c>
      <c r="D57" s="58" t="n">
        <v>2028</v>
      </c>
      <c r="E57" s="58" t="n">
        <v>2029</v>
      </c>
      <c r="F57" s="58" t="n">
        <v>2030</v>
      </c>
      <c r="G57" s="58" t="n">
        <v>2031</v>
      </c>
      <c r="H57" s="58" t="n">
        <v>2032</v>
      </c>
      <c r="I57" s="58" t="n">
        <v>2033</v>
      </c>
      <c r="J57" s="58" t="n">
        <v>2034</v>
      </c>
      <c r="K57" s="58" t="n">
        <v>2035</v>
      </c>
    </row>
    <row r="58" customFormat="false" ht="14.25" hidden="false" customHeight="true" outlineLevel="0" collapsed="false">
      <c r="A58" s="8" t="str">
        <f aca="false">parametros_manuales!$B$19</f>
        <v>Recepción de materia prima</v>
      </c>
      <c r="B58" s="41" t="n">
        <v>1</v>
      </c>
      <c r="C58" s="41" t="n">
        <v>1</v>
      </c>
      <c r="D58" s="41" t="n">
        <v>1</v>
      </c>
      <c r="E58" s="41" t="n">
        <v>1</v>
      </c>
      <c r="F58" s="41" t="n">
        <v>1</v>
      </c>
      <c r="G58" s="41" t="n">
        <v>1</v>
      </c>
      <c r="H58" s="41" t="n">
        <v>2</v>
      </c>
      <c r="I58" s="41" t="n">
        <v>2</v>
      </c>
      <c r="J58" s="41" t="n">
        <v>2</v>
      </c>
      <c r="K58" s="41" t="n">
        <v>2</v>
      </c>
    </row>
    <row r="59" customFormat="false" ht="14.25" hidden="false" customHeight="true" outlineLevel="0" collapsed="false">
      <c r="A59" s="8" t="str">
        <f aca="false">parametros_manuales!$B$20</f>
        <v>Corte de chapa (guillotina) — 2,5 a 10 kg</v>
      </c>
      <c r="B59" s="41" t="n">
        <v>1</v>
      </c>
      <c r="C59" s="41" t="n">
        <v>1</v>
      </c>
      <c r="D59" s="41" t="n">
        <v>1</v>
      </c>
      <c r="E59" s="41" t="n">
        <v>1</v>
      </c>
      <c r="F59" s="41" t="n">
        <v>1</v>
      </c>
      <c r="G59" s="41" t="n">
        <v>1</v>
      </c>
      <c r="H59" s="41" t="n">
        <v>1</v>
      </c>
      <c r="I59" s="41" t="n">
        <v>2</v>
      </c>
      <c r="J59" s="41" t="n">
        <v>2</v>
      </c>
      <c r="K59" s="41" t="n">
        <v>2</v>
      </c>
    </row>
    <row r="60" customFormat="false" ht="14.25" hidden="false" customHeight="true" outlineLevel="0" collapsed="false">
      <c r="A60" s="8" t="str">
        <f aca="false">parametros_manuales!$B$21</f>
        <v>Corte de tubo — 1 kg</v>
      </c>
      <c r="B60" s="41" t="n">
        <v>1</v>
      </c>
      <c r="C60" s="41" t="n">
        <v>1</v>
      </c>
      <c r="D60" s="41" t="n">
        <v>1</v>
      </c>
      <c r="E60" s="41" t="n">
        <v>1</v>
      </c>
      <c r="F60" s="41" t="n">
        <v>1</v>
      </c>
      <c r="G60" s="41" t="n">
        <v>1</v>
      </c>
      <c r="H60" s="41" t="n">
        <v>1</v>
      </c>
      <c r="I60" s="41" t="n">
        <v>1</v>
      </c>
      <c r="J60" s="41" t="n">
        <v>2</v>
      </c>
      <c r="K60" s="41" t="n">
        <v>2</v>
      </c>
    </row>
    <row r="61" customFormat="false" ht="14.25" hidden="false" customHeight="true" outlineLevel="0" collapsed="false">
      <c r="A61" s="8" t="str">
        <f aca="false">parametros_manuales!$B$22</f>
        <v>Corte de disco y embutido (cúpula y fondo)</v>
      </c>
      <c r="B61" s="41" t="n">
        <v>1</v>
      </c>
      <c r="C61" s="41" t="n">
        <v>1</v>
      </c>
      <c r="D61" s="41" t="n">
        <v>1</v>
      </c>
      <c r="E61" s="41" t="n">
        <v>1</v>
      </c>
      <c r="F61" s="41" t="n">
        <v>1</v>
      </c>
      <c r="G61" s="41" t="n">
        <v>1</v>
      </c>
      <c r="H61" s="41" t="n">
        <v>1</v>
      </c>
      <c r="I61" s="41" t="n">
        <v>1</v>
      </c>
      <c r="J61" s="41" t="n">
        <v>2</v>
      </c>
      <c r="K61" s="41" t="n">
        <v>2</v>
      </c>
    </row>
    <row r="62" customFormat="false" ht="14.25" hidden="false" customHeight="true" outlineLevel="0" collapsed="false">
      <c r="A62" s="8" t="str">
        <f aca="false">parametros_manuales!$B$23</f>
        <v>Preparación de cuello</v>
      </c>
      <c r="B62" s="41" t="n">
        <v>1</v>
      </c>
      <c r="C62" s="41" t="n">
        <v>1</v>
      </c>
      <c r="D62" s="41" t="n">
        <v>1</v>
      </c>
      <c r="E62" s="41" t="n">
        <v>1</v>
      </c>
      <c r="F62" s="41" t="n">
        <v>1</v>
      </c>
      <c r="G62" s="41" t="n">
        <v>1</v>
      </c>
      <c r="H62" s="41" t="n">
        <v>1</v>
      </c>
      <c r="I62" s="41" t="n">
        <v>2</v>
      </c>
      <c r="J62" s="41" t="n">
        <v>2</v>
      </c>
      <c r="K62" s="41" t="n">
        <v>2</v>
      </c>
    </row>
    <row r="63" customFormat="false" ht="14.25" hidden="false" customHeight="true" outlineLevel="0" collapsed="false">
      <c r="A63" s="8" t="str">
        <f aca="false">parametros_manuales!$B$24</f>
        <v>Numerado de cúpula</v>
      </c>
      <c r="B63" s="41" t="n">
        <v>1</v>
      </c>
      <c r="C63" s="41" t="n">
        <v>1</v>
      </c>
      <c r="D63" s="41" t="n">
        <v>1</v>
      </c>
      <c r="E63" s="41" t="n">
        <v>1</v>
      </c>
      <c r="F63" s="41" t="n">
        <v>1</v>
      </c>
      <c r="G63" s="41" t="n">
        <v>1</v>
      </c>
      <c r="H63" s="41" t="n">
        <v>1</v>
      </c>
      <c r="I63" s="41" t="n">
        <v>2</v>
      </c>
      <c r="J63" s="41" t="n">
        <v>2</v>
      </c>
      <c r="K63" s="41" t="n">
        <v>2</v>
      </c>
    </row>
    <row r="64" customFormat="false" ht="14.25" hidden="false" customHeight="true" outlineLevel="0" collapsed="false">
      <c r="A64" s="8" t="str">
        <f aca="false">parametros_manuales!$B$25</f>
        <v>Soldadura del cuello a la cúpula</v>
      </c>
      <c r="B64" s="41" t="n">
        <v>1</v>
      </c>
      <c r="C64" s="41" t="n">
        <v>1</v>
      </c>
      <c r="D64" s="41" t="n">
        <v>1</v>
      </c>
      <c r="E64" s="41" t="n">
        <v>1</v>
      </c>
      <c r="F64" s="41" t="n">
        <v>1</v>
      </c>
      <c r="G64" s="41" t="n">
        <v>1</v>
      </c>
      <c r="H64" s="41" t="n">
        <v>1</v>
      </c>
      <c r="I64" s="41" t="n">
        <v>2</v>
      </c>
      <c r="J64" s="41" t="n">
        <v>2</v>
      </c>
      <c r="K64" s="41" t="n">
        <v>2</v>
      </c>
    </row>
    <row r="65" customFormat="false" ht="14.25" hidden="false" customHeight="true" outlineLevel="0" collapsed="false">
      <c r="A65" s="8" t="str">
        <f aca="false">parametros_manuales!$B$26</f>
        <v>Cilindrado</v>
      </c>
      <c r="B65" s="41" t="n">
        <v>1</v>
      </c>
      <c r="C65" s="41" t="n">
        <v>1</v>
      </c>
      <c r="D65" s="41" t="n">
        <v>1</v>
      </c>
      <c r="E65" s="41" t="n">
        <v>1</v>
      </c>
      <c r="F65" s="41" t="n">
        <v>1</v>
      </c>
      <c r="G65" s="41" t="n">
        <v>1</v>
      </c>
      <c r="H65" s="41" t="n">
        <v>1</v>
      </c>
      <c r="I65" s="41" t="n">
        <v>2</v>
      </c>
      <c r="J65" s="41" t="n">
        <v>2</v>
      </c>
      <c r="K65" s="41" t="n">
        <v>2</v>
      </c>
    </row>
    <row r="66" customFormat="false" ht="14.25" hidden="false" customHeight="true" outlineLevel="0" collapsed="false">
      <c r="A66" s="8" t="str">
        <f aca="false">parametros_manuales!$B$27</f>
        <v>Soldadura longitudinal</v>
      </c>
      <c r="B66" s="41" t="n">
        <v>1</v>
      </c>
      <c r="C66" s="41" t="n">
        <v>1</v>
      </c>
      <c r="D66" s="41" t="n">
        <v>1</v>
      </c>
      <c r="E66" s="41" t="n">
        <v>1</v>
      </c>
      <c r="F66" s="41" t="n">
        <v>1</v>
      </c>
      <c r="G66" s="41" t="n">
        <v>1</v>
      </c>
      <c r="H66" s="41" t="n">
        <v>2</v>
      </c>
      <c r="I66" s="41" t="n">
        <v>2</v>
      </c>
      <c r="J66" s="41" t="n">
        <v>2</v>
      </c>
      <c r="K66" s="41" t="n">
        <v>2</v>
      </c>
    </row>
    <row r="67" customFormat="false" ht="14.25" hidden="false" customHeight="true" outlineLevel="0" collapsed="false">
      <c r="A67" s="8" t="str">
        <f aca="false">parametros_manuales!$B$28</f>
        <v>Encastre de fondo</v>
      </c>
      <c r="B67" s="41" t="n">
        <v>1</v>
      </c>
      <c r="C67" s="41" t="n">
        <v>1</v>
      </c>
      <c r="D67" s="41" t="n">
        <v>1</v>
      </c>
      <c r="E67" s="41" t="n">
        <v>1</v>
      </c>
      <c r="F67" s="41" t="n">
        <v>1</v>
      </c>
      <c r="G67" s="41" t="n">
        <v>1</v>
      </c>
      <c r="H67" s="41" t="n">
        <v>1</v>
      </c>
      <c r="I67" s="41" t="n">
        <v>2</v>
      </c>
      <c r="J67" s="41" t="n">
        <v>2</v>
      </c>
      <c r="K67" s="41" t="n">
        <v>2</v>
      </c>
    </row>
    <row r="68" customFormat="false" ht="14.25" hidden="false" customHeight="true" outlineLevel="0" collapsed="false">
      <c r="A68" s="8" t="str">
        <f aca="false">parametros_manuales!$B$29</f>
        <v>Bordoneado</v>
      </c>
      <c r="B68" s="41" t="n">
        <v>1</v>
      </c>
      <c r="C68" s="41" t="n">
        <v>1</v>
      </c>
      <c r="D68" s="41" t="n">
        <v>1</v>
      </c>
      <c r="E68" s="41" t="n">
        <v>1</v>
      </c>
      <c r="F68" s="41" t="n">
        <v>1</v>
      </c>
      <c r="G68" s="41" t="n">
        <v>1</v>
      </c>
      <c r="H68" s="41" t="n">
        <v>1</v>
      </c>
      <c r="I68" s="41" t="n">
        <v>2</v>
      </c>
      <c r="J68" s="41" t="n">
        <v>2</v>
      </c>
      <c r="K68" s="41" t="n">
        <v>2</v>
      </c>
    </row>
    <row r="69" customFormat="false" ht="14.25" hidden="false" customHeight="true" outlineLevel="0" collapsed="false">
      <c r="A69" s="8" t="str">
        <f aca="false">parametros_manuales!$B$30</f>
        <v>Soldadura circunferencial de cúpula y fondo</v>
      </c>
      <c r="B69" s="41" t="n">
        <v>1</v>
      </c>
      <c r="C69" s="41" t="n">
        <v>1</v>
      </c>
      <c r="D69" s="41" t="n">
        <v>1</v>
      </c>
      <c r="E69" s="41" t="n">
        <v>1</v>
      </c>
      <c r="F69" s="41" t="n">
        <v>1</v>
      </c>
      <c r="G69" s="41" t="n">
        <v>1</v>
      </c>
      <c r="H69" s="41" t="n">
        <v>1</v>
      </c>
      <c r="I69" s="41" t="n">
        <v>2</v>
      </c>
      <c r="J69" s="41" t="n">
        <v>2</v>
      </c>
      <c r="K69" s="41" t="n">
        <v>2</v>
      </c>
    </row>
    <row r="70" customFormat="false" ht="14.25" hidden="false" customHeight="true" outlineLevel="0" collapsed="false">
      <c r="A70" s="8" t="str">
        <f aca="false">parametros_manuales!$B$31</f>
        <v>Control de calidad — Espesor</v>
      </c>
      <c r="B70" s="41" t="n">
        <v>1</v>
      </c>
      <c r="C70" s="41" t="n">
        <v>1</v>
      </c>
      <c r="D70" s="41" t="n">
        <v>1</v>
      </c>
      <c r="E70" s="41" t="n">
        <v>1</v>
      </c>
      <c r="F70" s="41" t="n">
        <v>1</v>
      </c>
      <c r="G70" s="41" t="n">
        <v>1</v>
      </c>
      <c r="H70" s="41" t="n">
        <v>1</v>
      </c>
      <c r="I70" s="41" t="n">
        <v>1</v>
      </c>
      <c r="J70" s="41" t="n">
        <v>1</v>
      </c>
      <c r="K70" s="41" t="n">
        <v>1</v>
      </c>
    </row>
    <row r="71" customFormat="false" ht="14.25" hidden="false" customHeight="true" outlineLevel="0" collapsed="false">
      <c r="A71" s="8" t="str">
        <f aca="false">parametros_manuales!$B$32</f>
        <v>Prueba hidráulica</v>
      </c>
      <c r="B71" s="41" t="n">
        <v>1</v>
      </c>
      <c r="C71" s="41" t="n">
        <v>1</v>
      </c>
      <c r="D71" s="41" t="n">
        <v>1</v>
      </c>
      <c r="E71" s="41" t="n">
        <v>1</v>
      </c>
      <c r="F71" s="41" t="n">
        <v>1</v>
      </c>
      <c r="G71" s="41" t="n">
        <v>1</v>
      </c>
      <c r="H71" s="41" t="n">
        <v>1</v>
      </c>
      <c r="I71" s="41" t="n">
        <v>2</v>
      </c>
      <c r="J71" s="41" t="n">
        <v>2</v>
      </c>
      <c r="K71" s="41" t="n">
        <v>2</v>
      </c>
    </row>
    <row r="72" customFormat="false" ht="14.25" hidden="false" customHeight="true" outlineLevel="0" collapsed="false">
      <c r="A72" s="8" t="str">
        <f aca="false">parametros_manuales!$B$33</f>
        <v>Secado</v>
      </c>
      <c r="B72" s="41" t="n">
        <v>1</v>
      </c>
      <c r="C72" s="41" t="n">
        <v>1</v>
      </c>
      <c r="D72" s="41" t="n">
        <v>1</v>
      </c>
      <c r="E72" s="41" t="n">
        <v>1</v>
      </c>
      <c r="F72" s="41" t="n">
        <v>1</v>
      </c>
      <c r="G72" s="41" t="n">
        <v>1</v>
      </c>
      <c r="H72" s="41" t="n">
        <v>1</v>
      </c>
      <c r="I72" s="41" t="n">
        <v>2</v>
      </c>
      <c r="J72" s="41" t="n">
        <v>2</v>
      </c>
      <c r="K72" s="41" t="n">
        <v>2</v>
      </c>
    </row>
    <row r="73" customFormat="false" ht="14.25" hidden="false" customHeight="true" outlineLevel="0" collapsed="false">
      <c r="A73" s="8" t="str">
        <f aca="false">parametros_manuales!$B$34</f>
        <v>Granallado</v>
      </c>
      <c r="B73" s="41" t="n">
        <v>1</v>
      </c>
      <c r="C73" s="41" t="n">
        <v>1</v>
      </c>
      <c r="D73" s="41" t="n">
        <v>1</v>
      </c>
      <c r="E73" s="41" t="n">
        <v>1</v>
      </c>
      <c r="F73" s="41" t="n">
        <v>1</v>
      </c>
      <c r="G73" s="41" t="n">
        <v>1</v>
      </c>
      <c r="H73" s="41" t="n">
        <v>1</v>
      </c>
      <c r="I73" s="41" t="n">
        <v>2</v>
      </c>
      <c r="J73" s="41" t="n">
        <v>2</v>
      </c>
      <c r="K73" s="41" t="n">
        <v>2</v>
      </c>
    </row>
    <row r="74" customFormat="false" ht="14.25" hidden="false" customHeight="true" outlineLevel="0" collapsed="false">
      <c r="A74" s="8" t="str">
        <f aca="false">parametros_manuales!$B$35</f>
        <v>Detección de defectos</v>
      </c>
      <c r="B74" s="41" t="n">
        <v>1</v>
      </c>
      <c r="C74" s="41" t="n">
        <v>1</v>
      </c>
      <c r="D74" s="41" t="n">
        <v>1</v>
      </c>
      <c r="E74" s="41" t="n">
        <v>1</v>
      </c>
      <c r="F74" s="41" t="n">
        <v>1</v>
      </c>
      <c r="G74" s="41" t="n">
        <v>1</v>
      </c>
      <c r="H74" s="41" t="n">
        <v>1</v>
      </c>
      <c r="I74" s="41" t="n">
        <v>2</v>
      </c>
      <c r="J74" s="41" t="n">
        <v>2</v>
      </c>
      <c r="K74" s="41" t="n">
        <v>2</v>
      </c>
    </row>
    <row r="75" customFormat="false" ht="14.25" hidden="false" customHeight="true" outlineLevel="0" collapsed="false">
      <c r="A75" s="8" t="str">
        <f aca="false">parametros_manuales!$B$36</f>
        <v>Corrección de defectos</v>
      </c>
      <c r="B75" s="41" t="n">
        <v>1</v>
      </c>
      <c r="C75" s="41" t="n">
        <v>1</v>
      </c>
      <c r="D75" s="41" t="n">
        <v>1</v>
      </c>
      <c r="E75" s="41" t="n">
        <v>1</v>
      </c>
      <c r="F75" s="41" t="n">
        <v>1</v>
      </c>
      <c r="G75" s="41" t="n">
        <v>1</v>
      </c>
      <c r="H75" s="41" t="n">
        <v>1</v>
      </c>
      <c r="I75" s="41" t="n">
        <v>1</v>
      </c>
      <c r="J75" s="41" t="n">
        <v>1</v>
      </c>
      <c r="K75" s="41" t="n">
        <v>1</v>
      </c>
    </row>
    <row r="76" customFormat="false" ht="14.25" hidden="false" customHeight="true" outlineLevel="0" collapsed="false">
      <c r="A76" s="8" t="str">
        <f aca="false">parametros_manuales!$B$37</f>
        <v>Pintura en polvo + horno</v>
      </c>
      <c r="B76" s="41" t="n">
        <v>1</v>
      </c>
      <c r="C76" s="41" t="n">
        <v>1</v>
      </c>
      <c r="D76" s="41" t="n">
        <v>1</v>
      </c>
      <c r="E76" s="41" t="n">
        <v>1</v>
      </c>
      <c r="F76" s="41" t="n">
        <v>1</v>
      </c>
      <c r="G76" s="41" t="n">
        <v>1</v>
      </c>
      <c r="H76" s="41" t="n">
        <v>1</v>
      </c>
      <c r="I76" s="41" t="n">
        <v>2</v>
      </c>
      <c r="J76" s="41" t="n">
        <v>2</v>
      </c>
      <c r="K76" s="41" t="n">
        <v>2</v>
      </c>
    </row>
    <row r="77" customFormat="false" ht="14.25" hidden="false" customHeight="true" outlineLevel="0" collapsed="false">
      <c r="A77" s="8" t="str">
        <f aca="false">parametros_manuales!$B$38</f>
        <v>Carga de polvo</v>
      </c>
      <c r="B77" s="41" t="n">
        <v>1</v>
      </c>
      <c r="C77" s="41" t="n">
        <v>1</v>
      </c>
      <c r="D77" s="41" t="n">
        <v>1</v>
      </c>
      <c r="E77" s="41" t="n">
        <v>1</v>
      </c>
      <c r="F77" s="41" t="n">
        <v>1</v>
      </c>
      <c r="G77" s="41" t="n">
        <v>1</v>
      </c>
      <c r="H77" s="41" t="n">
        <v>1</v>
      </c>
      <c r="I77" s="41" t="n">
        <v>1</v>
      </c>
      <c r="J77" s="41" t="n">
        <v>1</v>
      </c>
      <c r="K77" s="41" t="n">
        <v>1</v>
      </c>
    </row>
    <row r="78" customFormat="false" ht="14.25" hidden="false" customHeight="true" outlineLevel="0" collapsed="false">
      <c r="A78" s="8" t="str">
        <f aca="false">parametros_manuales!$B$39</f>
        <v>Ensamblaje</v>
      </c>
      <c r="B78" s="41" t="n">
        <v>1</v>
      </c>
      <c r="C78" s="41" t="n">
        <v>1</v>
      </c>
      <c r="D78" s="41" t="n">
        <v>1</v>
      </c>
      <c r="E78" s="41" t="n">
        <v>1</v>
      </c>
      <c r="F78" s="41" t="n">
        <v>1</v>
      </c>
      <c r="G78" s="41" t="n">
        <v>1</v>
      </c>
      <c r="H78" s="41" t="n">
        <v>1</v>
      </c>
      <c r="I78" s="41" t="n">
        <v>2</v>
      </c>
      <c r="J78" s="41" t="n">
        <v>2</v>
      </c>
      <c r="K78" s="41" t="n">
        <v>2</v>
      </c>
    </row>
    <row r="79" customFormat="false" ht="14.25" hidden="false" customHeight="true" outlineLevel="0" collapsed="false">
      <c r="A79" s="8" t="str">
        <f aca="false">parametros_manuales!$B$40</f>
        <v>Presurización</v>
      </c>
      <c r="B79" s="41" t="n">
        <v>1</v>
      </c>
      <c r="C79" s="41" t="n">
        <v>1</v>
      </c>
      <c r="D79" s="41" t="n">
        <v>1</v>
      </c>
      <c r="E79" s="41" t="n">
        <v>1</v>
      </c>
      <c r="F79" s="41" t="n">
        <v>1</v>
      </c>
      <c r="G79" s="41" t="n">
        <v>1</v>
      </c>
      <c r="H79" s="41" t="n">
        <v>1</v>
      </c>
      <c r="I79" s="41" t="n">
        <v>1</v>
      </c>
      <c r="J79" s="41" t="n">
        <v>1</v>
      </c>
      <c r="K79" s="41" t="n">
        <v>1</v>
      </c>
    </row>
    <row r="80" customFormat="false" ht="14.25" hidden="false" customHeight="true" outlineLevel="0" collapsed="false">
      <c r="A80" s="8" t="str">
        <f aca="false">parametros_manuales!$B$41</f>
        <v>Control de calidad — Ensayo de pérdidas</v>
      </c>
      <c r="B80" s="41" t="n">
        <v>1</v>
      </c>
      <c r="C80" s="41" t="n">
        <v>1</v>
      </c>
      <c r="D80" s="41" t="n">
        <v>1</v>
      </c>
      <c r="E80" s="41" t="n">
        <v>1</v>
      </c>
      <c r="F80" s="41" t="n">
        <v>1</v>
      </c>
      <c r="G80" s="41" t="n">
        <v>1</v>
      </c>
      <c r="H80" s="41" t="n">
        <v>1</v>
      </c>
      <c r="I80" s="41" t="n">
        <v>1</v>
      </c>
      <c r="J80" s="41" t="n">
        <v>1</v>
      </c>
      <c r="K80" s="41" t="n">
        <v>1</v>
      </c>
    </row>
    <row r="81" customFormat="false" ht="14.25" hidden="false" customHeight="true" outlineLevel="0" collapsed="false">
      <c r="A81" s="8" t="str">
        <f aca="false">parametros_manuales!$B$42</f>
        <v>Etiquetado</v>
      </c>
      <c r="B81" s="41" t="n">
        <v>1</v>
      </c>
      <c r="C81" s="41" t="n">
        <v>1</v>
      </c>
      <c r="D81" s="41" t="n">
        <v>1</v>
      </c>
      <c r="E81" s="41" t="n">
        <v>1</v>
      </c>
      <c r="F81" s="41" t="n">
        <v>1</v>
      </c>
      <c r="G81" s="41" t="n">
        <v>1</v>
      </c>
      <c r="H81" s="41" t="n">
        <v>1</v>
      </c>
      <c r="I81" s="41" t="n">
        <v>1</v>
      </c>
      <c r="J81" s="41" t="n">
        <v>1</v>
      </c>
      <c r="K81" s="41" t="n">
        <v>1</v>
      </c>
    </row>
    <row r="82" customFormat="false" ht="14.25" hidden="false" customHeight="true" outlineLevel="0" collapsed="false">
      <c r="A82" s="8" t="str">
        <f aca="false">parametros_manuales!$B$43</f>
        <v>Embalaje y paletizado</v>
      </c>
      <c r="B82" s="41" t="n">
        <v>1</v>
      </c>
      <c r="C82" s="41" t="n">
        <v>1</v>
      </c>
      <c r="D82" s="41" t="n">
        <v>1</v>
      </c>
      <c r="E82" s="41" t="n">
        <v>1</v>
      </c>
      <c r="F82" s="41" t="n">
        <v>1</v>
      </c>
      <c r="G82" s="41" t="n">
        <v>1</v>
      </c>
      <c r="H82" s="41" t="n">
        <v>1</v>
      </c>
      <c r="I82" s="41" t="n">
        <v>2</v>
      </c>
      <c r="J82" s="41" t="n">
        <v>2</v>
      </c>
      <c r="K82" s="41" t="n">
        <v>2</v>
      </c>
    </row>
    <row r="83" customFormat="false" ht="14.25" hidden="false" customHeight="true" outlineLevel="0" collapsed="false">
      <c r="A83" s="10" t="s">
        <v>223</v>
      </c>
      <c r="B83" s="56" t="n">
        <f aca="false">MAX(B58:B82)</f>
        <v>1</v>
      </c>
      <c r="C83" s="56" t="n">
        <f aca="false">MAX(C58:C82)</f>
        <v>1</v>
      </c>
      <c r="D83" s="56" t="n">
        <f aca="false">MAX(D58:D82)</f>
        <v>1</v>
      </c>
      <c r="E83" s="56" t="n">
        <f aca="false">MAX(E58:E82)</f>
        <v>1</v>
      </c>
      <c r="F83" s="56" t="n">
        <f aca="false">MAX(F58:F82)</f>
        <v>1</v>
      </c>
      <c r="G83" s="56" t="n">
        <f aca="false">MAX(G58:G82)</f>
        <v>1</v>
      </c>
      <c r="H83" s="56" t="n">
        <f aca="false">MAX(H58:H82)</f>
        <v>2</v>
      </c>
      <c r="I83" s="56" t="n">
        <f aca="false">MAX(I58:I82)</f>
        <v>2</v>
      </c>
      <c r="J83" s="56" t="n">
        <f aca="false">MAX(J58:J82)</f>
        <v>2</v>
      </c>
      <c r="K83" s="56" t="n">
        <f aca="false">MAX(K58:K82)</f>
        <v>2</v>
      </c>
    </row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>
      <c r="A86" s="62" t="s">
        <v>226</v>
      </c>
    </row>
    <row r="87" customFormat="false" ht="14.25" hidden="false" customHeight="true" outlineLevel="0" collapsed="false">
      <c r="A87" s="58" t="s">
        <v>219</v>
      </c>
      <c r="B87" s="58" t="n">
        <v>2026</v>
      </c>
      <c r="C87" s="58" t="n">
        <v>2027</v>
      </c>
      <c r="D87" s="58" t="n">
        <v>2028</v>
      </c>
      <c r="E87" s="58" t="n">
        <v>2029</v>
      </c>
      <c r="F87" s="58" t="n">
        <v>2030</v>
      </c>
      <c r="G87" s="58" t="n">
        <v>2031</v>
      </c>
      <c r="H87" s="58" t="n">
        <v>2032</v>
      </c>
      <c r="I87" s="58" t="n">
        <v>2033</v>
      </c>
      <c r="J87" s="58" t="n">
        <v>2034</v>
      </c>
      <c r="K87" s="58" t="n">
        <v>2035</v>
      </c>
    </row>
    <row r="88" customFormat="false" ht="14.25" hidden="false" customHeight="true" outlineLevel="0" collapsed="false">
      <c r="A88" s="8" t="s">
        <v>227</v>
      </c>
      <c r="B88" s="63" t="n">
        <f aca="false">'Resumen cap. sin sobrestock'!B27</f>
        <v>0.176764090482289</v>
      </c>
      <c r="C88" s="63" t="n">
        <f aca="false">'Resumen cap. sin sobrestock'!C27</f>
        <v>0.277710083626667</v>
      </c>
      <c r="D88" s="63" t="n">
        <f aca="false">'Resumen cap. sin sobrestock'!D27</f>
        <v>0.591085248463111</v>
      </c>
      <c r="E88" s="63" t="n">
        <f aca="false">'Resumen cap. sin sobrestock'!E27</f>
        <v>0.669318756086086</v>
      </c>
      <c r="F88" s="63" t="n">
        <f aca="false">'Resumen cap. sin sobrestock'!F27</f>
        <v>0.86751176024403</v>
      </c>
      <c r="G88" s="63" t="n">
        <f aca="false">'Resumen cap. sin sobrestock'!G27</f>
        <v>0.866318892111205</v>
      </c>
      <c r="H88" s="63" t="n">
        <f aca="false">'Resumen cap. sin sobrestock'!H27</f>
        <v>0.871290420095425</v>
      </c>
      <c r="I88" s="63" t="n">
        <f aca="false">'Resumen cap. sin sobrestock'!I27</f>
        <v>0.736200770249484</v>
      </c>
      <c r="J88" s="63" t="n">
        <f aca="false">'Resumen cap. sin sobrestock'!J27</f>
        <v>0.840109350332723</v>
      </c>
      <c r="K88" s="63" t="n">
        <f aca="false">'Resumen cap. sin sobrestock'!K27</f>
        <v>0.971120238667371</v>
      </c>
    </row>
    <row r="89" customFormat="false" ht="14.25" hidden="false" customHeight="true" outlineLevel="0" collapsed="false">
      <c r="A89" s="8" t="s">
        <v>228</v>
      </c>
      <c r="B89" s="60" t="n">
        <f aca="false">B27</f>
        <v>0.137160795467933</v>
      </c>
      <c r="C89" s="60" t="n">
        <f aca="false">C27</f>
        <v>0.216688263211111</v>
      </c>
      <c r="D89" s="60" t="n">
        <f aca="false">D27</f>
        <v>0.457870110394667</v>
      </c>
      <c r="E89" s="60" t="n">
        <f aca="false">E27</f>
        <v>0.515618581188801</v>
      </c>
      <c r="F89" s="60" t="n">
        <f aca="false">F27</f>
        <v>0.897998472569118</v>
      </c>
      <c r="G89" s="60" t="n">
        <f aca="false">G27</f>
        <v>0.825662599178519</v>
      </c>
      <c r="H89" s="60" t="n">
        <f aca="false">H27</f>
        <v>0.869311981063914</v>
      </c>
      <c r="I89" s="60" t="n">
        <f aca="false">I27</f>
        <v>0.855655715137691</v>
      </c>
      <c r="J89" s="60" t="n">
        <f aca="false">J27</f>
        <v>0.68776055158263</v>
      </c>
      <c r="K89" s="60" t="n">
        <f aca="false">K27</f>
        <v>0.794969322696181</v>
      </c>
    </row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26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B30=0</formula>
    </cfRule>
    <cfRule type="expression" priority="4" aboveAverage="0" equalAverage="0" bottom="0" percent="0" rank="0" text="" dxfId="2">
      <formula>B58&gt;1</formula>
    </cfRule>
    <cfRule type="expression" priority="5" aboveAverage="0" equalAverage="0" bottom="0" percent="0" rank="0" text="" dxfId="3">
      <formula>AND(B30&gt;1,$L2&lt;&gt;"Manual")</formula>
    </cfRule>
    <cfRule type="expression" priority="6" aboveAverage="0" equalAverage="0" bottom="0" percent="0" rank="0" text="" dxfId="4">
      <formula>AND(B30&gt;1,$L2="Manual")</formula>
    </cfRule>
  </conditionalFormatting>
  <conditionalFormatting sqref="C2:K26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C30=0</formula>
    </cfRule>
    <cfRule type="expression" priority="9" aboveAverage="0" equalAverage="0" bottom="0" percent="0" rank="0" text="" dxfId="2">
      <formula>C58&gt;B58</formula>
    </cfRule>
    <cfRule type="expression" priority="10" aboveAverage="0" equalAverage="0" bottom="0" percent="0" rank="0" text="" dxfId="3">
      <formula>AND(C30&gt;B30,$L2&lt;&gt;"Manual")</formula>
    </cfRule>
    <cfRule type="expression" priority="11" aboveAverage="0" equalAverage="0" bottom="0" percent="0" rank="0" text="" dxfId="4">
      <formula>AND(C30&gt;B30,$L2="Manual")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2026-10-13T18:29:11Z</dcterms:created>
  <dc:creator>openpyxl</dc:creator>
  <dc:description/>
  <dc:language>en-US</dc:language>
  <cp:lastModifiedBy/>
  <dcterms:modified xsi:type="dcterms:W3CDTF">2026-10-18T22:36:26Z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